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02cee12d0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f1fadc2718483d"/>
    <x:sheet xmlns:r="http://schemas.openxmlformats.org/officeDocument/2006/relationships" name="University Rankings" sheetId="2" r:id="R32890bf3ad544df3"/>
    <x:sheet xmlns:r="http://schemas.openxmlformats.org/officeDocument/2006/relationships" name="Program Subject Rankings" sheetId="3" r:id="R4b6f678df2534a25"/>
    <x:sheet xmlns:r="http://schemas.openxmlformats.org/officeDocument/2006/relationships" name="QS University Detail" sheetId="4" r:id="Rb2fa0ed030c5452d"/>
    <x:sheet xmlns:r="http://schemas.openxmlformats.org/officeDocument/2006/relationships" name="THE University Detail" sheetId="5" r:id="R5453fb45b2664a24"/>
    <x:sheet xmlns:r="http://schemas.openxmlformats.org/officeDocument/2006/relationships" name="QS Subject Detail" sheetId="6" r:id="R437183a9399c40be"/>
    <x:sheet xmlns:r="http://schemas.openxmlformats.org/officeDocument/2006/relationships" name="THE Subject Detail" sheetId="7" r:id="R7251267b3fc741ec"/>
    <x:sheet xmlns:r="http://schemas.openxmlformats.org/officeDocument/2006/relationships" name="Sources &amp; Notes" sheetId="8" r:id="R2007038a4cad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9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1F2937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sz val="10"/>
      <x:color rgb="FF1F2937"/>
      <x:name val="Aptos"/>
    </x:font>
    <x:font>
      <x:sz val="9"/>
      <x:color rgb="FF0563C1"/>
      <x:name val="Aptos"/>
    </x:font>
    <x:font>
      <x:b/>
      <x:sz val="10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8B1E3F"/>
      </x:patternFill>
    </x:fill>
    <x:fill>
      <x:patternFill patternType="solid">
        <x:fgColor rgb="FFF7E1E8"/>
      </x:patternFill>
    </x:fill>
    <x:fill>
      <x:patternFill patternType="solid">
        <x:fgColor rgb="FFD6A84B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/>
    </x:xf>
    <x:xf numFmtId="201" fontId="0" fillId="3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8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0e7cd3359454a" /><Relationship Type="http://schemas.openxmlformats.org/officeDocument/2006/relationships/theme" Target="/xl/theme/theme1.xml" Id="R6646146d0e8d42b2" /><Relationship Type="http://schemas.openxmlformats.org/officeDocument/2006/relationships/sharedStrings" Target="/xl/sharedStrings.xml" Id="Rb2c3e6e2792d48fc" /><Relationship Type="http://schemas.openxmlformats.org/officeDocument/2006/relationships/worksheet" Target="/xl/worksheets/sheet1.xml" Id="Ra0f1fadc2718483d" /><Relationship Type="http://schemas.openxmlformats.org/officeDocument/2006/relationships/worksheet" Target="/xl/worksheets/sheet2.xml" Id="R32890bf3ad544df3" /><Relationship Type="http://schemas.openxmlformats.org/officeDocument/2006/relationships/worksheet" Target="/xl/worksheets/sheet3.xml" Id="R4b6f678df2534a25" /><Relationship Type="http://schemas.openxmlformats.org/officeDocument/2006/relationships/worksheet" Target="/xl/worksheets/sheet4.xml" Id="Rb2fa0ed030c5452d" /><Relationship Type="http://schemas.openxmlformats.org/officeDocument/2006/relationships/worksheet" Target="/xl/worksheets/sheet5.xml" Id="R5453fb45b2664a24" /><Relationship Type="http://schemas.openxmlformats.org/officeDocument/2006/relationships/worksheet" Target="/xl/worksheets/sheet6.xml" Id="R437183a9399c40be" /><Relationship Type="http://schemas.openxmlformats.org/officeDocument/2006/relationships/worksheet" Target="/xl/worksheets/sheet7.xml" Id="R7251267b3fc741ec" /><Relationship Type="http://schemas.openxmlformats.org/officeDocument/2006/relationships/worksheet" Target="/xl/worksheets/sheet8.xml" Id="R2007038a4cad4732" /></Relationships>
</file>

<file path=xl/tables/table1.xml><?xml version="1.0" encoding="utf-8"?>
<x:table xmlns:x="http://schemas.openxmlformats.org/spreadsheetml/2006/main" id="1" name="UniversityRankingsTable" displayName="UniversityRankingsTable" ref="A4:R66" headerRowCount="1" totalsRowCount="0" totalsRowShown="0">
  <x:autoFilter ref="A4:R66"/>
  <x:tableColumns count="18">
    <x:tableColumn id="1" name="#"/>
    <x:tableColumn id="2" name="Institution"/>
    <x:tableColumn id="3" name="Country"/>
    <x:tableColumn id="4" name="Candidate source"/>
    <x:tableColumn id="5" name="Selected program"/>
    <x:tableColumn id="6" name="QS 2023"/>
    <x:tableColumn id="7" name="QS 2024"/>
    <x:tableColumn id="8" name="QS 2025"/>
    <x:tableColumn id="9" name="QS 2026"/>
    <x:tableColumn id="10" name="QS 2027"/>
    <x:tableColumn id="11" name="THE 2022"/>
    <x:tableColumn id="12" name="THE 2023"/>
    <x:tableColumn id="13" name="THE 2024"/>
    <x:tableColumn id="14" name="THE 2025"/>
    <x:tableColumn id="15" name="THE 2026"/>
    <x:tableColumn id="16" name="QS profile URL"/>
    <x:tableColumn id="17" name="THE profile URL"/>
    <x:tableColumn id="18" name="Program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amSubjectRankingsTable" displayName="ProgramSubjectRankingsTable" ref="A4:R66" headerRowCount="1" totalsRowCount="0" totalsRowShown="0">
  <x:autoFilter ref="A4:R66"/>
  <x:tableColumns count="18">
    <x:tableColumn id="1" name="#"/>
    <x:tableColumn id="2" name="Institution"/>
    <x:tableColumn id="3" name="Country"/>
    <x:tableColumn id="4" name="Selected program"/>
    <x:tableColumn id="5" name="QS subject proxy"/>
    <x:tableColumn id="6" name="QS 2022"/>
    <x:tableColumn id="7" name="QS 2023"/>
    <x:tableColumn id="8" name="QS 2024"/>
    <x:tableColumn id="9" name="QS 2025"/>
    <x:tableColumn id="10" name="QS 2026"/>
    <x:tableColumn id="11" name="THE subject proxy"/>
    <x:tableColumn id="12" name="THE 2022"/>
    <x:tableColumn id="13" name="THE 2023"/>
    <x:tableColumn id="14" name="THE 2024"/>
    <x:tableColumn id="15" name="THE 2025"/>
    <x:tableColumn id="16" name="THE 2026"/>
    <x:tableColumn id="17" name="Category rationale"/>
    <x:tableColumn id="18" name="Program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QSUniversityDetailTable" displayName="QSUniversityDetailTable" ref="A4:P66" headerRowCount="1" totalsRowCount="0" totalsRowShown="0">
  <x:autoFilter ref="A4:P66"/>
  <x:tableColumns count="16">
    <x:tableColumn id="1" name="#"/>
    <x:tableColumn id="2" name="Institution"/>
    <x:tableColumn id="3" name="Selected program"/>
    <x:tableColumn id="4" name="Official QS name"/>
    <x:tableColumn id="5" name="Rank 2023"/>
    <x:tableColumn id="6" name="Score 2023"/>
    <x:tableColumn id="7" name="Rank 2024"/>
    <x:tableColumn id="8" name="Score 2024"/>
    <x:tableColumn id="9" name="Rank 2025"/>
    <x:tableColumn id="10" name="Score 2025"/>
    <x:tableColumn id="11" name="Rank 2026"/>
    <x:tableColumn id="12" name="Score 2026"/>
    <x:tableColumn id="13" name="Rank 2027"/>
    <x:tableColumn id="14" name="Score 2027"/>
    <x:tableColumn id="15" name="QS profile URL"/>
    <x:tableColumn id="16" name="Program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UniversityDetailTable" displayName="THEUniversityDetailTable" ref="A4:P66" headerRowCount="1" totalsRowCount="0" totalsRowShown="0">
  <x:autoFilter ref="A4:P66"/>
  <x:tableColumns count="16">
    <x:tableColumn id="1" name="#"/>
    <x:tableColumn id="2" name="Institution"/>
    <x:tableColumn id="3" name="Selected program"/>
    <x:tableColumn id="4" name="Official THE name"/>
    <x:tableColumn id="5" name="Rank 2022"/>
    <x:tableColumn id="6" name="Score 2022"/>
    <x:tableColumn id="7" name="Rank 2023"/>
    <x:tableColumn id="8" name="Score 2023"/>
    <x:tableColumn id="9" name="Rank 2024"/>
    <x:tableColumn id="10" name="Score 2024"/>
    <x:tableColumn id="11" name="Rank 2025"/>
    <x:tableColumn id="12" name="Score 2025"/>
    <x:tableColumn id="13" name="Rank 2026"/>
    <x:tableColumn id="14" name="Score 2026"/>
    <x:tableColumn id="15" name="THE profile URL"/>
    <x:tableColumn id="16" name="Program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SSubjectDetailTable" displayName="QSSubjectDetailTable" ref="A4:K314" headerRowCount="1" totalsRowCount="0" totalsRowShown="0">
  <x:autoFilter ref="A4:K314"/>
  <x:tableColumns count="11">
    <x:tableColumn id="1" name="#"/>
    <x:tableColumn id="2" name="Institution"/>
    <x:tableColumn id="3" name="Selected program"/>
    <x:tableColumn id="4" name="QS subject proxy"/>
    <x:tableColumn id="5" name="Edition"/>
    <x:tableColumn id="6" name="Rank"/>
    <x:tableColumn id="7" name="Score"/>
    <x:tableColumn id="8" name="Status"/>
    <x:tableColumn id="9" name="Institution profile URL"/>
    <x:tableColumn id="10" name="Official ranking page"/>
    <x:tableColumn id="11" name="Program UR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HESubjectDetailTable" displayName="THESubjectDetailTable" ref="A4:L314" headerRowCount="1" totalsRowCount="0" totalsRowShown="0">
  <x:autoFilter ref="A4:L314"/>
  <x:tableColumns count="12">
    <x:tableColumn id="1" name="#"/>
    <x:tableColumn id="2" name="Institution"/>
    <x:tableColumn id="3" name="Selected program"/>
    <x:tableColumn id="4" name="THE subject proxy"/>
    <x:tableColumn id="5" name="Edition"/>
    <x:tableColumn id="6" name="Rank"/>
    <x:tableColumn id="7" name="Score"/>
    <x:tableColumn id="8" name="Status"/>
    <x:tableColumn id="9" name="Institution profile URL"/>
    <x:tableColumn id="10" name="Official ranking page"/>
    <x:tableColumn id="11" name="Official data endpoint"/>
    <x:tableColumn id="12" name="Program URL"/>
  </x:tableColumns>
  <x:tableStyleInfo name="TableStyleMedium5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H54" headerRowCount="1" totalsRowCount="0" totalsRowShown="0">
  <x:autoFilter ref="A4:H54"/>
  <x:tableColumns count="8">
    <x:tableColumn id="1" name="Level"/>
    <x:tableColumn id="2" name="Publisher"/>
    <x:tableColumn id="3" name="Ranking series / subject"/>
    <x:tableColumn id="4" name="Edition"/>
    <x:tableColumn id="5" name="Official ranking page"/>
    <x:tableColumn id="6" name="Official data endpoint"/>
    <x:tableColumn id="7" name="Coverage"/>
    <x:tableColumn id="8" name="Notes"/>
  </x:tableColumns>
  <x:tableStyleInfo name="TableStyleMedium1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366cfdb110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6e79089f104b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cf45569d9f40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9835ffa0b646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434df2b06c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786c3dc09b40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e35023b38e48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55" hidden="0" customWidth="1"/>
    <x:col min="4" max="4" width="4" hidden="0" customWidth="1"/>
    <x:col min="5" max="5" width="4" hidden="0" customWidth="1"/>
    <x:col min="6" max="6" width="4" hidden="0" customWidth="1"/>
  </x:cols>
  <x:sheetData>
    <x:row r="1" ht="28" customHeight="1">
      <x:c r="A1" s="3" t="str">
        <x:v>QS and THE Five-Year Rankings for 62 Programs</x:v>
      </x:c>
      <x:c r="B1" s="3"/>
      <x:c r="C1" s="3"/>
      <x:c r="D1" s="3"/>
      <x:c r="E1" s="3"/>
      <x:c r="F1" s="3"/>
    </x:row>
    <x:row r="2" ht="34" customHeight="1">
      <x:c r="A2" s="7" t="str">
        <x:v>Includes both university-level rankings and program-related subject-ranking proxies. QS and THE generally do not rank these individual master's programs.</x:v>
      </x:c>
      <x:c r="B2" s="7"/>
      <x:c r="C2" s="7"/>
      <x:c r="D2" s="7"/>
      <x:c r="E2" s="7"/>
      <x:c r="F2" s="7"/>
    </x:row>
    <x:row r="4" ht="34" customHeight="1">
      <x:c r="A4" s="14" t="str">
        <x:v>Metric</x:v>
      </x:c>
      <x:c r="B4" s="14" t="str">
        <x:v>Value</x:v>
      </x:c>
      <x:c r="C4" s="14" t="str">
        <x:v>Interpretation</x:v>
      </x:c>
    </x:row>
    <x:row r="5">
      <x:c r="A5" s="11" t="str">
        <x:v>Selected programs / institutions</x:v>
      </x:c>
      <x:c r="B5" s="16" t="n">
        <x:f>COUNTA('University Rankings'!$B$5:$B$66)</x:f>
        <x:v>62</x:v>
      </x:c>
      <x:c r="C5" s="11" t="str">
        <x:v>One selected sustainability-related master's program per institution</x:v>
      </x:c>
    </x:row>
    <x:row r="6">
      <x:c r="A6" s="11" t="str">
        <x:v>QS university ranking cells</x:v>
      </x:c>
      <x:c r="B6" s="16" t="n">
        <x:f>COUNTIF('University Rankings'!$F$5:$J$66,"&lt;&gt;")</x:f>
        <x:v>310</x:v>
      </x:c>
      <x:c r="C6" s="11" t="str">
        <x:v>Expected 310; QS World University Rankings 2023-2027</x:v>
      </x:c>
    </x:row>
    <x:row r="7">
      <x:c r="A7" s="11" t="str">
        <x:v>THE university ranking cells</x:v>
      </x:c>
      <x:c r="B7" s="16" t="n">
        <x:f>COUNTIF('University Rankings'!$K$5:$O$66,"&lt;&gt;")</x:f>
        <x:v>310</x:v>
      </x:c>
      <x:c r="C7" s="11" t="str">
        <x:v>Expected 310; THE World University Rankings 2022-2026</x:v>
      </x:c>
    </x:row>
    <x:row r="8">
      <x:c r="A8" s="11" t="str">
        <x:v>QS subject proxy cells ranked</x:v>
      </x:c>
      <x:c r="B8" s="16" t="n">
        <x:f>COUNTIF('Program Subject Rankings'!$F$5:$J$66,"&lt;&gt;NR")</x:f>
        <x:v>288</x:v>
      </x:c>
      <x:c r="C8" s="11" t="str">
        <x:v>QS subject categories, 2022-2026</x:v>
      </x:c>
    </x:row>
    <x:row r="9">
      <x:c r="A9" s="11" t="str">
        <x:v>THE subject proxy cells ranked</x:v>
      </x:c>
      <x:c r="B9" s="16" t="n">
        <x:f>COUNTIF('Program Subject Rankings'!$L$5:$P$66,"&lt;&gt;NR")</x:f>
        <x:v>296</x:v>
      </x:c>
      <x:c r="C9" s="11" t="str">
        <x:v>THE subject categories, 2022-2026</x:v>
      </x:c>
    </x:row>
    <x:row r="10">
      <x:c r="A10" s="11" t="str">
        <x:v>QS subject proxy cells marked NR</x:v>
      </x:c>
      <x:c r="B10" s="16" t="n">
        <x:f>B5*5-B8</x:f>
        <x:v>22</x:v>
      </x:c>
      <x:c r="C10" s="11" t="str">
        <x:v>Not ranked or outside the explicitly stated QS collection range</x:v>
      </x:c>
    </x:row>
    <x:row r="11">
      <x:c r="A11" s="11" t="str">
        <x:v>THE subject proxy cells marked NR</x:v>
      </x:c>
      <x:c r="B11" s="16" t="n">
        <x:f>B5*5-B9</x:f>
        <x:v>14</x:v>
      </x:c>
      <x:c r="C11" s="11" t="str">
        <x:v>Not ranked in the complete THE subject table</x:v>
      </x:c>
    </x:row>
    <x:row r="12">
      <x:c r="A12" s="11" t="str">
        <x:v>Direct individual program ranking</x:v>
      </x:c>
      <x:c r="B12" s="17" t="str">
        <x:v>Not published</x:v>
      </x:c>
      <x:c r="C12" s="11" t="str">
        <x:v>Use the subject-level values as transparent proxies, not direct program ranks</x:v>
      </x:c>
    </x:row>
    <x:row r="14">
      <x:c r="A14" s="19" t="str">
        <x:v>How to read this workbook</x:v>
      </x:c>
      <x:c r="B14" s="19"/>
      <x:c r="C14" s="19"/>
      <x:c r="D14" s="19"/>
      <x:c r="E14" s="19"/>
      <x:c r="F14" s="19"/>
    </x:row>
    <x:row r="15" ht="25" customHeight="1">
      <x:c r="A15" s="23" t="str">
        <x:v>1. University Rankings contains each institution's five latest available QS and THE overall editions.</x:v>
      </x:c>
      <x:c r="B15" s="23"/>
      <x:c r="C15" s="23"/>
      <x:c r="D15" s="23"/>
      <x:c r="E15" s="23"/>
      <x:c r="F15" s="23"/>
    </x:row>
    <x:row r="16" ht="25" customHeight="1">
      <x:c r="A16" s="23" t="str">
        <x:v>2. Program Subject Rankings maps each program to the closest available QS and THE subject category using its title and field.</x:v>
      </x:c>
      <x:c r="B16" s="23"/>
      <x:c r="C16" s="23"/>
      <x:c r="D16" s="23"/>
      <x:c r="E16" s="23"/>
      <x:c r="F16" s="23"/>
    </x:row>
    <x:row r="17" ht="25" customHeight="1">
      <x:c r="A17" s="23" t="str">
        <x:v>3. QS Subject Detail and THE Subject Detail provide year-by-year status, score, official profile, ranking page, and program URL.</x:v>
      </x:c>
      <x:c r="B17" s="23"/>
      <x:c r="C17" s="23"/>
      <x:c r="D17" s="23"/>
      <x:c r="E17" s="23"/>
      <x:c r="F17" s="23"/>
    </x:row>
    <x:row r="18" ht="25" customHeight="1">
      <x:c r="A18" s="23" t="str">
        <x:v>4. NR means not ranked in a complete table, or not found within the QS range stated in the Status column.</x:v>
      </x:c>
      <x:c r="B18" s="23"/>
      <x:c r="C18" s="23"/>
      <x:c r="D18" s="23"/>
      <x:c r="E18" s="23"/>
      <x:c r="F18" s="23"/>
    </x:row>
    <x:row r="19" ht="25" customHeight="1">
      <x:c r="A19" s="23" t="str">
        <x:v>5. Ties and rank bands are preserved exactly as published, for example =41, 201-250, or 801+.</x:v>
      </x:c>
      <x:c r="B19" s="23"/>
      <x:c r="C19" s="23"/>
      <x:c r="D19" s="23"/>
      <x:c r="E19" s="23"/>
      <x:c r="F19" s="23"/>
    </x:row>
    <x:row r="20" ht="25" customHeight="1">
      <x:c r="A20" s="23" t="str">
        <x:v>6. The program website is included for every row; the subject category is a proxy and should not be described as a direct master's ranking.</x:v>
      </x:c>
      <x:c r="B20" s="23"/>
      <x:c r="C20" s="23"/>
      <x:c r="D20" s="23"/>
      <x:c r="E20" s="23"/>
      <x:c r="F20" s="23"/>
    </x:row>
  </x:sheetData>
  <x:mergeCells>
    <x:mergeCell ref="A1:F1"/>
    <x:mergeCell ref="A2:F2"/>
    <x:mergeCell ref="A14:F14"/>
    <x:mergeCell ref="A15:F15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20" hidden="0" customWidth="1"/>
    <x:col min="5" max="5" width="4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46" hidden="0" customWidth="1"/>
    <x:col min="17" max="17" width="46" hidden="0" customWidth="1"/>
    <x:col min="18" max="18" width="48" hidden="0" customWidth="1"/>
  </x:cols>
  <x:sheetData>
    <x:row r="1" ht="28" customHeight="1">
      <x:c r="A1" s="3" t="str">
        <x:v>University Ranking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Institution-level overall rankings. QS editions are 2023-2027; THE editions are 2022-2026.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28" t="str">
        <x:v>#</x:v>
      </x:c>
      <x:c r="B4" s="28" t="str">
        <x:v>Institution</x:v>
      </x:c>
      <x:c r="C4" s="28" t="str">
        <x:v>Country</x:v>
      </x:c>
      <x:c r="D4" s="28" t="str">
        <x:v>Candidate source</x:v>
      </x:c>
      <x:c r="E4" s="28" t="str">
        <x:v>Selected program</x:v>
      </x:c>
      <x:c r="F4" s="29" t="str">
        <x:v>QS 2023</x:v>
      </x:c>
      <x:c r="G4" s="29" t="str">
        <x:v>QS 2024</x:v>
      </x:c>
      <x:c r="H4" s="29" t="str">
        <x:v>QS 2025</x:v>
      </x:c>
      <x:c r="I4" s="29" t="str">
        <x:v>QS 2026</x:v>
      </x:c>
      <x:c r="J4" s="29" t="str">
        <x:v>QS 2027</x:v>
      </x:c>
      <x:c r="K4" s="30" t="str">
        <x:v>THE 2022</x:v>
      </x:c>
      <x:c r="L4" s="30" t="str">
        <x:v>THE 2023</x:v>
      </x:c>
      <x:c r="M4" s="30" t="str">
        <x:v>THE 2024</x:v>
      </x:c>
      <x:c r="N4" s="30" t="str">
        <x:v>THE 2025</x:v>
      </x:c>
      <x:c r="O4" s="30" t="str">
        <x:v>THE 2026</x:v>
      </x:c>
      <x:c r="P4" s="28" t="str">
        <x:v>QS profile URL</x:v>
      </x:c>
      <x:c r="Q4" s="28" t="str">
        <x:v>THE profile URL</x:v>
      </x:c>
      <x:c r="R4" s="28" t="str">
        <x:v>Program URL</x:v>
      </x:c>
    </x:row>
    <x:row r="5">
      <x:c r="A5" s="31" t="n">
        <x:v>1</x:v>
      </x:c>
      <x:c r="B5" t="str">
        <x:v>Massachusetts Institute of Technology (MIT)</x:v>
      </x:c>
      <x:c r="C5" t="str">
        <x:v>United States</x:v>
      </x:c>
      <x:c r="D5" t="str">
        <x:v>QS + THE overlap</x:v>
      </x:c>
      <x:c r="E5" s="32" t="str">
        <x:v>Master in City Planning - Environmental Policy and Planning focus</x:v>
      </x:c>
      <x:c r="F5" s="31" t="str">
        <x:v>1</x:v>
      </x:c>
      <x:c r="G5" s="31" t="str">
        <x:v>1</x:v>
      </x:c>
      <x:c r="H5" s="31" t="str">
        <x:v>1</x:v>
      </x:c>
      <x:c r="I5" s="31" t="str">
        <x:v>1</x:v>
      </x:c>
      <x:c r="J5" s="31" t="str">
        <x:v>1</x:v>
      </x:c>
      <x:c r="K5" s="31" t="n">
        <x:f>5</x:f>
        <x:v>5</x:v>
      </x:c>
      <x:c r="L5" s="31" t="str">
        <x:v>5</x:v>
      </x:c>
      <x:c r="M5" s="31" t="str">
        <x:v>3</x:v>
      </x:c>
      <x:c r="N5" s="31" t="str">
        <x:v>2</x:v>
      </x:c>
      <x:c r="O5" s="31" t="str">
        <x:v>2</x:v>
      </x:c>
      <x:c r="P5" s="35" t="str">
        <x:v>https://www.topuniversities.com/universities/massachusetts-institute-technology-mit</x:v>
      </x:c>
      <x:c r="Q5" s="35" t="str">
        <x:v>https://www.timeshighereducation.com/world-university-rankings/massachusetts-institute-technology</x:v>
      </x:c>
      <x:c r="R5" s="35" t="str">
        <x:v>https://dusp.mit.edu/masters/city-planning</x:v>
      </x:c>
    </x:row>
    <x:row r="6">
      <x:c r="A6" s="31" t="n">
        <x:v>2</x:v>
      </x:c>
      <x:c r="B6" t="str">
        <x:v>Imperial College London</x:v>
      </x:c>
      <x:c r="C6" t="str">
        <x:v>United Kingdom</x:v>
      </x:c>
      <x:c r="D6" t="str">
        <x:v>QS + THE overlap</x:v>
      </x:c>
      <x:c r="E6" s="32" t="str">
        <x:v>MSc Climate Change, Management &amp; Finance</x:v>
      </x:c>
      <x:c r="F6" s="31" t="n">
        <x:f>6</x:f>
        <x:v>6</x:v>
      </x:c>
      <x:c r="G6" s="31" t="str">
        <x:v>6</x:v>
      </x:c>
      <x:c r="H6" s="31" t="str">
        <x:v>2</x:v>
      </x:c>
      <x:c r="I6" s="31" t="str">
        <x:v>2</x:v>
      </x:c>
      <x:c r="J6" s="31" t="n">
        <x:f>2</x:f>
        <x:v>2</x:v>
      </x:c>
      <x:c r="K6" s="31" t="str">
        <x:v>12</x:v>
      </x:c>
      <x:c r="L6" s="31" t="str">
        <x:v>10</x:v>
      </x:c>
      <x:c r="M6" s="31" t="str">
        <x:v>8</x:v>
      </x:c>
      <x:c r="N6" s="31" t="str">
        <x:v>9</x:v>
      </x:c>
      <x:c r="O6" s="31" t="str">
        <x:v>8</x:v>
      </x:c>
      <x:c r="P6" s="35" t="str">
        <x:v>https://www.topuniversities.com/universities/imperial-college-london</x:v>
      </x:c>
      <x:c r="Q6" s="35" t="str">
        <x:v>https://www.timeshighereducation.com/world-university-rankings/imperial-college-london</x:v>
      </x:c>
      <x:c r="R6" s="35" t="str">
        <x:v>https://www.imperial.ac.uk/business-school/masters/climate-change-management-finance/</x:v>
      </x:c>
    </x:row>
    <x:row r="7">
      <x:c r="A7" s="31" t="n">
        <x:v>3</x:v>
      </x:c>
      <x:c r="B7" t="str">
        <x:v>Stanford University</x:v>
      </x:c>
      <x:c r="C7" t="str">
        <x:v>United States</x:v>
      </x:c>
      <x:c r="D7" t="str">
        <x:v>QS + THE overlap</x:v>
      </x:c>
      <x:c r="E7" s="32" t="str">
        <x:v>Joint MS in Environment and Resources</x:v>
      </x:c>
      <x:c r="F7" s="31" t="str">
        <x:v>3</x:v>
      </x:c>
      <x:c r="G7" s="31" t="str">
        <x:v>5</x:v>
      </x:c>
      <x:c r="H7" s="31" t="str">
        <x:v>6</x:v>
      </x:c>
      <x:c r="I7" s="31" t="str">
        <x:v>3</x:v>
      </x:c>
      <x:c r="J7" s="31" t="n">
        <x:f>2</x:f>
        <x:v>2</x:v>
      </x:c>
      <x:c r="K7" s="31" t="str">
        <x:v>4</x:v>
      </x:c>
      <x:c r="L7" s="31" t="n">
        <x:f>3</x:f>
        <x:v>3</x:v>
      </x:c>
      <x:c r="M7" s="31" t="str">
        <x:v>2</x:v>
      </x:c>
      <x:c r="N7" s="31" t="str">
        <x:v>6</x:v>
      </x:c>
      <x:c r="O7" s="31" t="n">
        <x:f>5</x:f>
        <x:v>5</x:v>
      </x:c>
      <x:c r="P7" s="35" t="str">
        <x:v>https://www.topuniversities.com/universities/stanford-university</x:v>
      </x:c>
      <x:c r="Q7" s="35" t="str">
        <x:v>https://www.timeshighereducation.com/world-university-rankings/stanford-university</x:v>
      </x:c>
      <x:c r="R7" s="35" t="str">
        <x:v>https://eiper.stanford.edu/academics/joint-ms</x:v>
      </x:c>
    </x:row>
    <x:row r="8">
      <x:c r="A8" s="31" t="n">
        <x:v>4</x:v>
      </x:c>
      <x:c r="B8" t="str">
        <x:v>University of Oxford</x:v>
      </x:c>
      <x:c r="C8" t="str">
        <x:v>United Kingdom</x:v>
      </x:c>
      <x:c r="D8" t="str">
        <x:v>QS + THE overlap</x:v>
      </x:c>
      <x:c r="E8" s="32" t="str">
        <x:v>MSc in Sustainability, Enterprise and the Environment</x:v>
      </x:c>
      <x:c r="F8" s="31" t="str">
        <x:v>4</x:v>
      </x:c>
      <x:c r="G8" s="31" t="str">
        <x:v>3</x:v>
      </x:c>
      <x:c r="H8" s="31" t="str">
        <x:v>3</x:v>
      </x:c>
      <x:c r="I8" s="31" t="str">
        <x:v>4</x:v>
      </x:c>
      <x:c r="J8" s="31" t="str">
        <x:v>4</x:v>
      </x:c>
      <x:c r="K8" s="31" t="str">
        <x:v>1</x:v>
      </x:c>
      <x:c r="L8" s="31" t="str">
        <x:v>1</x:v>
      </x:c>
      <x:c r="M8" s="31" t="str">
        <x:v>1</x:v>
      </x:c>
      <x:c r="N8" s="31" t="str">
        <x:v>1</x:v>
      </x:c>
      <x:c r="O8" s="31" t="str">
        <x:v>1</x:v>
      </x:c>
      <x:c r="P8" s="35" t="str">
        <x:v>https://www.topuniversities.com/universities/university-oxford</x:v>
      </x:c>
      <x:c r="Q8" s="35" t="str">
        <x:v>https://www.timeshighereducation.com/world-university-rankings/university-oxford</x:v>
      </x:c>
      <x:c r="R8" s="35" t="str">
        <x:v>https://www.smithschool.ox.ac.uk/course/msc-sustainability-enterprise-and-environment</x:v>
      </x:c>
    </x:row>
    <x:row r="9">
      <x:c r="A9" s="31" t="n">
        <x:v>5</x:v>
      </x:c>
      <x:c r="B9" t="str">
        <x:v>Harvard University</x:v>
      </x:c>
      <x:c r="C9" t="str">
        <x:v>United States</x:v>
      </x:c>
      <x:c r="D9" t="str">
        <x:v>QS + THE overlap</x:v>
      </x:c>
      <x:c r="E9" s="32" t="str">
        <x:v>Sustainability Master's Degree Program</x:v>
      </x:c>
      <x:c r="F9" s="31" t="str">
        <x:v>5</x:v>
      </x:c>
      <x:c r="G9" s="31" t="str">
        <x:v>4</x:v>
      </x:c>
      <x:c r="H9" s="31" t="str">
        <x:v>4</x:v>
      </x:c>
      <x:c r="I9" s="31" t="str">
        <x:v>5</x:v>
      </x:c>
      <x:c r="J9" s="31" t="str">
        <x:v>5</x:v>
      </x:c>
      <x:c r="K9" s="31" t="n">
        <x:f>2</x:f>
        <x:v>2</x:v>
      </x:c>
      <x:c r="L9" s="31" t="str">
        <x:v>2</x:v>
      </x:c>
      <x:c r="M9" s="31" t="str">
        <x:v>4</x:v>
      </x:c>
      <x:c r="N9" s="31" t="str">
        <x:v>3</x:v>
      </x:c>
      <x:c r="O9" s="31" t="n">
        <x:f>5</x:f>
        <x:v>5</x:v>
      </x:c>
      <x:c r="P9" s="35" t="str">
        <x:v>https://www.topuniversities.com/universities/harvard-university</x:v>
      </x:c>
      <x:c r="Q9" s="35" t="str">
        <x:v>https://www.timeshighereducation.com/world-university-rankings/harvard-university</x:v>
      </x:c>
      <x:c r="R9" s="35" t="str">
        <x:v>https://extension.harvard.edu/academics/programs/sustainability-graduate-program/</x:v>
      </x:c>
    </x:row>
    <x:row r="10">
      <x:c r="A10" s="31" t="n">
        <x:v>6</x:v>
      </x:c>
      <x:c r="B10" t="str">
        <x:v>University of Cambridge</x:v>
      </x:c>
      <x:c r="C10" t="str">
        <x:v>United Kingdom</x:v>
      </x:c>
      <x:c r="D10" t="str">
        <x:v>QS + THE overlap</x:v>
      </x:c>
      <x:c r="E10" s="32" t="str">
        <x:v>MPhil in Engineering for Sustainable Development</x:v>
      </x:c>
      <x:c r="F10" s="31" t="str">
        <x:v>2</x:v>
      </x:c>
      <x:c r="G10" s="31" t="str">
        <x:v>2</x:v>
      </x:c>
      <x:c r="H10" s="31" t="str">
        <x:v>5</x:v>
      </x:c>
      <x:c r="I10" s="31" t="str">
        <x:v>6</x:v>
      </x:c>
      <x:c r="J10" s="31" t="str">
        <x:v>6</x:v>
      </x:c>
      <x:c r="K10" s="31" t="n">
        <x:f>5</x:f>
        <x:v>5</x:v>
      </x:c>
      <x:c r="L10" s="31" t="n">
        <x:f>3</x:f>
        <x:v>3</x:v>
      </x:c>
      <x:c r="M10" s="31" t="str">
        <x:v>5</x:v>
      </x:c>
      <x:c r="N10" s="31" t="str">
        <x:v>5</x:v>
      </x:c>
      <x:c r="O10" s="31" t="n">
        <x:f>3</x:f>
        <x:v>3</x:v>
      </x:c>
      <x:c r="P10" s="35" t="str">
        <x:v>https://www.topuniversities.com/universities/university-cambridge</x:v>
      </x:c>
      <x:c r="Q10" s="35" t="str">
        <x:v>https://www.timeshighereducation.com/world-university-rankings/university-cambridge</x:v>
      </x:c>
      <x:c r="R10" s="35" t="str">
        <x:v>https://www.postgraduate.study.cam.ac.uk/courses/directory/egegmpesd</x:v>
      </x:c>
    </x:row>
    <x:row r="11">
      <x:c r="A11" s="31" t="n">
        <x:v>7</x:v>
      </x:c>
      <x:c r="B11" t="str">
        <x:v>California Institute of Technology (Caltech)</x:v>
      </x:c>
      <x:c r="C11" t="str">
        <x:v>United States</x:v>
      </x:c>
      <x:c r="D11" t="str">
        <x:v>QS + THE overlap</x:v>
      </x:c>
      <x:c r="E11" s="32" t="str">
        <x:v>Environmental Science and Engineering Graduate Program</x:v>
      </x:c>
      <x:c r="F11" s="31" t="n">
        <x:f>6</x:f>
        <x:v>6</x:v>
      </x:c>
      <x:c r="G11" s="31" t="str">
        <x:v>15</x:v>
      </x:c>
      <x:c r="H11" s="31" t="str">
        <x:v>10</x:v>
      </x:c>
      <x:c r="I11" s="31" t="str">
        <x:v>10</x:v>
      </x:c>
      <x:c r="J11" s="31" t="str">
        <x:v>7</x:v>
      </x:c>
      <x:c r="K11" s="31" t="n">
        <x:f>2</x:f>
        <x:v>2</x:v>
      </x:c>
      <x:c r="L11" s="31" t="str">
        <x:v>6</x:v>
      </x:c>
      <x:c r="M11" s="31" t="str">
        <x:v>7</x:v>
      </x:c>
      <x:c r="N11" s="31" t="str">
        <x:v>7</x:v>
      </x:c>
      <x:c r="O11" s="31" t="str">
        <x:v>7</x:v>
      </x:c>
      <x:c r="P11" s="35" t="str">
        <x:v>https://www.topuniversities.com/universities/california-institute-technology-caltech</x:v>
      </x:c>
      <x:c r="Q11" s="35" t="str">
        <x:v>https://www.timeshighereducation.com/world-university-rankings/california-institute-technology</x:v>
      </x:c>
      <x:c r="R11" s="35" t="str">
        <x:v>https://www.ese.caltech.edu/academics/graduate-program</x:v>
      </x:c>
    </x:row>
    <x:row r="12">
      <x:c r="A12" s="31" t="n">
        <x:v>8</x:v>
      </x:c>
      <x:c r="B12" t="str">
        <x:v>ETH Zurich</x:v>
      </x:c>
      <x:c r="C12" t="str">
        <x:v>Switzerland</x:v>
      </x:c>
      <x:c r="D12" t="str">
        <x:v>QS + THE overlap</x:v>
      </x:c>
      <x:c r="E12" s="32" t="str">
        <x:v>MSc Environmental Sciences</x:v>
      </x:c>
      <x:c r="F12" s="31" t="str">
        <x:v>9</x:v>
      </x:c>
      <x:c r="G12" s="31" t="str">
        <x:v>7</x:v>
      </x:c>
      <x:c r="H12" s="31" t="str">
        <x:v>7</x:v>
      </x:c>
      <x:c r="I12" s="31" t="str">
        <x:v>7</x:v>
      </x:c>
      <x:c r="J12" s="31" t="n">
        <x:f>8</x:f>
        <x:v>8</x:v>
      </x:c>
      <x:c r="K12" s="31" t="str">
        <x:v>15</x:v>
      </x:c>
      <x:c r="L12" s="31" t="n">
        <x:f>11</x:f>
        <x:v>11</x:v>
      </x:c>
      <x:c r="M12" s="31" t="str">
        <x:v>11</x:v>
      </x:c>
      <x:c r="N12" s="31" t="str">
        <x:v>11</x:v>
      </x:c>
      <x:c r="O12" s="31" t="str">
        <x:v>11</x:v>
      </x:c>
      <x:c r="P12" s="35" t="str">
        <x:v>https://www.topuniversities.com/universities/eth-zurich</x:v>
      </x:c>
      <x:c r="Q12" s="35" t="str">
        <x:v>https://www.timeshighereducation.com/world-university-rankings/eth-zurich</x:v>
      </x:c>
      <x:c r="R12" s="35" t="str">
        <x:v>https://ethz.ch/en/studies/master/degree-programmes/natural-sciences-and-mathematics/environmental-sciences.html</x:v>
      </x:c>
    </x:row>
    <x:row r="13">
      <x:c r="A13" s="31" t="n">
        <x:v>9</x:v>
      </x:c>
      <x:c r="B13" t="str">
        <x:v>UCL</x:v>
      </x:c>
      <x:c r="C13" t="str">
        <x:v>United Kingdom</x:v>
      </x:c>
      <x:c r="D13" t="str">
        <x:v>QS + THE overlap</x:v>
      </x:c>
      <x:c r="E13" s="32" t="str">
        <x:v>Sustainable Resources: Economics, Policy and Transitions MSc</x:v>
      </x:c>
      <x:c r="F13" s="31" t="str">
        <x:v>8</x:v>
      </x:c>
      <x:c r="G13" s="31" t="str">
        <x:v>9</x:v>
      </x:c>
      <x:c r="H13" s="31" t="str">
        <x:v>9</x:v>
      </x:c>
      <x:c r="I13" s="31" t="str">
        <x:v>9</x:v>
      </x:c>
      <x:c r="J13" s="31" t="n">
        <x:f>8</x:f>
        <x:v>8</x:v>
      </x:c>
      <x:c r="K13" s="31" t="n">
        <x:f>18</x:f>
        <x:v>18</x:v>
      </x:c>
      <x:c r="L13" s="31" t="str">
        <x:v>22</x:v>
      </x:c>
      <x:c r="M13" s="31" t="str">
        <x:v>22</x:v>
      </x:c>
      <x:c r="N13" s="31" t="n">
        <x:f>22</x:f>
        <x:v>22</x:v>
      </x:c>
      <x:c r="O13" s="31" t="str">
        <x:v>22</x:v>
      </x:c>
      <x:c r="P13" s="35" t="str">
        <x:v>https://www.topuniversities.com/universities/ucl</x:v>
      </x:c>
      <x:c r="Q13" s="35" t="str">
        <x:v>https://www.timeshighereducation.com/world-university-rankings/ucl</x:v>
      </x:c>
      <x:c r="R13" s="35" t="str">
        <x:v>https://www.ucl.ac.uk/prospective-students/graduate/taught-degrees/sustainable-resources-economics-policy-and-transitions-msc</x:v>
      </x:c>
    </x:row>
    <x:row r="14">
      <x:c r="A14" s="31" t="n">
        <x:v>10</x:v>
      </x:c>
      <x:c r="B14" t="str">
        <x:v>National University of Singapore (NUS)</x:v>
      </x:c>
      <x:c r="C14" t="str">
        <x:v>Singapore</x:v>
      </x:c>
      <x:c r="D14" t="str">
        <x:v>QS + THE overlap</x:v>
      </x:c>
      <x:c r="E14" s="32" t="str">
        <x:v>MSc in Sustainable and Green Finance</x:v>
      </x:c>
      <x:c r="F14" s="31" t="str">
        <x:v>11</x:v>
      </x:c>
      <x:c r="G14" s="31" t="str">
        <x:v>8</x:v>
      </x:c>
      <x:c r="H14" s="31" t="str">
        <x:v>8</x:v>
      </x:c>
      <x:c r="I14" s="31" t="str">
        <x:v>8</x:v>
      </x:c>
      <x:c r="J14" s="31" t="str">
        <x:v>10</x:v>
      </x:c>
      <x:c r="K14" s="31" t="str">
        <x:v>21</x:v>
      </x:c>
      <x:c r="L14" s="31" t="str">
        <x:v>19</x:v>
      </x:c>
      <x:c r="M14" s="31" t="str">
        <x:v>19</x:v>
      </x:c>
      <x:c r="N14" s="31" t="str">
        <x:v>17</x:v>
      </x:c>
      <x:c r="O14" s="31" t="str">
        <x:v>17</x:v>
      </x:c>
      <x:c r="P14" s="35" t="str">
        <x:v>https://www.topuniversities.com/universities/national-university-singapore-nus</x:v>
      </x:c>
      <x:c r="Q14" s="35" t="str">
        <x:v>https://www.timeshighereducation.com/world-university-rankings/national-university-singapore</x:v>
      </x:c>
      <x:c r="R14" s="35" t="str">
        <x:v>https://msgfin.nus.edu.sg/academics/</x:v>
      </x:c>
    </x:row>
    <x:row r="15">
      <x:c r="A15" s="31" t="n">
        <x:v>11</x:v>
      </x:c>
      <x:c r="B15" t="str">
        <x:v>The University of Hong Kong</x:v>
      </x:c>
      <x:c r="C15" t="str">
        <x:v>Hong Kong SAR</x:v>
      </x:c>
      <x:c r="D15" t="str">
        <x:v>QS + THE overlap</x:v>
      </x:c>
      <x:c r="E15" s="32" t="str">
        <x:v>Master of Science in Environmental Management</x:v>
      </x:c>
      <x:c r="F15" s="31" t="str">
        <x:v>21</x:v>
      </x:c>
      <x:c r="G15" s="31" t="n">
        <x:f>26</x:f>
        <x:v>26</x:v>
      </x:c>
      <x:c r="H15" s="31" t="str">
        <x:v>17</x:v>
      </x:c>
      <x:c r="I15" s="31" t="str">
        <x:v>11</x:v>
      </x:c>
      <x:c r="J15" s="31" t="str">
        <x:v>11</x:v>
      </x:c>
      <x:c r="K15" s="31" t="n">
        <x:f>30</x:f>
        <x:v>30</x:v>
      </x:c>
      <x:c r="L15" s="31" t="str">
        <x:v>31</x:v>
      </x:c>
      <x:c r="M15" s="31" t="str">
        <x:v>35</x:v>
      </x:c>
      <x:c r="N15" s="31" t="str">
        <x:v>35</x:v>
      </x:c>
      <x:c r="O15" s="31" t="str">
        <x:v>33</x:v>
      </x:c>
      <x:c r="P15" s="35" t="str">
        <x:v>https://www.topuniversities.com/universities/university-hong-kong</x:v>
      </x:c>
      <x:c r="Q15" s="35" t="str">
        <x:v>https://www.timeshighereducation.com/world-university-rankings/university-hong-kong</x:v>
      </x:c>
      <x:c r="R15" s="35" t="str">
        <x:v>https://admissions.hku.hk/tpg/programme/master-science-environmental-management</x:v>
      </x:c>
    </x:row>
    <x:row r="16">
      <x:c r="A16" s="31" t="n">
        <x:v>12</x:v>
      </x:c>
      <x:c r="B16" t="str">
        <x:v>Nanyang Technological University, Singapore (NTU Singapore)</x:v>
      </x:c>
      <x:c r="C16" t="str">
        <x:v>Singapore</x:v>
      </x:c>
      <x:c r="D16" t="str">
        <x:v>QS + THE overlap</x:v>
      </x:c>
      <x:c r="E16" s="32" t="str">
        <x:v>MSc Sustainability Management</x:v>
      </x:c>
      <x:c r="F16" s="31" t="str">
        <x:v>19</x:v>
      </x:c>
      <x:c r="G16" s="31" t="n">
        <x:f>26</x:f>
        <x:v>26</x:v>
      </x:c>
      <x:c r="H16" s="31" t="str">
        <x:v>15</x:v>
      </x:c>
      <x:c r="I16" s="31" t="str">
        <x:v>12</x:v>
      </x:c>
      <x:c r="J16" s="31" t="str">
        <x:v>12</x:v>
      </x:c>
      <x:c r="K16" s="31" t="str">
        <x:v>46</x:v>
      </x:c>
      <x:c r="L16" s="31" t="str">
        <x:v>36</x:v>
      </x:c>
      <x:c r="M16" s="31" t="str">
        <x:v>32</x:v>
      </x:c>
      <x:c r="N16" s="31" t="str">
        <x:v>30</x:v>
      </x:c>
      <x:c r="O16" s="31" t="n">
        <x:f>31</x:f>
        <x:v>31</x:v>
      </x:c>
      <x:c r="P16" s="35" t="str">
        <x:v>https://www.topuniversities.com/universities/nanyang-technological-university-singapore-ntu-singapore</x:v>
      </x:c>
      <x:c r="Q16" s="35" t="str">
        <x:v>https://www.timeshighereducation.com/world-university-rankings/nanyang-technological-university-singapore</x:v>
      </x:c>
      <x:c r="R16" s="35" t="str">
        <x:v>https://www.ntu.edu.sg/business/admissions/graduate-studies/msc-sustainability-management</x:v>
      </x:c>
    </x:row>
    <x:row r="17">
      <x:c r="A17" s="31" t="n">
        <x:v>13</x:v>
      </x:c>
      <x:c r="B17" t="str">
        <x:v>Peking University</x:v>
      </x:c>
      <x:c r="C17" t="str">
        <x:v>China (Mainland)</x:v>
      </x:c>
      <x:c r="D17" t="str">
        <x:v>QS + THE overlap</x:v>
      </x:c>
      <x:c r="E17" s="32" t="str">
        <x:v>Master's programs in Environmental Science and Engineering / Environmental Management</x:v>
      </x:c>
      <x:c r="F17" s="31" t="str">
        <x:v>12</x:v>
      </x:c>
      <x:c r="G17" s="31" t="n">
        <x:f>17</x:f>
        <x:v>17</x:v>
      </x:c>
      <x:c r="H17" s="31" t="str">
        <x:v>14</x:v>
      </x:c>
      <x:c r="I17" s="31" t="str">
        <x:v>14</x:v>
      </x:c>
      <x:c r="J17" s="31" t="str">
        <x:v>13</x:v>
      </x:c>
      <x:c r="K17" s="31" t="n">
        <x:f>16</x:f>
        <x:v>16</x:v>
      </x:c>
      <x:c r="L17" s="31" t="str">
        <x:v>17</x:v>
      </x:c>
      <x:c r="M17" s="31" t="str">
        <x:v>14</x:v>
      </x:c>
      <x:c r="N17" s="31" t="str">
        <x:v>13</x:v>
      </x:c>
      <x:c r="O17" s="31" t="str">
        <x:v>13</x:v>
      </x:c>
      <x:c r="P17" s="35" t="str">
        <x:v>https://www.topuniversities.com/universities/peking-university</x:v>
      </x:c>
      <x:c r="Q17" s="35" t="str">
        <x:v>https://www.timeshighereducation.com/world-university-rankings/peking-university</x:v>
      </x:c>
      <x:c r="R17" s="35" t="str">
        <x:v>https://en.coe.pku.edu.cn/education/graduate_programs.htm</x:v>
      </x:c>
    </x:row>
    <x:row r="18">
      <x:c r="A18" s="31" t="n">
        <x:v>14</x:v>
      </x:c>
      <x:c r="B18" t="str">
        <x:v>Tsinghua University</x:v>
      </x:c>
      <x:c r="C18" t="str">
        <x:v>China (Mainland)</x:v>
      </x:c>
      <x:c r="D18" t="str">
        <x:v>QS + THE overlap</x:v>
      </x:c>
      <x:c r="E18" s="32" t="str">
        <x:v>Graduate program in Environmental Science and Engineering</x:v>
      </x:c>
      <x:c r="F18" s="31" t="str">
        <x:v>14</x:v>
      </x:c>
      <x:c r="G18" s="31" t="str">
        <x:v>25</x:v>
      </x:c>
      <x:c r="H18" s="31" t="str">
        <x:v>20</x:v>
      </x:c>
      <x:c r="I18" s="31" t="n">
        <x:f>17</x:f>
        <x:v>17</x:v>
      </x:c>
      <x:c r="J18" s="31" t="str">
        <x:v>14</x:v>
      </x:c>
      <x:c r="K18" s="31" t="n">
        <x:f>16</x:f>
        <x:v>16</x:v>
      </x:c>
      <x:c r="L18" s="31" t="str">
        <x:v>16</x:v>
      </x:c>
      <x:c r="M18" s="31" t="str">
        <x:v>12</x:v>
      </x:c>
      <x:c r="N18" s="31" t="str">
        <x:v>12</x:v>
      </x:c>
      <x:c r="O18" s="31" t="str">
        <x:v>12</x:v>
      </x:c>
      <x:c r="P18" s="35" t="str">
        <x:v>https://www.topuniversities.com/universities/tsinghua-university</x:v>
      </x:c>
      <x:c r="Q18" s="35" t="str">
        <x:v>https://www.timeshighereducation.com/world-university-rankings/tsinghua-university</x:v>
      </x:c>
      <x:c r="R18" s="35" t="str">
        <x:v>https://www.env.tsinghua.edu.cn/en/education/graduate.htm</x:v>
      </x:c>
    </x:row>
    <x:row r="19">
      <x:c r="A19" s="31" t="n">
        <x:v>15</x:v>
      </x:c>
      <x:c r="B19" t="str">
        <x:v>University of Pennsylvania</x:v>
      </x:c>
      <x:c r="C19" t="str">
        <x:v>United States</x:v>
      </x:c>
      <x:c r="D19" t="str">
        <x:v>QS + THE overlap</x:v>
      </x:c>
      <x:c r="E19" s="32" t="str">
        <x:v>Master of Environmental Studies</x:v>
      </x:c>
      <x:c r="F19" s="31" t="str">
        <x:v>13</x:v>
      </x:c>
      <x:c r="G19" s="31" t="str">
        <x:v>12</x:v>
      </x:c>
      <x:c r="H19" s="31" t="str">
        <x:v>11</x:v>
      </x:c>
      <x:c r="I19" s="31" t="str">
        <x:v>15</x:v>
      </x:c>
      <x:c r="J19" s="31" t="str">
        <x:v>15</x:v>
      </x:c>
      <x:c r="K19" s="31" t="n">
        <x:f>13</x:f>
        <x:v>13</x:v>
      </x:c>
      <x:c r="L19" s="31" t="str">
        <x:v>14</x:v>
      </x:c>
      <x:c r="M19" s="31" t="str">
        <x:v>16</x:v>
      </x:c>
      <x:c r="N19" s="31" t="n">
        <x:f>14</x:f>
        <x:v>14</x:v>
      </x:c>
      <x:c r="O19" s="31" t="str">
        <x:v>14</x:v>
      </x:c>
      <x:c r="P19" s="35" t="str">
        <x:v>https://www.topuniversities.com/universities/university-pennsylvania</x:v>
      </x:c>
      <x:c r="Q19" s="35" t="str">
        <x:v>https://www.timeshighereducation.com/world-university-rankings/university-pennsylvania</x:v>
      </x:c>
      <x:c r="R19" s="35" t="str">
        <x:v>https://www.lps.upenn.edu/degree-programs/mes</x:v>
      </x:c>
    </x:row>
    <x:row r="20">
      <x:c r="A20" s="31" t="n">
        <x:v>16</x:v>
      </x:c>
      <x:c r="B20" t="str">
        <x:v>Cornell University</x:v>
      </x:c>
      <x:c r="C20" t="str">
        <x:v>United States</x:v>
      </x:c>
      <x:c r="D20" t="str">
        <x:v>QS + THE overlap</x:v>
      </x:c>
      <x:c r="E20" s="32" t="str">
        <x:v>MPS in Global Development</x:v>
      </x:c>
      <x:c r="F20" s="31" t="str">
        <x:v>20</x:v>
      </x:c>
      <x:c r="G20" s="31" t="str">
        <x:v>13</x:v>
      </x:c>
      <x:c r="H20" s="31" t="str">
        <x:v>16</x:v>
      </x:c>
      <x:c r="I20" s="31" t="str">
        <x:v>16</x:v>
      </x:c>
      <x:c r="J20" s="31" t="n">
        <x:f>16</x:f>
        <x:v>16</x:v>
      </x:c>
      <x:c r="K20" s="31" t="str">
        <x:v>22</x:v>
      </x:c>
      <x:c r="L20" s="31" t="str">
        <x:v>20</x:v>
      </x:c>
      <x:c r="M20" s="31" t="str">
        <x:v>20</x:v>
      </x:c>
      <x:c r="N20" s="31" t="str">
        <x:v>20</x:v>
      </x:c>
      <x:c r="O20" s="31" t="n">
        <x:f>18</x:f>
        <x:v>18</x:v>
      </x:c>
      <x:c r="P20" s="35" t="str">
        <x:v>https://www.topuniversities.com/universities/cornell-university</x:v>
      </x:c>
      <x:c r="Q20" s="35" t="str">
        <x:v>https://www.timeshighereducation.com/world-university-rankings/cornell-university</x:v>
      </x:c>
      <x:c r="R20" s="35" t="str">
        <x:v>https://cals.cornell.edu/global-development/degrees-programs/graduate/mps-global-development</x:v>
      </x:c>
    </x:row>
    <x:row r="21">
      <x:c r="A21" s="31" t="n">
        <x:v>17</x:v>
      </x:c>
      <x:c r="B21" t="str">
        <x:v>Yale University</x:v>
      </x:c>
      <x:c r="C21" t="str">
        <x:v>United States</x:v>
      </x:c>
      <x:c r="D21" t="str">
        <x:v>QS + THE overlap</x:v>
      </x:c>
      <x:c r="E21" s="32" t="str">
        <x:v>Master of Environmental Management</x:v>
      </x:c>
      <x:c r="F21" s="31" t="str">
        <x:v>18</x:v>
      </x:c>
      <x:c r="G21" s="31" t="str">
        <x:v>16</x:v>
      </x:c>
      <x:c r="H21" s="31" t="str">
        <x:v>23</x:v>
      </x:c>
      <x:c r="I21" s="31" t="str">
        <x:v>21</x:v>
      </x:c>
      <x:c r="J21" s="31" t="n">
        <x:f>16</x:f>
        <x:v>16</x:v>
      </x:c>
      <x:c r="K21" s="31" t="str">
        <x:v>9</x:v>
      </x:c>
      <x:c r="L21" s="31" t="str">
        <x:v>9</x:v>
      </x:c>
      <x:c r="M21" s="31" t="str">
        <x:v>10</x:v>
      </x:c>
      <x:c r="N21" s="31" t="str">
        <x:v>10</x:v>
      </x:c>
      <x:c r="O21" s="31" t="str">
        <x:v>10</x:v>
      </x:c>
      <x:c r="P21" s="35" t="str">
        <x:v>https://www.topuniversities.com/universities/yale-university</x:v>
      </x:c>
      <x:c r="Q21" s="35" t="str">
        <x:v>https://www.timeshighereducation.com/world-university-rankings/yale-university</x:v>
      </x:c>
      <x:c r="R21" s="35" t="str">
        <x:v>https://environment.yale.edu/academics/masters/mem</x:v>
      </x:c>
    </x:row>
    <x:row r="22">
      <x:c r="A22" s="31" t="n">
        <x:v>18</x:v>
      </x:c>
      <x:c r="B22" t="str">
        <x:v>The Chinese University of Hong Kong (CUHK)</x:v>
      </x:c>
      <x:c r="C22" t="str">
        <x:v>Hong Kong SAR</x:v>
      </x:c>
      <x:c r="D22" t="str">
        <x:v>QS + THE overlap</x:v>
      </x:c>
      <x:c r="E22" s="32" t="str">
        <x:v>MSc in Sustainable Global Business</x:v>
      </x:c>
      <x:c r="F22" s="31" t="str">
        <x:v>38</x:v>
      </x:c>
      <x:c r="G22" s="31" t="n">
        <x:f>47</x:f>
        <x:v>47</x:v>
      </x:c>
      <x:c r="H22" s="31" t="str">
        <x:v>36</x:v>
      </x:c>
      <x:c r="I22" s="31" t="n">
        <x:f>32</x:f>
        <x:v>32</x:v>
      </x:c>
      <x:c r="J22" s="31" t="str">
        <x:v>18</x:v>
      </x:c>
      <x:c r="K22" s="31" t="str">
        <x:v>49</x:v>
      </x:c>
      <x:c r="L22" s="31" t="str">
        <x:v>45</x:v>
      </x:c>
      <x:c r="M22" s="31" t="str">
        <x:v>53</x:v>
      </x:c>
      <x:c r="N22" s="31" t="str">
        <x:v>44</x:v>
      </x:c>
      <x:c r="O22" s="31" t="n">
        <x:f>41</x:f>
        <x:v>41</x:v>
      </x:c>
      <x:c r="P22" s="35" t="str">
        <x:v>https://www.topuniversities.com/universities/chinese-university-hong-kong-cuhk</x:v>
      </x:c>
      <x:c r="Q22" s="35" t="str">
        <x:v>https://www.timeshighereducation.com/world-university-rankings/chinese-university-hong-kong</x:v>
      </x:c>
      <x:c r="R22" s="35" t="str">
        <x:v>https://masters.bschool.cuhk.edu.hk/programmes/msc-in-sustainable-global-business/</x:v>
      </x:c>
    </x:row>
    <x:row r="23">
      <x:c r="A23" s="31" t="n">
        <x:v>19</x:v>
      </x:c>
      <x:c r="B23" t="str">
        <x:v>Johns Hopkins University</x:v>
      </x:c>
      <x:c r="C23" t="str">
        <x:v>United States</x:v>
      </x:c>
      <x:c r="D23" t="str">
        <x:v>QS + THE overlap</x:v>
      </x:c>
      <x:c r="E23" s="32" t="str">
        <x:v>MS in Energy Policy and Climate</x:v>
      </x:c>
      <x:c r="F23" s="31" t="str">
        <x:v>24</x:v>
      </x:c>
      <x:c r="G23" s="31" t="str">
        <x:v>28</x:v>
      </x:c>
      <x:c r="H23" s="31" t="n">
        <x:f>32</x:f>
        <x:v>32</x:v>
      </x:c>
      <x:c r="I23" s="31" t="str">
        <x:v>24</x:v>
      </x:c>
      <x:c r="J23" s="31" t="n">
        <x:f>20</x:f>
        <x:v>20</x:v>
      </x:c>
      <x:c r="K23" s="31" t="n">
        <x:f>13</x:f>
        <x:v>13</x:v>
      </x:c>
      <x:c r="L23" s="31" t="str">
        <x:v>15</x:v>
      </x:c>
      <x:c r="M23" s="31" t="str">
        <x:v>15</x:v>
      </x:c>
      <x:c r="N23" s="31" t="str">
        <x:v>16</x:v>
      </x:c>
      <x:c r="O23" s="31" t="str">
        <x:v>16</x:v>
      </x:c>
      <x:c r="P23" s="35" t="str">
        <x:v>https://www.topuniversities.com/universities/johns-hopkins-university</x:v>
      </x:c>
      <x:c r="Q23" s="35" t="str">
        <x:v>https://www.timeshighereducation.com/world-university-rankings/johns-hopkins-university</x:v>
      </x:c>
      <x:c r="R23" s="35" t="str">
        <x:v>https://advanced.jhu.edu/academics/graduate/ms-energy-policy-climate/</x:v>
      </x:c>
    </x:row>
    <x:row r="24">
      <x:c r="A24" s="31" t="n">
        <x:v>20</x:v>
      </x:c>
      <x:c r="B24" t="str">
        <x:v>University of California, Berkeley (UCB)</x:v>
      </x:c>
      <x:c r="C24" t="str">
        <x:v>United States</x:v>
      </x:c>
      <x:c r="D24" t="str">
        <x:v>QS + THE overlap</x:v>
      </x:c>
      <x:c r="E24" s="32" t="str">
        <x:v>Master of Climate Solutions</x:v>
      </x:c>
      <x:c r="F24" s="31" t="str">
        <x:v>27</x:v>
      </x:c>
      <x:c r="G24" s="31" t="str">
        <x:v>10</x:v>
      </x:c>
      <x:c r="H24" s="31" t="str">
        <x:v>12</x:v>
      </x:c>
      <x:c r="I24" s="31" t="n">
        <x:f>17</x:f>
        <x:v>17</x:v>
      </x:c>
      <x:c r="J24" s="31" t="n">
        <x:f>20</x:f>
        <x:v>20</x:v>
      </x:c>
      <x:c r="K24" s="31" t="str">
        <x:v>8</x:v>
      </x:c>
      <x:c r="L24" s="31" t="str">
        <x:v>8</x:v>
      </x:c>
      <x:c r="M24" s="31" t="str">
        <x:v>9</x:v>
      </x:c>
      <x:c r="N24" s="31" t="str">
        <x:v>8</x:v>
      </x:c>
      <x:c r="O24" s="31" t="str">
        <x:v>9</x:v>
      </x:c>
      <x:c r="P24" s="35" t="str">
        <x:v>https://www.topuniversities.com/universities/university-california-berkeley-ucb</x:v>
      </x:c>
      <x:c r="Q24" s="35" t="str">
        <x:v>https://www.timeshighereducation.com/world-university-rankings/university-california-berkeley</x:v>
      </x:c>
      <x:c r="R24" s="35" t="str">
        <x:v>https://climatesolutions.berkeley.edu/</x:v>
      </x:c>
    </x:row>
    <x:row r="25">
      <x:c r="A25" s="31" t="n">
        <x:v>21</x:v>
      </x:c>
      <x:c r="B25" t="str">
        <x:v>EPFL – École polytechnique fédérale de Lausanne</x:v>
      </x:c>
      <x:c r="C25" t="str">
        <x:v>Switzerland</x:v>
      </x:c>
      <x:c r="D25" t="str">
        <x:v>QS + THE overlap</x:v>
      </x:c>
      <x:c r="E25" s="32" t="str">
        <x:v>MSc Sustainable Management and Technology</x:v>
      </x:c>
      <x:c r="F25" s="31" t="n">
        <x:f>16</x:f>
        <x:v>16</x:v>
      </x:c>
      <x:c r="G25" s="31" t="str">
        <x:v>36</x:v>
      </x:c>
      <x:c r="H25" s="31" t="str">
        <x:v>26</x:v>
      </x:c>
      <x:c r="I25" s="31" t="n">
        <x:f>22</x:f>
        <x:v>22</x:v>
      </x:c>
      <x:c r="J25" s="31" t="n">
        <x:f>22</x:f>
        <x:v>22</x:v>
      </x:c>
      <x:c r="K25" s="31" t="n">
        <x:f>40</x:f>
        <x:v>40</x:v>
      </x:c>
      <x:c r="L25" s="31" t="str">
        <x:v>41</x:v>
      </x:c>
      <x:c r="M25" s="31" t="str">
        <x:v>33</x:v>
      </x:c>
      <x:c r="N25" s="31" t="str">
        <x:v>32</x:v>
      </x:c>
      <x:c r="O25" s="31" t="str">
        <x:v>35</x:v>
      </x:c>
      <x:c r="P25" s="35" t="str">
        <x:v>https://www.topuniversities.com/universities/epfl-ecole-polytechnique-federale-de-lausanne</x:v>
      </x:c>
      <x:c r="Q25" s="35" t="str">
        <x:v>https://www.timeshighereducation.com/world-university-rankings/ecole-polytechnique-federale-de-lausanne</x:v>
      </x:c>
      <x:c r="R25" s="35" t="str">
        <x:v>https://www.epfl.ch/education/master/programs/sustainable-management-and-technology/</x:v>
      </x:c>
    </x:row>
    <x:row r="26">
      <x:c r="A26" s="31" t="n">
        <x:v>22</x:v>
      </x:c>
      <x:c r="B26" t="str">
        <x:v>The University of Melbourne</x:v>
      </x:c>
      <x:c r="C26" t="str">
        <x:v>Australia</x:v>
      </x:c>
      <x:c r="D26" t="str">
        <x:v>QS + THE overlap</x:v>
      </x:c>
      <x:c r="E26" s="32" t="str">
        <x:v>Master of Environment</x:v>
      </x:c>
      <x:c r="F26" s="31" t="str">
        <x:v>33</x:v>
      </x:c>
      <x:c r="G26" s="31" t="str">
        <x:v>14</x:v>
      </x:c>
      <x:c r="H26" s="31" t="str">
        <x:v>13</x:v>
      </x:c>
      <x:c r="I26" s="31" t="str">
        <x:v>19</x:v>
      </x:c>
      <x:c r="J26" s="31" t="n">
        <x:f>22</x:f>
        <x:v>22</x:v>
      </x:c>
      <x:c r="K26" s="31" t="str">
        <x:v>33</x:v>
      </x:c>
      <x:c r="L26" s="31" t="str">
        <x:v>34</x:v>
      </x:c>
      <x:c r="M26" s="31" t="str">
        <x:v>37</x:v>
      </x:c>
      <x:c r="N26" s="31" t="str">
        <x:v>39</x:v>
      </x:c>
      <x:c r="O26" s="31" t="str">
        <x:v>37</x:v>
      </x:c>
      <x:c r="P26" s="35" t="str">
        <x:v>https://www.topuniversities.com/universities/university-melbourne</x:v>
      </x:c>
      <x:c r="Q26" s="35" t="str">
        <x:v>https://www.timeshighereducation.com/world-university-rankings/university-melbourne</x:v>
      </x:c>
      <x:c r="R26" s="35" t="str">
        <x:v>https://study.unimelb.edu.au/find/courses/graduate/master-of-environment/</x:v>
      </x:c>
    </x:row>
    <x:row r="27">
      <x:c r="A27" s="31" t="n">
        <x:v>23</x:v>
      </x:c>
      <x:c r="B27" t="str">
        <x:v>University of Chicago</x:v>
      </x:c>
      <x:c r="C27" t="str">
        <x:v>United States</x:v>
      </x:c>
      <x:c r="D27" t="str">
        <x:v>QS + THE overlap</x:v>
      </x:c>
      <x:c r="E27" s="32" t="str">
        <x:v>MS in Environmental Science and Policy</x:v>
      </x:c>
      <x:c r="F27" s="31" t="str">
        <x:v>10</x:v>
      </x:c>
      <x:c r="G27" s="31" t="str">
        <x:v>11</x:v>
      </x:c>
      <x:c r="H27" s="31" t="str">
        <x:v>21</x:v>
      </x:c>
      <x:c r="I27" s="31" t="str">
        <x:v>13</x:v>
      </x:c>
      <x:c r="J27" s="31" t="str">
        <x:v>24</x:v>
      </x:c>
      <x:c r="K27" s="31" t="str">
        <x:v>10</x:v>
      </x:c>
      <x:c r="L27" s="31" t="str">
        <x:v>13</x:v>
      </x:c>
      <x:c r="M27" s="31" t="str">
        <x:v>13</x:v>
      </x:c>
      <x:c r="N27" s="31" t="n">
        <x:f>14</x:f>
        <x:v>14</x:v>
      </x:c>
      <x:c r="O27" s="31" t="str">
        <x:v>15</x:v>
      </x:c>
      <x:c r="P27" s="35" t="str">
        <x:v>https://www.topuniversities.com/universities/university-chicago</x:v>
      </x:c>
      <x:c r="Q27" s="35" t="str">
        <x:v>https://www.timeshighereducation.com/world-university-rankings/university-chicago</x:v>
      </x:c>
      <x:c r="R27" s="35" t="str">
        <x:v>https://professional.uchicago.edu/find-your-fit/masters/master-science-environmental-science-policy</x:v>
      </x:c>
    </x:row>
    <x:row r="28">
      <x:c r="A28" s="31" t="n">
        <x:v>24</x:v>
      </x:c>
      <x:c r="B28" t="str">
        <x:v>Technical University of Munich</x:v>
      </x:c>
      <x:c r="C28" t="str">
        <x:v>Germany</x:v>
      </x:c>
      <x:c r="D28" t="str">
        <x:v>QS + THE overlap</x:v>
      </x:c>
      <x:c r="E28" s="32" t="str">
        <x:v>MSc Sustainable Management and Technology</x:v>
      </x:c>
      <x:c r="F28" s="31" t="str">
        <x:v>49</x:v>
      </x:c>
      <x:c r="G28" s="31" t="str">
        <x:v>37</x:v>
      </x:c>
      <x:c r="H28" s="31" t="str">
        <x:v>28</x:v>
      </x:c>
      <x:c r="I28" s="31" t="n">
        <x:f>22</x:f>
        <x:v>22</x:v>
      </x:c>
      <x:c r="J28" s="31" t="str">
        <x:v>25</x:v>
      </x:c>
      <x:c r="K28" s="31" t="str">
        <x:v>38</x:v>
      </x:c>
      <x:c r="L28" s="31" t="str">
        <x:v>30</x:v>
      </x:c>
      <x:c r="M28" s="31" t="n">
        <x:f>30</x:f>
        <x:v>30</x:v>
      </x:c>
      <x:c r="N28" s="31" t="str">
        <x:v>26</x:v>
      </x:c>
      <x:c r="O28" s="31" t="str">
        <x:v>27</x:v>
      </x:c>
      <x:c r="P28" s="35" t="str">
        <x:v>https://www.topuniversities.com/universities/technical-university-munich</x:v>
      </x:c>
      <x:c r="Q28" s="35" t="str">
        <x:v>https://www.timeshighereducation.com/world-university-rankings/technical-university-munich</x:v>
      </x:c>
      <x:c r="R28" s="35" t="str">
        <x:v>https://www.tum.de/en/studies/degree-programs/detail/sustainable-management-and-technology-master-of-science-msc</x:v>
      </x:c>
    </x:row>
    <x:row r="29">
      <x:c r="A29" s="31" t="n">
        <x:v>25</x:v>
      </x:c>
      <x:c r="B29" t="str">
        <x:v>Fudan University</x:v>
      </x:c>
      <x:c r="C29" t="str">
        <x:v>China (Mainland)</x:v>
      </x:c>
      <x:c r="D29" t="str">
        <x:v>QS + THE overlap</x:v>
      </x:c>
      <x:c r="E29" s="32" t="str">
        <x:v>Graduate program in Environmental Science and Engineering</x:v>
      </x:c>
      <x:c r="F29" s="31" t="n">
        <x:f>34</x:f>
        <x:v>34</x:v>
      </x:c>
      <x:c r="G29" s="31" t="str">
        <x:v>50</x:v>
      </x:c>
      <x:c r="H29" s="31" t="str">
        <x:v>39</x:v>
      </x:c>
      <x:c r="I29" s="31" t="str">
        <x:v>30</x:v>
      </x:c>
      <x:c r="J29" s="31" t="str">
        <x:v>26</x:v>
      </x:c>
      <x:c r="K29" s="31" t="str">
        <x:v>60</x:v>
      </x:c>
      <x:c r="L29" s="31" t="str">
        <x:v>51</x:v>
      </x:c>
      <x:c r="M29" s="31" t="str">
        <x:v>44</x:v>
      </x:c>
      <x:c r="N29" s="31" t="n">
        <x:f>36</x:f>
        <x:v>36</x:v>
      </x:c>
      <x:c r="O29" s="31" t="str">
        <x:v>36</x:v>
      </x:c>
      <x:c r="P29" s="35" t="str">
        <x:v>https://www.topuniversities.com/universities/fudan-university</x:v>
      </x:c>
      <x:c r="Q29" s="35" t="str">
        <x:v>https://www.timeshighereducation.com/world-university-rankings/fudan-university</x:v>
      </x:c>
      <x:c r="R29" s="35" t="str">
        <x:v>https://environment.fudan.edu.cn/</x:v>
      </x:c>
    </x:row>
    <x:row r="30">
      <x:c r="A30" s="31" t="n">
        <x:v>26</x:v>
      </x:c>
      <x:c r="B30" t="str">
        <x:v>Princeton University</x:v>
      </x:c>
      <x:c r="C30" t="str">
        <x:v>United States</x:v>
      </x:c>
      <x:c r="D30" t="str">
        <x:v>QS + THE overlap</x:v>
      </x:c>
      <x:c r="E30" s="32" t="str">
        <x:v>MPA with Science, Technology, and Environmental Policy field</x:v>
      </x:c>
      <x:c r="F30" s="31" t="n">
        <x:f>16</x:f>
        <x:v>16</x:v>
      </x:c>
      <x:c r="G30" s="31" t="n">
        <x:f>17</x:f>
        <x:v>17</x:v>
      </x:c>
      <x:c r="H30" s="31" t="str">
        <x:v>22</x:v>
      </x:c>
      <x:c r="I30" s="31" t="n">
        <x:f>25</x:f>
        <x:v>25</x:v>
      </x:c>
      <x:c r="J30" s="31" t="str">
        <x:v>27</x:v>
      </x:c>
      <x:c r="K30" s="31" t="str">
        <x:v>7</x:v>
      </x:c>
      <x:c r="L30" s="31" t="str">
        <x:v>7</x:v>
      </x:c>
      <x:c r="M30" s="31" t="str">
        <x:v>6</x:v>
      </x:c>
      <x:c r="N30" s="31" t="str">
        <x:v>4</x:v>
      </x:c>
      <x:c r="O30" s="31" t="n">
        <x:f>3</x:f>
        <x:v>3</x:v>
      </x:c>
      <x:c r="P30" s="35" t="str">
        <x:v>https://www.topuniversities.com/universities/princeton-university</x:v>
      </x:c>
      <x:c r="Q30" s="35" t="str">
        <x:v>https://www.timeshighereducation.com/world-university-rankings/princeton-university</x:v>
      </x:c>
      <x:c r="R30" s="35" t="str">
        <x:v>https://spia.princeton.edu/graduate-programs/masters-degrees/mpa</x:v>
      </x:c>
    </x:row>
    <x:row r="31">
      <x:c r="A31" s="31" t="n">
        <x:v>27</x:v>
      </x:c>
      <x:c r="B31" t="str">
        <x:v>McGill University</x:v>
      </x:c>
      <x:c r="C31" t="str">
        <x:v>Canada</x:v>
      </x:c>
      <x:c r="D31" t="str">
        <x:v>QS + THE overlap</x:v>
      </x:c>
      <x:c r="E31" s="32" t="str">
        <x:v>MSc Sustainability, Science and Society</x:v>
      </x:c>
      <x:c r="F31" s="31" t="str">
        <x:v>31</x:v>
      </x:c>
      <x:c r="G31" s="31" t="str">
        <x:v>30</x:v>
      </x:c>
      <x:c r="H31" s="31" t="str">
        <x:v>29</x:v>
      </x:c>
      <x:c r="I31" s="31" t="str">
        <x:v>27</x:v>
      </x:c>
      <x:c r="J31" s="31" t="str">
        <x:v>30</x:v>
      </x:c>
      <x:c r="K31" s="31" t="str">
        <x:v>44</x:v>
      </x:c>
      <x:c r="L31" s="31" t="str">
        <x:v>46</x:v>
      </x:c>
      <x:c r="M31" s="31" t="str">
        <x:v>49</x:v>
      </x:c>
      <x:c r="N31" s="31" t="str">
        <x:v>45</x:v>
      </x:c>
      <x:c r="O31" s="31" t="n">
        <x:f>41</x:f>
        <x:v>41</x:v>
      </x:c>
      <x:c r="P31" s="35" t="str">
        <x:v>https://www.topuniversities.com/universities/mcgill-university</x:v>
      </x:c>
      <x:c r="Q31" s="35" t="str">
        <x:v>https://www.timeshighereducation.com/world-university-rankings/mcgill-university</x:v>
      </x:c>
      <x:c r="R31" s="35" t="str">
        <x:v>https://www.mcgill.ca/study/2026-2027/faculties/science/graduate/programs/master-science-msc-sustainability-science-and-society-thesis</x:v>
      </x:c>
    </x:row>
    <x:row r="32">
      <x:c r="A32" s="31" t="n">
        <x:v>28</x:v>
      </x:c>
      <x:c r="B32" t="str">
        <x:v>University of Toronto</x:v>
      </x:c>
      <x:c r="C32" t="str">
        <x:v>Canada</x:v>
      </x:c>
      <x:c r="D32" t="str">
        <x:v>QS + THE overlap</x:v>
      </x:c>
      <x:c r="E32" s="32" t="str">
        <x:v>Master of Environment &amp; Sustainability</x:v>
      </x:c>
      <x:c r="F32" s="31" t="n">
        <x:f>34</x:f>
        <x:v>34</x:v>
      </x:c>
      <x:c r="G32" s="31" t="str">
        <x:v>21</x:v>
      </x:c>
      <x:c r="H32" s="31" t="str">
        <x:v>25</x:v>
      </x:c>
      <x:c r="I32" s="31" t="str">
        <x:v>29</x:v>
      </x:c>
      <x:c r="J32" s="31" t="str">
        <x:v>32</x:v>
      </x:c>
      <x:c r="K32" s="31" t="n">
        <x:f>18</x:f>
        <x:v>18</x:v>
      </x:c>
      <x:c r="L32" s="31" t="str">
        <x:v>18</x:v>
      </x:c>
      <x:c r="M32" s="31" t="str">
        <x:v>21</x:v>
      </x:c>
      <x:c r="N32" s="31" t="str">
        <x:v>21</x:v>
      </x:c>
      <x:c r="O32" s="31" t="str">
        <x:v>21</x:v>
      </x:c>
      <x:c r="P32" s="35" t="str">
        <x:v>https://www.topuniversities.com/universities/university-toronto</x:v>
      </x:c>
      <x:c r="Q32" s="35" t="str">
        <x:v>https://www.timeshighereducation.com/world-university-rankings/university-toronto</x:v>
      </x:c>
      <x:c r="R32" s="35" t="str">
        <x:v>https://www.environment.utoronto.ca/graduate/mes</x:v>
      </x:c>
    </x:row>
    <x:row r="33">
      <x:c r="A33" s="31" t="n">
        <x:v>29</x:v>
      </x:c>
      <x:c r="B33" t="str">
        <x:v>Université PSL</x:v>
      </x:c>
      <x:c r="C33" t="str">
        <x:v>France</x:v>
      </x:c>
      <x:c r="D33" t="str">
        <x:v>QS + THE overlap</x:v>
      </x:c>
      <x:c r="E33" s="32" t="str">
        <x:v>Master in Sustainable Management and Organizations</x:v>
      </x:c>
      <x:c r="F33" s="31" t="str">
        <x:v>26</x:v>
      </x:c>
      <x:c r="G33" s="31" t="str">
        <x:v>24</x:v>
      </x:c>
      <x:c r="H33" s="31" t="str">
        <x:v>24</x:v>
      </x:c>
      <x:c r="I33" s="31" t="str">
        <x:v>28</x:v>
      </x:c>
      <x:c r="J33" s="31" t="str">
        <x:v>34</x:v>
      </x:c>
      <x:c r="K33" s="31" t="n">
        <x:f>40</x:f>
        <x:v>40</x:v>
      </x:c>
      <x:c r="L33" s="31" t="str">
        <x:v>47</x:v>
      </x:c>
      <x:c r="M33" s="31" t="str">
        <x:v>40</x:v>
      </x:c>
      <x:c r="N33" s="31" t="str">
        <x:v>42</x:v>
      </x:c>
      <x:c r="O33" s="31" t="str">
        <x:v>48</x:v>
      </x:c>
      <x:c r="P33" s="35" t="str">
        <x:v>https://www.topuniversities.com/universities/universite-psl</x:v>
      </x:c>
      <x:c r="Q33" s="35" t="str">
        <x:v>https://www.timeshighereducation.com/world-university-rankings/paris-sciences-et-lettres-psl-research-university-paris</x:v>
      </x:c>
      <x:c r="R33" s="35" t="str">
        <x:v>https://dauphine.psl.eu/en/training/masters-degrees/sustainable-management-and-organizations</x:v>
      </x:c>
    </x:row>
    <x:row r="34">
      <x:c r="A34" s="31" t="n">
        <x:v>30</x:v>
      </x:c>
      <x:c r="B34" t="str">
        <x:v>The University of Edinburgh</x:v>
      </x:c>
      <x:c r="C34" t="str">
        <x:v>United Kingdom</x:v>
      </x:c>
      <x:c r="D34" t="str">
        <x:v>QS + THE overlap</x:v>
      </x:c>
      <x:c r="E34" s="32" t="str">
        <x:v>MSc Global Strategy and Sustainability</x:v>
      </x:c>
      <x:c r="F34" s="31" t="str">
        <x:v>15</x:v>
      </x:c>
      <x:c r="G34" s="31" t="str">
        <x:v>22</x:v>
      </x:c>
      <x:c r="H34" s="31" t="str">
        <x:v>27</x:v>
      </x:c>
      <x:c r="I34" s="31" t="str">
        <x:v>34</x:v>
      </x:c>
      <x:c r="J34" s="31" t="str">
        <x:v>35</x:v>
      </x:c>
      <x:c r="K34" s="31" t="n">
        <x:f>30</x:f>
        <x:v>30</x:v>
      </x:c>
      <x:c r="L34" s="31" t="str">
        <x:v>29</x:v>
      </x:c>
      <x:c r="M34" s="31" t="n">
        <x:f>30</x:f>
        <x:v>30</x:v>
      </x:c>
      <x:c r="N34" s="31" t="str">
        <x:v>29</x:v>
      </x:c>
      <x:c r="O34" s="31" t="str">
        <x:v>29</x:v>
      </x:c>
      <x:c r="P34" s="35" t="str">
        <x:v>https://www.topuniversities.com/universities/university-edinburgh</x:v>
      </x:c>
      <x:c r="Q34" s="35" t="str">
        <x:v>https://www.timeshighereducation.com/world-university-rankings/university-edinburgh</x:v>
      </x:c>
      <x:c r="R34" s="35" t="str">
        <x:v>https://www.business-school.ed.ac.uk/msc/global-strategy-sustainability</x:v>
      </x:c>
    </x:row>
    <x:row r="35">
      <x:c r="A35" s="31" t="n">
        <x:v>31</x:v>
      </x:c>
      <x:c r="B35" t="str">
        <x:v>Shanghai Jiao Tong University</x:v>
      </x:c>
      <x:c r="C35" t="str">
        <x:v>China (Mainland)</x:v>
      </x:c>
      <x:c r="D35" t="str">
        <x:v>QS + THE overlap</x:v>
      </x:c>
      <x:c r="E35" s="32" t="str">
        <x:v>Graduate program in Environmental Science and Engineering</x:v>
      </x:c>
      <x:c r="F35" s="31" t="str">
        <x:v>46</x:v>
      </x:c>
      <x:c r="G35" s="31" t="str">
        <x:v>51</x:v>
      </x:c>
      <x:c r="H35" s="31" t="str">
        <x:v>45</x:v>
      </x:c>
      <x:c r="I35" s="31" t="n">
        <x:f>47</x:f>
        <x:v>47</x:v>
      </x:c>
      <x:c r="J35" s="31" t="str">
        <x:v>36</x:v>
      </x:c>
      <x:c r="K35" s="31" t="str">
        <x:v>84</x:v>
      </x:c>
      <x:c r="L35" s="31" t="str">
        <x:v>52</x:v>
      </x:c>
      <x:c r="M35" s="31" t="str">
        <x:v>43</x:v>
      </x:c>
      <x:c r="N35" s="31" t="str">
        <x:v>52</x:v>
      </x:c>
      <x:c r="O35" s="31" t="str">
        <x:v>40</x:v>
      </x:c>
      <x:c r="P35" s="35" t="str">
        <x:v>https://www.topuniversities.com/universities/shanghai-jiao-tong-university</x:v>
      </x:c>
      <x:c r="Q35" s="35" t="str">
        <x:v>https://www.timeshighereducation.com/world-university-rankings/shanghai-jiao-tong-university</x:v>
      </x:c>
      <x:c r="R35" s="35" t="str">
        <x:v>https://en.sjtu.edu.cn/academics/schools/School%20of%20Environmental%20Science%20and%20Engineering</x:v>
      </x:c>
    </x:row>
    <x:row r="36">
      <x:c r="A36" s="31" t="n">
        <x:v>32</x:v>
      </x:c>
      <x:c r="B36" t="str">
        <x:v>King's College London</x:v>
      </x:c>
      <x:c r="C36" t="str">
        <x:v>United Kingdom</x:v>
      </x:c>
      <x:c r="D36" t="str">
        <x:v>QS + THE overlap</x:v>
      </x:c>
      <x:c r="E36" s="32" t="str">
        <x:v>Environment, Politics and Development MSc</x:v>
      </x:c>
      <x:c r="F36" s="31" t="str">
        <x:v>37</x:v>
      </x:c>
      <x:c r="G36" s="31" t="str">
        <x:v>40</x:v>
      </x:c>
      <x:c r="H36" s="31" t="n">
        <x:f>40</x:f>
        <x:v>40</x:v>
      </x:c>
      <x:c r="I36" s="31" t="str">
        <x:v>31</x:v>
      </x:c>
      <x:c r="J36" s="31" t="str">
        <x:v>37</x:v>
      </x:c>
      <x:c r="K36" s="31" t="n">
        <x:f>35</x:f>
        <x:v>35</x:v>
      </x:c>
      <x:c r="L36" s="31" t="str">
        <x:v>35</x:v>
      </x:c>
      <x:c r="M36" s="31" t="n">
        <x:f>38</x:f>
        <x:v>38</x:v>
      </x:c>
      <x:c r="N36" s="31" t="n">
        <x:f>36</x:f>
        <x:v>36</x:v>
      </x:c>
      <x:c r="O36" s="31" t="str">
        <x:v>38</x:v>
      </x:c>
      <x:c r="P36" s="35" t="str">
        <x:v>https://www.topuniversities.com/universities/kings-college-london</x:v>
      </x:c>
      <x:c r="Q36" s="35" t="str">
        <x:v>https://www.timeshighereducation.com/world-university-rankings/kings-college-london</x:v>
      </x:c>
      <x:c r="R36" s="35" t="str">
        <x:v>https://www.kcl.ac.uk/study/postgraduate-taught/courses/environment-politics-and-development-msc</x:v>
      </x:c>
    </x:row>
    <x:row r="37">
      <x:c r="A37" s="31" t="n">
        <x:v>33</x:v>
      </x:c>
      <x:c r="B37" t="str">
        <x:v>The University of Tokyo</x:v>
      </x:c>
      <x:c r="C37" t="str">
        <x:v>Japan</x:v>
      </x:c>
      <x:c r="D37" t="str">
        <x:v>QS + THE overlap</x:v>
      </x:c>
      <x:c r="E37" s="32" t="str">
        <x:v>Graduate Program in Sustainability Science - Global Leadership Initiative</x:v>
      </x:c>
      <x:c r="F37" s="31" t="str">
        <x:v>23</x:v>
      </x:c>
      <x:c r="G37" s="31" t="str">
        <x:v>28</x:v>
      </x:c>
      <x:c r="H37" s="31" t="n">
        <x:f>32</x:f>
        <x:v>32</x:v>
      </x:c>
      <x:c r="I37" s="31" t="n">
        <x:f>36</x:f>
        <x:v>36</x:v>
      </x:c>
      <x:c r="J37" s="31" t="str">
        <x:v>39</x:v>
      </x:c>
      <x:c r="K37" s="31" t="n">
        <x:f>35</x:f>
        <x:v>35</x:v>
      </x:c>
      <x:c r="L37" s="31" t="str">
        <x:v>39</x:v>
      </x:c>
      <x:c r="M37" s="31" t="str">
        <x:v>29</x:v>
      </x:c>
      <x:c r="N37" s="31" t="str">
        <x:v>28</x:v>
      </x:c>
      <x:c r="O37" s="31" t="str">
        <x:v>26</x:v>
      </x:c>
      <x:c r="P37" s="35" t="str">
        <x:v>https://www.topuniversities.com/universities/university-tokyo</x:v>
      </x:c>
      <x:c r="Q37" s="35" t="str">
        <x:v>https://www.timeshighereducation.com/world-university-rankings/university-tokyo</x:v>
      </x:c>
      <x:c r="R37" s="35" t="str">
        <x:v>https://www.sustainability.k.u-tokyo.ac.jp/</x:v>
      </x:c>
    </x:row>
    <x:row r="38">
      <x:c r="A38" s="31" t="n">
        <x:v>34</x:v>
      </x:c>
      <x:c r="B38" t="str">
        <x:v>Columbia University</x:v>
      </x:c>
      <x:c r="C38" t="str">
        <x:v>United States</x:v>
      </x:c>
      <x:c r="D38" t="str">
        <x:v>QS + THE overlap</x:v>
      </x:c>
      <x:c r="E38" s="32" t="str">
        <x:v>MS in Sustainability Management</x:v>
      </x:c>
      <x:c r="F38" s="31" t="str">
        <x:v>22</x:v>
      </x:c>
      <x:c r="G38" s="31" t="str">
        <x:v>23</x:v>
      </x:c>
      <x:c r="H38" s="31" t="n">
        <x:f>34</x:f>
        <x:v>34</x:v>
      </x:c>
      <x:c r="I38" s="31" t="n">
        <x:f>38</x:f>
        <x:v>38</x:v>
      </x:c>
      <x:c r="J38" s="31" t="n">
        <x:f>43</x:f>
        <x:v>43</x:v>
      </x:c>
      <x:c r="K38" s="31" t="str">
        <x:v>11</x:v>
      </x:c>
      <x:c r="L38" s="31" t="n">
        <x:f>11</x:f>
        <x:v>11</x:v>
      </x:c>
      <x:c r="M38" s="31" t="str">
        <x:v>17</x:v>
      </x:c>
      <x:c r="N38" s="31" t="n">
        <x:f>18</x:f>
        <x:v>18</x:v>
      </x:c>
      <x:c r="O38" s="31" t="str">
        <x:v>20</x:v>
      </x:c>
      <x:c r="P38" s="35" t="str">
        <x:v>https://www.topuniversities.com/universities/columbia-university</x:v>
      </x:c>
      <x:c r="Q38" s="35" t="str">
        <x:v>https://www.timeshighereducation.com/world-university-rankings/columbia-university</x:v>
      </x:c>
      <x:c r="R38" s="35" t="str">
        <x:v>https://www.sustainability.ei.columbia.edu/sustainability-management</x:v>
      </x:c>
    </x:row>
    <x:row r="39">
      <x:c r="A39" s="31" t="n">
        <x:v>35</x:v>
      </x:c>
      <x:c r="B39" t="str">
        <x:v>Northwestern University</x:v>
      </x:c>
      <x:c r="C39" t="str">
        <x:v>United States</x:v>
      </x:c>
      <x:c r="D39" t="str">
        <x:v>QS + THE overlap</x:v>
      </x:c>
      <x:c r="E39" s="32" t="str">
        <x:v>Master of Science in Energy and Sustainability</x:v>
      </x:c>
      <x:c r="F39" s="31" t="str">
        <x:v>32</x:v>
      </x:c>
      <x:c r="G39" s="31" t="n">
        <x:f>47</x:f>
        <x:v>47</x:v>
      </x:c>
      <x:c r="H39" s="31" t="n">
        <x:f>50</x:f>
        <x:v>50</x:v>
      </x:c>
      <x:c r="I39" s="31" t="n">
        <x:f>42</x:f>
        <x:v>42</x:v>
      </x:c>
      <x:c r="J39" s="31" t="n">
        <x:f>45</x:f>
        <x:v>45</x:v>
      </x:c>
      <x:c r="K39" s="31" t="n">
        <x:f>24</x:f>
        <x:v>24</x:v>
      </x:c>
      <x:c r="L39" s="31" t="n">
        <x:f>26</x:f>
        <x:v>26</x:v>
      </x:c>
      <x:c r="M39" s="31" t="str">
        <x:v>28</x:v>
      </x:c>
      <x:c r="N39" s="31" t="str">
        <x:v>31</x:v>
      </x:c>
      <x:c r="O39" s="31" t="str">
        <x:v>30</x:v>
      </x:c>
      <x:c r="P39" s="35" t="str">
        <x:v>https://www.topuniversities.com/universities/northwestern-university</x:v>
      </x:c>
      <x:c r="Q39" s="35" t="str">
        <x:v>https://www.timeshighereducation.com/world-university-rankings/northwestern-university</x:v>
      </x:c>
      <x:c r="R39" s="35" t="str">
        <x:v>https://www.mccormick.northwestern.edu/energy-sustainability/</x:v>
      </x:c>
    </x:row>
    <x:row r="40">
      <x:c r="A40" s="31" t="n">
        <x:v>36</x:v>
      </x:c>
      <x:c r="B40" t="str">
        <x:v>University of British Columbia</x:v>
      </x:c>
      <x:c r="C40" t="str">
        <x:v>Canada</x:v>
      </x:c>
      <x:c r="D40" t="str">
        <x:v>QS + THE overlap</x:v>
      </x:c>
      <x:c r="E40" s="32" t="str">
        <x:v>Master of Engineering Leadership in Sustainable Process Engineering</x:v>
      </x:c>
      <x:c r="F40" s="31" t="str">
        <x:v>47</x:v>
      </x:c>
      <x:c r="G40" s="31" t="n">
        <x:f>34</x:f>
        <x:v>34</x:v>
      </x:c>
      <x:c r="H40" s="31" t="str">
        <x:v>38</x:v>
      </x:c>
      <x:c r="I40" s="31" t="str">
        <x:v>40</x:v>
      </x:c>
      <x:c r="J40" s="31" t="n">
        <x:f>45</x:f>
        <x:v>45</x:v>
      </x:c>
      <x:c r="K40" s="31" t="str">
        <x:v>37</x:v>
      </x:c>
      <x:c r="L40" s="31" t="str">
        <x:v>40</x:v>
      </x:c>
      <x:c r="M40" s="31" t="str">
        <x:v>41</x:v>
      </x:c>
      <x:c r="N40" s="31" t="str">
        <x:v>41</x:v>
      </x:c>
      <x:c r="O40" s="31" t="str">
        <x:v>45</x:v>
      </x:c>
      <x:c r="P40" s="35" t="str">
        <x:v>https://www.topuniversities.com/universities/university-british-columbia</x:v>
      </x:c>
      <x:c r="Q40" s="35" t="str">
        <x:v>https://www.timeshighereducation.com/world-university-rankings/university-british-columbia</x:v>
      </x:c>
      <x:c r="R40" s="35" t="str">
        <x:v>https://mel.ubc.ca/sustainable-process-engineering</x:v>
      </x:c>
    </x:row>
    <x:row r="41">
      <x:c r="A41" s="31" t="n">
        <x:v>37</x:v>
      </x:c>
      <x:c r="B41" t="str">
        <x:v>Zhejiang University</x:v>
      </x:c>
      <x:c r="C41" t="str">
        <x:v>China (Mainland)</x:v>
      </x:c>
      <x:c r="D41" t="str">
        <x:v>QS + THE overlap</x:v>
      </x:c>
      <x:c r="E41" s="32" t="str">
        <x:v>Graduate program in Environmental Science and Engineering</x:v>
      </x:c>
      <x:c r="F41" s="31" t="n">
        <x:f>42</x:f>
        <x:v>42</x:v>
      </x:c>
      <x:c r="G41" s="31" t="n">
        <x:f>44</x:f>
        <x:v>44</x:v>
      </x:c>
      <x:c r="H41" s="31" t="n">
        <x:f>47</x:f>
        <x:v>47</x:v>
      </x:c>
      <x:c r="I41" s="31" t="str">
        <x:v>49</x:v>
      </x:c>
      <x:c r="J41" s="31" t="str">
        <x:v>47</x:v>
      </x:c>
      <x:c r="K41" s="31" t="n">
        <x:f>75</x:f>
        <x:v>75</x:v>
      </x:c>
      <x:c r="L41" s="31" t="str">
        <x:v>67</x:v>
      </x:c>
      <x:c r="M41" s="31" t="n">
        <x:f>55</x:f>
        <x:v>55</x:v>
      </x:c>
      <x:c r="N41" s="31" t="n">
        <x:f>47</x:f>
        <x:v>47</x:v>
      </x:c>
      <x:c r="O41" s="31" t="str">
        <x:v>39</x:v>
      </x:c>
      <x:c r="P41" s="35" t="str">
        <x:v>https://www.topuniversities.com/universities/zhejiang-university</x:v>
      </x:c>
      <x:c r="Q41" s="35" t="str">
        <x:v>https://www.timeshighereducation.com/world-university-rankings/zhejiang-university</x:v>
      </x:c>
      <x:c r="R41" s="35" t="str">
        <x:v>http://www.cers.zju.edu.cn/cersen/</x:v>
      </x:c>
    </x:row>
    <x:row r="42">
      <x:c r="A42" s="31" t="n">
        <x:v>38</x:v>
      </x:c>
      <x:c r="B42" t="str">
        <x:v>University of California, Los Angeles (UCLA)</x:v>
      </x:c>
      <x:c r="C42" t="str">
        <x:v>United States</x:v>
      </x:c>
      <x:c r="D42" t="str">
        <x:v>QS + THE overlap</x:v>
      </x:c>
      <x:c r="E42" s="32" t="str">
        <x:v>Urban Planning MA - Environmental Analysis and Policy / sustainability focus</x:v>
      </x:c>
      <x:c r="F42" s="31" t="str">
        <x:v>44</x:v>
      </x:c>
      <x:c r="G42" s="31" t="str">
        <x:v>29</x:v>
      </x:c>
      <x:c r="H42" s="31" t="str">
        <x:v>42</x:v>
      </x:c>
      <x:c r="I42" s="31" t="str">
        <x:v>46</x:v>
      </x:c>
      <x:c r="J42" s="31" t="str">
        <x:v>49</x:v>
      </x:c>
      <x:c r="K42" s="31" t="str">
        <x:v>20</x:v>
      </x:c>
      <x:c r="L42" s="31" t="str">
        <x:v>21</x:v>
      </x:c>
      <x:c r="M42" s="31" t="str">
        <x:v>18</x:v>
      </x:c>
      <x:c r="N42" s="31" t="n">
        <x:f>18</x:f>
        <x:v>18</x:v>
      </x:c>
      <x:c r="O42" s="31" t="n">
        <x:f>18</x:f>
        <x:v>18</x:v>
      </x:c>
      <x:c r="P42" s="35" t="str">
        <x:v>https://www.topuniversities.com/universities/university-california-los-angeles-ucla</x:v>
      </x:c>
      <x:c r="Q42" s="35" t="str">
        <x:v>https://www.timeshighereducation.com/world-university-rankings/university-california-los-angeles</x:v>
      </x:c>
      <x:c r="R42" s="35" t="str">
        <x:v>https://luskin.ucla.edu/urban-planning</x:v>
      </x:c>
    </x:row>
    <x:row r="43">
      <x:c r="A43" s="31" t="n">
        <x:v>39</x:v>
      </x:c>
      <x:c r="B43" t="str">
        <x:v>The University of New South Wales (UNSW Sydney)</x:v>
      </x:c>
      <x:c r="C43" t="str">
        <x:v>Australia</x:v>
      </x:c>
      <x:c r="D43" t="str">
        <x:v>QS only</x:v>
      </x:c>
      <x:c r="E43" s="32" t="str">
        <x:v>Master of Environmental Management</x:v>
      </x:c>
      <x:c r="F43" s="31" t="str">
        <x:v>45</x:v>
      </x:c>
      <x:c r="G43" s="31" t="n">
        <x:f>19</x:f>
        <x:v>19</x:v>
      </x:c>
      <x:c r="H43" s="31" t="str">
        <x:v>19</x:v>
      </x:c>
      <x:c r="I43" s="31" t="str">
        <x:v>20</x:v>
      </x:c>
      <x:c r="J43" s="31" t="str">
        <x:v>19</x:v>
      </x:c>
      <x:c r="K43" s="31" t="str">
        <x:v>70</x:v>
      </x:c>
      <x:c r="L43" s="31" t="n">
        <x:f>71</x:f>
        <x:v>71</x:v>
      </x:c>
      <x:c r="M43" s="31" t="str">
        <x:v>84</x:v>
      </x:c>
      <x:c r="N43" s="31" t="str">
        <x:v>83</x:v>
      </x:c>
      <x:c r="O43" s="31" t="str">
        <x:v>79</x:v>
      </x:c>
      <x:c r="P43" s="35" t="str">
        <x:v>https://www.topuniversities.com/universities/university-new-south-wales-unsw-sydney</x:v>
      </x:c>
      <x:c r="Q43" s="35" t="str">
        <x:v>https://www.timeshighereducation.com/world-university-rankings/unsw-sydney</x:v>
      </x:c>
      <x:c r="R43" s="35" t="str">
        <x:v>https://www.unsw.edu.au/study/postgraduate/master-of-environmental-management</x:v>
      </x:c>
    </x:row>
    <x:row r="44">
      <x:c r="A44" s="31" t="n">
        <x:v>40</x:v>
      </x:c>
      <x:c r="B44" t="str">
        <x:v>The University of Sydney</x:v>
      </x:c>
      <x:c r="C44" t="str">
        <x:v>Australia</x:v>
      </x:c>
      <x:c r="D44" t="str">
        <x:v>QS only</x:v>
      </x:c>
      <x:c r="E44" s="32" t="str">
        <x:v>Master of Sustainability</x:v>
      </x:c>
      <x:c r="F44" s="31" t="str">
        <x:v>41</x:v>
      </x:c>
      <x:c r="G44" s="31" t="n">
        <x:f>19</x:f>
        <x:v>19</x:v>
      </x:c>
      <x:c r="H44" s="31" t="str">
        <x:v>18</x:v>
      </x:c>
      <x:c r="I44" s="31" t="n">
        <x:f>25</x:f>
        <x:v>25</x:v>
      </x:c>
      <x:c r="J44" s="31" t="str">
        <x:v>28</x:v>
      </x:c>
      <x:c r="K44" s="31" t="n">
        <x:f>58</x:f>
        <x:v>58</x:v>
      </x:c>
      <x:c r="L44" s="31" t="n">
        <x:f>54</x:f>
        <x:v>54</x:v>
      </x:c>
      <x:c r="M44" s="31" t="str">
        <x:v>60</x:v>
      </x:c>
      <x:c r="N44" s="31" t="str">
        <x:v>61</x:v>
      </x:c>
      <x:c r="O44" s="31" t="n">
        <x:f>53</x:f>
        <x:v>53</x:v>
      </x:c>
      <x:c r="P44" s="35" t="str">
        <x:v>https://www.topuniversities.com/universities/university-sydney</x:v>
      </x:c>
      <x:c r="Q44" s="35" t="str">
        <x:v>https://www.timeshighereducation.com/world-university-rankings/university-sydney</x:v>
      </x:c>
      <x:c r="R44" s="35" t="str">
        <x:v>https://www.sydney.edu.au/courses/courses/pc/master-of-sustainability.html</x:v>
      </x:c>
    </x:row>
    <x:row r="45">
      <x:c r="A45" s="31" t="n">
        <x:v>41</x:v>
      </x:c>
      <x:c r="B45" t="str">
        <x:v>Australian National University (ANU)</x:v>
      </x:c>
      <x:c r="C45" t="str">
        <x:v>Australia</x:v>
      </x:c>
      <x:c r="D45" t="str">
        <x:v>QS only</x:v>
      </x:c>
      <x:c r="E45" s="32" t="str">
        <x:v>Master of Climate Change</x:v>
      </x:c>
      <x:c r="F45" s="31" t="str">
        <x:v>30</x:v>
      </x:c>
      <x:c r="G45" s="31" t="n">
        <x:f>34</x:f>
        <x:v>34</x:v>
      </x:c>
      <x:c r="H45" s="31" t="str">
        <x:v>30</x:v>
      </x:c>
      <x:c r="I45" s="31" t="n">
        <x:f>32</x:f>
        <x:v>32</x:v>
      </x:c>
      <x:c r="J45" s="31" t="str">
        <x:v>29</x:v>
      </x:c>
      <x:c r="K45" s="31" t="n">
        <x:f>54</x:f>
        <x:v>54</x:v>
      </x:c>
      <x:c r="L45" s="31" t="str">
        <x:v>62</x:v>
      </x:c>
      <x:c r="M45" s="31" t="str">
        <x:v>67</x:v>
      </x:c>
      <x:c r="N45" s="31" t="n">
        <x:f>73</x:f>
        <x:v>73</x:v>
      </x:c>
      <x:c r="O45" s="31" t="n">
        <x:f>73</x:f>
        <x:v>73</x:v>
      </x:c>
      <x:c r="P45" s="35" t="str">
        <x:v>https://www.topuniversities.com/universities/australian-national-university-anu</x:v>
      </x:c>
      <x:c r="Q45" s="35" t="str">
        <x:v>https://www.timeshighereducation.com/world-university-rankings/australian-national-university</x:v>
      </x:c>
      <x:c r="R45" s="35" t="str">
        <x:v>https://programsandcourses.anu.edu.au/program/MCLCH</x:v>
      </x:c>
    </x:row>
    <x:row r="46">
      <x:c r="A46" s="31" t="n">
        <x:v>42</x:v>
      </x:c>
      <x:c r="B46" t="str">
        <x:v>Monash University</x:v>
      </x:c>
      <x:c r="C46" t="str">
        <x:v>Australia</x:v>
      </x:c>
      <x:c r="D46" t="str">
        <x:v>QS only</x:v>
      </x:c>
      <x:c r="E46" s="32" t="str">
        <x:v>Master of Environment and Sustainability</x:v>
      </x:c>
      <x:c r="F46" s="31" t="str">
        <x:v>57</x:v>
      </x:c>
      <x:c r="G46" s="31" t="str">
        <x:v>42</x:v>
      </x:c>
      <x:c r="H46" s="31" t="str">
        <x:v>37</x:v>
      </x:c>
      <x:c r="I46" s="31" t="n">
        <x:f>36</x:f>
        <x:v>36</x:v>
      </x:c>
      <x:c r="J46" s="31" t="str">
        <x:v>31</x:v>
      </x:c>
      <x:c r="K46" s="31" t="str">
        <x:v>57</x:v>
      </x:c>
      <x:c r="L46" s="31" t="str">
        <x:v>44</x:v>
      </x:c>
      <x:c r="M46" s="31" t="str">
        <x:v>54</x:v>
      </x:c>
      <x:c r="N46" s="31" t="n">
        <x:f>58</x:f>
        <x:v>58</x:v>
      </x:c>
      <x:c r="O46" s="31" t="n">
        <x:f>58</x:f>
        <x:v>58</x:v>
      </x:c>
      <x:c r="P46" s="35" t="str">
        <x:v>https://www.topuniversities.com/universities/monash-university</x:v>
      </x:c>
      <x:c r="Q46" s="35" t="str">
        <x:v>https://www.timeshighereducation.com/world-university-rankings/monash-university</x:v>
      </x:c>
      <x:c r="R46" s="35" t="str">
        <x:v>https://www.monash.edu/study/courses/find-a-course/environment-and-sustainability-s6002</x:v>
      </x:c>
    </x:row>
    <x:row r="47">
      <x:c r="A47" s="31" t="n">
        <x:v>43</x:v>
      </x:c>
      <x:c r="B47" t="str">
        <x:v>The Hong Kong University of Science and Technology</x:v>
      </x:c>
      <x:c r="C47" t="str">
        <x:v>Hong Kong SAR</x:v>
      </x:c>
      <x:c r="D47" t="str">
        <x:v>QS only</x:v>
      </x:c>
      <x:c r="E47" s="32" t="str">
        <x:v>MSc in Environmental Engineering and Management</x:v>
      </x:c>
      <x:c r="F47" s="31" t="str">
        <x:v>40</x:v>
      </x:c>
      <x:c r="G47" s="31" t="str">
        <x:v>60</x:v>
      </x:c>
      <x:c r="H47" s="31" t="n">
        <x:f>47</x:f>
        <x:v>47</x:v>
      </x:c>
      <x:c r="I47" s="31" t="str">
        <x:v>44</x:v>
      </x:c>
      <x:c r="J47" s="31" t="str">
        <x:v>33</x:v>
      </x:c>
      <x:c r="K47" s="31" t="str">
        <x:v>66</x:v>
      </x:c>
      <x:c r="L47" s="31" t="str">
        <x:v>58</x:v>
      </x:c>
      <x:c r="M47" s="31" t="n">
        <x:f>64</x:f>
        <x:v>64</x:v>
      </x:c>
      <x:c r="N47" s="31" t="str">
        <x:v>66</x:v>
      </x:c>
      <x:c r="O47" s="31" t="n">
        <x:f>58</x:f>
        <x:v>58</x:v>
      </x:c>
      <x:c r="P47" s="35" t="str">
        <x:v>https://www.topuniversities.com/universities/hong-kong-university-science-technology</x:v>
      </x:c>
      <x:c r="Q47" s="35" t="str">
        <x:v>https://www.timeshighereducation.com/world-university-rankings/hong-kong-university-science-and-technology</x:v>
      </x:c>
      <x:c r="R47" s="35" t="str">
        <x:v>https://cee.hkust.edu.hk/msc-environmental-engineering-and-management</x:v>
      </x:c>
    </x:row>
    <x:row r="48">
      <x:c r="A48" s="31" t="n">
        <x:v>44</x:v>
      </x:c>
      <x:c r="B48" t="str">
        <x:v>Seoul National University</x:v>
      </x:c>
      <x:c r="C48" t="str">
        <x:v>South Korea</x:v>
      </x:c>
      <x:c r="D48" t="str">
        <x:v>QS only</x:v>
      </x:c>
      <x:c r="E48" s="32" t="str">
        <x:v>Graduate School of Environmental Studies - Environmental Management</x:v>
      </x:c>
      <x:c r="F48" s="31" t="str">
        <x:v>29</x:v>
      </x:c>
      <x:c r="G48" s="31" t="str">
        <x:v>41</x:v>
      </x:c>
      <x:c r="H48" s="31" t="str">
        <x:v>31</x:v>
      </x:c>
      <x:c r="I48" s="31" t="n">
        <x:f>38</x:f>
        <x:v>38</x:v>
      </x:c>
      <x:c r="J48" s="31" t="str">
        <x:v>38</x:v>
      </x:c>
      <x:c r="K48" s="31" t="n">
        <x:f>54</x:f>
        <x:v>54</x:v>
      </x:c>
      <x:c r="L48" s="31" t="str">
        <x:v>56</x:v>
      </x:c>
      <x:c r="M48" s="31" t="str">
        <x:v>62</x:v>
      </x:c>
      <x:c r="N48" s="31" t="n">
        <x:f>62</x:f>
        <x:v>62</x:v>
      </x:c>
      <x:c r="O48" s="31" t="n">
        <x:f>58</x:f>
        <x:v>58</x:v>
      </x:c>
      <x:c r="P48" s="35" t="str">
        <x:v>https://www.topuniversities.com/universities/seoul-national-university</x:v>
      </x:c>
      <x:c r="Q48" s="35" t="str">
        <x:v>https://www.timeshighereducation.com/world-university-rankings/seoul-national-university</x:v>
      </x:c>
      <x:c r="R48" s="35" t="str">
        <x:v>https://gses.snu.ac.kr/</x:v>
      </x:c>
    </x:row>
    <x:row r="49">
      <x:c r="A49" s="31" t="n">
        <x:v>45</x:v>
      </x:c>
      <x:c r="B49" t="str">
        <x:v>The University of Manchester</x:v>
      </x:c>
      <x:c r="C49" t="str">
        <x:v>United Kingdom</x:v>
      </x:c>
      <x:c r="D49" t="str">
        <x:v>QS only</x:v>
      </x:c>
      <x:c r="E49" s="32" t="str">
        <x:v>MSc Environmental Governance</x:v>
      </x:c>
      <x:c r="F49" s="31" t="str">
        <x:v>28</x:v>
      </x:c>
      <x:c r="G49" s="31" t="str">
        <x:v>32</x:v>
      </x:c>
      <x:c r="H49" s="31" t="n">
        <x:f>34</x:f>
        <x:v>34</x:v>
      </x:c>
      <x:c r="I49" s="31" t="str">
        <x:v>35</x:v>
      </x:c>
      <x:c r="J49" s="31" t="n">
        <x:f>40</x:f>
        <x:v>40</x:v>
      </x:c>
      <x:c r="K49" s="31" t="str">
        <x:v>50</x:v>
      </x:c>
      <x:c r="L49" s="31" t="n">
        <x:f>54</x:f>
        <x:v>54</x:v>
      </x:c>
      <x:c r="M49" s="31" t="str">
        <x:v>51</x:v>
      </x:c>
      <x:c r="N49" s="31" t="n">
        <x:f>53</x:f>
        <x:v>53</x:v>
      </x:c>
      <x:c r="O49" s="31" t="str">
        <x:v>56</x:v>
      </x:c>
      <x:c r="P49" s="35" t="str">
        <x:v>https://www.topuniversities.com/universities/university-manchester</x:v>
      </x:c>
      <x:c r="Q49" s="35" t="str">
        <x:v>https://www.timeshighereducation.com/world-university-rankings/university-manchester</x:v>
      </x:c>
      <x:c r="R49" s="35" t="str">
        <x:v>https://www.manchester.ac.uk/study/masters/courses/list/10380/msc-environmental-governance/</x:v>
      </x:c>
    </x:row>
    <x:row r="50">
      <x:c r="A50" s="31" t="n">
        <x:v>46</x:v>
      </x:c>
      <x:c r="B50" t="str">
        <x:v>The University of Queensland</x:v>
      </x:c>
      <x:c r="C50" t="str">
        <x:v>Australia</x:v>
      </x:c>
      <x:c r="D50" t="str">
        <x:v>QS only</x:v>
      </x:c>
      <x:c r="E50" s="32" t="str">
        <x:v>Master of Environmental Management</x:v>
      </x:c>
      <x:c r="F50" s="31" t="n">
        <x:f>50</x:f>
        <x:v>50</x:v>
      </x:c>
      <x:c r="G50" s="31" t="str">
        <x:v>43</x:v>
      </x:c>
      <x:c r="H50" s="31" t="n">
        <x:f>40</x:f>
        <x:v>40</x:v>
      </x:c>
      <x:c r="I50" s="31" t="n">
        <x:f>42</x:f>
        <x:v>42</x:v>
      </x:c>
      <x:c r="J50" s="31" t="n">
        <x:f>40</x:f>
        <x:v>40</x:v>
      </x:c>
      <x:c r="K50" s="31" t="n">
        <x:f>54</x:f>
        <x:v>54</x:v>
      </x:c>
      <x:c r="L50" s="31" t="str">
        <x:v>53</x:v>
      </x:c>
      <x:c r="M50" s="31" t="str">
        <x:v>70</x:v>
      </x:c>
      <x:c r="N50" s="31" t="str">
        <x:v>77</x:v>
      </x:c>
      <x:c r="O50" s="31" t="n">
        <x:f>80</x:f>
        <x:v>80</x:v>
      </x:c>
      <x:c r="P50" s="35" t="str">
        <x:v>https://www.topuniversities.com/universities/university-queensland</x:v>
      </x:c>
      <x:c r="Q50" s="35" t="str">
        <x:v>https://www.timeshighereducation.com/world-university-rankings/university-queensland</x:v>
      </x:c>
      <x:c r="R50" s="35" t="str">
        <x:v>https://study.uq.edu.au/study-options/programs/master-environmental-management-5609</x:v>
      </x:c>
    </x:row>
    <x:row r="51">
      <x:c r="A51" s="31" t="n">
        <x:v>47</x:v>
      </x:c>
      <x:c r="B51" t="str">
        <x:v>Yonsei University</x:v>
      </x:c>
      <x:c r="C51" t="str">
        <x:v>South Korea</x:v>
      </x:c>
      <x:c r="D51" t="str">
        <x:v>QS only</x:v>
      </x:c>
      <x:c r="E51" s="32" t="str">
        <x:v>Global Sustainable Development Cooperation major</x:v>
      </x:c>
      <x:c r="F51" s="31" t="str">
        <x:v>73</x:v>
      </x:c>
      <x:c r="G51" s="31" t="n">
        <x:f>76</x:f>
        <x:v>76</x:v>
      </x:c>
      <x:c r="H51" s="31" t="str">
        <x:v>56</x:v>
      </x:c>
      <x:c r="I51" s="31" t="str">
        <x:v>50</x:v>
      </x:c>
      <x:c r="J51" s="31" t="str">
        <x:v>42</x:v>
      </x:c>
      <x:c r="K51" s="31" t="n">
        <x:f>151</x:f>
        <x:v>151</x:v>
      </x:c>
      <x:c r="L51" s="31" t="str">
        <x:v>78</x:v>
      </x:c>
      <x:c r="M51" s="31" t="str">
        <x:v>76</x:v>
      </x:c>
      <x:c r="N51" s="31" t="n">
        <x:f>102</x:f>
        <x:v>102</x:v>
      </x:c>
      <x:c r="O51" s="31" t="str">
        <x:v>86</x:v>
      </x:c>
      <x:c r="P51" s="35" t="str">
        <x:v>https://www.topuniversities.com/universities/yonsei-university</x:v>
      </x:c>
      <x:c r="Q51" s="35" t="str">
        <x:v>https://www.timeshighereducation.com/world-university-rankings/yonsei-university-seoul-campus</x:v>
      </x:c>
      <x:c r="R51" s="35" t="str">
        <x:v>https://gsis.yonsei.ac.kr/gsis/academics/gsdc.do</x:v>
      </x:c>
    </x:row>
    <x:row r="52">
      <x:c r="A52" s="31" t="n">
        <x:v>48</x:v>
      </x:c>
      <x:c r="B52" t="str">
        <x:v>Institut Polytechnique de Paris</x:v>
      </x:c>
      <x:c r="C52" t="str">
        <x:v>France</x:v>
      </x:c>
      <x:c r="D52" t="str">
        <x:v>QS only</x:v>
      </x:c>
      <x:c r="E52" s="32" t="str">
        <x:v>MSc&amp;T Energy Environment: Science Technology and Management</x:v>
      </x:c>
      <x:c r="F52" s="31" t="str">
        <x:v>48</x:v>
      </x:c>
      <x:c r="G52" s="31" t="n">
        <x:f>38</x:f>
        <x:v>38</x:v>
      </x:c>
      <x:c r="H52" s="31" t="str">
        <x:v>46</x:v>
      </x:c>
      <x:c r="I52" s="31" t="str">
        <x:v>41</x:v>
      </x:c>
      <x:c r="J52" s="31" t="n">
        <x:f>43</x:f>
        <x:v>43</x:v>
      </x:c>
      <x:c r="K52" s="31" t="str">
        <x:v>91</x:v>
      </x:c>
      <x:c r="L52" s="31" t="n">
        <x:f>95</x:f>
        <x:v>95</x:v>
      </x:c>
      <x:c r="M52" s="31" t="str">
        <x:v>71</x:v>
      </x:c>
      <x:c r="N52" s="31" t="str">
        <x:v>71</x:v>
      </x:c>
      <x:c r="O52" s="31" t="n">
        <x:f>68</x:f>
        <x:v>68</x:v>
      </x:c>
      <x:c r="P52" s="35" t="str">
        <x:v>https://www.topuniversities.com/universities/institut-polytechnique-de-paris</x:v>
      </x:c>
      <x:c r="Q52" s="35" t="str">
        <x:v>https://www.timeshighereducation.com/world-university-rankings/institut-polytechnique-de-paris</x:v>
      </x:c>
      <x:c r="R52" s="35" t="str">
        <x:v>https://www.ip-paris.fr/en/education/masters/msc-t-programs/energy-environment-science-technology-and-management</x:v>
      </x:c>
    </x:row>
    <x:row r="53">
      <x:c r="A53" s="31" t="n">
        <x:v>49</x:v>
      </x:c>
      <x:c r="B53" t="str">
        <x:v>Delft University of Technology</x:v>
      </x:c>
      <x:c r="C53" t="str">
        <x:v>Netherlands</x:v>
      </x:c>
      <x:c r="D53" t="str">
        <x:v>QS only</x:v>
      </x:c>
      <x:c r="E53" s="32" t="str">
        <x:v>MSc Industrial Ecology</x:v>
      </x:c>
      <x:c r="F53" s="31" t="n">
        <x:f>61</x:f>
        <x:v>61</x:v>
      </x:c>
      <x:c r="G53" s="31" t="n">
        <x:f>47</x:f>
        <x:v>47</x:v>
      </x:c>
      <x:c r="H53" s="31" t="str">
        <x:v>49</x:v>
      </x:c>
      <x:c r="I53" s="31" t="n">
        <x:f>47</x:f>
        <x:v>47</x:v>
      </x:c>
      <x:c r="J53" s="31" t="str">
        <x:v>48</x:v>
      </x:c>
      <x:c r="K53" s="31" t="n">
        <x:f>75</x:f>
        <x:v>75</x:v>
      </x:c>
      <x:c r="L53" s="31" t="str">
        <x:v>70</x:v>
      </x:c>
      <x:c r="M53" s="31" t="str">
        <x:v>48</x:v>
      </x:c>
      <x:c r="N53" s="31" t="n">
        <x:f>56</x:f>
        <x:v>56</x:v>
      </x:c>
      <x:c r="O53" s="31" t="str">
        <x:v>57</x:v>
      </x:c>
      <x:c r="P53" s="35" t="str">
        <x:v>https://www.topuniversities.com/universities/delft-university-technology</x:v>
      </x:c>
      <x:c r="Q53" s="35" t="str">
        <x:v>https://www.timeshighereducation.com/world-university-rankings/delft-university-technology</x:v>
      </x:c>
      <x:c r="R53" s="35" t="str">
        <x:v>https://www.tudelft.nl/en/education/programmes/masters/industrial-ecology/msc-industrial-ecology</x:v>
      </x:c>
    </x:row>
    <x:row r="54">
      <x:c r="A54" s="31" t="n">
        <x:v>50</x:v>
      </x:c>
      <x:c r="B54" t="str">
        <x:v>The Hong Kong Polytechnic University</x:v>
      </x:c>
      <x:c r="C54" t="str">
        <x:v>Hong Kong SAR</x:v>
      </x:c>
      <x:c r="D54" t="str">
        <x:v>QS only</x:v>
      </x:c>
      <x:c r="E54" s="32" t="str">
        <x:v>MSc in Sustainable Urban Development</x:v>
      </x:c>
      <x:c r="F54" s="31" t="n">
        <x:f>65</x:f>
        <x:v>65</x:v>
      </x:c>
      <x:c r="G54" s="31" t="n">
        <x:f>65</x:f>
        <x:v>65</x:v>
      </x:c>
      <x:c r="H54" s="31" t="str">
        <x:v>57</x:v>
      </x:c>
      <x:c r="I54" s="31" t="str">
        <x:v>54</x:v>
      </x:c>
      <x:c r="J54" s="31" t="str">
        <x:v>50</x:v>
      </x:c>
      <x:c r="K54" s="31" t="str">
        <x:v>91</x:v>
      </x:c>
      <x:c r="L54" s="31" t="str">
        <x:v>79</x:v>
      </x:c>
      <x:c r="M54" s="31" t="n">
        <x:f>87</x:f>
        <x:v>87</x:v>
      </x:c>
      <x:c r="N54" s="31" t="n">
        <x:f>84</x:f>
        <x:v>84</x:v>
      </x:c>
      <x:c r="O54" s="31" t="str">
        <x:v>80</x:v>
      </x:c>
      <x:c r="P54" s="35" t="str">
        <x:v>https://www.topuniversities.com/universities/hong-kong-polytechnic-university</x:v>
      </x:c>
      <x:c r="Q54" s="35" t="str">
        <x:v>https://www.timeshighereducation.com/world-university-rankings/hong-kong-polytechnic-university</x:v>
      </x:c>
      <x:c r="R54" s="35" t="str">
        <x:v>https://www.polyu.edu.hk/bre/study/taught-postgraduate-programmes/msc-in-sustainable-urban-development/</x:v>
      </x:c>
    </x:row>
    <x:row r="55">
      <x:c r="A55" s="31" t="n">
        <x:v>51</x:v>
      </x:c>
      <x:c r="B55" t="str">
        <x:v>University of Michigan-Ann Arbor</x:v>
      </x:c>
      <x:c r="C55" t="str">
        <x:v>United States</x:v>
      </x:c>
      <x:c r="D55" t="str">
        <x:v>THE only</x:v>
      </x:c>
      <x:c r="E55" s="32" t="str">
        <x:v>MS in Sustainable Systems</x:v>
      </x:c>
      <x:c r="F55" s="31" t="str">
        <x:v>25</x:v>
      </x:c>
      <x:c r="G55" s="31" t="str">
        <x:v>33</x:v>
      </x:c>
      <x:c r="H55" s="31" t="str">
        <x:v>44</x:v>
      </x:c>
      <x:c r="I55" s="31" t="str">
        <x:v>45</x:v>
      </x:c>
      <x:c r="J55" s="31" t="str">
        <x:v>51</x:v>
      </x:c>
      <x:c r="K55" s="31" t="n">
        <x:f>24</x:f>
        <x:v>24</x:v>
      </x:c>
      <x:c r="L55" s="31" t="str">
        <x:v>23</x:v>
      </x:c>
      <x:c r="M55" s="31" t="str">
        <x:v>23</x:v>
      </x:c>
      <x:c r="N55" s="31" t="n">
        <x:f>22</x:f>
        <x:v>22</x:v>
      </x:c>
      <x:c r="O55" s="31" t="str">
        <x:v>23</x:v>
      </x:c>
      <x:c r="P55" s="35" t="str">
        <x:v>https://www.topuniversities.com/universities/university-michigan-ann-arbor</x:v>
      </x:c>
      <x:c r="Q55" s="35" t="str">
        <x:v>https://www.timeshighereducation.com/world-university-rankings/university-michigan-ann-arbor</x:v>
      </x:c>
      <x:c r="R55" s="35" t="str">
        <x:v>https://seas.umich.edu/academics/master-science/sustainable-systems</x:v>
      </x:c>
    </x:row>
    <x:row r="56">
      <x:c r="A56" s="31" t="n">
        <x:v>52</x:v>
      </x:c>
      <x:c r="B56" t="str">
        <x:v>Carnegie Mellon University</x:v>
      </x:c>
      <x:c r="C56" t="str">
        <x:v>United States</x:v>
      </x:c>
      <x:c r="D56" t="str">
        <x:v>THE only</x:v>
      </x:c>
      <x:c r="E56" s="32" t="str">
        <x:v>MS in Sustainable Design</x:v>
      </x:c>
      <x:c r="F56" s="31" t="str">
        <x:v>52</x:v>
      </x:c>
      <x:c r="G56" s="31" t="str">
        <x:v>52</x:v>
      </x:c>
      <x:c r="H56" s="31" t="str">
        <x:v>58</x:v>
      </x:c>
      <x:c r="I56" s="31" t="str">
        <x:v>52</x:v>
      </x:c>
      <x:c r="J56" s="31" t="str">
        <x:v>55</x:v>
      </x:c>
      <x:c r="K56" s="31" t="str">
        <x:v>28</x:v>
      </x:c>
      <x:c r="L56" s="31" t="str">
        <x:v>28</x:v>
      </x:c>
      <x:c r="M56" s="31" t="str">
        <x:v>24</x:v>
      </x:c>
      <x:c r="N56" s="31" t="str">
        <x:v>24</x:v>
      </x:c>
      <x:c r="O56" s="31" t="str">
        <x:v>24</x:v>
      </x:c>
      <x:c r="P56" s="35" t="str">
        <x:v>https://www.topuniversities.com/universities/carnegie-mellon-university</x:v>
      </x:c>
      <x:c r="Q56" s="35" t="str">
        <x:v>https://www.timeshighereducation.com/world-university-rankings/carnegie-mellon-university</x:v>
      </x:c>
      <x:c r="R56" s="35" t="str">
        <x:v>https://soa.cmu.edu/ms-sustainable-design</x:v>
      </x:c>
    </x:row>
    <x:row r="57">
      <x:c r="A57" s="31" t="n">
        <x:v>53</x:v>
      </x:c>
      <x:c r="B57" t="str">
        <x:v>University of Washington</x:v>
      </x:c>
      <x:c r="C57" t="str">
        <x:v>United States</x:v>
      </x:c>
      <x:c r="D57" t="str">
        <x:v>THE only</x:v>
      </x:c>
      <x:c r="E57" s="32" t="str">
        <x:v>MPA Environmental Policy specialization / sustainability pathway</x:v>
      </x:c>
      <x:c r="F57" s="31" t="str">
        <x:v>80</x:v>
      </x:c>
      <x:c r="G57" s="31" t="str">
        <x:v>63</x:v>
      </x:c>
      <x:c r="H57" s="31" t="str">
        <x:v>76</x:v>
      </x:c>
      <x:c r="I57" s="31" t="str">
        <x:v>81</x:v>
      </x:c>
      <x:c r="J57" s="31" t="n">
        <x:f>92</x:f>
        <x:v>92</x:v>
      </x:c>
      <x:c r="K57" s="31" t="str">
        <x:v>29</x:v>
      </x:c>
      <x:c r="L57" s="31" t="n">
        <x:f>26</x:f>
        <x:v>26</x:v>
      </x:c>
      <x:c r="M57" s="31" t="str">
        <x:v>25</x:v>
      </x:c>
      <x:c r="N57" s="31" t="str">
        <x:v>25</x:v>
      </x:c>
      <x:c r="O57" s="31" t="str">
        <x:v>25</x:v>
      </x:c>
      <x:c r="P57" s="35" t="str">
        <x:v>https://www.topuniversities.com/universities/university-washington</x:v>
      </x:c>
      <x:c r="Q57" s="35" t="str">
        <x:v>https://www.timeshighereducation.com/world-university-rankings/university-washington</x:v>
      </x:c>
      <x:c r="R57" s="35" t="str">
        <x:v>https://evans.uw.edu/academic-programs/graduate-degrees/master-of-public-administration/</x:v>
      </x:c>
    </x:row>
    <x:row r="58">
      <x:c r="A58" s="31" t="n">
        <x:v>54</x:v>
      </x:c>
      <x:c r="B58" t="str">
        <x:v>Duke University</x:v>
      </x:c>
      <x:c r="C58" t="str">
        <x:v>United States</x:v>
      </x:c>
      <x:c r="D58" t="str">
        <x:v>THE only</x:v>
      </x:c>
      <x:c r="E58" s="32" t="str">
        <x:v>Master of Environmental Management</x:v>
      </x:c>
      <x:c r="F58" s="31" t="n">
        <x:f>50</x:f>
        <x:v>50</x:v>
      </x:c>
      <x:c r="G58" s="31" t="str">
        <x:v>57</x:v>
      </x:c>
      <x:c r="H58" s="31" t="str">
        <x:v>61</x:v>
      </x:c>
      <x:c r="I58" s="31" t="str">
        <x:v>62</x:v>
      </x:c>
      <x:c r="J58" s="31" t="str">
        <x:v>70</x:v>
      </x:c>
      <x:c r="K58" s="31" t="str">
        <x:v>23</x:v>
      </x:c>
      <x:c r="L58" s="31" t="str">
        <x:v>25</x:v>
      </x:c>
      <x:c r="M58" s="31" t="str">
        <x:v>26</x:v>
      </x:c>
      <x:c r="N58" s="31" t="str">
        <x:v>27</x:v>
      </x:c>
      <x:c r="O58" s="31" t="str">
        <x:v>28</x:v>
      </x:c>
      <x:c r="P58" s="35" t="str">
        <x:v>https://www.topuniversities.com/universities/duke-university</x:v>
      </x:c>
      <x:c r="Q58" s="35" t="str">
        <x:v>https://www.timeshighereducation.com/world-university-rankings/duke-university</x:v>
      </x:c>
      <x:c r="R58" s="35" t="str">
        <x:v>https://nicholas.duke.edu/academics/masters-programs/master-environmental-management</x:v>
      </x:c>
    </x:row>
    <x:row r="59">
      <x:c r="A59" s="31" t="n">
        <x:v>55</x:v>
      </x:c>
      <x:c r="B59" t="str">
        <x:v>New York University</x:v>
      </x:c>
      <x:c r="C59" t="str">
        <x:v>United States</x:v>
      </x:c>
      <x:c r="D59" t="str">
        <x:v>THE only</x:v>
      </x:c>
      <x:c r="E59" s="32" t="str">
        <x:v>MS in Environmental Policy and Sustainability Management</x:v>
      </x:c>
      <x:c r="F59" s="31" t="str">
        <x:v>39</x:v>
      </x:c>
      <x:c r="G59" s="31" t="n">
        <x:f>38</x:f>
        <x:v>38</x:v>
      </x:c>
      <x:c r="H59" s="31" t="str">
        <x:v>43</x:v>
      </x:c>
      <x:c r="I59" s="31" t="str">
        <x:v>55</x:v>
      </x:c>
      <x:c r="J59" s="31" t="str">
        <x:v>58</x:v>
      </x:c>
      <x:c r="K59" s="31" t="str">
        <x:v>26</x:v>
      </x:c>
      <x:c r="L59" s="31" t="str">
        <x:v>24</x:v>
      </x:c>
      <x:c r="M59" s="31" t="str">
        <x:v>27</x:v>
      </x:c>
      <x:c r="N59" s="31" t="str">
        <x:v>33</x:v>
      </x:c>
      <x:c r="O59" s="31" t="n">
        <x:f>31</x:f>
        <x:v>31</x:v>
      </x:c>
      <x:c r="P59" s="35" t="str">
        <x:v>https://www.topuniversities.com/universities/new-york-university-nyu</x:v>
      </x:c>
      <x:c r="Q59" s="35" t="str">
        <x:v>https://www.timeshighereducation.com/world-university-rankings/new-york-university</x:v>
      </x:c>
      <x:c r="R59" s="35" t="str">
        <x:v>https://www.sps.nyu.edu/homepage/academics/masters-degrees/ms-in-environmental-policy-and-sustainability-management.html</x:v>
      </x:c>
    </x:row>
    <x:row r="60">
      <x:c r="A60" s="31" t="n">
        <x:v>56</x:v>
      </x:c>
      <x:c r="B60" t="str">
        <x:v>LMU Munich</x:v>
      </x:c>
      <x:c r="C60" t="str">
        <x:v>Germany</x:v>
      </x:c>
      <x:c r="D60" t="str">
        <x:v>THE only</x:v>
      </x:c>
      <x:c r="E60" s="32" t="str">
        <x:v>MSc Environment and Society</x:v>
      </x:c>
      <x:c r="F60" s="31" t="str">
        <x:v>59</x:v>
      </x:c>
      <x:c r="G60" s="31" t="str">
        <x:v>54</x:v>
      </x:c>
      <x:c r="H60" s="31" t="str">
        <x:v>59</x:v>
      </x:c>
      <x:c r="I60" s="31" t="n">
        <x:f>58</x:f>
        <x:v>58</x:v>
      </x:c>
      <x:c r="J60" s="31" t="str">
        <x:v>61</x:v>
      </x:c>
      <x:c r="K60" s="31" t="str">
        <x:v>32</x:v>
      </x:c>
      <x:c r="L60" s="31" t="str">
        <x:v>33</x:v>
      </x:c>
      <x:c r="M60" s="31" t="n">
        <x:f>38</x:f>
        <x:v>38</x:v>
      </x:c>
      <x:c r="N60" s="31" t="str">
        <x:v>38</x:v>
      </x:c>
      <x:c r="O60" s="31" t="str">
        <x:v>34</x:v>
      </x:c>
      <x:c r="P60" s="35" t="str">
        <x:v>https://www.topuniversities.com/universities/ludwig-maximilians-universitat-munchen</x:v>
      </x:c>
      <x:c r="Q60" s="35" t="str">
        <x:v>https://www.timeshighereducation.com/world-university-rankings/lmu-munich</x:v>
      </x:c>
      <x:c r="R60" s="35" t="str">
        <x:v>https://www.lmu.de/en/study/all-degrees-and-programs/programs-for-international-visiting-students/environment-and-society-masters-program/</x:v>
      </x:c>
    </x:row>
    <x:row r="61">
      <x:c r="A61" s="31" t="n">
        <x:v>57</x:v>
      </x:c>
      <x:c r="B61" t="str">
        <x:v>Georgia Institute of Technology</x:v>
      </x:c>
      <x:c r="C61" t="str">
        <x:v>United States</x:v>
      </x:c>
      <x:c r="D61" t="str">
        <x:v>THE only</x:v>
      </x:c>
      <x:c r="E61" s="32" t="str">
        <x:v>Master of Sustainable Energy and Environmental Management</x:v>
      </x:c>
      <x:c r="F61" s="31" t="str">
        <x:v>88</x:v>
      </x:c>
      <x:c r="G61" s="31" t="str">
        <x:v>97</x:v>
      </x:c>
      <x:c r="H61" s="31" t="str">
        <x:v>114</x:v>
      </x:c>
      <x:c r="I61" s="31" t="n">
        <x:f>123</x:f>
        <x:v>123</x:v>
      </x:c>
      <x:c r="J61" s="31" t="n">
        <x:f>142</x:f>
        <x:v>142</x:v>
      </x:c>
      <x:c r="K61" s="31" t="str">
        <x:v>45</x:v>
      </x:c>
      <x:c r="L61" s="31" t="str">
        <x:v>38</x:v>
      </x:c>
      <x:c r="M61" s="31" t="str">
        <x:v>36</x:v>
      </x:c>
      <x:c r="N61" s="31" t="str">
        <x:v>40</x:v>
      </x:c>
      <x:c r="O61" s="31" t="n">
        <x:f>41</x:f>
        <x:v>41</x:v>
      </x:c>
      <x:c r="P61" s="35" t="str">
        <x:v>https://www.topuniversities.com/universities/georgia-institute-technology</x:v>
      </x:c>
      <x:c r="Q61" s="35" t="str">
        <x:v>https://www.timeshighereducation.com/world-university-rankings/georgia-institute-technology</x:v>
      </x:c>
      <x:c r="R61" s="35" t="str">
        <x:v>https://spp.gatech.edu/master-sustainable-energy-environmental-management</x:v>
      </x:c>
    </x:row>
    <x:row r="62">
      <x:c r="A62" s="31" t="n">
        <x:v>58</x:v>
      </x:c>
      <x:c r="B62" t="str">
        <x:v>University of Illinois at Urbana-Champaign</x:v>
      </x:c>
      <x:c r="C62" t="str">
        <x:v>United States</x:v>
      </x:c>
      <x:c r="D62" t="str">
        <x:v>THE only</x:v>
      </x:c>
      <x:c r="E62" s="32" t="str">
        <x:v>MS in Sustainable Design</x:v>
      </x:c>
      <x:c r="F62" s="31" t="str">
        <x:v>85</x:v>
      </x:c>
      <x:c r="G62" s="31" t="str">
        <x:v>64</x:v>
      </x:c>
      <x:c r="H62" s="31" t="n">
        <x:f>69</x:f>
        <x:v>69</x:v>
      </x:c>
      <x:c r="I62" s="31" t="n">
        <x:f>70</x:f>
        <x:v>70</x:v>
      </x:c>
      <x:c r="J62" s="31" t="str">
        <x:v>74</x:v>
      </x:c>
      <x:c r="K62" s="31" t="str">
        <x:v>48</x:v>
      </x:c>
      <x:c r="L62" s="31" t="str">
        <x:v>48</x:v>
      </x:c>
      <x:c r="M62" s="31" t="str">
        <x:v>42</x:v>
      </x:c>
      <x:c r="N62" s="31" t="str">
        <x:v>46</x:v>
      </x:c>
      <x:c r="O62" s="31" t="n">
        <x:f>41</x:f>
        <x:v>41</x:v>
      </x:c>
      <x:c r="P62" s="35" t="str">
        <x:v>https://www.topuniversities.com/universities/university-illinois-urbana-champaign</x:v>
      </x:c>
      <x:c r="Q62" s="35" t="str">
        <x:v>https://www.timeshighereducation.com/world-university-rankings/university-illinois-urbana-champaign</x:v>
      </x:c>
      <x:c r="R62" s="35" t="str">
        <x:v>https://arch.illinois.edu/programs-applying/graduate-degrees/ms-sustainable-design/</x:v>
      </x:c>
    </x:row>
    <x:row r="63">
      <x:c r="A63" s="31" t="n">
        <x:v>59</x:v>
      </x:c>
      <x:c r="B63" t="str">
        <x:v>KU Leuven</x:v>
      </x:c>
      <x:c r="C63" t="str">
        <x:v>Belgium</x:v>
      </x:c>
      <x:c r="D63" t="str">
        <x:v>THE only</x:v>
      </x:c>
      <x:c r="E63" s="32" t="str">
        <x:v>Master of Sustainable Development</x:v>
      </x:c>
      <x:c r="F63" s="31" t="str">
        <x:v>76</x:v>
      </x:c>
      <x:c r="G63" s="31" t="str">
        <x:v>61</x:v>
      </x:c>
      <x:c r="H63" s="31" t="n">
        <x:f>63</x:f>
        <x:v>63</x:v>
      </x:c>
      <x:c r="I63" s="31" t="str">
        <x:v>60</x:v>
      </x:c>
      <x:c r="J63" s="31" t="str">
        <x:v>59</x:v>
      </x:c>
      <x:c r="K63" s="31" t="n">
        <x:f>42</x:f>
        <x:v>42</x:v>
      </x:c>
      <x:c r="L63" s="31" t="str">
        <x:v>42</x:v>
      </x:c>
      <x:c r="M63" s="31" t="str">
        <x:v>45</x:v>
      </x:c>
      <x:c r="N63" s="31" t="str">
        <x:v>43</x:v>
      </x:c>
      <x:c r="O63" s="31" t="str">
        <x:v>46</x:v>
      </x:c>
      <x:c r="P63" s="35" t="str">
        <x:v>https://www.topuniversities.com/universities/ku-leuven</x:v>
      </x:c>
      <x:c r="Q63" s="35" t="str">
        <x:v>https://www.timeshighereducation.com/world-university-rankings/ku-leuven</x:v>
      </x:c>
      <x:c r="R63" s="35" t="str">
        <x:v>https://www.kuleuven.be/programmes/master-sustainable-development</x:v>
      </x:c>
    </x:row>
    <x:row r="64">
      <x:c r="A64" s="31" t="n">
        <x:v>60</x:v>
      </x:c>
      <x:c r="B64" t="str">
        <x:v>University of California, San Diego</x:v>
      </x:c>
      <x:c r="C64" t="str">
        <x:v>United States</x:v>
      </x:c>
      <x:c r="D64" t="str">
        <x:v>THE only</x:v>
      </x:c>
      <x:c r="E64" s="32" t="str">
        <x:v>MAS in Climate Science and Policy</x:v>
      </x:c>
      <x:c r="F64" s="31" t="str">
        <x:v>53</x:v>
      </x:c>
      <x:c r="G64" s="31" t="str">
        <x:v>62</x:v>
      </x:c>
      <x:c r="H64" s="31" t="str">
        <x:v>72</x:v>
      </x:c>
      <x:c r="I64" s="31" t="str">
        <x:v>66</x:v>
      </x:c>
      <x:c r="J64" s="31" t="str">
        <x:v>81</x:v>
      </x:c>
      <x:c r="K64" s="31" t="str">
        <x:v>34</x:v>
      </x:c>
      <x:c r="L64" s="31" t="str">
        <x:v>32</x:v>
      </x:c>
      <x:c r="M64" s="31" t="str">
        <x:v>34</x:v>
      </x:c>
      <x:c r="N64" s="31" t="str">
        <x:v>34</x:v>
      </x:c>
      <x:c r="O64" s="31" t="str">
        <x:v>47</x:v>
      </x:c>
      <x:c r="P64" s="35" t="str">
        <x:v>https://www.topuniversities.com/universities/university-california-san-diego-ucsd</x:v>
      </x:c>
      <x:c r="Q64" s="35" t="str">
        <x:v>https://www.timeshighereducation.com/world-university-rankings/university-california-san-diego</x:v>
      </x:c>
      <x:c r="R64" s="35" t="str">
        <x:v>https://gps.ucsd.edu/academics/masters-programs/mas-climate-science-policy.html</x:v>
      </x:c>
    </x:row>
    <x:row r="65">
      <x:c r="A65" s="31" t="n">
        <x:v>61</x:v>
      </x:c>
      <x:c r="B65" t="str">
        <x:v>Universität Heidelberg</x:v>
      </x:c>
      <x:c r="C65" t="str">
        <x:v>Germany</x:v>
      </x:c>
      <x:c r="D65" t="str">
        <x:v>THE only</x:v>
      </x:c>
      <x:c r="E65" s="32" t="str">
        <x:v>MSc Governance of Risk and Resources</x:v>
      </x:c>
      <x:c r="F65" s="31" t="n">
        <x:f>65</x:f>
        <x:v>65</x:v>
      </x:c>
      <x:c r="G65" s="31" t="n">
        <x:f>87</x:f>
        <x:v>87</x:v>
      </x:c>
      <x:c r="H65" s="31" t="n">
        <x:f>84</x:f>
        <x:v>84</x:v>
      </x:c>
      <x:c r="I65" s="31" t="str">
        <x:v>80</x:v>
      </x:c>
      <x:c r="J65" s="31" t="str">
        <x:v>86</x:v>
      </x:c>
      <x:c r="K65" s="31" t="n">
        <x:f>42</x:f>
        <x:v>42</x:v>
      </x:c>
      <x:c r="L65" s="31" t="str">
        <x:v>43</x:v>
      </x:c>
      <x:c r="M65" s="31" t="str">
        <x:v>47</x:v>
      </x:c>
      <x:c r="N65" s="31" t="n">
        <x:f>47</x:f>
        <x:v>47</x:v>
      </x:c>
      <x:c r="O65" s="31" t="str">
        <x:v>49</x:v>
      </x:c>
      <x:c r="P65" s="35" t="str">
        <x:v>https://www.topuniversities.com/universities/universitat-heidelberg</x:v>
      </x:c>
      <x:c r="Q65" s="35" t="str">
        <x:v>https://www.timeshighereducation.com/world-university-rankings/universitat-heidelberg</x:v>
      </x:c>
      <x:c r="R65" s="35" t="str">
        <x:v>https://www.hce.uni-heidelberg.de/en/study-and-teaching/masters-programme-governance-of-risk-and-resources</x:v>
      </x:c>
    </x:row>
    <x:row r="66">
      <x:c r="A66" s="31" t="n">
        <x:v>62</x:v>
      </x:c>
      <x:c r="B66" t="str">
        <x:v>University of Texas at Austin</x:v>
      </x:c>
      <x:c r="C66" t="str">
        <x:v>United States</x:v>
      </x:c>
      <x:c r="D66" t="str">
        <x:v>THE only</x:v>
      </x:c>
      <x:c r="E66" s="32" t="str">
        <x:v>MS in Sustainable Design</x:v>
      </x:c>
      <x:c r="F66" s="31" t="str">
        <x:v>72</x:v>
      </x:c>
      <x:c r="G66" s="31" t="str">
        <x:v>58</x:v>
      </x:c>
      <x:c r="H66" s="31" t="str">
        <x:v>66</x:v>
      </x:c>
      <x:c r="I66" s="31" t="str">
        <x:v>68</x:v>
      </x:c>
      <x:c r="J66" s="31" t="str">
        <x:v>72</x:v>
      </x:c>
      <x:c r="K66" s="31" t="str">
        <x:v>47</x:v>
      </x:c>
      <x:c r="L66" s="31" t="str">
        <x:v>50</x:v>
      </x:c>
      <x:c r="M66" s="31" t="str">
        <x:v>52</x:v>
      </x:c>
      <x:c r="N66" s="31" t="n">
        <x:f>50</x:f>
        <x:v>50</x:v>
      </x:c>
      <x:c r="O66" s="31" t="str">
        <x:v>50</x:v>
      </x:c>
      <x:c r="P66" s="35" t="str">
        <x:v>https://www.topuniversities.com/universities/university-texas-austin</x:v>
      </x:c>
      <x:c r="Q66" s="35" t="str">
        <x:v>https://www.timeshighereducation.com/world-university-rankings/university-texas-austin</x:v>
      </x:c>
      <x:c r="R66" s="35" t="str">
        <x:v>https://soa.utexas.edu/programs/sustainable-design/ms-sustainable-design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2366cfdb1104f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44" hidden="0" customWidth="1"/>
    <x:col min="5" max="5" width="3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27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51" hidden="0" customWidth="1"/>
    <x:col min="18" max="18" width="48" hidden="0" customWidth="1"/>
  </x:cols>
  <x:sheetData>
    <x:row r="1" ht="28" customHeight="1">
      <x:c r="A1" s="3" t="str">
        <x:v>Program-Related Subject Ranking History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Subject-level proxy only: each program is mapped to its closest available QS and THE subject category for 2022-2026; it is not a direct individual program ranking.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28" t="str">
        <x:v>#</x:v>
      </x:c>
      <x:c r="B4" s="28" t="str">
        <x:v>Institution</x:v>
      </x:c>
      <x:c r="C4" s="28" t="str">
        <x:v>Country</x:v>
      </x:c>
      <x:c r="D4" s="28" t="str">
        <x:v>Selected program</x:v>
      </x:c>
      <x:c r="E4" s="29" t="str">
        <x:v>QS subject proxy</x:v>
      </x:c>
      <x:c r="F4" s="29" t="str">
        <x:v>QS 2022</x:v>
      </x:c>
      <x:c r="G4" s="29" t="str">
        <x:v>QS 2023</x:v>
      </x:c>
      <x:c r="H4" s="29" t="str">
        <x:v>QS 2024</x:v>
      </x:c>
      <x:c r="I4" s="29" t="str">
        <x:v>QS 2025</x:v>
      </x:c>
      <x:c r="J4" s="29" t="str">
        <x:v>QS 2026</x:v>
      </x:c>
      <x:c r="K4" s="30" t="str">
        <x:v>THE subject proxy</x:v>
      </x:c>
      <x:c r="L4" s="30" t="str">
        <x:v>THE 2022</x:v>
      </x:c>
      <x:c r="M4" s="30" t="str">
        <x:v>THE 2023</x:v>
      </x:c>
      <x:c r="N4" s="30" t="str">
        <x:v>THE 2024</x:v>
      </x:c>
      <x:c r="O4" s="30" t="str">
        <x:v>THE 2025</x:v>
      </x:c>
      <x:c r="P4" s="30" t="str">
        <x:v>THE 2026</x:v>
      </x:c>
      <x:c r="Q4" s="28" t="str">
        <x:v>Category rationale</x:v>
      </x:c>
      <x:c r="R4" s="28" t="str">
        <x:v>Program URL</x:v>
      </x:c>
    </x:row>
    <x:row r="5">
      <x:c r="A5" t="n">
        <x:v>1</x:v>
      </x:c>
      <x:c r="B5" t="str">
        <x:v>Massachusetts Institute of Technology (MIT)</x:v>
      </x:c>
      <x:c r="C5" t="str">
        <x:v>United States</x:v>
      </x:c>
      <x:c r="D5" s="32" t="str">
        <x:v>Master in City Planning - Environmental Policy and Planning focus</x:v>
      </x:c>
      <x:c r="E5" s="32" t="str">
        <x:v>Architecture &amp; Built Environment</x:v>
      </x:c>
      <x:c r="F5" s="36" t="str">
        <x:v>1</x:v>
      </x:c>
      <x:c r="G5" s="36" t="str">
        <x:v>2</x:v>
      </x:c>
      <x:c r="H5" s="36" t="str">
        <x:v>2</x:v>
      </x:c>
      <x:c r="I5" s="36" t="str">
        <x:v>2</x:v>
      </x:c>
      <x:c r="J5" s="36" t="str">
        <x:v>2</x:v>
      </x:c>
      <x:c r="K5" s="32" t="str">
        <x:v>Social Sciences</x:v>
      </x:c>
      <x:c r="L5" s="39" t="str">
        <x:v>2</x:v>
      </x:c>
      <x:c r="M5" s="39" t="str">
        <x:v>1</x:v>
      </x:c>
      <x:c r="N5" s="39" t="n">
        <x:f>1</x:f>
        <x:v>1</x:v>
      </x:c>
      <x:c r="O5" s="39" t="str">
        <x:v>1</x:v>
      </x:c>
      <x:c r="P5" s="39" t="str">
        <x:v>1</x:v>
      </x:c>
      <x:c r="Q5" s="32" t="str">
        <x:v>Program title emphasizes planning, design, urban development, or the built environment.</x:v>
      </x:c>
      <x:c r="R5" s="35" t="str">
        <x:v>https://dusp.mit.edu/masters/city-planning</x:v>
      </x:c>
    </x:row>
    <x:row r="6">
      <x:c r="A6" t="n">
        <x:v>2</x:v>
      </x:c>
      <x:c r="B6" t="str">
        <x:v>Imperial College London</x:v>
      </x:c>
      <x:c r="C6" t="str">
        <x:v>United Kingdom</x:v>
      </x:c>
      <x:c r="D6" s="32" t="str">
        <x:v>MSc Climate Change, Management &amp; Finance</x:v>
      </x:c>
      <x:c r="E6" s="32" t="str">
        <x:v>Business &amp; Management Studies</x:v>
      </x:c>
      <x:c r="F6" s="36" t="n">
        <x:f>25</x:f>
        <x:v>25</x:v>
      </x:c>
      <x:c r="G6" s="36" t="str">
        <x:v>28</x:v>
      </x:c>
      <x:c r="H6" s="36" t="str">
        <x:v>29</x:v>
      </x:c>
      <x:c r="I6" s="36" t="n">
        <x:f>37</x:f>
        <x:v>37</x:v>
      </x:c>
      <x:c r="J6" s="36" t="n">
        <x:f>22</x:f>
        <x:v>22</x:v>
      </x:c>
      <x:c r="K6" s="32" t="str">
        <x:v>Business and Economics</x:v>
      </x:c>
      <x:c r="L6" s="39" t="str">
        <x:v>NR</x:v>
      </x:c>
      <x:c r="M6" s="39" t="str">
        <x:v>NR</x:v>
      </x:c>
      <x:c r="N6" s="39" t="str">
        <x:v>NR</x:v>
      </x:c>
      <x:c r="O6" s="39" t="str">
        <x:v>NR</x:v>
      </x:c>
      <x:c r="P6" s="39" t="str">
        <x:v>NR</x:v>
      </x:c>
      <x:c r="Q6" s="32" t="str">
        <x:v>Program title emphasizes management, finance, enterprise, strategy, or business.</x:v>
      </x:c>
      <x:c r="R6" s="35" t="str">
        <x:v>https://www.imperial.ac.uk/business-school/masters/climate-change-management-finance/</x:v>
      </x:c>
    </x:row>
    <x:row r="7">
      <x:c r="A7" t="n">
        <x:v>3</x:v>
      </x:c>
      <x:c r="B7" t="str">
        <x:v>Stanford University</x:v>
      </x:c>
      <x:c r="C7" t="str">
        <x:v>United States</x:v>
      </x:c>
      <x:c r="D7" s="32" t="str">
        <x:v>Joint MS in Environment and Resources</x:v>
      </x:c>
      <x:c r="E7" s="32" t="str">
        <x:v>Environmental Sciences</x:v>
      </x:c>
      <x:c r="F7" s="36" t="n">
        <x:f>1</x:f>
        <x:v>1</x:v>
      </x:c>
      <x:c r="G7" s="36" t="str">
        <x:v>6</x:v>
      </x:c>
      <x:c r="H7" s="36" t="n">
        <x:f>5</x:f>
        <x:v>5</x:v>
      </x:c>
      <x:c r="I7" s="36" t="str">
        <x:v>5</x:v>
      </x:c>
      <x:c r="J7" s="36" t="str">
        <x:v>5</x:v>
      </x:c>
      <x:c r="K7" s="32" t="str">
        <x:v>Physical Sciences</x:v>
      </x:c>
      <x:c r="L7" s="39" t="n">
        <x:f>4</x:f>
        <x:v>4</x:v>
      </x:c>
      <x:c r="M7" s="39" t="str">
        <x:v>5</x:v>
      </x:c>
      <x:c r="N7" s="39" t="str">
        <x:v>3</x:v>
      </x:c>
      <x:c r="O7" s="39" t="n">
        <x:f>2</x:f>
        <x:v>2</x:v>
      </x:c>
      <x:c r="P7" s="39" t="n">
        <x:f>2</x:f>
        <x:v>2</x:v>
      </x:c>
      <x:c r="Q7" s="32" t="str">
        <x:v>Program title emphasizes environmental science, climate, sustainability science, or natural resources.</x:v>
      </x:c>
      <x:c r="R7" s="35" t="str">
        <x:v>https://eiper.stanford.edu/academics/joint-ms</x:v>
      </x:c>
    </x:row>
    <x:row r="8">
      <x:c r="A8" t="n">
        <x:v>4</x:v>
      </x:c>
      <x:c r="B8" t="str">
        <x:v>University of Oxford</x:v>
      </x:c>
      <x:c r="C8" t="str">
        <x:v>United Kingdom</x:v>
      </x:c>
      <x:c r="D8" s="32" t="str">
        <x:v>MSc in Sustainability, Enterprise and the Environment</x:v>
      </x:c>
      <x:c r="E8" s="32" t="str">
        <x:v>Business &amp; Management Studies</x:v>
      </x:c>
      <x:c r="F8" s="36" t="str">
        <x:v>9</x:v>
      </x:c>
      <x:c r="G8" s="36" t="str">
        <x:v>9</x:v>
      </x:c>
      <x:c r="H8" s="36" t="str">
        <x:v>6</x:v>
      </x:c>
      <x:c r="I8" s="36" t="n">
        <x:f>5</x:f>
        <x:v>5</x:v>
      </x:c>
      <x:c r="J8" s="36" t="str">
        <x:v>5</x:v>
      </x:c>
      <x:c r="K8" s="32" t="str">
        <x:v>Business and Economics</x:v>
      </x:c>
      <x:c r="L8" s="39" t="str">
        <x:v>4</x:v>
      </x:c>
      <x:c r="M8" s="39" t="str">
        <x:v>3</x:v>
      </x:c>
      <x:c r="N8" s="39" t="n">
        <x:f>5</x:f>
        <x:v>5</x:v>
      </x:c>
      <x:c r="O8" s="39" t="str">
        <x:v>2</x:v>
      </x:c>
      <x:c r="P8" s="39" t="str">
        <x:v>4</x:v>
      </x:c>
      <x:c r="Q8" s="32" t="str">
        <x:v>Program title emphasizes management, finance, enterprise, strategy, or business.</x:v>
      </x:c>
      <x:c r="R8" s="35" t="str">
        <x:v>https://www.smithschool.ox.ac.uk/course/msc-sustainability-enterprise-and-environment</x:v>
      </x:c>
    </x:row>
    <x:row r="9">
      <x:c r="A9" t="n">
        <x:v>5</x:v>
      </x:c>
      <x:c r="B9" t="str">
        <x:v>Harvard University</x:v>
      </x:c>
      <x:c r="C9" t="str">
        <x:v>United States</x:v>
      </x:c>
      <x:c r="D9" s="32" t="str">
        <x:v>Sustainability Master's Degree Program</x:v>
      </x:c>
      <x:c r="E9" s="32" t="str">
        <x:v>Environmental Sciences</x:v>
      </x:c>
      <x:c r="F9" s="36" t="n">
        <x:f>1</x:f>
        <x:v>1</x:v>
      </x:c>
      <x:c r="G9" s="36" t="str">
        <x:v>1</x:v>
      </x:c>
      <x:c r="H9" s="36" t="str">
        <x:v>1</x:v>
      </x:c>
      <x:c r="I9" s="36" t="str">
        <x:v>1</x:v>
      </x:c>
      <x:c r="J9" s="36" t="str">
        <x:v>1</x:v>
      </x:c>
      <x:c r="K9" s="32" t="str">
        <x:v>Physical Sciences</x:v>
      </x:c>
      <x:c r="L9" s="39" t="str">
        <x:v>6</x:v>
      </x:c>
      <x:c r="M9" s="39" t="str">
        <x:v>6</x:v>
      </x:c>
      <x:c r="N9" s="39" t="str">
        <x:v>2</x:v>
      </x:c>
      <x:c r="O9" s="39" t="n">
        <x:f>2</x:f>
        <x:v>2</x:v>
      </x:c>
      <x:c r="P9" s="39" t="n">
        <x:f>2</x:f>
        <x:v>2</x:v>
      </x:c>
      <x:c r="Q9" s="32" t="str">
        <x:v>Program title emphasizes environmental science, climate, sustainability science, or natural resources.</x:v>
      </x:c>
      <x:c r="R9" s="35" t="str">
        <x:v>https://extension.harvard.edu/academics/programs/sustainability-graduate-program/</x:v>
      </x:c>
    </x:row>
    <x:row r="10">
      <x:c r="A10" t="n">
        <x:v>6</x:v>
      </x:c>
      <x:c r="B10" t="str">
        <x:v>University of Cambridge</x:v>
      </x:c>
      <x:c r="C10" t="str">
        <x:v>United Kingdom</x:v>
      </x:c>
      <x:c r="D10" s="32" t="str">
        <x:v>MPhil in Engineering for Sustainable Development</x:v>
      </x:c>
      <x:c r="E10" s="32" t="str">
        <x:v>Environmental Sciences</x:v>
      </x:c>
      <x:c r="F10" s="36" t="n">
        <x:f>6</x:f>
        <x:v>6</x:v>
      </x:c>
      <x:c r="G10" s="36" t="str">
        <x:v>7</x:v>
      </x:c>
      <x:c r="H10" s="36" t="str">
        <x:v>8</x:v>
      </x:c>
      <x:c r="I10" s="36" t="str">
        <x:v>9</x:v>
      </x:c>
      <x:c r="J10" s="36" t="str">
        <x:v>6</x:v>
      </x:c>
      <x:c r="K10" s="32" t="str">
        <x:v>Engineering</x:v>
      </x:c>
      <x:c r="L10" s="39" t="str">
        <x:v>5</x:v>
      </x:c>
      <x:c r="M10" s="39" t="str">
        <x:v>7</x:v>
      </x:c>
      <x:c r="N10" s="39" t="str">
        <x:v>5</x:v>
      </x:c>
      <x:c r="O10" s="39" t="str">
        <x:v>6</x:v>
      </x:c>
      <x:c r="P10" s="39" t="str">
        <x:v>5</x:v>
      </x:c>
      <x:c r="Q10" s="32" t="str">
        <x:v>Program title emphasizes engineering, energy, industrial systems, or applied technology.</x:v>
      </x:c>
      <x:c r="R10" s="35" t="str">
        <x:v>https://www.postgraduate.study.cam.ac.uk/courses/directory/egegmpesd</x:v>
      </x:c>
    </x:row>
    <x:row r="11">
      <x:c r="A11" t="n">
        <x:v>7</x:v>
      </x:c>
      <x:c r="B11" t="str">
        <x:v>California Institute of Technology (Caltech)</x:v>
      </x:c>
      <x:c r="C11" t="str">
        <x:v>United States</x:v>
      </x:c>
      <x:c r="D11" s="32" t="str">
        <x:v>Environmental Science and Engineering Graduate Program</x:v>
      </x:c>
      <x:c r="E11" s="32" t="str">
        <x:v>Environmental Sciences</x:v>
      </x:c>
      <x:c r="F11" s="36" t="n">
        <x:f>24</x:f>
        <x:v>24</x:v>
      </x:c>
      <x:c r="G11" s="36" t="str">
        <x:v>17</x:v>
      </x:c>
      <x:c r="H11" s="36" t="n">
        <x:f>25</x:f>
        <x:v>25</x:v>
      </x:c>
      <x:c r="I11" s="36" t="n">
        <x:f>29</x:f>
        <x:v>29</x:v>
      </x:c>
      <x:c r="J11" s="36" t="n">
        <x:f>47</x:f>
        <x:v>47</x:v>
      </x:c>
      <x:c r="K11" s="32" t="str">
        <x:v>Engineering</x:v>
      </x:c>
      <x:c r="L11" s="39" t="str">
        <x:v>8</x:v>
      </x:c>
      <x:c r="M11" s="39" t="str">
        <x:v>6</x:v>
      </x:c>
      <x:c r="N11" s="39" t="str">
        <x:v>7</x:v>
      </x:c>
      <x:c r="O11" s="39" t="str">
        <x:v>7</x:v>
      </x:c>
      <x:c r="P11" s="39" t="str">
        <x:v>7</x:v>
      </x:c>
      <x:c r="Q11" s="32" t="str">
        <x:v>Program title emphasizes engineering, energy, industrial systems, or applied technology.</x:v>
      </x:c>
      <x:c r="R11" s="35" t="str">
        <x:v>https://www.ese.caltech.edu/academics/graduate-program</x:v>
      </x:c>
    </x:row>
    <x:row r="12">
      <x:c r="A12" t="n">
        <x:v>8</x:v>
      </x:c>
      <x:c r="B12" t="str">
        <x:v>ETH Zurich</x:v>
      </x:c>
      <x:c r="C12" t="str">
        <x:v>Switzerland</x:v>
      </x:c>
      <x:c r="D12" s="32" t="str">
        <x:v>MSc Environmental Sciences</x:v>
      </x:c>
      <x:c r="E12" s="32" t="str">
        <x:v>Environmental Sciences</x:v>
      </x:c>
      <x:c r="F12" s="36" t="str">
        <x:v>8</x:v>
      </x:c>
      <x:c r="G12" s="36" t="str">
        <x:v>7</x:v>
      </x:c>
      <x:c r="H12" s="36" t="str">
        <x:v>7</x:v>
      </x:c>
      <x:c r="I12" s="36" t="str">
        <x:v>8</x:v>
      </x:c>
      <x:c r="J12" s="36" t="str">
        <x:v>4</x:v>
      </x:c>
      <x:c r="K12" s="32" t="str">
        <x:v>Physical Sciences</x:v>
      </x:c>
      <x:c r="L12" s="39" t="str">
        <x:v>9</x:v>
      </x:c>
      <x:c r="M12" s="39" t="str">
        <x:v>9</x:v>
      </x:c>
      <x:c r="N12" s="39" t="str">
        <x:v>9</x:v>
      </x:c>
      <x:c r="O12" s="39" t="str">
        <x:v>9</x:v>
      </x:c>
      <x:c r="P12" s="39" t="str">
        <x:v>9</x:v>
      </x:c>
      <x:c r="Q12" s="32" t="str">
        <x:v>Program title emphasizes environmental science, climate, sustainability science, or natural resources.</x:v>
      </x:c>
      <x:c r="R12" s="35" t="str">
        <x:v>https://ethz.ch/en/studies/master/degree-programmes/natural-sciences-and-mathematics/environmental-sciences.html</x:v>
      </x:c>
    </x:row>
    <x:row r="13">
      <x:c r="A13" t="n">
        <x:v>9</x:v>
      </x:c>
      <x:c r="B13" t="str">
        <x:v>UCL</x:v>
      </x:c>
      <x:c r="C13" t="str">
        <x:v>United Kingdom</x:v>
      </x:c>
      <x:c r="D13" s="32" t="str">
        <x:v>Sustainable Resources: Economics, Policy and Transitions MSc</x:v>
      </x:c>
      <x:c r="E13" s="32" t="str">
        <x:v>Development Studies</x:v>
      </x:c>
      <x:c r="F13" s="36" t="str">
        <x:v>NR</x:v>
      </x:c>
      <x:c r="G13" s="36" t="str">
        <x:v>NR</x:v>
      </x:c>
      <x:c r="H13" s="36" t="str">
        <x:v>14</x:v>
      </x:c>
      <x:c r="I13" s="36" t="str">
        <x:v>12</x:v>
      </x:c>
      <x:c r="J13" s="36" t="str">
        <x:v>10</x:v>
      </x:c>
      <x:c r="K13" s="32" t="str">
        <x:v>Social Sciences</x:v>
      </x:c>
      <x:c r="L13" s="39" t="str">
        <x:v>13</x:v>
      </x:c>
      <x:c r="M13" s="39" t="str">
        <x:v>14</x:v>
      </x:c>
      <x:c r="N13" s="39" t="str">
        <x:v>14</x:v>
      </x:c>
      <x:c r="O13" s="39" t="str">
        <x:v>14</x:v>
      </x:c>
      <x:c r="P13" s="39" t="n">
        <x:f>16</x:f>
        <x:v>16</x:v>
      </x:c>
      <x:c r="Q13" s="32" t="str">
        <x:v>Program title emphasizes public policy, governance, development, or society.</x:v>
      </x:c>
      <x:c r="R13" s="35" t="str">
        <x:v>https://www.ucl.ac.uk/prospective-students/graduate/taught-degrees/sustainable-resources-economics-policy-and-transitions-msc</x:v>
      </x:c>
    </x:row>
    <x:row r="14">
      <x:c r="A14" t="n">
        <x:v>10</x:v>
      </x:c>
      <x:c r="B14" t="str">
        <x:v>National University of Singapore (NUS)</x:v>
      </x:c>
      <x:c r="C14" t="str">
        <x:v>Singapore</x:v>
      </x:c>
      <x:c r="D14" s="32" t="str">
        <x:v>MSc in Sustainable and Green Finance</x:v>
      </x:c>
      <x:c r="E14" s="32" t="str">
        <x:v>Business &amp; Management Studies</x:v>
      </x:c>
      <x:c r="F14" s="36" t="str">
        <x:v>13</x:v>
      </x:c>
      <x:c r="G14" s="36" t="str">
        <x:v>13</x:v>
      </x:c>
      <x:c r="H14" s="36" t="str">
        <x:v>10</x:v>
      </x:c>
      <x:c r="I14" s="36" t="str">
        <x:v>8</x:v>
      </x:c>
      <x:c r="J14" s="36" t="str">
        <x:v>8</x:v>
      </x:c>
      <x:c r="K14" s="32" t="str">
        <x:v>Business and Economics</x:v>
      </x:c>
      <x:c r="L14" s="39" t="str">
        <x:v>15</x:v>
      </x:c>
      <x:c r="M14" s="39" t="n">
        <x:f>11</x:f>
        <x:v>11</x:v>
      </x:c>
      <x:c r="N14" s="39" t="str">
        <x:v>15</x:v>
      </x:c>
      <x:c r="O14" s="39" t="str">
        <x:v>12</x:v>
      </x:c>
      <x:c r="P14" s="39" t="n">
        <x:f>10</x:f>
        <x:v>10</x:v>
      </x:c>
      <x:c r="Q14" s="32" t="str">
        <x:v>Program title emphasizes management, finance, enterprise, strategy, or business.</x:v>
      </x:c>
      <x:c r="R14" s="35" t="str">
        <x:v>https://msgfin.nus.edu.sg/academics/</x:v>
      </x:c>
    </x:row>
    <x:row r="15">
      <x:c r="A15" t="n">
        <x:v>11</x:v>
      </x:c>
      <x:c r="B15" t="str">
        <x:v>The University of Hong Kong</x:v>
      </x:c>
      <x:c r="C15" t="str">
        <x:v>Hong Kong SAR</x:v>
      </x:c>
      <x:c r="D15" s="32" t="str">
        <x:v>Master of Science in Environmental Management</x:v>
      </x:c>
      <x:c r="E15" s="32" t="str">
        <x:v>Environmental Sciences</x:v>
      </x:c>
      <x:c r="F15" s="36" t="str">
        <x:v>31</x:v>
      </x:c>
      <x:c r="G15" s="36" t="str">
        <x:v>41</x:v>
      </x:c>
      <x:c r="H15" s="36" t="n">
        <x:f>39</x:f>
        <x:v>39</x:v>
      </x:c>
      <x:c r="I15" s="36" t="n">
        <x:f>27</x:f>
        <x:v>27</x:v>
      </x:c>
      <x:c r="J15" s="36" t="n">
        <x:f>47</x:f>
        <x:v>47</x:v>
      </x:c>
      <x:c r="K15" s="32" t="str">
        <x:v>Physical Sciences</x:v>
      </x:c>
      <x:c r="L15" s="39" t="str">
        <x:v>53</x:v>
      </x:c>
      <x:c r="M15" s="39" t="str">
        <x:v>44</x:v>
      </x:c>
      <x:c r="N15" s="39" t="str">
        <x:v>47</x:v>
      </x:c>
      <x:c r="O15" s="39" t="n">
        <x:f>41</x:f>
        <x:v>41</x:v>
      </x:c>
      <x:c r="P15" s="39" t="str">
        <x:v>37</x:v>
      </x:c>
      <x:c r="Q15" s="32" t="str">
        <x:v>Program title emphasizes environmental science, climate, sustainability science, or natural resources.</x:v>
      </x:c>
      <x:c r="R15" s="35" t="str">
        <x:v>https://admissions.hku.hk/tpg/programme/master-science-environmental-management</x:v>
      </x:c>
    </x:row>
    <x:row r="16">
      <x:c r="A16" t="n">
        <x:v>12</x:v>
      </x:c>
      <x:c r="B16" t="str">
        <x:v>Nanyang Technological University, Singapore (NTU Singapore)</x:v>
      </x:c>
      <x:c r="C16" t="str">
        <x:v>Singapore</x:v>
      </x:c>
      <x:c r="D16" s="32" t="str">
        <x:v>MSc Sustainability Management</x:v>
      </x:c>
      <x:c r="E16" s="32" t="str">
        <x:v>Business &amp; Management Studies</x:v>
      </x:c>
      <x:c r="F16" s="36" t="str">
        <x:v>20</x:v>
      </x:c>
      <x:c r="G16" s="36" t="str">
        <x:v>21</x:v>
      </x:c>
      <x:c r="H16" s="36" t="str">
        <x:v>14</x:v>
      </x:c>
      <x:c r="I16" s="36" t="str">
        <x:v>14</x:v>
      </x:c>
      <x:c r="J16" s="36" t="str">
        <x:v>14</x:v>
      </x:c>
      <x:c r="K16" s="32" t="str">
        <x:v>Business and Economics</x:v>
      </x:c>
      <x:c r="L16" s="39" t="str">
        <x:v>49</x:v>
      </x:c>
      <x:c r="M16" s="39" t="str">
        <x:v>45</x:v>
      </x:c>
      <x:c r="N16" s="39" t="str">
        <x:v>38</x:v>
      </x:c>
      <x:c r="O16" s="39" t="str">
        <x:v>36</x:v>
      </x:c>
      <x:c r="P16" s="39" t="str">
        <x:v>34</x:v>
      </x:c>
      <x:c r="Q16" s="32" t="str">
        <x:v>Program title emphasizes management, finance, enterprise, strategy, or business.</x:v>
      </x:c>
      <x:c r="R16" s="35" t="str">
        <x:v>https://www.ntu.edu.sg/business/admissions/graduate-studies/msc-sustainability-management</x:v>
      </x:c>
    </x:row>
    <x:row r="17">
      <x:c r="A17" t="n">
        <x:v>13</x:v>
      </x:c>
      <x:c r="B17" t="str">
        <x:v>Peking University</x:v>
      </x:c>
      <x:c r="C17" t="str">
        <x:v>China (Mainland)</x:v>
      </x:c>
      <x:c r="D17" s="32" t="str">
        <x:v>Master's programs in Environmental Science and Engineering / Environmental Management</x:v>
      </x:c>
      <x:c r="E17" s="32" t="str">
        <x:v>Environmental Sciences</x:v>
      </x:c>
      <x:c r="F17" s="36" t="str">
        <x:v>16</x:v>
      </x:c>
      <x:c r="G17" s="36" t="str">
        <x:v>15</x:v>
      </x:c>
      <x:c r="H17" s="36" t="str">
        <x:v>15</x:v>
      </x:c>
      <x:c r="I17" s="36" t="str">
        <x:v>12</x:v>
      </x:c>
      <x:c r="J17" s="36" t="str">
        <x:v>16</x:v>
      </x:c>
      <x:c r="K17" s="32" t="str">
        <x:v>Engineering</x:v>
      </x:c>
      <x:c r="L17" s="39" t="str">
        <x:v>12</x:v>
      </x:c>
      <x:c r="M17" s="39" t="str">
        <x:v>12</x:v>
      </x:c>
      <x:c r="N17" s="39" t="str">
        <x:v>14</x:v>
      </x:c>
      <x:c r="O17" s="39" t="str">
        <x:v>11</x:v>
      </x:c>
      <x:c r="P17" s="39" t="str">
        <x:v>8</x:v>
      </x:c>
      <x:c r="Q17" s="32" t="str">
        <x:v>Program title emphasizes engineering, energy, industrial systems, or applied technology.</x:v>
      </x:c>
      <x:c r="R17" s="35" t="str">
        <x:v>https://en.coe.pku.edu.cn/education/graduate_programs.htm</x:v>
      </x:c>
    </x:row>
    <x:row r="18">
      <x:c r="A18" t="n">
        <x:v>14</x:v>
      </x:c>
      <x:c r="B18" t="str">
        <x:v>Tsinghua University</x:v>
      </x:c>
      <x:c r="C18" t="str">
        <x:v>China (Mainland)</x:v>
      </x:c>
      <x:c r="D18" s="32" t="str">
        <x:v>Graduate program in Environmental Science and Engineering</x:v>
      </x:c>
      <x:c r="E18" s="32" t="str">
        <x:v>Environmental Sciences</x:v>
      </x:c>
      <x:c r="F18" s="36" t="str">
        <x:v>9</x:v>
      </x:c>
      <x:c r="G18" s="36" t="str">
        <x:v>9</x:v>
      </x:c>
      <x:c r="H18" s="36" t="str">
        <x:v>10</x:v>
      </x:c>
      <x:c r="I18" s="36" t="str">
        <x:v>2</x:v>
      </x:c>
      <x:c r="J18" s="36" t="n">
        <x:f>7</x:f>
        <x:v>7</x:v>
      </x:c>
      <x:c r="K18" s="32" t="str">
        <x:v>Engineering</x:v>
      </x:c>
      <x:c r="L18" s="39" t="str">
        <x:v>17</x:v>
      </x:c>
      <x:c r="M18" s="39" t="str">
        <x:v>15</x:v>
      </x:c>
      <x:c r="N18" s="39" t="str">
        <x:v>15</x:v>
      </x:c>
      <x:c r="O18" s="39" t="str">
        <x:v>13</x:v>
      </x:c>
      <x:c r="P18" s="39" t="str">
        <x:v>13</x:v>
      </x:c>
      <x:c r="Q18" s="32" t="str">
        <x:v>Program title emphasizes engineering, energy, industrial systems, or applied technology.</x:v>
      </x:c>
      <x:c r="R18" s="35" t="str">
        <x:v>https://www.env.tsinghua.edu.cn/en/education/graduate.htm</x:v>
      </x:c>
    </x:row>
    <x:row r="19">
      <x:c r="A19" t="n">
        <x:v>15</x:v>
      </x:c>
      <x:c r="B19" t="str">
        <x:v>University of Pennsylvania</x:v>
      </x:c>
      <x:c r="C19" t="str">
        <x:v>United States</x:v>
      </x:c>
      <x:c r="D19" s="32" t="str">
        <x:v>Master of Environmental Studies</x:v>
      </x:c>
      <x:c r="E19" s="32" t="str">
        <x:v>Environmental Sciences</x:v>
      </x:c>
      <x:c r="F19" s="36" t="str">
        <x:v>201-250</x:v>
      </x:c>
      <x:c r="G19" s="36" t="str">
        <x:v>151-200</x:v>
      </x:c>
      <x:c r="H19" s="36" t="str">
        <x:v>151-200</x:v>
      </x:c>
      <x:c r="I19" s="36" t="str">
        <x:v>151-200</x:v>
      </x:c>
      <x:c r="J19" s="36" t="str">
        <x:v>151-200</x:v>
      </x:c>
      <x:c r="K19" s="32" t="str">
        <x:v>Physical Sciences</x:v>
      </x:c>
      <x:c r="L19" s="39" t="str">
        <x:v>34</x:v>
      </x:c>
      <x:c r="M19" s="39" t="str">
        <x:v>29</x:v>
      </x:c>
      <x:c r="N19" s="39" t="str">
        <x:v>28</x:v>
      </x:c>
      <x:c r="O19" s="39" t="n">
        <x:f>28</x:f>
        <x:v>28</x:v>
      </x:c>
      <x:c r="P19" s="39" t="str">
        <x:v>31</x:v>
      </x:c>
      <x:c r="Q19" s="32" t="str">
        <x:v>Program title emphasizes environmental science, climate, sustainability science, or natural resources.</x:v>
      </x:c>
      <x:c r="R19" s="35" t="str">
        <x:v>https://www.lps.upenn.edu/degree-programs/mes</x:v>
      </x:c>
    </x:row>
    <x:row r="20">
      <x:c r="A20" t="n">
        <x:v>16</x:v>
      </x:c>
      <x:c r="B20" t="str">
        <x:v>Cornell University</x:v>
      </x:c>
      <x:c r="C20" t="str">
        <x:v>United States</x:v>
      </x:c>
      <x:c r="D20" s="32" t="str">
        <x:v>MPS in Global Development</x:v>
      </x:c>
      <x:c r="E20" s="32" t="str">
        <x:v>Development Studies</x:v>
      </x:c>
      <x:c r="F20" s="36" t="str">
        <x:v>20</x:v>
      </x:c>
      <x:c r="G20" s="36" t="str">
        <x:v>24</x:v>
      </x:c>
      <x:c r="H20" s="36" t="str">
        <x:v>18</x:v>
      </x:c>
      <x:c r="I20" s="36" t="str">
        <x:v>23</x:v>
      </x:c>
      <x:c r="J20" s="36" t="str">
        <x:v>15</x:v>
      </x:c>
      <x:c r="K20" s="32" t="str">
        <x:v>Social Sciences</x:v>
      </x:c>
      <x:c r="L20" s="39" t="str">
        <x:v>21</x:v>
      </x:c>
      <x:c r="M20" s="39" t="str">
        <x:v>20</x:v>
      </x:c>
      <x:c r="N20" s="39" t="str">
        <x:v>20</x:v>
      </x:c>
      <x:c r="O20" s="39" t="str">
        <x:v>19</x:v>
      </x:c>
      <x:c r="P20" s="39" t="str">
        <x:v>19</x:v>
      </x:c>
      <x:c r="Q20" s="32" t="str">
        <x:v>Program title emphasizes public policy, governance, development, or society.</x:v>
      </x:c>
      <x:c r="R20" s="35" t="str">
        <x:v>https://cals.cornell.edu/global-development/degrees-programs/graduate/mps-global-development</x:v>
      </x:c>
    </x:row>
    <x:row r="21">
      <x:c r="A21" t="n">
        <x:v>17</x:v>
      </x:c>
      <x:c r="B21" t="str">
        <x:v>Yale University</x:v>
      </x:c>
      <x:c r="C21" t="str">
        <x:v>United States</x:v>
      </x:c>
      <x:c r="D21" s="32" t="str">
        <x:v>Master of Environmental Management</x:v>
      </x:c>
      <x:c r="E21" s="32" t="str">
        <x:v>Environmental Sciences</x:v>
      </x:c>
      <x:c r="F21" s="36" t="str">
        <x:v>15</x:v>
      </x:c>
      <x:c r="G21" s="36" t="str">
        <x:v>14</x:v>
      </x:c>
      <x:c r="H21" s="36" t="n">
        <x:f>16</x:f>
        <x:v>16</x:v>
      </x:c>
      <x:c r="I21" s="36" t="str">
        <x:v>14</x:v>
      </x:c>
      <x:c r="J21" s="36" t="n">
        <x:f>12</x:f>
        <x:v>12</x:v>
      </x:c>
      <x:c r="K21" s="32" t="str">
        <x:v>Physical Sciences</x:v>
      </x:c>
      <x:c r="L21" s="39" t="str">
        <x:v>10</x:v>
      </x:c>
      <x:c r="M21" s="39" t="str">
        <x:v>12</x:v>
      </x:c>
      <x:c r="N21" s="39" t="str">
        <x:v>10</x:v>
      </x:c>
      <x:c r="O21" s="39" t="n">
        <x:f>12</x:f>
        <x:v>12</x:v>
      </x:c>
      <x:c r="P21" s="39" t="str">
        <x:v>14</x:v>
      </x:c>
      <x:c r="Q21" s="32" t="str">
        <x:v>Program title emphasizes environmental science, climate, sustainability science, or natural resources.</x:v>
      </x:c>
      <x:c r="R21" s="35" t="str">
        <x:v>https://environment.yale.edu/academics/masters/mem</x:v>
      </x:c>
    </x:row>
    <x:row r="22">
      <x:c r="A22" t="n">
        <x:v>18</x:v>
      </x:c>
      <x:c r="B22" t="str">
        <x:v>The Chinese University of Hong Kong (CUHK)</x:v>
      </x:c>
      <x:c r="C22" t="str">
        <x:v>Hong Kong SAR</x:v>
      </x:c>
      <x:c r="D22" s="32" t="str">
        <x:v>MSc in Sustainable Global Business</x:v>
      </x:c>
      <x:c r="E22" s="32" t="str">
        <x:v>Business &amp; Management Studies</x:v>
      </x:c>
      <x:c r="F22" s="36" t="str">
        <x:v>56</x:v>
      </x:c>
      <x:c r="G22" s="36" t="str">
        <x:v>65</x:v>
      </x:c>
      <x:c r="H22" s="36" t="str">
        <x:v>59</x:v>
      </x:c>
      <x:c r="I22" s="36" t="n">
        <x:f>46</x:f>
        <x:v>46</x:v>
      </x:c>
      <x:c r="J22" s="36" t="str">
        <x:v>53</x:v>
      </x:c>
      <x:c r="K22" s="32" t="str">
        <x:v>Business and Economics</x:v>
      </x:c>
      <x:c r="L22" s="39" t="str">
        <x:v>58</x:v>
      </x:c>
      <x:c r="M22" s="39" t="str">
        <x:v>60</x:v>
      </x:c>
      <x:c r="N22" s="39" t="n">
        <x:f>57</x:f>
        <x:v>57</x:v>
      </x:c>
      <x:c r="O22" s="39" t="str">
        <x:v>47</x:v>
      </x:c>
      <x:c r="P22" s="39" t="str">
        <x:v>42</x:v>
      </x:c>
      <x:c r="Q22" s="32" t="str">
        <x:v>Program title emphasizes management, finance, enterprise, strategy, or business.</x:v>
      </x:c>
      <x:c r="R22" s="35" t="str">
        <x:v>https://masters.bschool.cuhk.edu.hk/programmes/msc-in-sustainable-global-business/</x:v>
      </x:c>
    </x:row>
    <x:row r="23">
      <x:c r="A23" t="n">
        <x:v>19</x:v>
      </x:c>
      <x:c r="B23" t="str">
        <x:v>Johns Hopkins University</x:v>
      </x:c>
      <x:c r="C23" t="str">
        <x:v>United States</x:v>
      </x:c>
      <x:c r="D23" s="32" t="str">
        <x:v>MS in Energy Policy and Climate</x:v>
      </x:c>
      <x:c r="E23" s="32" t="str">
        <x:v>Development Studies</x:v>
      </x:c>
      <x:c r="F23" s="36" t="str">
        <x:v>49</x:v>
      </x:c>
      <x:c r="G23" s="36" t="str">
        <x:v>39</x:v>
      </x:c>
      <x:c r="H23" s="36" t="n">
        <x:f>20</x:f>
        <x:v>20</x:v>
      </x:c>
      <x:c r="I23" s="36" t="str">
        <x:v>19</x:v>
      </x:c>
      <x:c r="J23" s="36" t="str">
        <x:v>35</x:v>
      </x:c>
      <x:c r="K23" s="32" t="str">
        <x:v>Social Sciences</x:v>
      </x:c>
      <x:c r="L23" s="39" t="str">
        <x:v>29</x:v>
      </x:c>
      <x:c r="M23" s="39" t="n">
        <x:f>23</x:f>
        <x:v>23</x:v>
      </x:c>
      <x:c r="N23" s="39" t="n">
        <x:f>18</x:f>
        <x:v>18</x:v>
      </x:c>
      <x:c r="O23" s="39" t="n">
        <x:f>25</x:f>
        <x:v>25</x:v>
      </x:c>
      <x:c r="P23" s="39" t="str">
        <x:v>23</x:v>
      </x:c>
      <x:c r="Q23" s="32" t="str">
        <x:v>Program title emphasizes public policy, governance, development, or society.</x:v>
      </x:c>
      <x:c r="R23" s="35" t="str">
        <x:v>https://advanced.jhu.edu/academics/graduate/ms-energy-policy-climate/</x:v>
      </x:c>
    </x:row>
    <x:row r="24">
      <x:c r="A24" t="n">
        <x:v>20</x:v>
      </x:c>
      <x:c r="B24" t="str">
        <x:v>University of California, Berkeley (UCB)</x:v>
      </x:c>
      <x:c r="C24" t="str">
        <x:v>United States</x:v>
      </x:c>
      <x:c r="D24" s="32" t="str">
        <x:v>Master of Climate Solutions</x:v>
      </x:c>
      <x:c r="E24" s="32" t="str">
        <x:v>Environmental Sciences</x:v>
      </x:c>
      <x:c r="F24" s="36" t="str">
        <x:v>4</x:v>
      </x:c>
      <x:c r="G24" s="36" t="str">
        <x:v>5</x:v>
      </x:c>
      <x:c r="H24" s="36" t="n">
        <x:f>5</x:f>
        <x:v>5</x:v>
      </x:c>
      <x:c r="I24" s="36" t="str">
        <x:v>7</x:v>
      </x:c>
      <x:c r="J24" s="36" t="str">
        <x:v>9</x:v>
      </x:c>
      <x:c r="K24" s="32" t="str">
        <x:v>Physical Sciences</x:v>
      </x:c>
      <x:c r="L24" s="39" t="str">
        <x:v>1</x:v>
      </x:c>
      <x:c r="M24" s="39" t="n">
        <x:f>2</x:f>
        <x:v>2</x:v>
      </x:c>
      <x:c r="N24" s="39" t="n">
        <x:f>6</x:f>
        <x:v>6</x:v>
      </x:c>
      <x:c r="O24" s="39" t="str">
        <x:v>6</x:v>
      </x:c>
      <x:c r="P24" s="39" t="str">
        <x:v>7</x:v>
      </x:c>
      <x:c r="Q24" s="32" t="str">
        <x:v>Program title emphasizes environmental science, climate, sustainability science, or natural resources.</x:v>
      </x:c>
      <x:c r="R24" s="35" t="str">
        <x:v>https://climatesolutions.berkeley.edu/</x:v>
      </x:c>
    </x:row>
    <x:row r="25">
      <x:c r="A25" t="n">
        <x:v>21</x:v>
      </x:c>
      <x:c r="B25" t="str">
        <x:v>EPFL – École polytechnique fédérale de Lausanne</x:v>
      </x:c>
      <x:c r="C25" t="str">
        <x:v>Switzerland</x:v>
      </x:c>
      <x:c r="D25" s="32" t="str">
        <x:v>MSc Sustainable Management and Technology</x:v>
      </x:c>
      <x:c r="E25" s="32" t="str">
        <x:v>Business &amp; Management Studies</x:v>
      </x:c>
      <x:c r="F25" s="36" t="str">
        <x:v>NR</x:v>
      </x:c>
      <x:c r="G25" s="36" t="str">
        <x:v>NR</x:v>
      </x:c>
      <x:c r="H25" s="36" t="str">
        <x:v>NR</x:v>
      </x:c>
      <x:c r="I25" s="36" t="n">
        <x:f>137</x:f>
        <x:v>137</x:v>
      </x:c>
      <x:c r="J25" s="36" t="str">
        <x:v>137</x:v>
      </x:c>
      <x:c r="K25" s="32" t="str">
        <x:v>Business and Economics</x:v>
      </x:c>
      <x:c r="L25" s="39" t="str">
        <x:v>NR</x:v>
      </x:c>
      <x:c r="M25" s="39" t="str">
        <x:v>NR</x:v>
      </x:c>
      <x:c r="N25" s="39" t="str">
        <x:v>NR</x:v>
      </x:c>
      <x:c r="O25" s="39" t="str">
        <x:v>NR</x:v>
      </x:c>
      <x:c r="P25" s="39" t="str">
        <x:v>NR</x:v>
      </x:c>
      <x:c r="Q25" s="32" t="str">
        <x:v>Program title emphasizes management, finance, enterprise, strategy, or business.</x:v>
      </x:c>
      <x:c r="R25" s="35" t="str">
        <x:v>https://www.epfl.ch/education/master/programs/sustainable-management-and-technology/</x:v>
      </x:c>
    </x:row>
    <x:row r="26">
      <x:c r="A26" t="n">
        <x:v>22</x:v>
      </x:c>
      <x:c r="B26" t="str">
        <x:v>The University of Melbourne</x:v>
      </x:c>
      <x:c r="C26" t="str">
        <x:v>Australia</x:v>
      </x:c>
      <x:c r="D26" s="32" t="str">
        <x:v>Master of Environment</x:v>
      </x:c>
      <x:c r="E26" s="32" t="str">
        <x:v>Environmental Sciences</x:v>
      </x:c>
      <x:c r="F26" s="36" t="str">
        <x:v>21</x:v>
      </x:c>
      <x:c r="G26" s="36" t="str">
        <x:v>23</x:v>
      </x:c>
      <x:c r="H26" s="36" t="str">
        <x:v>22</x:v>
      </x:c>
      <x:c r="I26" s="36" t="str">
        <x:v>24</x:v>
      </x:c>
      <x:c r="J26" s="36" t="str">
        <x:v>20</x:v>
      </x:c>
      <x:c r="K26" s="32" t="str">
        <x:v>Physical Sciences</x:v>
      </x:c>
      <x:c r="L26" s="39" t="str">
        <x:v>57</x:v>
      </x:c>
      <x:c r="M26" s="39" t="n">
        <x:f>68</x:f>
        <x:v>68</x:v>
      </x:c>
      <x:c r="N26" s="39" t="n">
        <x:f>72</x:f>
        <x:v>72</x:v>
      </x:c>
      <x:c r="O26" s="39" t="str">
        <x:v>79</x:v>
      </x:c>
      <x:c r="P26" s="39" t="n">
        <x:f>75</x:f>
        <x:v>75</x:v>
      </x:c>
      <x:c r="Q26" s="32" t="str">
        <x:v>Program title emphasizes environmental science, climate, sustainability science, or natural resources.</x:v>
      </x:c>
      <x:c r="R26" s="35" t="str">
        <x:v>https://study.unimelb.edu.au/find/courses/graduate/master-of-environment/</x:v>
      </x:c>
    </x:row>
    <x:row r="27">
      <x:c r="A27" t="n">
        <x:v>23</x:v>
      </x:c>
      <x:c r="B27" t="str">
        <x:v>University of Chicago</x:v>
      </x:c>
      <x:c r="C27" t="str">
        <x:v>United States</x:v>
      </x:c>
      <x:c r="D27" s="32" t="str">
        <x:v>MS in Environmental Science and Policy</x:v>
      </x:c>
      <x:c r="E27" s="32" t="str">
        <x:v>Environmental Sciences</x:v>
      </x:c>
      <x:c r="F27" s="36" t="str">
        <x:v>101-150</x:v>
      </x:c>
      <x:c r="G27" s="36" t="str">
        <x:v>100</x:v>
      </x:c>
      <x:c r="H27" s="36" t="str">
        <x:v>151-200</x:v>
      </x:c>
      <x:c r="I27" s="36" t="str">
        <x:v>151-200</x:v>
      </x:c>
      <x:c r="J27" s="36" t="str">
        <x:v>201-250</x:v>
      </x:c>
      <x:c r="K27" s="32" t="str">
        <x:v>Physical Sciences</x:v>
      </x:c>
      <x:c r="L27" s="39" t="n">
        <x:f>11</x:f>
        <x:v>11</x:v>
      </x:c>
      <x:c r="M27" s="39" t="str">
        <x:v>11</x:v>
      </x:c>
      <x:c r="N27" s="39" t="str">
        <x:v>16</x:v>
      </x:c>
      <x:c r="O27" s="39" t="str">
        <x:v>16</x:v>
      </x:c>
      <x:c r="P27" s="39" t="str">
        <x:v>15</x:v>
      </x:c>
      <x:c r="Q27" s="32" t="str">
        <x:v>Program title emphasizes environmental science, climate, sustainability science, or natural resources.</x:v>
      </x:c>
      <x:c r="R27" s="35" t="str">
        <x:v>https://professional.uchicago.edu/find-your-fit/masters/master-science-environmental-science-policy</x:v>
      </x:c>
    </x:row>
    <x:row r="28">
      <x:c r="A28" t="n">
        <x:v>24</x:v>
      </x:c>
      <x:c r="B28" t="str">
        <x:v>Technical University of Munich</x:v>
      </x:c>
      <x:c r="C28" t="str">
        <x:v>Germany</x:v>
      </x:c>
      <x:c r="D28" s="32" t="str">
        <x:v>MSc Sustainable Management and Technology</x:v>
      </x:c>
      <x:c r="E28" s="32" t="str">
        <x:v>Business &amp; Management Studies</x:v>
      </x:c>
      <x:c r="F28" s="36" t="n">
        <x:f>79</x:f>
        <x:v>79</x:v>
      </x:c>
      <x:c r="G28" s="36" t="str">
        <x:v>76</x:v>
      </x:c>
      <x:c r="H28" s="36" t="n">
        <x:f>80</x:f>
        <x:v>80</x:v>
      </x:c>
      <x:c r="I28" s="36" t="str">
        <x:v>105</x:v>
      </x:c>
      <x:c r="J28" s="36" t="n">
        <x:f>91</x:f>
        <x:v>91</x:v>
      </x:c>
      <x:c r="K28" s="32" t="str">
        <x:v>Business and Economics</x:v>
      </x:c>
      <x:c r="L28" s="39" t="n">
        <x:f>55</x:f>
        <x:v>55</x:v>
      </x:c>
      <x:c r="M28" s="39" t="str">
        <x:v>33</x:v>
      </x:c>
      <x:c r="N28" s="39" t="str">
        <x:v>27</x:v>
      </x:c>
      <x:c r="O28" s="39" t="str">
        <x:v>31</x:v>
      </x:c>
      <x:c r="P28" s="39" t="str">
        <x:v>29</x:v>
      </x:c>
      <x:c r="Q28" s="32" t="str">
        <x:v>Program title emphasizes management, finance, enterprise, strategy, or business.</x:v>
      </x:c>
      <x:c r="R28" s="35" t="str">
        <x:v>https://www.tum.de/en/studies/degree-programs/detail/sustainable-management-and-technology-master-of-science-msc</x:v>
      </x:c>
    </x:row>
    <x:row r="29">
      <x:c r="A29" t="n">
        <x:v>25</x:v>
      </x:c>
      <x:c r="B29" t="str">
        <x:v>Fudan University</x:v>
      </x:c>
      <x:c r="C29" t="str">
        <x:v>China (Mainland)</x:v>
      </x:c>
      <x:c r="D29" s="32" t="str">
        <x:v>Graduate program in Environmental Science and Engineering</x:v>
      </x:c>
      <x:c r="E29" s="32" t="str">
        <x:v>Environmental Sciences</x:v>
      </x:c>
      <x:c r="F29" s="36" t="str">
        <x:v>101-150</x:v>
      </x:c>
      <x:c r="G29" s="36" t="str">
        <x:v>101-150</x:v>
      </x:c>
      <x:c r="H29" s="36" t="n">
        <x:f>130</x:f>
        <x:v>130</x:v>
      </x:c>
      <x:c r="I29" s="36" t="n">
        <x:f>94</x:f>
        <x:v>94</x:v>
      </x:c>
      <x:c r="J29" s="36" t="n">
        <x:f>115</x:f>
        <x:v>115</x:v>
      </x:c>
      <x:c r="K29" s="32" t="str">
        <x:v>Engineering</x:v>
      </x:c>
      <x:c r="L29" s="39" t="n">
        <x:f>44</x:f>
        <x:v>44</x:v>
      </x:c>
      <x:c r="M29" s="39" t="str">
        <x:v>51</x:v>
      </x:c>
      <x:c r="N29" s="39" t="n">
        <x:f>56</x:f>
        <x:v>56</x:v>
      </x:c>
      <x:c r="O29" s="39" t="n">
        <x:f>43</x:f>
        <x:v>43</x:v>
      </x:c>
      <x:c r="P29" s="39" t="str">
        <x:v>36</x:v>
      </x:c>
      <x:c r="Q29" s="32" t="str">
        <x:v>Program title emphasizes engineering, energy, industrial systems, or applied technology.</x:v>
      </x:c>
      <x:c r="R29" s="35" t="str">
        <x:v>https://environment.fudan.edu.cn/</x:v>
      </x:c>
    </x:row>
    <x:row r="30">
      <x:c r="A30" t="n">
        <x:v>26</x:v>
      </x:c>
      <x:c r="B30" t="str">
        <x:v>Princeton University</x:v>
      </x:c>
      <x:c r="C30" t="str">
        <x:v>United States</x:v>
      </x:c>
      <x:c r="D30" s="32" t="str">
        <x:v>MPA with Science, Technology, and Environmental Policy field</x:v>
      </x:c>
      <x:c r="E30" s="32" t="str">
        <x:v>Development Studies</x:v>
      </x:c>
      <x:c r="F30" s="36" t="str">
        <x:v>17</x:v>
      </x:c>
      <x:c r="G30" s="36" t="str">
        <x:v>17</x:v>
      </x:c>
      <x:c r="H30" s="36" t="str">
        <x:v>13</x:v>
      </x:c>
      <x:c r="I30" s="36" t="str">
        <x:v>20</x:v>
      </x:c>
      <x:c r="J30" s="36" t="str">
        <x:v>19</x:v>
      </x:c>
      <x:c r="K30" s="32" t="str">
        <x:v>Social Sciences</x:v>
      </x:c>
      <x:c r="L30" s="39" t="str">
        <x:v>5</x:v>
      </x:c>
      <x:c r="M30" s="39" t="str">
        <x:v>6</x:v>
      </x:c>
      <x:c r="N30" s="39" t="str">
        <x:v>5</x:v>
      </x:c>
      <x:c r="O30" s="39" t="str">
        <x:v>5</x:v>
      </x:c>
      <x:c r="P30" s="39" t="str">
        <x:v>5</x:v>
      </x:c>
      <x:c r="Q30" s="32" t="str">
        <x:v>Program title emphasizes public policy, governance, development, or society.</x:v>
      </x:c>
      <x:c r="R30" s="35" t="str">
        <x:v>https://spia.princeton.edu/graduate-programs/masters-degrees/mpa</x:v>
      </x:c>
    </x:row>
    <x:row r="31">
      <x:c r="A31" t="n">
        <x:v>27</x:v>
      </x:c>
      <x:c r="B31" t="str">
        <x:v>McGill University</x:v>
      </x:c>
      <x:c r="C31" t="str">
        <x:v>Canada</x:v>
      </x:c>
      <x:c r="D31" s="32" t="str">
        <x:v>MSc Sustainability, Science and Society</x:v>
      </x:c>
      <x:c r="E31" s="32" t="str">
        <x:v>Environmental Sciences</x:v>
      </x:c>
      <x:c r="F31" s="36" t="n">
        <x:f>24</x:f>
        <x:v>24</x:v>
      </x:c>
      <x:c r="G31" s="36" t="str">
        <x:v>23</x:v>
      </x:c>
      <x:c r="H31" s="36" t="n">
        <x:f>18</x:f>
        <x:v>18</x:v>
      </x:c>
      <x:c r="I31" s="36" t="n">
        <x:f>21</x:f>
        <x:v>21</x:v>
      </x:c>
      <x:c r="J31" s="36" t="str">
        <x:v>32</x:v>
      </x:c>
      <x:c r="K31" s="32" t="str">
        <x:v>Physical Sciences</x:v>
      </x:c>
      <x:c r="L31" s="39" t="str">
        <x:v>74</x:v>
      </x:c>
      <x:c r="M31" s="39" t="str">
        <x:v>77</x:v>
      </x:c>
      <x:c r="N31" s="39" t="n">
        <x:f>72</x:f>
        <x:v>72</x:v>
      </x:c>
      <x:c r="O31" s="39" t="n">
        <x:f>66</x:f>
        <x:v>66</x:v>
      </x:c>
      <x:c r="P31" s="39" t="str">
        <x:v>66</x:v>
      </x:c>
      <x:c r="Q31" s="32" t="str">
        <x:v>Program title emphasizes environmental science, climate, sustainability science, or natural resources.</x:v>
      </x:c>
      <x:c r="R31" s="35" t="str">
        <x:v>https://www.mcgill.ca/study/2026-2027/faculties/science/graduate/programs/master-science-msc-sustainability-science-and-society-thesis</x:v>
      </x:c>
    </x:row>
    <x:row r="32">
      <x:c r="A32" t="n">
        <x:v>28</x:v>
      </x:c>
      <x:c r="B32" t="str">
        <x:v>University of Toronto</x:v>
      </x:c>
      <x:c r="C32" t="str">
        <x:v>Canada</x:v>
      </x:c>
      <x:c r="D32" s="32" t="str">
        <x:v>Master of Environment &amp; Sustainability</x:v>
      </x:c>
      <x:c r="E32" s="32" t="str">
        <x:v>Environmental Sciences</x:v>
      </x:c>
      <x:c r="F32" s="36" t="str">
        <x:v>26</x:v>
      </x:c>
      <x:c r="G32" s="36" t="str">
        <x:v>25</x:v>
      </x:c>
      <x:c r="H32" s="36" t="str">
        <x:v>21</x:v>
      </x:c>
      <x:c r="I32" s="36" t="n">
        <x:f>21</x:f>
        <x:v>21</x:v>
      </x:c>
      <x:c r="J32" s="36" t="n">
        <x:f>25</x:f>
        <x:v>25</x:v>
      </x:c>
      <x:c r="K32" s="32" t="str">
        <x:v>Physical Sciences</x:v>
      </x:c>
      <x:c r="L32" s="39" t="n">
        <x:f>27</x:f>
        <x:v>27</x:v>
      </x:c>
      <x:c r="M32" s="39" t="str">
        <x:v>22</x:v>
      </x:c>
      <x:c r="N32" s="39" t="str">
        <x:v>25</x:v>
      </x:c>
      <x:c r="O32" s="39" t="str">
        <x:v>30</x:v>
      </x:c>
      <x:c r="P32" s="39" t="n">
        <x:f>27</x:f>
        <x:v>27</x:v>
      </x:c>
      <x:c r="Q32" s="32" t="str">
        <x:v>Program title emphasizes environmental science, climate, sustainability science, or natural resources.</x:v>
      </x:c>
      <x:c r="R32" s="35" t="str">
        <x:v>https://www.environment.utoronto.ca/graduate/mes</x:v>
      </x:c>
    </x:row>
    <x:row r="33">
      <x:c r="A33" t="n">
        <x:v>29</x:v>
      </x:c>
      <x:c r="B33" t="str">
        <x:v>Université PSL</x:v>
      </x:c>
      <x:c r="C33" t="str">
        <x:v>France</x:v>
      </x:c>
      <x:c r="D33" s="32" t="str">
        <x:v>Master in Sustainable Management and Organizations</x:v>
      </x:c>
      <x:c r="E33" s="32" t="str">
        <x:v>Business &amp; Management Studies</x:v>
      </x:c>
      <x:c r="F33" s="36" t="str">
        <x:v>87</x:v>
      </x:c>
      <x:c r="G33" s="36" t="str">
        <x:v>104</x:v>
      </x:c>
      <x:c r="H33" s="36" t="str">
        <x:v>125</x:v>
      </x:c>
      <x:c r="I33" s="36" t="n">
        <x:f>137</x:f>
        <x:v>137</x:v>
      </x:c>
      <x:c r="J33" s="36" t="str">
        <x:v>151-200</x:v>
      </x:c>
      <x:c r="K33" s="32" t="str">
        <x:v>Business and Economics</x:v>
      </x:c>
      <x:c r="L33" s="39" t="str">
        <x:v>101–125</x:v>
      </x:c>
      <x:c r="M33" s="39" t="str">
        <x:v>151–175</x:v>
      </x:c>
      <x:c r="N33" s="39" t="str">
        <x:v>151–175</x:v>
      </x:c>
      <x:c r="O33" s="39" t="str">
        <x:v>101–125</x:v>
      </x:c>
      <x:c r="P33" s="39" t="str">
        <x:v>101–125</x:v>
      </x:c>
      <x:c r="Q33" s="32" t="str">
        <x:v>Program title emphasizes management, finance, enterprise, strategy, or business.</x:v>
      </x:c>
      <x:c r="R33" s="35" t="str">
        <x:v>https://dauphine.psl.eu/en/training/masters-degrees/sustainable-management-and-organizations</x:v>
      </x:c>
    </x:row>
    <x:row r="34">
      <x:c r="A34" t="n">
        <x:v>30</x:v>
      </x:c>
      <x:c r="B34" t="str">
        <x:v>The University of Edinburgh</x:v>
      </x:c>
      <x:c r="C34" t="str">
        <x:v>United Kingdom</x:v>
      </x:c>
      <x:c r="D34" s="32" t="str">
        <x:v>MSc Global Strategy and Sustainability</x:v>
      </x:c>
      <x:c r="E34" s="32" t="str">
        <x:v>Business &amp; Management Studies</x:v>
      </x:c>
      <x:c r="F34" s="36" t="n">
        <x:f>117</x:f>
        <x:v>117</x:v>
      </x:c>
      <x:c r="G34" s="36" t="str">
        <x:v>117</x:v>
      </x:c>
      <x:c r="H34" s="36" t="n">
        <x:f>120</x:f>
        <x:v>120</x:v>
      </x:c>
      <x:c r="I34" s="36" t="n">
        <x:f>121</x:f>
        <x:v>121</x:v>
      </x:c>
      <x:c r="J34" s="36" t="n">
        <x:f>109</x:f>
        <x:v>109</x:v>
      </x:c>
      <x:c r="K34" s="32" t="str">
        <x:v>Business and Economics</x:v>
      </x:c>
      <x:c r="L34" s="39" t="str">
        <x:v>41</x:v>
      </x:c>
      <x:c r="M34" s="39" t="str">
        <x:v>58</x:v>
      </x:c>
      <x:c r="N34" s="39" t="str">
        <x:v>56</x:v>
      </x:c>
      <x:c r="O34" s="39" t="str">
        <x:v>73</x:v>
      </x:c>
      <x:c r="P34" s="39" t="str">
        <x:v>60</x:v>
      </x:c>
      <x:c r="Q34" s="32" t="str">
        <x:v>Program title emphasizes management, finance, enterprise, strategy, or business.</x:v>
      </x:c>
      <x:c r="R34" s="35" t="str">
        <x:v>https://www.business-school.ed.ac.uk/msc/global-strategy-sustainability</x:v>
      </x:c>
    </x:row>
    <x:row r="35">
      <x:c r="A35" t="n">
        <x:v>31</x:v>
      </x:c>
      <x:c r="B35" t="str">
        <x:v>Shanghai Jiao Tong University</x:v>
      </x:c>
      <x:c r="C35" t="str">
        <x:v>China (Mainland)</x:v>
      </x:c>
      <x:c r="D35" s="32" t="str">
        <x:v>Graduate program in Environmental Science and Engineering</x:v>
      </x:c>
      <x:c r="E35" s="32" t="str">
        <x:v>Environmental Sciences</x:v>
      </x:c>
      <x:c r="F35" s="36" t="str">
        <x:v>57</x:v>
      </x:c>
      <x:c r="G35" s="36" t="str">
        <x:v>58</x:v>
      </x:c>
      <x:c r="H35" s="36" t="n">
        <x:f>61</x:f>
        <x:v>61</x:v>
      </x:c>
      <x:c r="I35" s="36" t="str">
        <x:v>31</x:v>
      </x:c>
      <x:c r="J35" s="36" t="n">
        <x:f>71</x:f>
        <x:v>71</x:v>
      </x:c>
      <x:c r="K35" s="32" t="str">
        <x:v>Engineering</x:v>
      </x:c>
      <x:c r="L35" s="39" t="str">
        <x:v>32</x:v>
      </x:c>
      <x:c r="M35" s="39" t="str">
        <x:v>29</x:v>
      </x:c>
      <x:c r="N35" s="39" t="str">
        <x:v>23</x:v>
      </x:c>
      <x:c r="O35" s="39" t="str">
        <x:v>26</x:v>
      </x:c>
      <x:c r="P35" s="39" t="str">
        <x:v>24</x:v>
      </x:c>
      <x:c r="Q35" s="32" t="str">
        <x:v>Program title emphasizes engineering, energy, industrial systems, or applied technology.</x:v>
      </x:c>
      <x:c r="R35" s="35" t="str">
        <x:v>https://en.sjtu.edu.cn/academics/schools/School%20of%20Environmental%20Science%20and%20Engineering</x:v>
      </x:c>
    </x:row>
    <x:row r="36">
      <x:c r="A36" t="n">
        <x:v>32</x:v>
      </x:c>
      <x:c r="B36" t="str">
        <x:v>King's College London</x:v>
      </x:c>
      <x:c r="C36" t="str">
        <x:v>United Kingdom</x:v>
      </x:c>
      <x:c r="D36" s="32" t="str">
        <x:v>Environment, Politics and Development MSc</x:v>
      </x:c>
      <x:c r="E36" s="32" t="str">
        <x:v>Development Studies</x:v>
      </x:c>
      <x:c r="F36" s="36" t="n">
        <x:f>46</x:f>
        <x:v>46</x:v>
      </x:c>
      <x:c r="G36" s="36" t="str">
        <x:v>50</x:v>
      </x:c>
      <x:c r="H36" s="36" t="n">
        <x:f>30</x:f>
        <x:v>30</x:v>
      </x:c>
      <x:c r="I36" s="36" t="str">
        <x:v>31</x:v>
      </x:c>
      <x:c r="J36" s="36" t="str">
        <x:v>21</x:v>
      </x:c>
      <x:c r="K36" s="32" t="str">
        <x:v>Social Sciences</x:v>
      </x:c>
      <x:c r="L36" s="39" t="str">
        <x:v>70</x:v>
      </x:c>
      <x:c r="M36" s="39" t="str">
        <x:v>44</x:v>
      </x:c>
      <x:c r="N36" s="39" t="str">
        <x:v>33</x:v>
      </x:c>
      <x:c r="O36" s="39" t="str">
        <x:v>32</x:v>
      </x:c>
      <x:c r="P36" s="39" t="str">
        <x:v>37</x:v>
      </x:c>
      <x:c r="Q36" s="32" t="str">
        <x:v>Program title emphasizes public policy, governance, development, or society.</x:v>
      </x:c>
      <x:c r="R36" s="35" t="str">
        <x:v>https://www.kcl.ac.uk/study/postgraduate-taught/courses/environment-politics-and-development-msc</x:v>
      </x:c>
    </x:row>
    <x:row r="37">
      <x:c r="A37" t="n">
        <x:v>33</x:v>
      </x:c>
      <x:c r="B37" t="str">
        <x:v>The University of Tokyo</x:v>
      </x:c>
      <x:c r="C37" t="str">
        <x:v>Japan</x:v>
      </x:c>
      <x:c r="D37" s="32" t="str">
        <x:v>Graduate Program in Sustainability Science - Global Leadership Initiative</x:v>
      </x:c>
      <x:c r="E37" s="32" t="str">
        <x:v>Environmental Sciences</x:v>
      </x:c>
      <x:c r="F37" s="36" t="str">
        <x:v>33</x:v>
      </x:c>
      <x:c r="G37" s="36" t="str">
        <x:v>33</x:v>
      </x:c>
      <x:c r="H37" s="36" t="n">
        <x:f>31</x:f>
        <x:v>31</x:v>
      </x:c>
      <x:c r="I37" s="36" t="n">
        <x:f>32</x:f>
        <x:v>32</x:v>
      </x:c>
      <x:c r="J37" s="36" t="n">
        <x:f>36</x:f>
        <x:v>36</x:v>
      </x:c>
      <x:c r="K37" s="32" t="str">
        <x:v>Physical Sciences</x:v>
      </x:c>
      <x:c r="L37" s="39" t="str">
        <x:v>31</x:v>
      </x:c>
      <x:c r="M37" s="39" t="str">
        <x:v>30</x:v>
      </x:c>
      <x:c r="N37" s="39" t="str">
        <x:v>24</x:v>
      </x:c>
      <x:c r="O37" s="39" t="str">
        <x:v>25</x:v>
      </x:c>
      <x:c r="P37" s="39" t="str">
        <x:v>24</x:v>
      </x:c>
      <x:c r="Q37" s="32" t="str">
        <x:v>Program title emphasizes environmental science, climate, sustainability science, or natural resources.</x:v>
      </x:c>
      <x:c r="R37" s="35" t="str">
        <x:v>https://www.sustainability.k.u-tokyo.ac.jp/</x:v>
      </x:c>
    </x:row>
    <x:row r="38">
      <x:c r="A38" t="n">
        <x:v>34</x:v>
      </x:c>
      <x:c r="B38" t="str">
        <x:v>Columbia University</x:v>
      </x:c>
      <x:c r="C38" t="str">
        <x:v>United States</x:v>
      </x:c>
      <x:c r="D38" s="32" t="str">
        <x:v>MS in Sustainability Management</x:v>
      </x:c>
      <x:c r="E38" s="32" t="str">
        <x:v>Business &amp; Management Studies</x:v>
      </x:c>
      <x:c r="F38" s="36" t="str">
        <x:v>22</x:v>
      </x:c>
      <x:c r="G38" s="36" t="str">
        <x:v>20</x:v>
      </x:c>
      <x:c r="H38" s="36" t="str">
        <x:v>20</x:v>
      </x:c>
      <x:c r="I38" s="36" t="str">
        <x:v>20</x:v>
      </x:c>
      <x:c r="J38" s="36" t="str">
        <x:v>15</x:v>
      </x:c>
      <x:c r="K38" s="32" t="str">
        <x:v>Business and Economics</x:v>
      </x:c>
      <x:c r="L38" s="39" t="str">
        <x:v>14</x:v>
      </x:c>
      <x:c r="M38" s="39" t="n">
        <x:f>11</x:f>
        <x:v>11</x:v>
      </x:c>
      <x:c r="N38" s="39" t="str">
        <x:v>14</x:v>
      </x:c>
      <x:c r="O38" s="39" t="str">
        <x:v>14</x:v>
      </x:c>
      <x:c r="P38" s="39" t="str">
        <x:v>14</x:v>
      </x:c>
      <x:c r="Q38" s="32" t="str">
        <x:v>Program title emphasizes management, finance, enterprise, strategy, or business.</x:v>
      </x:c>
      <x:c r="R38" s="35" t="str">
        <x:v>https://www.sustainability.ei.columbia.edu/sustainability-management</x:v>
      </x:c>
    </x:row>
    <x:row r="39">
      <x:c r="A39" t="n">
        <x:v>35</x:v>
      </x:c>
      <x:c r="B39" t="str">
        <x:v>Northwestern University</x:v>
      </x:c>
      <x:c r="C39" t="str">
        <x:v>United States</x:v>
      </x:c>
      <x:c r="D39" s="32" t="str">
        <x:v>Master of Science in Energy and Sustainability</x:v>
      </x:c>
      <x:c r="E39" s="32" t="str">
        <x:v>Environmental Sciences</x:v>
      </x:c>
      <x:c r="F39" s="36" t="str">
        <x:v>151-200</x:v>
      </x:c>
      <x:c r="G39" s="36" t="str">
        <x:v>201-250</x:v>
      </x:c>
      <x:c r="H39" s="36" t="str">
        <x:v>201-250</x:v>
      </x:c>
      <x:c r="I39" s="36" t="str">
        <x:v>151-200</x:v>
      </x:c>
      <x:c r="J39" s="36" t="str">
        <x:v>251-300</x:v>
      </x:c>
      <x:c r="K39" s="32" t="str">
        <x:v>Engineering</x:v>
      </x:c>
      <x:c r="L39" s="39" t="str">
        <x:v>38</x:v>
      </x:c>
      <x:c r="M39" s="39" t="n">
        <x:f>30</x:f>
        <x:v>30</x:v>
      </x:c>
      <x:c r="N39" s="39" t="str">
        <x:v>31</x:v>
      </x:c>
      <x:c r="O39" s="39" t="str">
        <x:v>32</x:v>
      </x:c>
      <x:c r="P39" s="39" t="str">
        <x:v>33</x:v>
      </x:c>
      <x:c r="Q39" s="32" t="str">
        <x:v>Program title emphasizes engineering, energy, industrial systems, or applied technology.</x:v>
      </x:c>
      <x:c r="R39" s="35" t="str">
        <x:v>https://www.mccormick.northwestern.edu/energy-sustainability/</x:v>
      </x:c>
    </x:row>
    <x:row r="40">
      <x:c r="A40" t="n">
        <x:v>36</x:v>
      </x:c>
      <x:c r="B40" t="str">
        <x:v>University of British Columbia</x:v>
      </x:c>
      <x:c r="C40" t="str">
        <x:v>Canada</x:v>
      </x:c>
      <x:c r="D40" s="32" t="str">
        <x:v>Master of Engineering Leadership in Sustainable Process Engineering</x:v>
      </x:c>
      <x:c r="E40" s="32" t="str">
        <x:v>Environmental Sciences</x:v>
      </x:c>
      <x:c r="F40" s="36" t="str">
        <x:v>13</x:v>
      </x:c>
      <x:c r="G40" s="36" t="str">
        <x:v>12</x:v>
      </x:c>
      <x:c r="H40" s="36" t="str">
        <x:v>12</x:v>
      </x:c>
      <x:c r="I40" s="36" t="str">
        <x:v>17</x:v>
      </x:c>
      <x:c r="J40" s="36" t="str">
        <x:v>15</x:v>
      </x:c>
      <x:c r="K40" s="32" t="str">
        <x:v>Engineering</x:v>
      </x:c>
      <x:c r="L40" s="39" t="str">
        <x:v>49</x:v>
      </x:c>
      <x:c r="M40" s="39" t="n">
        <x:f>48</x:f>
        <x:v>48</x:v>
      </x:c>
      <x:c r="N40" s="39" t="str">
        <x:v>49</x:v>
      </x:c>
      <x:c r="O40" s="39" t="str">
        <x:v>49</x:v>
      </x:c>
      <x:c r="P40" s="39" t="n">
        <x:f>46</x:f>
        <x:v>46</x:v>
      </x:c>
      <x:c r="Q40" s="32" t="str">
        <x:v>Program title emphasizes engineering, energy, industrial systems, or applied technology.</x:v>
      </x:c>
      <x:c r="R40" s="35" t="str">
        <x:v>https://mel.ubc.ca/sustainable-process-engineering</x:v>
      </x:c>
    </x:row>
    <x:row r="41">
      <x:c r="A41" t="n">
        <x:v>37</x:v>
      </x:c>
      <x:c r="B41" t="str">
        <x:v>Zhejiang University</x:v>
      </x:c>
      <x:c r="C41" t="str">
        <x:v>China (Mainland)</x:v>
      </x:c>
      <x:c r="D41" s="32" t="str">
        <x:v>Graduate program in Environmental Science and Engineering</x:v>
      </x:c>
      <x:c r="E41" s="32" t="str">
        <x:v>Environmental Sciences</x:v>
      </x:c>
      <x:c r="F41" s="36" t="str">
        <x:v>40</x:v>
      </x:c>
      <x:c r="G41" s="36" t="str">
        <x:v>48</x:v>
      </x:c>
      <x:c r="H41" s="36" t="n">
        <x:f>61</x:f>
        <x:v>61</x:v>
      </x:c>
      <x:c r="I41" s="36" t="str">
        <x:v>23</x:v>
      </x:c>
      <x:c r="J41" s="36" t="n">
        <x:f>52</x:f>
        <x:v>52</x:v>
      </x:c>
      <x:c r="K41" s="32" t="str">
        <x:v>Engineering</x:v>
      </x:c>
      <x:c r="L41" s="39" t="str">
        <x:v>29</x:v>
      </x:c>
      <x:c r="M41" s="39" t="n">
        <x:f>30</x:f>
        <x:v>30</x:v>
      </x:c>
      <x:c r="N41" s="39" t="str">
        <x:v>30</x:v>
      </x:c>
      <x:c r="O41" s="39" t="str">
        <x:v>27</x:v>
      </x:c>
      <x:c r="P41" s="39" t="str">
        <x:v>23</x:v>
      </x:c>
      <x:c r="Q41" s="32" t="str">
        <x:v>Program title emphasizes engineering, energy, industrial systems, or applied technology.</x:v>
      </x:c>
      <x:c r="R41" s="35" t="str">
        <x:v>http://www.cers.zju.edu.cn/cersen/</x:v>
      </x:c>
    </x:row>
    <x:row r="42">
      <x:c r="A42" t="n">
        <x:v>38</x:v>
      </x:c>
      <x:c r="B42" t="str">
        <x:v>University of California, Los Angeles (UCLA)</x:v>
      </x:c>
      <x:c r="C42" t="str">
        <x:v>United States</x:v>
      </x:c>
      <x:c r="D42" s="32" t="str">
        <x:v>Urban Planning MA - Environmental Analysis and Policy / sustainability focus</x:v>
      </x:c>
      <x:c r="E42" s="32" t="str">
        <x:v>Architecture &amp; Built Environment</x:v>
      </x:c>
      <x:c r="F42" s="36" t="str">
        <x:v>18</x:v>
      </x:c>
      <x:c r="G42" s="36" t="str">
        <x:v>18</x:v>
      </x:c>
      <x:c r="H42" s="36" t="str">
        <x:v>17</x:v>
      </x:c>
      <x:c r="I42" s="36" t="n">
        <x:f>27</x:f>
        <x:v>27</x:v>
      </x:c>
      <x:c r="J42" s="36" t="str">
        <x:v>32</x:v>
      </x:c>
      <x:c r="K42" s="32" t="str">
        <x:v>Social Sciences</x:v>
      </x:c>
      <x:c r="L42" s="39" t="str">
        <x:v>12</x:v>
      </x:c>
      <x:c r="M42" s="39" t="str">
        <x:v>11</x:v>
      </x:c>
      <x:c r="N42" s="39" t="str">
        <x:v>15</x:v>
      </x:c>
      <x:c r="O42" s="39" t="str">
        <x:v>15</x:v>
      </x:c>
      <x:c r="P42" s="39" t="str">
        <x:v>14</x:v>
      </x:c>
      <x:c r="Q42" s="32" t="str">
        <x:v>Program title emphasizes planning, design, urban development, or the built environment.</x:v>
      </x:c>
      <x:c r="R42" s="35" t="str">
        <x:v>https://luskin.ucla.edu/urban-planning</x:v>
      </x:c>
    </x:row>
    <x:row r="43">
      <x:c r="A43" t="n">
        <x:v>39</x:v>
      </x:c>
      <x:c r="B43" t="str">
        <x:v>The University of New South Wales (UNSW Sydney)</x:v>
      </x:c>
      <x:c r="C43" t="str">
        <x:v>Australia</x:v>
      </x:c>
      <x:c r="D43" s="32" t="str">
        <x:v>Master of Environmental Management</x:v>
      </x:c>
      <x:c r="E43" s="32" t="str">
        <x:v>Environmental Sciences</x:v>
      </x:c>
      <x:c r="F43" s="36" t="str">
        <x:v>22</x:v>
      </x:c>
      <x:c r="G43" s="36" t="str">
        <x:v>31</x:v>
      </x:c>
      <x:c r="H43" s="36" t="str">
        <x:v>33</x:v>
      </x:c>
      <x:c r="I43" s="36" t="str">
        <x:v>38</x:v>
      </x:c>
      <x:c r="J43" s="36" t="n">
        <x:f>25</x:f>
        <x:v>25</x:v>
      </x:c>
      <x:c r="K43" s="32" t="str">
        <x:v>Physical Sciences</x:v>
      </x:c>
      <x:c r="L43" s="39" t="str">
        <x:v>82</x:v>
      </x:c>
      <x:c r="M43" s="39" t="n">
        <x:f>98</x:f>
        <x:v>98</x:v>
      </x:c>
      <x:c r="N43" s="39" t="str">
        <x:v>88</x:v>
      </x:c>
      <x:c r="O43" s="39" t="n">
        <x:f>82</x:f>
        <x:v>82</x:v>
      </x:c>
      <x:c r="P43" s="39" t="str">
        <x:v>83</x:v>
      </x:c>
      <x:c r="Q43" s="32" t="str">
        <x:v>Program title emphasizes environmental science, climate, sustainability science, or natural resources.</x:v>
      </x:c>
      <x:c r="R43" s="35" t="str">
        <x:v>https://www.unsw.edu.au/study/postgraduate/master-of-environmental-management</x:v>
      </x:c>
    </x:row>
    <x:row r="44">
      <x:c r="A44" t="n">
        <x:v>40</x:v>
      </x:c>
      <x:c r="B44" t="str">
        <x:v>The University of Sydney</x:v>
      </x:c>
      <x:c r="C44" t="str">
        <x:v>Australia</x:v>
      </x:c>
      <x:c r="D44" s="32" t="str">
        <x:v>Master of Sustainability</x:v>
      </x:c>
      <x:c r="E44" s="32" t="str">
        <x:v>Environmental Sciences</x:v>
      </x:c>
      <x:c r="F44" s="36" t="str">
        <x:v>48</x:v>
      </x:c>
      <x:c r="G44" s="36" t="str">
        <x:v>62</x:v>
      </x:c>
      <x:c r="H44" s="36" t="str">
        <x:v>58</x:v>
      </x:c>
      <x:c r="I44" s="36" t="n">
        <x:f>66</x:f>
        <x:v>66</x:v>
      </x:c>
      <x:c r="J44" s="36" t="n">
        <x:f>64</x:f>
        <x:v>64</x:v>
      </x:c>
      <x:c r="K44" s="32" t="str">
        <x:v>Physical Sciences</x:v>
      </x:c>
      <x:c r="L44" s="39" t="str">
        <x:v>101–125</x:v>
      </x:c>
      <x:c r="M44" s="39" t="str">
        <x:v>101–125</x:v>
      </x:c>
      <x:c r="N44" s="39" t="n">
        <x:f>82</x:f>
        <x:v>82</x:v>
      </x:c>
      <x:c r="O44" s="39" t="n">
        <x:f>85</x:f>
        <x:v>85</x:v>
      </x:c>
      <x:c r="P44" s="39" t="n">
        <x:f>70</x:f>
        <x:v>70</x:v>
      </x:c>
      <x:c r="Q44" s="32" t="str">
        <x:v>Program title emphasizes environmental science, climate, sustainability science, or natural resources.</x:v>
      </x:c>
      <x:c r="R44" s="35" t="str">
        <x:v>https://www.sydney.edu.au/courses/courses/pc/master-of-sustainability.html</x:v>
      </x:c>
    </x:row>
    <x:row r="45">
      <x:c r="A45" t="n">
        <x:v>41</x:v>
      </x:c>
      <x:c r="B45" t="str">
        <x:v>Australian National University (ANU)</x:v>
      </x:c>
      <x:c r="C45" t="str">
        <x:v>Australia</x:v>
      </x:c>
      <x:c r="D45" s="32" t="str">
        <x:v>Master of Climate Change</x:v>
      </x:c>
      <x:c r="E45" s="32" t="str">
        <x:v>Environmental Sciences</x:v>
      </x:c>
      <x:c r="F45" s="36" t="n">
        <x:f>29</x:f>
        <x:v>29</x:v>
      </x:c>
      <x:c r="G45" s="36" t="str">
        <x:v>29</x:v>
      </x:c>
      <x:c r="H45" s="36" t="n">
        <x:f>44</x:f>
        <x:v>44</x:v>
      </x:c>
      <x:c r="I45" s="36" t="str">
        <x:v>52</x:v>
      </x:c>
      <x:c r="J45" s="36" t="n">
        <x:f>59</x:f>
        <x:v>59</x:v>
      </x:c>
      <x:c r="K45" s="32" t="str">
        <x:v>Physical Sciences</x:v>
      </x:c>
      <x:c r="L45" s="39" t="n">
        <x:f>43</x:f>
        <x:v>43</x:v>
      </x:c>
      <x:c r="M45" s="39" t="str">
        <x:v>56</x:v>
      </x:c>
      <x:c r="N45" s="39" t="str">
        <x:v>55</x:v>
      </x:c>
      <x:c r="O45" s="39" t="str">
        <x:v>59</x:v>
      </x:c>
      <x:c r="P45" s="39" t="str">
        <x:v>60</x:v>
      </x:c>
      <x:c r="Q45" s="32" t="str">
        <x:v>Program title emphasizes environmental science, climate, sustainability science, or natural resources.</x:v>
      </x:c>
      <x:c r="R45" s="35" t="str">
        <x:v>https://programsandcourses.anu.edu.au/program/MCLCH</x:v>
      </x:c>
    </x:row>
    <x:row r="46">
      <x:c r="A46" t="n">
        <x:v>42</x:v>
      </x:c>
      <x:c r="B46" t="str">
        <x:v>Monash University</x:v>
      </x:c>
      <x:c r="C46" t="str">
        <x:v>Australia</x:v>
      </x:c>
      <x:c r="D46" s="32" t="str">
        <x:v>Master of Environment and Sustainability</x:v>
      </x:c>
      <x:c r="E46" s="32" t="str">
        <x:v>Environmental Sciences</x:v>
      </x:c>
      <x:c r="F46" s="36" t="str">
        <x:v>85</x:v>
      </x:c>
      <x:c r="G46" s="36" t="str">
        <x:v>68</x:v>
      </x:c>
      <x:c r="H46" s="36" t="n">
        <x:f>66</x:f>
        <x:v>66</x:v>
      </x:c>
      <x:c r="I46" s="36" t="n">
        <x:f>69</x:f>
        <x:v>69</x:v>
      </x:c>
      <x:c r="J46" s="36" t="n">
        <x:f>52</x:f>
        <x:v>52</x:v>
      </x:c>
      <x:c r="K46" s="32" t="str">
        <x:v>Physical Sciences</x:v>
      </x:c>
      <x:c r="L46" s="39" t="n">
        <x:f>100</x:f>
        <x:v>100</x:v>
      </x:c>
      <x:c r="M46" s="39" t="n">
        <x:f>82</x:f>
        <x:v>82</x:v>
      </x:c>
      <x:c r="N46" s="39" t="n">
        <x:f>90</x:f>
        <x:v>90</x:v>
      </x:c>
      <x:c r="O46" s="39" t="str">
        <x:v>101–125</x:v>
      </x:c>
      <x:c r="P46" s="39" t="n">
        <x:f>90</x:f>
        <x:v>90</x:v>
      </x:c>
      <x:c r="Q46" s="32" t="str">
        <x:v>Program title emphasizes environmental science, climate, sustainability science, or natural resources.</x:v>
      </x:c>
      <x:c r="R46" s="35" t="str">
        <x:v>https://www.monash.edu/study/courses/find-a-course/environment-and-sustainability-s6002</x:v>
      </x:c>
    </x:row>
    <x:row r="47">
      <x:c r="A47" t="n">
        <x:v>43</x:v>
      </x:c>
      <x:c r="B47" t="str">
        <x:v>The Hong Kong University of Science and Technology</x:v>
      </x:c>
      <x:c r="C47" t="str">
        <x:v>Hong Kong SAR</x:v>
      </x:c>
      <x:c r="D47" s="32" t="str">
        <x:v>MSc in Environmental Engineering and Management</x:v>
      </x:c>
      <x:c r="E47" s="32" t="str">
        <x:v>Environmental Sciences</x:v>
      </x:c>
      <x:c r="F47" s="36" t="n">
        <x:f>35</x:f>
        <x:v>35</x:v>
      </x:c>
      <x:c r="G47" s="36" t="str">
        <x:v>50</x:v>
      </x:c>
      <x:c r="H47" s="36" t="n">
        <x:f>59</x:f>
        <x:v>59</x:v>
      </x:c>
      <x:c r="I47" s="36" t="n">
        <x:f>56</x:f>
        <x:v>56</x:v>
      </x:c>
      <x:c r="J47" s="36" t="str">
        <x:v>80</x:v>
      </x:c>
      <x:c r="K47" s="32" t="str">
        <x:v>Engineering</x:v>
      </x:c>
      <x:c r="L47" s="39" t="str">
        <x:v>28</x:v>
      </x:c>
      <x:c r="M47" s="39" t="str">
        <x:v>26</x:v>
      </x:c>
      <x:c r="N47" s="39" t="str">
        <x:v>33</x:v>
      </x:c>
      <x:c r="O47" s="39" t="str">
        <x:v>33</x:v>
      </x:c>
      <x:c r="P47" s="39" t="n">
        <x:f>38</x:f>
        <x:v>38</x:v>
      </x:c>
      <x:c r="Q47" s="32" t="str">
        <x:v>Program title emphasizes engineering, energy, industrial systems, or applied technology.</x:v>
      </x:c>
      <x:c r="R47" s="35" t="str">
        <x:v>https://cee.hkust.edu.hk/msc-environmental-engineering-and-management</x:v>
      </x:c>
    </x:row>
    <x:row r="48">
      <x:c r="A48" t="n">
        <x:v>44</x:v>
      </x:c>
      <x:c r="B48" t="str">
        <x:v>Seoul National University</x:v>
      </x:c>
      <x:c r="C48" t="str">
        <x:v>South Korea</x:v>
      </x:c>
      <x:c r="D48" s="32" t="str">
        <x:v>Graduate School of Environmental Studies - Environmental Management</x:v>
      </x:c>
      <x:c r="E48" s="32" t="str">
        <x:v>Environmental Sciences</x:v>
      </x:c>
      <x:c r="F48" s="36" t="n">
        <x:f>44</x:f>
        <x:v>44</x:v>
      </x:c>
      <x:c r="G48" s="36" t="str">
        <x:v>32</x:v>
      </x:c>
      <x:c r="H48" s="36" t="str">
        <x:v>54</x:v>
      </x:c>
      <x:c r="I48" s="36" t="n">
        <x:f>32</x:f>
        <x:v>32</x:v>
      </x:c>
      <x:c r="J48" s="36" t="n">
        <x:f>43</x:f>
        <x:v>43</x:v>
      </x:c>
      <x:c r="K48" s="32" t="str">
        <x:v>Physical Sciences</x:v>
      </x:c>
      <x:c r="L48" s="39" t="str">
        <x:v>101–125</x:v>
      </x:c>
      <x:c r="M48" s="39" t="str">
        <x:v>101–125</x:v>
      </x:c>
      <x:c r="N48" s="39" t="str">
        <x:v>69</x:v>
      </x:c>
      <x:c r="O48" s="39" t="str">
        <x:v>70</x:v>
      </x:c>
      <x:c r="P48" s="39" t="n">
        <x:f>68</x:f>
        <x:v>68</x:v>
      </x:c>
      <x:c r="Q48" s="32" t="str">
        <x:v>Program title emphasizes environmental science, climate, sustainability science, or natural resources.</x:v>
      </x:c>
      <x:c r="R48" s="35" t="str">
        <x:v>https://gses.snu.ac.kr/</x:v>
      </x:c>
    </x:row>
    <x:row r="49">
      <x:c r="A49" t="n">
        <x:v>45</x:v>
      </x:c>
      <x:c r="B49" t="str">
        <x:v>The University of Manchester</x:v>
      </x:c>
      <x:c r="C49" t="str">
        <x:v>United Kingdom</x:v>
      </x:c>
      <x:c r="D49" s="32" t="str">
        <x:v>MSc Environmental Governance</x:v>
      </x:c>
      <x:c r="E49" s="32" t="str">
        <x:v>Development Studies</x:v>
      </x:c>
      <x:c r="F49" s="36" t="str">
        <x:v>7</x:v>
      </x:c>
      <x:c r="G49" s="36" t="str">
        <x:v>7</x:v>
      </x:c>
      <x:c r="H49" s="36" t="n">
        <x:f>10</x:f>
        <x:v>10</x:v>
      </x:c>
      <x:c r="I49" s="36" t="str">
        <x:v>11</x:v>
      </x:c>
      <x:c r="J49" s="36" t="str">
        <x:v>5</x:v>
      </x:c>
      <x:c r="K49" s="32" t="str">
        <x:v>Social Sciences</x:v>
      </x:c>
      <x:c r="L49" s="39" t="str">
        <x:v>28</x:v>
      </x:c>
      <x:c r="M49" s="39" t="str">
        <x:v>31</x:v>
      </x:c>
      <x:c r="N49" s="39" t="str">
        <x:v>28</x:v>
      </x:c>
      <x:c r="O49" s="39" t="str">
        <x:v>37</x:v>
      </x:c>
      <x:c r="P49" s="39" t="str">
        <x:v>32</x:v>
      </x:c>
      <x:c r="Q49" s="32" t="str">
        <x:v>Program title emphasizes public policy, governance, development, or society.</x:v>
      </x:c>
      <x:c r="R49" s="35" t="str">
        <x:v>https://www.manchester.ac.uk/study/masters/courses/list/10380/msc-environmental-governance/</x:v>
      </x:c>
    </x:row>
    <x:row r="50">
      <x:c r="A50" t="n">
        <x:v>46</x:v>
      </x:c>
      <x:c r="B50" t="str">
        <x:v>The University of Queensland</x:v>
      </x:c>
      <x:c r="C50" t="str">
        <x:v>Australia</x:v>
      </x:c>
      <x:c r="D50" s="32" t="str">
        <x:v>Master of Environmental Management</x:v>
      </x:c>
      <x:c r="E50" s="32" t="str">
        <x:v>Environmental Sciences</x:v>
      </x:c>
      <x:c r="F50" s="36" t="str">
        <x:v>19</x:v>
      </x:c>
      <x:c r="G50" s="36" t="str">
        <x:v>20</x:v>
      </x:c>
      <x:c r="H50" s="36" t="n">
        <x:f>18</x:f>
        <x:v>18</x:v>
      </x:c>
      <x:c r="I50" s="36" t="str">
        <x:v>15</x:v>
      </x:c>
      <x:c r="J50" s="36" t="n">
        <x:f>18</x:f>
        <x:v>18</x:v>
      </x:c>
      <x:c r="K50" s="32" t="str">
        <x:v>Physical Sciences</x:v>
      </x:c>
      <x:c r="L50" s="39" t="str">
        <x:v>89</x:v>
      </x:c>
      <x:c r="M50" s="39" t="str">
        <x:v>70</x:v>
      </x:c>
      <x:c r="N50" s="39" t="str">
        <x:v>80</x:v>
      </x:c>
      <x:c r="O50" s="39" t="str">
        <x:v>87</x:v>
      </x:c>
      <x:c r="P50" s="39" t="n">
        <x:f>96</x:f>
        <x:v>96</x:v>
      </x:c>
      <x:c r="Q50" s="32" t="str">
        <x:v>Program title emphasizes environmental science, climate, sustainability science, or natural resources.</x:v>
      </x:c>
      <x:c r="R50" s="35" t="str">
        <x:v>https://study.uq.edu.au/study-options/programs/master-environmental-management-5609</x:v>
      </x:c>
    </x:row>
    <x:row r="51">
      <x:c r="A51" t="n">
        <x:v>47</x:v>
      </x:c>
      <x:c r="B51" t="str">
        <x:v>Yonsei University</x:v>
      </x:c>
      <x:c r="C51" t="str">
        <x:v>South Korea</x:v>
      </x:c>
      <x:c r="D51" s="32" t="str">
        <x:v>Global Sustainable Development Cooperation major</x:v>
      </x:c>
      <x:c r="E51" s="32" t="str">
        <x:v>Development Studies</x:v>
      </x:c>
      <x:c r="F51" s="36" t="str">
        <x:v>48</x:v>
      </x:c>
      <x:c r="G51" s="36" t="str">
        <x:v>45</x:v>
      </x:c>
      <x:c r="H51" s="36" t="str">
        <x:v>38</x:v>
      </x:c>
      <x:c r="I51" s="36" t="n">
        <x:f>37</x:f>
        <x:v>37</x:v>
      </x:c>
      <x:c r="J51" s="36" t="str">
        <x:v>NR</x:v>
      </x:c>
      <x:c r="K51" s="32" t="str">
        <x:v>Social Sciences</x:v>
      </x:c>
      <x:c r="L51" s="39" t="str">
        <x:v>151–175</x:v>
      </x:c>
      <x:c r="M51" s="39" t="str">
        <x:v>101–125</x:v>
      </x:c>
      <x:c r="N51" s="39" t="str">
        <x:v>96</x:v>
      </x:c>
      <x:c r="O51" s="39" t="str">
        <x:v>101–125</x:v>
      </x:c>
      <x:c r="P51" s="39" t="str">
        <x:v>101–125</x:v>
      </x:c>
      <x:c r="Q51" s="32" t="str">
        <x:v>Program title emphasizes public policy, governance, development, or society.</x:v>
      </x:c>
      <x:c r="R51" s="35" t="str">
        <x:v>https://gsis.yonsei.ac.kr/gsis/academics/gsdc.do</x:v>
      </x:c>
    </x:row>
    <x:row r="52">
      <x:c r="A52" t="n">
        <x:v>48</x:v>
      </x:c>
      <x:c r="B52" t="str">
        <x:v>Institut Polytechnique de Paris</x:v>
      </x:c>
      <x:c r="C52" t="str">
        <x:v>France</x:v>
      </x:c>
      <x:c r="D52" s="32" t="str">
        <x:v>MSc&amp;T Energy Environment: Science Technology and Management</x:v>
      </x:c>
      <x:c r="E52" s="32" t="str">
        <x:v>Environmental Sciences</x:v>
      </x:c>
      <x:c r="F52" s="36" t="str">
        <x:v>151-200</x:v>
      </x:c>
      <x:c r="G52" s="36" t="str">
        <x:v>101-150</x:v>
      </x:c>
      <x:c r="H52" s="36" t="str">
        <x:v>151-200</x:v>
      </x:c>
      <x:c r="I52" s="36" t="str">
        <x:v>151-200</x:v>
      </x:c>
      <x:c r="J52" s="36" t="n">
        <x:f>108</x:f>
        <x:v>108</x:v>
      </x:c>
      <x:c r="K52" s="32" t="str">
        <x:v>Engineering</x:v>
      </x:c>
      <x:c r="L52" s="39" t="str">
        <x:v>101–125</x:v>
      </x:c>
      <x:c r="M52" s="39" t="str">
        <x:v>101–125</x:v>
      </x:c>
      <x:c r="N52" s="39" t="str">
        <x:v>99</x:v>
      </x:c>
      <x:c r="O52" s="39" t="n">
        <x:f>96</x:f>
        <x:v>96</x:v>
      </x:c>
      <x:c r="P52" s="39" t="n">
        <x:f>81</x:f>
        <x:v>81</x:v>
      </x:c>
      <x:c r="Q52" s="32" t="str">
        <x:v>Program title emphasizes engineering, energy, industrial systems, or applied technology.</x:v>
      </x:c>
      <x:c r="R52" s="35" t="str">
        <x:v>https://www.ip-paris.fr/en/education/masters/msc-t-programs/energy-environment-science-technology-and-management</x:v>
      </x:c>
    </x:row>
    <x:row r="53">
      <x:c r="A53" t="n">
        <x:v>49</x:v>
      </x:c>
      <x:c r="B53" t="str">
        <x:v>Delft University of Technology</x:v>
      </x:c>
      <x:c r="C53" t="str">
        <x:v>Netherlands</x:v>
      </x:c>
      <x:c r="D53" s="32" t="str">
        <x:v>MSc Industrial Ecology</x:v>
      </x:c>
      <x:c r="E53" s="32" t="str">
        <x:v>Environmental Sciences</x:v>
      </x:c>
      <x:c r="F53" s="36" t="str">
        <x:v>12</x:v>
      </x:c>
      <x:c r="G53" s="36" t="str">
        <x:v>13</x:v>
      </x:c>
      <x:c r="H53" s="36" t="str">
        <x:v>13</x:v>
      </x:c>
      <x:c r="I53" s="36" t="str">
        <x:v>16</x:v>
      </x:c>
      <x:c r="J53" s="36" t="n">
        <x:f>12</x:f>
        <x:v>12</x:v>
      </x:c>
      <x:c r="K53" s="32" t="str">
        <x:v>Engineering</x:v>
      </x:c>
      <x:c r="L53" s="39" t="str">
        <x:v>21</x:v>
      </x:c>
      <x:c r="M53" s="39" t="str">
        <x:v>21</x:v>
      </x:c>
      <x:c r="N53" s="39" t="str">
        <x:v>16</x:v>
      </x:c>
      <x:c r="O53" s="39" t="str">
        <x:v>17</x:v>
      </x:c>
      <x:c r="P53" s="39" t="str">
        <x:v>16</x:v>
      </x:c>
      <x:c r="Q53" s="32" t="str">
        <x:v>Program title emphasizes engineering, energy, industrial systems, or applied technology.</x:v>
      </x:c>
      <x:c r="R53" s="35" t="str">
        <x:v>https://www.tudelft.nl/en/education/programmes/masters/industrial-ecology/msc-industrial-ecology</x:v>
      </x:c>
    </x:row>
    <x:row r="54">
      <x:c r="A54" t="n">
        <x:v>50</x:v>
      </x:c>
      <x:c r="B54" t="str">
        <x:v>The Hong Kong Polytechnic University</x:v>
      </x:c>
      <x:c r="C54" t="str">
        <x:v>Hong Kong SAR</x:v>
      </x:c>
      <x:c r="D54" s="32" t="str">
        <x:v>MSc in Sustainable Urban Development</x:v>
      </x:c>
      <x:c r="E54" s="32" t="str">
        <x:v>Architecture &amp; Built Environment</x:v>
      </x:c>
      <x:c r="F54" s="36" t="str">
        <x:v>15</x:v>
      </x:c>
      <x:c r="G54" s="36" t="str">
        <x:v>16</x:v>
      </x:c>
      <x:c r="H54" s="36" t="str">
        <x:v>14</x:v>
      </x:c>
      <x:c r="I54" s="36" t="str">
        <x:v>17</x:v>
      </x:c>
      <x:c r="J54" s="36" t="n">
        <x:f>21</x:f>
        <x:v>21</x:v>
      </x:c>
      <x:c r="K54" s="32" t="str">
        <x:v>Engineering</x:v>
      </x:c>
      <x:c r="L54" s="39" t="str">
        <x:v>51</x:v>
      </x:c>
      <x:c r="M54" s="39" t="str">
        <x:v>40</x:v>
      </x:c>
      <x:c r="N54" s="39" t="str">
        <x:v>38</x:v>
      </x:c>
      <x:c r="O54" s="39" t="str">
        <x:v>41</x:v>
      </x:c>
      <x:c r="P54" s="39" t="str">
        <x:v>43</x:v>
      </x:c>
      <x:c r="Q54" s="32" t="str">
        <x:v>Program title emphasizes planning, design, urban development, or the built environment.</x:v>
      </x:c>
      <x:c r="R54" s="35" t="str">
        <x:v>https://www.polyu.edu.hk/bre/study/taught-postgraduate-programmes/msc-in-sustainable-urban-development/</x:v>
      </x:c>
    </x:row>
    <x:row r="55">
      <x:c r="A55" t="n">
        <x:v>51</x:v>
      </x:c>
      <x:c r="B55" t="str">
        <x:v>University of Michigan-Ann Arbor</x:v>
      </x:c>
      <x:c r="C55" t="str">
        <x:v>United States</x:v>
      </x:c>
      <x:c r="D55" s="32" t="str">
        <x:v>MS in Sustainable Systems</x:v>
      </x:c>
      <x:c r="E55" s="32" t="str">
        <x:v>Environmental Sciences</x:v>
      </x:c>
      <x:c r="F55" s="36" t="str">
        <x:v>27</x:v>
      </x:c>
      <x:c r="G55" s="36" t="str">
        <x:v>21</x:v>
      </x:c>
      <x:c r="H55" s="36" t="str">
        <x:v>24</x:v>
      </x:c>
      <x:c r="I55" s="36" t="n">
        <x:f>18</x:f>
        <x:v>18</x:v>
      </x:c>
      <x:c r="J55" s="36" t="n">
        <x:f>28</x:f>
        <x:v>28</x:v>
      </x:c>
      <x:c r="K55" s="32" t="str">
        <x:v>Engineering</x:v>
      </x:c>
      <x:c r="L55" s="39" t="str">
        <x:v>20</x:v>
      </x:c>
      <x:c r="M55" s="39" t="str">
        <x:v>18</x:v>
      </x:c>
      <x:c r="N55" s="39" t="str">
        <x:v>19</x:v>
      </x:c>
      <x:c r="O55" s="39" t="str">
        <x:v>19</x:v>
      </x:c>
      <x:c r="P55" s="39" t="str">
        <x:v>22</x:v>
      </x:c>
      <x:c r="Q55" s="32" t="str">
        <x:v>Program title emphasizes engineering, energy, industrial systems, or applied technology.</x:v>
      </x:c>
      <x:c r="R55" s="35" t="str">
        <x:v>https://seas.umich.edu/academics/master-science/sustainable-systems</x:v>
      </x:c>
    </x:row>
    <x:row r="56">
      <x:c r="A56" t="n">
        <x:v>52</x:v>
      </x:c>
      <x:c r="B56" t="str">
        <x:v>Carnegie Mellon University</x:v>
      </x:c>
      <x:c r="C56" t="str">
        <x:v>United States</x:v>
      </x:c>
      <x:c r="D56" s="32" t="str">
        <x:v>MS in Sustainable Design</x:v>
      </x:c>
      <x:c r="E56" s="32" t="str">
        <x:v>Architecture &amp; Built Environment</x:v>
      </x:c>
      <x:c r="F56" s="36" t="str">
        <x:v>51-100</x:v>
      </x:c>
      <x:c r="G56" s="36" t="str">
        <x:v>51-100</x:v>
      </x:c>
      <x:c r="H56" s="36" t="str">
        <x:v>51-100</x:v>
      </x:c>
      <x:c r="I56" s="36" t="str">
        <x:v>51-100</x:v>
      </x:c>
      <x:c r="J56" s="36" t="str">
        <x:v>51-100</x:v>
      </x:c>
      <x:c r="K56" s="32" t="str">
        <x:v>Engineering</x:v>
      </x:c>
      <x:c r="L56" s="39" t="str">
        <x:v>18</x:v>
      </x:c>
      <x:c r="M56" s="39" t="str">
        <x:v>22</x:v>
      </x:c>
      <x:c r="N56" s="39" t="str">
        <x:v>21</x:v>
      </x:c>
      <x:c r="O56" s="39" t="str">
        <x:v>20</x:v>
      </x:c>
      <x:c r="P56" s="39" t="str">
        <x:v>20</x:v>
      </x:c>
      <x:c r="Q56" s="32" t="str">
        <x:v>Program title emphasizes planning, design, urban development, or the built environment.</x:v>
      </x:c>
      <x:c r="R56" s="35" t="str">
        <x:v>https://soa.cmu.edu/ms-sustainable-design</x:v>
      </x:c>
    </x:row>
    <x:row r="57">
      <x:c r="A57" t="n">
        <x:v>53</x:v>
      </x:c>
      <x:c r="B57" t="str">
        <x:v>University of Washington</x:v>
      </x:c>
      <x:c r="C57" t="str">
        <x:v>United States</x:v>
      </x:c>
      <x:c r="D57" s="32" t="str">
        <x:v>MPA Environmental Policy specialization / sustainability pathway</x:v>
      </x:c>
      <x:c r="E57" s="32" t="str">
        <x:v>Development Studies</x:v>
      </x:c>
      <x:c r="F57" s="36" t="str">
        <x:v>NR</x:v>
      </x:c>
      <x:c r="G57" s="36" t="str">
        <x:v>NR</x:v>
      </x:c>
      <x:c r="H57" s="36" t="str">
        <x:v>NR</x:v>
      </x:c>
      <x:c r="I57" s="36" t="str">
        <x:v>NR</x:v>
      </x:c>
      <x:c r="J57" s="36" t="str">
        <x:v>NR</x:v>
      </x:c>
      <x:c r="K57" s="32" t="str">
        <x:v>Social Sciences</x:v>
      </x:c>
      <x:c r="L57" s="39" t="n">
        <x:f>26</x:f>
        <x:v>26</x:v>
      </x:c>
      <x:c r="M57" s="39" t="str">
        <x:v>18</x:v>
      </x:c>
      <x:c r="N57" s="39" t="str">
        <x:v>22</x:v>
      </x:c>
      <x:c r="O57" s="39" t="n">
        <x:f>25</x:f>
        <x:v>25</x:v>
      </x:c>
      <x:c r="P57" s="39" t="str">
        <x:v>25</x:v>
      </x:c>
      <x:c r="Q57" s="32" t="str">
        <x:v>Program title emphasizes public policy, governance, development, or society.</x:v>
      </x:c>
      <x:c r="R57" s="35" t="str">
        <x:v>https://evans.uw.edu/academic-programs/graduate-degrees/master-of-public-administration/</x:v>
      </x:c>
    </x:row>
    <x:row r="58">
      <x:c r="A58" t="n">
        <x:v>54</x:v>
      </x:c>
      <x:c r="B58" t="str">
        <x:v>Duke University</x:v>
      </x:c>
      <x:c r="C58" t="str">
        <x:v>United States</x:v>
      </x:c>
      <x:c r="D58" s="32" t="str">
        <x:v>Master of Environmental Management</x:v>
      </x:c>
      <x:c r="E58" s="32" t="str">
        <x:v>Environmental Sciences</x:v>
      </x:c>
      <x:c r="F58" s="36" t="str">
        <x:v>38</x:v>
      </x:c>
      <x:c r="G58" s="36" t="str">
        <x:v>42</x:v>
      </x:c>
      <x:c r="H58" s="36" t="str">
        <x:v>43</x:v>
      </x:c>
      <x:c r="I58" s="36" t="str">
        <x:v>46</x:v>
      </x:c>
      <x:c r="J58" s="36" t="str">
        <x:v>42</x:v>
      </x:c>
      <x:c r="K58" s="32" t="str">
        <x:v>Physical Sciences</x:v>
      </x:c>
      <x:c r="L58" s="39" t="str">
        <x:v>51</x:v>
      </x:c>
      <x:c r="M58" s="39" t="str">
        <x:v>54</x:v>
      </x:c>
      <x:c r="N58" s="39" t="str">
        <x:v>48</x:v>
      </x:c>
      <x:c r="O58" s="39" t="str">
        <x:v>52</x:v>
      </x:c>
      <x:c r="P58" s="39" t="str">
        <x:v>53</x:v>
      </x:c>
      <x:c r="Q58" s="32" t="str">
        <x:v>Program title emphasizes environmental science, climate, sustainability science, or natural resources.</x:v>
      </x:c>
      <x:c r="R58" s="35" t="str">
        <x:v>https://nicholas.duke.edu/academics/masters-programs/master-environmental-management</x:v>
      </x:c>
    </x:row>
    <x:row r="59">
      <x:c r="A59" t="n">
        <x:v>55</x:v>
      </x:c>
      <x:c r="B59" t="str">
        <x:v>New York University</x:v>
      </x:c>
      <x:c r="C59" t="str">
        <x:v>United States</x:v>
      </x:c>
      <x:c r="D59" s="32" t="str">
        <x:v>MS in Environmental Policy and Sustainability Management</x:v>
      </x:c>
      <x:c r="E59" s="32" t="str">
        <x:v>Business &amp; Management Studies</x:v>
      </x:c>
      <x:c r="F59" s="36" t="str">
        <x:v>18</x:v>
      </x:c>
      <x:c r="G59" s="36" t="str">
        <x:v>16</x:v>
      </x:c>
      <x:c r="H59" s="36" t="str">
        <x:v>15</x:v>
      </x:c>
      <x:c r="I59" s="36" t="n">
        <x:f>17</x:f>
        <x:v>17</x:v>
      </x:c>
      <x:c r="J59" s="36" t="str">
        <x:v>16</x:v>
      </x:c>
      <x:c r="K59" s="32" t="str">
        <x:v>Business and Economics</x:v>
      </x:c>
      <x:c r="L59" s="39" t="str">
        <x:v>17</x:v>
      </x:c>
      <x:c r="M59" s="39" t="str">
        <x:v>18</x:v>
      </x:c>
      <x:c r="N59" s="39" t="str">
        <x:v>17</x:v>
      </x:c>
      <x:c r="O59" s="39" t="str">
        <x:v>17</x:v>
      </x:c>
      <x:c r="P59" s="39" t="str">
        <x:v>18</x:v>
      </x:c>
      <x:c r="Q59" s="32" t="str">
        <x:v>Program title emphasizes management, finance, enterprise, strategy, or business.</x:v>
      </x:c>
      <x:c r="R59" s="35" t="str">
        <x:v>https://www.sps.nyu.edu/homepage/academics/masters-degrees/ms-in-environmental-policy-and-sustainability-management.html</x:v>
      </x:c>
    </x:row>
    <x:row r="60">
      <x:c r="A60" t="n">
        <x:v>56</x:v>
      </x:c>
      <x:c r="B60" t="str">
        <x:v>LMU Munich</x:v>
      </x:c>
      <x:c r="C60" t="str">
        <x:v>Germany</x:v>
      </x:c>
      <x:c r="D60" s="32" t="str">
        <x:v>MSc Environment and Society</x:v>
      </x:c>
      <x:c r="E60" s="32" t="str">
        <x:v>Development Studies</x:v>
      </x:c>
      <x:c r="F60" s="36" t="str">
        <x:v>NR</x:v>
      </x:c>
      <x:c r="G60" s="36" t="str">
        <x:v>NR</x:v>
      </x:c>
      <x:c r="H60" s="36" t="str">
        <x:v>NR</x:v>
      </x:c>
      <x:c r="I60" s="36" t="str">
        <x:v>NR</x:v>
      </x:c>
      <x:c r="J60" s="36" t="str">
        <x:v>NR</x:v>
      </x:c>
      <x:c r="K60" s="32" t="str">
        <x:v>Social Sciences</x:v>
      </x:c>
      <x:c r="L60" s="39" t="str">
        <x:v>69</x:v>
      </x:c>
      <x:c r="M60" s="39" t="str">
        <x:v>64</x:v>
      </x:c>
      <x:c r="N60" s="39" t="n">
        <x:f>61</x:f>
        <x:v>61</x:v>
      </x:c>
      <x:c r="O60" s="39" t="str">
        <x:v>67</x:v>
      </x:c>
      <x:c r="P60" s="39" t="n">
        <x:f>60</x:f>
        <x:v>60</x:v>
      </x:c>
      <x:c r="Q60" s="32" t="str">
        <x:v>Program title emphasizes public policy, governance, development, or society.</x:v>
      </x:c>
      <x:c r="R60" s="35" t="str">
        <x:v>https://www.lmu.de/en/study/all-degrees-and-programs/programs-for-international-visiting-students/environment-and-society-masters-program/</x:v>
      </x:c>
    </x:row>
    <x:row r="61">
      <x:c r="A61" t="n">
        <x:v>57</x:v>
      </x:c>
      <x:c r="B61" t="str">
        <x:v>Georgia Institute of Technology</x:v>
      </x:c>
      <x:c r="C61" t="str">
        <x:v>United States</x:v>
      </x:c>
      <x:c r="D61" s="32" t="str">
        <x:v>Master of Sustainable Energy and Environmental Management</x:v>
      </x:c>
      <x:c r="E61" s="32" t="str">
        <x:v>Environmental Sciences</x:v>
      </x:c>
      <x:c r="F61" s="36" t="n">
        <x:f>41</x:f>
        <x:v>41</x:v>
      </x:c>
      <x:c r="G61" s="36" t="str">
        <x:v>40</x:v>
      </x:c>
      <x:c r="H61" s="36" t="n">
        <x:f>39</x:f>
        <x:v>39</x:v>
      </x:c>
      <x:c r="I61" s="36" t="n">
        <x:f>36</x:f>
        <x:v>36</x:v>
      </x:c>
      <x:c r="J61" s="36" t="n">
        <x:f>39</x:f>
        <x:v>39</x:v>
      </x:c>
      <x:c r="K61" s="32" t="str">
        <x:v>Engineering</x:v>
      </x:c>
      <x:c r="L61" s="39" t="str">
        <x:v>14</x:v>
      </x:c>
      <x:c r="M61" s="39" t="str">
        <x:v>11</x:v>
      </x:c>
      <x:c r="N61" s="39" t="str">
        <x:v>12</x:v>
      </x:c>
      <x:c r="O61" s="39" t="str">
        <x:v>15</x:v>
      </x:c>
      <x:c r="P61" s="39" t="str">
        <x:v>15</x:v>
      </x:c>
      <x:c r="Q61" s="32" t="str">
        <x:v>Program title emphasizes engineering, energy, industrial systems, or applied technology.</x:v>
      </x:c>
      <x:c r="R61" s="35" t="str">
        <x:v>https://spp.gatech.edu/master-sustainable-energy-environmental-management</x:v>
      </x:c>
    </x:row>
    <x:row r="62">
      <x:c r="A62" t="n">
        <x:v>58</x:v>
      </x:c>
      <x:c r="B62" t="str">
        <x:v>University of Illinois at Urbana-Champaign</x:v>
      </x:c>
      <x:c r="C62" t="str">
        <x:v>United States</x:v>
      </x:c>
      <x:c r="D62" s="32" t="str">
        <x:v>MS in Sustainable Design</x:v>
      </x:c>
      <x:c r="E62" s="32" t="str">
        <x:v>Architecture &amp; Built Environment</x:v>
      </x:c>
      <x:c r="F62" s="36" t="str">
        <x:v>50</x:v>
      </x:c>
      <x:c r="G62" s="36" t="str">
        <x:v>51-100</x:v>
      </x:c>
      <x:c r="H62" s="36" t="str">
        <x:v>51-100</x:v>
      </x:c>
      <x:c r="I62" s="36" t="str">
        <x:v>51-100</x:v>
      </x:c>
      <x:c r="J62" s="36" t="str">
        <x:v>51-100</x:v>
      </x:c>
      <x:c r="K62" s="32" t="str">
        <x:v>Engineering</x:v>
      </x:c>
      <x:c r="L62" s="39" t="str">
        <x:v>25</x:v>
      </x:c>
      <x:c r="M62" s="39" t="str">
        <x:v>28</x:v>
      </x:c>
      <x:c r="N62" s="39" t="str">
        <x:v>24</x:v>
      </x:c>
      <x:c r="O62" s="39" t="str">
        <x:v>25</x:v>
      </x:c>
      <x:c r="P62" s="39" t="str">
        <x:v>26</x:v>
      </x:c>
      <x:c r="Q62" s="32" t="str">
        <x:v>Program title emphasizes planning, design, urban development, or the built environment.</x:v>
      </x:c>
      <x:c r="R62" s="35" t="str">
        <x:v>https://arch.illinois.edu/programs-applying/graduate-degrees/ms-sustainable-design/</x:v>
      </x:c>
    </x:row>
    <x:row r="63">
      <x:c r="A63" t="n">
        <x:v>59</x:v>
      </x:c>
      <x:c r="B63" t="str">
        <x:v>KU Leuven</x:v>
      </x:c>
      <x:c r="C63" t="str">
        <x:v>Belgium</x:v>
      </x:c>
      <x:c r="D63" s="32" t="str">
        <x:v>Master of Sustainable Development</x:v>
      </x:c>
      <x:c r="E63" s="32" t="str">
        <x:v>Development Studies</x:v>
      </x:c>
      <x:c r="F63" s="36" t="str">
        <x:v>51-100</x:v>
      </x:c>
      <x:c r="G63" s="36" t="str">
        <x:v>51-100</x:v>
      </x:c>
      <x:c r="H63" s="36" t="str">
        <x:v>101-130</x:v>
      </x:c>
      <x:c r="I63" s="36" t="str">
        <x:v>NR</x:v>
      </x:c>
      <x:c r="J63" s="36" t="str">
        <x:v>101-150</x:v>
      </x:c>
      <x:c r="K63" s="32" t="str">
        <x:v>Social Sciences</x:v>
      </x:c>
      <x:c r="L63" s="39" t="n">
        <x:f>48</x:f>
        <x:v>48</x:v>
      </x:c>
      <x:c r="M63" s="39" t="str">
        <x:v>49</x:v>
      </x:c>
      <x:c r="N63" s="39" t="n">
        <x:f>40</x:f>
        <x:v>40</x:v>
      </x:c>
      <x:c r="O63" s="39" t="str">
        <x:v>39</x:v>
      </x:c>
      <x:c r="P63" s="39" t="str">
        <x:v>45</x:v>
      </x:c>
      <x:c r="Q63" s="32" t="str">
        <x:v>Program title emphasizes public policy, governance, development, or society.</x:v>
      </x:c>
      <x:c r="R63" s="35" t="str">
        <x:v>https://www.kuleuven.be/programmes/master-sustainable-development</x:v>
      </x:c>
    </x:row>
    <x:row r="64">
      <x:c r="A64" t="n">
        <x:v>60</x:v>
      </x:c>
      <x:c r="B64" t="str">
        <x:v>University of California, San Diego</x:v>
      </x:c>
      <x:c r="C64" t="str">
        <x:v>United States</x:v>
      </x:c>
      <x:c r="D64" s="32" t="str">
        <x:v>MAS in Climate Science and Policy</x:v>
      </x:c>
      <x:c r="E64" s="32" t="str">
        <x:v>Environmental Sciences</x:v>
      </x:c>
      <x:c r="F64" s="36" t="str">
        <x:v>78</x:v>
      </x:c>
      <x:c r="G64" s="36" t="str">
        <x:v>83</x:v>
      </x:c>
      <x:c r="H64" s="36" t="n">
        <x:f>82</x:f>
        <x:v>82</x:v>
      </x:c>
      <x:c r="I64" s="36" t="str">
        <x:v>101</x:v>
      </x:c>
      <x:c r="J64" s="36" t="str">
        <x:v>107</x:v>
      </x:c>
      <x:c r="K64" s="32" t="str">
        <x:v>Physical Sciences</x:v>
      </x:c>
      <x:c r="L64" s="39" t="str">
        <x:v>38</x:v>
      </x:c>
      <x:c r="M64" s="39" t="str">
        <x:v>33</x:v>
      </x:c>
      <x:c r="N64" s="39" t="str">
        <x:v>39</x:v>
      </x:c>
      <x:c r="O64" s="39" t="n">
        <x:f>41</x:f>
        <x:v>41</x:v>
      </x:c>
      <x:c r="P64" s="39" t="str">
        <x:v>47</x:v>
      </x:c>
      <x:c r="Q64" s="32" t="str">
        <x:v>Program title emphasizes environmental science, climate, sustainability science, or natural resources.</x:v>
      </x:c>
      <x:c r="R64" s="35" t="str">
        <x:v>https://gps.ucsd.edu/academics/masters-programs/mas-climate-science-policy.html</x:v>
      </x:c>
    </x:row>
    <x:row r="65">
      <x:c r="A65" t="n">
        <x:v>61</x:v>
      </x:c>
      <x:c r="B65" t="str">
        <x:v>Universität Heidelberg</x:v>
      </x:c>
      <x:c r="C65" t="str">
        <x:v>Germany</x:v>
      </x:c>
      <x:c r="D65" s="32" t="str">
        <x:v>MSc Governance of Risk and Resources</x:v>
      </x:c>
      <x:c r="E65" s="32" t="str">
        <x:v>Development Studies</x:v>
      </x:c>
      <x:c r="F65" s="36" t="str">
        <x:v>NR</x:v>
      </x:c>
      <x:c r="G65" s="36" t="str">
        <x:v>NR</x:v>
      </x:c>
      <x:c r="H65" s="36" t="str">
        <x:v>NR</x:v>
      </x:c>
      <x:c r="I65" s="36" t="str">
        <x:v>NR</x:v>
      </x:c>
      <x:c r="J65" s="36" t="str">
        <x:v>NR</x:v>
      </x:c>
      <x:c r="K65" s="32" t="str">
        <x:v>Social Sciences</x:v>
      </x:c>
      <x:c r="L65" s="39" t="str">
        <x:v>NR</x:v>
      </x:c>
      <x:c r="M65" s="39" t="str">
        <x:v>NR</x:v>
      </x:c>
      <x:c r="N65" s="39" t="str">
        <x:v>NR</x:v>
      </x:c>
      <x:c r="O65" s="39" t="str">
        <x:v>NR</x:v>
      </x:c>
      <x:c r="P65" s="39" t="str">
        <x:v>96</x:v>
      </x:c>
      <x:c r="Q65" s="32" t="str">
        <x:v>Program title emphasizes public policy, governance, development, or society.</x:v>
      </x:c>
      <x:c r="R65" s="35" t="str">
        <x:v>https://www.hce.uni-heidelberg.de/en/study-and-teaching/masters-programme-governance-of-risk-and-resources</x:v>
      </x:c>
    </x:row>
    <x:row r="66">
      <x:c r="A66" t="n">
        <x:v>62</x:v>
      </x:c>
      <x:c r="B66" t="str">
        <x:v>University of Texas at Austin</x:v>
      </x:c>
      <x:c r="C66" t="str">
        <x:v>United States</x:v>
      </x:c>
      <x:c r="D66" s="32" t="str">
        <x:v>MS in Sustainable Design</x:v>
      </x:c>
      <x:c r="E66" s="32" t="str">
        <x:v>Architecture &amp; Built Environment</x:v>
      </x:c>
      <x:c r="F66" s="36" t="n">
        <x:f>42</x:f>
        <x:v>42</x:v>
      </x:c>
      <x:c r="G66" s="36" t="str">
        <x:v>49</x:v>
      </x:c>
      <x:c r="H66" s="36" t="str">
        <x:v>50</x:v>
      </x:c>
      <x:c r="I66" s="36" t="str">
        <x:v>51-100</x:v>
      </x:c>
      <x:c r="J66" s="36" t="str">
        <x:v>51-100</x:v>
      </x:c>
      <x:c r="K66" s="32" t="str">
        <x:v>Engineering</x:v>
      </x:c>
      <x:c r="L66" s="39" t="str">
        <x:v>23</x:v>
      </x:c>
      <x:c r="M66" s="39" t="str">
        <x:v>23</x:v>
      </x:c>
      <x:c r="N66" s="39" t="str">
        <x:v>28</x:v>
      </x:c>
      <x:c r="O66" s="39" t="str">
        <x:v>29</x:v>
      </x:c>
      <x:c r="P66" s="39" t="str">
        <x:v>28</x:v>
      </x:c>
      <x:c r="Q66" s="32" t="str">
        <x:v>Program title emphasizes planning, design, urban development, or the built environment.</x:v>
      </x:c>
      <x:c r="R66" s="35" t="str">
        <x:v>https://soa.utexas.edu/programs/sustainable-design/ms-sustainable-design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96e79089f104b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42" hidden="0" customWidth="1"/>
    <x:col min="4" max="4" width="3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46" hidden="0" customWidth="1"/>
    <x:col min="16" max="16" width="48" hidden="0" customWidth="1"/>
  </x:cols>
  <x:sheetData>
    <x:row r="1" ht="28" customHeight="1">
      <x:c r="A1" s="3" t="str">
        <x:v>QS World University Rankings: 2023-2027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University-level ranking detail with exact ranks, scores, official profiles, and the linked selected program.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29" t="str">
        <x:v>#</x:v>
      </x:c>
      <x:c r="B4" s="29" t="str">
        <x:v>Institution</x:v>
      </x:c>
      <x:c r="C4" s="29" t="str">
        <x:v>Selected program</x:v>
      </x:c>
      <x:c r="D4" s="29" t="str">
        <x:v>Official QS name</x:v>
      </x:c>
      <x:c r="E4" s="29" t="str">
        <x:v>Rank 2023</x:v>
      </x:c>
      <x:c r="F4" s="29" t="str">
        <x:v>Score 2023</x:v>
      </x:c>
      <x:c r="G4" s="29" t="str">
        <x:v>Rank 2024</x:v>
      </x:c>
      <x:c r="H4" s="29" t="str">
        <x:v>Score 2024</x:v>
      </x:c>
      <x:c r="I4" s="29" t="str">
        <x:v>Rank 2025</x:v>
      </x:c>
      <x:c r="J4" s="29" t="str">
        <x:v>Score 2025</x:v>
      </x:c>
      <x:c r="K4" s="29" t="str">
        <x:v>Rank 2026</x:v>
      </x:c>
      <x:c r="L4" s="29" t="str">
        <x:v>Score 2026</x:v>
      </x:c>
      <x:c r="M4" s="29" t="str">
        <x:v>Rank 2027</x:v>
      </x:c>
      <x:c r="N4" s="29" t="str">
        <x:v>Score 2027</x:v>
      </x:c>
      <x:c r="O4" s="29" t="str">
        <x:v>QS profile URL</x:v>
      </x:c>
      <x:c r="P4" s="29" t="str">
        <x:v>Program URL</x:v>
      </x:c>
    </x:row>
    <x:row r="5">
      <x:c r="A5" t="n">
        <x:v>1</x:v>
      </x:c>
      <x:c r="B5" t="str">
        <x:v>Massachusetts Institute of Technology (MIT)</x:v>
      </x:c>
      <x:c r="C5" s="32" t="str">
        <x:v>Master in City Planning - Environmental Policy and Planning focus</x:v>
      </x:c>
      <x:c r="D5" s="32" t="str">
        <x:v>Massachusetts Institute of Technology (MIT)</x:v>
      </x:c>
      <x:c r="E5" s="31" t="str">
        <x:v>1</x:v>
      </x:c>
      <x:c r="F5" s="44" t="n">
        <x:v>100</x:v>
      </x:c>
      <x:c r="G5" s="31" t="str">
        <x:v>1</x:v>
      </x:c>
      <x:c r="H5" s="44" t="n">
        <x:v>100</x:v>
      </x:c>
      <x:c r="I5" s="31" t="str">
        <x:v>1</x:v>
      </x:c>
      <x:c r="J5" s="44" t="n">
        <x:v>100</x:v>
      </x:c>
      <x:c r="K5" s="31" t="str">
        <x:v>1</x:v>
      </x:c>
      <x:c r="L5" s="44" t="n">
        <x:v>100</x:v>
      </x:c>
      <x:c r="M5" s="31" t="str">
        <x:v>1</x:v>
      </x:c>
      <x:c r="N5" s="44" t="n">
        <x:v>100</x:v>
      </x:c>
      <x:c r="O5" s="35" t="str">
        <x:v>https://www.topuniversities.com/universities/massachusetts-institute-technology-mit</x:v>
      </x:c>
      <x:c r="P5" s="35" t="str">
        <x:v>https://dusp.mit.edu/masters/city-planning</x:v>
      </x:c>
    </x:row>
    <x:row r="6">
      <x:c r="A6" t="n">
        <x:v>2</x:v>
      </x:c>
      <x:c r="B6" t="str">
        <x:v>Imperial College London</x:v>
      </x:c>
      <x:c r="C6" s="32" t="str">
        <x:v>MSc Climate Change, Management &amp; Finance</x:v>
      </x:c>
      <x:c r="D6" s="32" t="str">
        <x:v>Imperial College London</x:v>
      </x:c>
      <x:c r="E6" s="31" t="n">
        <x:f>6</x:f>
        <x:v>6</x:v>
      </x:c>
      <x:c r="F6" s="44" t="n">
        <x:v>97</x:v>
      </x:c>
      <x:c r="G6" s="31" t="str">
        <x:v>6</x:v>
      </x:c>
      <x:c r="H6" s="44" t="n">
        <x:v>97.8</x:v>
      </x:c>
      <x:c r="I6" s="31" t="str">
        <x:v>2</x:v>
      </x:c>
      <x:c r="J6" s="44" t="n">
        <x:v>98.5</x:v>
      </x:c>
      <x:c r="K6" s="31" t="str">
        <x:v>2</x:v>
      </x:c>
      <x:c r="L6" s="44" t="n">
        <x:v>99.4</x:v>
      </x:c>
      <x:c r="M6" s="31" t="n">
        <x:f>2</x:f>
        <x:v>2</x:v>
      </x:c>
      <x:c r="N6" s="44" t="n">
        <x:v>99.2</x:v>
      </x:c>
      <x:c r="O6" s="35" t="str">
        <x:v>https://www.topuniversities.com/universities/imperial-college-london</x:v>
      </x:c>
      <x:c r="P6" s="35" t="str">
        <x:v>https://www.imperial.ac.uk/business-school/masters/climate-change-management-finance/</x:v>
      </x:c>
    </x:row>
    <x:row r="7">
      <x:c r="A7" t="n">
        <x:v>3</x:v>
      </x:c>
      <x:c r="B7" t="str">
        <x:v>Stanford University</x:v>
      </x:c>
      <x:c r="C7" s="32" t="str">
        <x:v>Joint MS in Environment and Resources</x:v>
      </x:c>
      <x:c r="D7" s="32" t="str">
        <x:v>Stanford University</x:v>
      </x:c>
      <x:c r="E7" s="31" t="str">
        <x:v>3</x:v>
      </x:c>
      <x:c r="F7" s="44" t="n">
        <x:v>98.5</x:v>
      </x:c>
      <x:c r="G7" s="31" t="str">
        <x:v>5</x:v>
      </x:c>
      <x:c r="H7" s="44" t="n">
        <x:v>98.1</x:v>
      </x:c>
      <x:c r="I7" s="31" t="str">
        <x:v>6</x:v>
      </x:c>
      <x:c r="J7" s="44" t="n">
        <x:v>96.1</x:v>
      </x:c>
      <x:c r="K7" s="31" t="str">
        <x:v>3</x:v>
      </x:c>
      <x:c r="L7" s="44" t="n">
        <x:v>98.9</x:v>
      </x:c>
      <x:c r="M7" s="31" t="n">
        <x:f>2</x:f>
        <x:v>2</x:v>
      </x:c>
      <x:c r="N7" s="44" t="n">
        <x:v>99.2</x:v>
      </x:c>
      <x:c r="O7" s="35" t="str">
        <x:v>https://www.topuniversities.com/universities/stanford-university</x:v>
      </x:c>
      <x:c r="P7" s="35" t="str">
        <x:v>https://eiper.stanford.edu/academics/joint-ms</x:v>
      </x:c>
    </x:row>
    <x:row r="8">
      <x:c r="A8" t="n">
        <x:v>4</x:v>
      </x:c>
      <x:c r="B8" t="str">
        <x:v>University of Oxford</x:v>
      </x:c>
      <x:c r="C8" s="32" t="str">
        <x:v>MSc in Sustainability, Enterprise and the Environment</x:v>
      </x:c>
      <x:c r="D8" s="32" t="str">
        <x:v>University of Oxford</x:v>
      </x:c>
      <x:c r="E8" s="31" t="str">
        <x:v>4</x:v>
      </x:c>
      <x:c r="F8" s="44" t="n">
        <x:v>98.4</x:v>
      </x:c>
      <x:c r="G8" s="31" t="str">
        <x:v>3</x:v>
      </x:c>
      <x:c r="H8" s="44" t="n">
        <x:v>98.9</x:v>
      </x:c>
      <x:c r="I8" s="31" t="str">
        <x:v>3</x:v>
      </x:c>
      <x:c r="J8" s="44" t="n">
        <x:v>96.9</x:v>
      </x:c>
      <x:c r="K8" s="31" t="str">
        <x:v>4</x:v>
      </x:c>
      <x:c r="L8" s="44" t="n">
        <x:v>97.9</x:v>
      </x:c>
      <x:c r="M8" s="31" t="str">
        <x:v>4</x:v>
      </x:c>
      <x:c r="N8" s="44" t="n">
        <x:v>98.6</x:v>
      </x:c>
      <x:c r="O8" s="35" t="str">
        <x:v>https://www.topuniversities.com/universities/university-oxford</x:v>
      </x:c>
      <x:c r="P8" s="35" t="str">
        <x:v>https://www.smithschool.ox.ac.uk/course/msc-sustainability-enterprise-and-environment</x:v>
      </x:c>
    </x:row>
    <x:row r="9">
      <x:c r="A9" t="n">
        <x:v>5</x:v>
      </x:c>
      <x:c r="B9" t="str">
        <x:v>Harvard University</x:v>
      </x:c>
      <x:c r="C9" s="32" t="str">
        <x:v>Sustainability Master's Degree Program</x:v>
      </x:c>
      <x:c r="D9" s="32" t="str">
        <x:v>Harvard University</x:v>
      </x:c>
      <x:c r="E9" s="31" t="str">
        <x:v>5</x:v>
      </x:c>
      <x:c r="F9" s="44" t="n">
        <x:v>97.6</x:v>
      </x:c>
      <x:c r="G9" s="31" t="str">
        <x:v>4</x:v>
      </x:c>
      <x:c r="H9" s="44" t="n">
        <x:v>98.3</x:v>
      </x:c>
      <x:c r="I9" s="31" t="str">
        <x:v>4</x:v>
      </x:c>
      <x:c r="J9" s="44" t="n">
        <x:v>96.8</x:v>
      </x:c>
      <x:c r="K9" s="31" t="str">
        <x:v>5</x:v>
      </x:c>
      <x:c r="L9" s="44" t="n">
        <x:v>97.7</x:v>
      </x:c>
      <x:c r="M9" s="31" t="str">
        <x:v>5</x:v>
      </x:c>
      <x:c r="N9" s="44" t="n">
        <x:v>97.4</x:v>
      </x:c>
      <x:c r="O9" s="35" t="str">
        <x:v>https://www.topuniversities.com/universities/harvard-university</x:v>
      </x:c>
      <x:c r="P9" s="35" t="str">
        <x:v>https://extension.harvard.edu/academics/programs/sustainability-graduate-program/</x:v>
      </x:c>
    </x:row>
    <x:row r="10">
      <x:c r="A10" t="n">
        <x:v>6</x:v>
      </x:c>
      <x:c r="B10" t="str">
        <x:v>University of Cambridge</x:v>
      </x:c>
      <x:c r="C10" s="32" t="str">
        <x:v>MPhil in Engineering for Sustainable Development</x:v>
      </x:c>
      <x:c r="D10" s="32" t="str">
        <x:v>University of Cambridge</x:v>
      </x:c>
      <x:c r="E10" s="31" t="str">
        <x:v>2</x:v>
      </x:c>
      <x:c r="F10" s="44" t="n">
        <x:v>98.8</x:v>
      </x:c>
      <x:c r="G10" s="31" t="str">
        <x:v>2</x:v>
      </x:c>
      <x:c r="H10" s="44" t="n">
        <x:v>99.2</x:v>
      </x:c>
      <x:c r="I10" s="31" t="str">
        <x:v>5</x:v>
      </x:c>
      <x:c r="J10" s="44" t="n">
        <x:v>96.7</x:v>
      </x:c>
      <x:c r="K10" s="31" t="str">
        <x:v>6</x:v>
      </x:c>
      <x:c r="L10" s="44" t="n">
        <x:v>97.2</x:v>
      </x:c>
      <x:c r="M10" s="31" t="str">
        <x:v>6</x:v>
      </x:c>
      <x:c r="N10" s="44" t="n">
        <x:v>97.1</x:v>
      </x:c>
      <x:c r="O10" s="35" t="str">
        <x:v>https://www.topuniversities.com/universities/university-cambridge</x:v>
      </x:c>
      <x:c r="P10" s="35" t="str">
        <x:v>https://www.postgraduate.study.cam.ac.uk/courses/directory/egegmpesd</x:v>
      </x:c>
    </x:row>
    <x:row r="11">
      <x:c r="A11" t="n">
        <x:v>7</x:v>
      </x:c>
      <x:c r="B11" t="str">
        <x:v>California Institute of Technology (Caltech)</x:v>
      </x:c>
      <x:c r="C11" s="32" t="str">
        <x:v>Environmental Science and Engineering Graduate Program</x:v>
      </x:c>
      <x:c r="D11" s="32" t="str">
        <x:v>California Institute of Technology (Caltech)</x:v>
      </x:c>
      <x:c r="E11" s="31" t="n">
        <x:f>6</x:f>
        <x:v>6</x:v>
      </x:c>
      <x:c r="F11" s="44" t="n">
        <x:v>97</x:v>
      </x:c>
      <x:c r="G11" s="31" t="str">
        <x:v>15</x:v>
      </x:c>
      <x:c r="H11" s="44" t="n">
        <x:v>87.8</x:v>
      </x:c>
      <x:c r="I11" s="31" t="str">
        <x:v>10</x:v>
      </x:c>
      <x:c r="J11" s="44" t="n">
        <x:v>90.9</x:v>
      </x:c>
      <x:c r="K11" s="31" t="str">
        <x:v>10</x:v>
      </x:c>
      <x:c r="L11" s="44" t="n">
        <x:v>94.3</x:v>
      </x:c>
      <x:c r="M11" s="31" t="str">
        <x:v>7</x:v>
      </x:c>
      <x:c r="N11" s="44" t="n">
        <x:v>96.6</x:v>
      </x:c>
      <x:c r="O11" s="35" t="str">
        <x:v>https://www.topuniversities.com/universities/california-institute-technology-caltech</x:v>
      </x:c>
      <x:c r="P11" s="35" t="str">
        <x:v>https://www.ese.caltech.edu/academics/graduate-program</x:v>
      </x:c>
    </x:row>
    <x:row r="12">
      <x:c r="A12" t="n">
        <x:v>8</x:v>
      </x:c>
      <x:c r="B12" t="str">
        <x:v>ETH Zurich</x:v>
      </x:c>
      <x:c r="C12" s="32" t="str">
        <x:v>MSc Environmental Sciences</x:v>
      </x:c>
      <x:c r="D12" s="32" t="str">
        <x:v>ETH Zurich</x:v>
      </x:c>
      <x:c r="E12" s="31" t="str">
        <x:v>9</x:v>
      </x:c>
      <x:c r="F12" s="44" t="n">
        <x:v>93.6</x:v>
      </x:c>
      <x:c r="G12" s="31" t="str">
        <x:v>7</x:v>
      </x:c>
      <x:c r="H12" s="44" t="n">
        <x:v>93.3</x:v>
      </x:c>
      <x:c r="I12" s="31" t="str">
        <x:v>7</x:v>
      </x:c>
      <x:c r="J12" s="44" t="n">
        <x:v>93.9</x:v>
      </x:c>
      <x:c r="K12" s="31" t="str">
        <x:v>7</x:v>
      </x:c>
      <x:c r="L12" s="44" t="n">
        <x:v>96.7</x:v>
      </x:c>
      <x:c r="M12" s="31" t="n">
        <x:f>8</x:f>
        <x:v>8</x:v>
      </x:c>
      <x:c r="N12" s="44" t="n">
        <x:v>96.3</x:v>
      </x:c>
      <x:c r="O12" s="35" t="str">
        <x:v>https://www.topuniversities.com/universities/eth-zurich</x:v>
      </x:c>
      <x:c r="P12" s="35" t="str">
        <x:v>https://ethz.ch/en/studies/master/degree-programmes/natural-sciences-and-mathematics/environmental-sciences.html</x:v>
      </x:c>
    </x:row>
    <x:row r="13">
      <x:c r="A13" t="n">
        <x:v>9</x:v>
      </x:c>
      <x:c r="B13" t="str">
        <x:v>UCL</x:v>
      </x:c>
      <x:c r="C13" s="32" t="str">
        <x:v>Sustainable Resources: Economics, Policy and Transitions MSc</x:v>
      </x:c>
      <x:c r="D13" s="32" t="str">
        <x:v>UCL</x:v>
      </x:c>
      <x:c r="E13" s="31" t="str">
        <x:v>8</x:v>
      </x:c>
      <x:c r="F13" s="44" t="n">
        <x:v>95</x:v>
      </x:c>
      <x:c r="G13" s="31" t="str">
        <x:v>9</x:v>
      </x:c>
      <x:c r="H13" s="44" t="n">
        <x:v>92.4</x:v>
      </x:c>
      <x:c r="I13" s="31" t="str">
        <x:v>9</x:v>
      </x:c>
      <x:c r="J13" s="44" t="n">
        <x:v>91.6</x:v>
      </x:c>
      <x:c r="K13" s="31" t="str">
        <x:v>9</x:v>
      </x:c>
      <x:c r="L13" s="44" t="n">
        <x:v>95.8</x:v>
      </x:c>
      <x:c r="M13" s="31" t="n">
        <x:f>8</x:f>
        <x:v>8</x:v>
      </x:c>
      <x:c r="N13" s="44" t="n">
        <x:v>96.3</x:v>
      </x:c>
      <x:c r="O13" s="35" t="str">
        <x:v>https://www.topuniversities.com/universities/ucl</x:v>
      </x:c>
      <x:c r="P13" s="35" t="str">
        <x:v>https://www.ucl.ac.uk/prospective-students/graduate/taught-degrees/sustainable-resources-economics-policy-and-transitions-msc</x:v>
      </x:c>
    </x:row>
    <x:row r="14">
      <x:c r="A14" t="n">
        <x:v>10</x:v>
      </x:c>
      <x:c r="B14" t="str">
        <x:v>National University of Singapore (NUS)</x:v>
      </x:c>
      <x:c r="C14" s="32" t="str">
        <x:v>MSc in Sustainable and Green Finance</x:v>
      </x:c>
      <x:c r="D14" s="32" t="str">
        <x:v>National University of Singapore (NUS)</x:v>
      </x:c>
      <x:c r="E14" s="31" t="str">
        <x:v>11</x:v>
      </x:c>
      <x:c r="F14" s="44" t="n">
        <x:v>92.7</x:v>
      </x:c>
      <x:c r="G14" s="31" t="str">
        <x:v>8</x:v>
      </x:c>
      <x:c r="H14" s="44" t="n">
        <x:v>92.7</x:v>
      </x:c>
      <x:c r="I14" s="31" t="str">
        <x:v>8</x:v>
      </x:c>
      <x:c r="J14" s="44" t="n">
        <x:v>93.7</x:v>
      </x:c>
      <x:c r="K14" s="31" t="str">
        <x:v>8</x:v>
      </x:c>
      <x:c r="L14" s="44" t="n">
        <x:v>95.9</x:v>
      </x:c>
      <x:c r="M14" s="31" t="str">
        <x:v>10</x:v>
      </x:c>
      <x:c r="N14" s="44" t="n">
        <x:v>96.2</x:v>
      </x:c>
      <x:c r="O14" s="35" t="str">
        <x:v>https://www.topuniversities.com/universities/national-university-singapore-nus</x:v>
      </x:c>
      <x:c r="P14" s="35" t="str">
        <x:v>https://msgfin.nus.edu.sg/academics/</x:v>
      </x:c>
    </x:row>
    <x:row r="15">
      <x:c r="A15" t="n">
        <x:v>11</x:v>
      </x:c>
      <x:c r="B15" t="str">
        <x:v>The University of Hong Kong</x:v>
      </x:c>
      <x:c r="C15" s="32" t="str">
        <x:v>Master of Science in Environmental Management</x:v>
      </x:c>
      <x:c r="D15" s="32" t="str">
        <x:v>The University of Hong Kong</x:v>
      </x:c>
      <x:c r="E15" s="31" t="str">
        <x:v>21</x:v>
      </x:c>
      <x:c r="F15" s="44" t="n">
        <x:v>87</x:v>
      </x:c>
      <x:c r="G15" s="31" t="n">
        <x:f>26</x:f>
        <x:v>26</x:v>
      </x:c>
      <x:c r="H15" s="44" t="n">
        <x:v>84.5</x:v>
      </x:c>
      <x:c r="I15" s="31" t="str">
        <x:v>17</x:v>
      </x:c>
      <x:c r="J15" s="44" t="n">
        <x:v>87.6</x:v>
      </x:c>
      <x:c r="K15" s="31" t="str">
        <x:v>11</x:v>
      </x:c>
      <x:c r="L15" s="44" t="n">
        <x:v>94.2</x:v>
      </x:c>
      <x:c r="M15" s="31" t="str">
        <x:v>11</x:v>
      </x:c>
      <x:c r="N15" s="44" t="n">
        <x:v>95.9</x:v>
      </x:c>
      <x:c r="O15" s="35" t="str">
        <x:v>https://www.topuniversities.com/universities/university-hong-kong</x:v>
      </x:c>
      <x:c r="P15" s="35" t="str">
        <x:v>https://admissions.hku.hk/tpg/programme/master-science-environmental-management</x:v>
      </x:c>
    </x:row>
    <x:row r="16">
      <x:c r="A16" t="n">
        <x:v>12</x:v>
      </x:c>
      <x:c r="B16" t="str">
        <x:v>Nanyang Technological University, Singapore (NTU Singapore)</x:v>
      </x:c>
      <x:c r="C16" s="32" t="str">
        <x:v>MSc Sustainability Management</x:v>
      </x:c>
      <x:c r="D16" s="32" t="str">
        <x:v>Nanyang Technological University, Singapore (NTU Singapore)</x:v>
      </x:c>
      <x:c r="E16" s="31" t="str">
        <x:v>19</x:v>
      </x:c>
      <x:c r="F16" s="44" t="n">
        <x:v>88.4</x:v>
      </x:c>
      <x:c r="G16" s="31" t="n">
        <x:f>26</x:f>
        <x:v>26</x:v>
      </x:c>
      <x:c r="H16" s="44" t="n">
        <x:v>84.5</x:v>
      </x:c>
      <x:c r="I16" s="31" t="str">
        <x:v>15</x:v>
      </x:c>
      <x:c r="J16" s="44" t="n">
        <x:v>88.4</x:v>
      </x:c>
      <x:c r="K16" s="31" t="str">
        <x:v>12</x:v>
      </x:c>
      <x:c r="L16" s="44" t="n">
        <x:v>93.7</x:v>
      </x:c>
      <x:c r="M16" s="31" t="str">
        <x:v>12</x:v>
      </x:c>
      <x:c r="N16" s="44" t="n">
        <x:v>93.6</x:v>
      </x:c>
      <x:c r="O16" s="35" t="str">
        <x:v>https://www.topuniversities.com/universities/nanyang-technological-university-singapore-ntu-singapore</x:v>
      </x:c>
      <x:c r="P16" s="35" t="str">
        <x:v>https://www.ntu.edu.sg/business/admissions/graduate-studies/msc-sustainability-management</x:v>
      </x:c>
    </x:row>
    <x:row r="17">
      <x:c r="A17" t="n">
        <x:v>13</x:v>
      </x:c>
      <x:c r="B17" t="str">
        <x:v>Peking University</x:v>
      </x:c>
      <x:c r="C17" s="32" t="str">
        <x:v>Master's programs in Environmental Science and Engineering / Environmental Management</x:v>
      </x:c>
      <x:c r="D17" s="32" t="str">
        <x:v>Peking University</x:v>
      </x:c>
      <x:c r="E17" s="31" t="str">
        <x:v>12</x:v>
      </x:c>
      <x:c r="F17" s="44" t="n">
        <x:v>91.3</x:v>
      </x:c>
      <x:c r="G17" s="31" t="n">
        <x:f>17</x:f>
        <x:v>17</x:v>
      </x:c>
      <x:c r="H17" s="44" t="n">
        <x:v>87</x:v>
      </x:c>
      <x:c r="I17" s="31" t="str">
        <x:v>14</x:v>
      </x:c>
      <x:c r="J17" s="44" t="n">
        <x:v>88.5</x:v>
      </x:c>
      <x:c r="K17" s="31" t="str">
        <x:v>14</x:v>
      </x:c>
      <x:c r="L17" s="44" t="n">
        <x:v>92.6</x:v>
      </x:c>
      <x:c r="M17" s="31" t="str">
        <x:v>13</x:v>
      </x:c>
      <x:c r="N17" s="44" t="n">
        <x:v>92.6</x:v>
      </x:c>
      <x:c r="O17" s="35" t="str">
        <x:v>https://www.topuniversities.com/universities/peking-university</x:v>
      </x:c>
      <x:c r="P17" s="35" t="str">
        <x:v>https://en.coe.pku.edu.cn/education/graduate_programs.htm</x:v>
      </x:c>
    </x:row>
    <x:row r="18">
      <x:c r="A18" t="n">
        <x:v>14</x:v>
      </x:c>
      <x:c r="B18" t="str">
        <x:v>Tsinghua University</x:v>
      </x:c>
      <x:c r="C18" s="32" t="str">
        <x:v>Graduate program in Environmental Science and Engineering</x:v>
      </x:c>
      <x:c r="D18" s="32" t="str">
        <x:v>Tsinghua University</x:v>
      </x:c>
      <x:c r="E18" s="31" t="str">
        <x:v>14</x:v>
      </x:c>
      <x:c r="F18" s="44" t="n">
        <x:v>90.1</x:v>
      </x:c>
      <x:c r="G18" s="31" t="str">
        <x:v>25</x:v>
      </x:c>
      <x:c r="H18" s="44" t="n">
        <x:v>84.9</x:v>
      </x:c>
      <x:c r="I18" s="31" t="str">
        <x:v>20</x:v>
      </x:c>
      <x:c r="J18" s="44" t="n">
        <x:v>86.5</x:v>
      </x:c>
      <x:c r="K18" s="31" t="n">
        <x:f>17</x:f>
        <x:v>17</x:v>
      </x:c>
      <x:c r="L18" s="44" t="n">
        <x:v>91.2</x:v>
      </x:c>
      <x:c r="M18" s="31" t="str">
        <x:v>14</x:v>
      </x:c>
      <x:c r="N18" s="44" t="n">
        <x:v>92.1</x:v>
      </x:c>
      <x:c r="O18" s="35" t="str">
        <x:v>https://www.topuniversities.com/universities/tsinghua-university</x:v>
      </x:c>
      <x:c r="P18" s="35" t="str">
        <x:v>https://www.env.tsinghua.edu.cn/en/education/graduate.htm</x:v>
      </x:c>
    </x:row>
    <x:row r="19">
      <x:c r="A19" t="n">
        <x:v>15</x:v>
      </x:c>
      <x:c r="B19" t="str">
        <x:v>University of Pennsylvania</x:v>
      </x:c>
      <x:c r="C19" s="32" t="str">
        <x:v>Master of Environmental Studies</x:v>
      </x:c>
      <x:c r="D19" s="32" t="str">
        <x:v>University of Pennsylvania</x:v>
      </x:c>
      <x:c r="E19" s="31" t="str">
        <x:v>13</x:v>
      </x:c>
      <x:c r="F19" s="44" t="n">
        <x:v>90.6</x:v>
      </x:c>
      <x:c r="G19" s="31" t="str">
        <x:v>12</x:v>
      </x:c>
      <x:c r="H19" s="44" t="n">
        <x:v>89.4</x:v>
      </x:c>
      <x:c r="I19" s="31" t="str">
        <x:v>11</x:v>
      </x:c>
      <x:c r="J19" s="44" t="n">
        <x:v>90.3</x:v>
      </x:c>
      <x:c r="K19" s="31" t="str">
        <x:v>15</x:v>
      </x:c>
      <x:c r="L19" s="44" t="n">
        <x:v>92.5</x:v>
      </x:c>
      <x:c r="M19" s="31" t="str">
        <x:v>15</x:v>
      </x:c>
      <x:c r="N19" s="44" t="n">
        <x:v>91.7</x:v>
      </x:c>
      <x:c r="O19" s="35" t="str">
        <x:v>https://www.topuniversities.com/universities/university-pennsylvania</x:v>
      </x:c>
      <x:c r="P19" s="35" t="str">
        <x:v>https://www.lps.upenn.edu/degree-programs/mes</x:v>
      </x:c>
    </x:row>
    <x:row r="20">
      <x:c r="A20" t="n">
        <x:v>16</x:v>
      </x:c>
      <x:c r="B20" t="str">
        <x:v>Cornell University</x:v>
      </x:c>
      <x:c r="C20" s="32" t="str">
        <x:v>MPS in Global Development</x:v>
      </x:c>
      <x:c r="D20" s="32" t="str">
        <x:v>Cornell University</x:v>
      </x:c>
      <x:c r="E20" s="31" t="str">
        <x:v>20</x:v>
      </x:c>
      <x:c r="F20" s="44" t="n">
        <x:v>87.2</x:v>
      </x:c>
      <x:c r="G20" s="31" t="str">
        <x:v>13</x:v>
      </x:c>
      <x:c r="H20" s="44" t="n">
        <x:v>89.3</x:v>
      </x:c>
      <x:c r="I20" s="31" t="str">
        <x:v>16</x:v>
      </x:c>
      <x:c r="J20" s="44" t="n">
        <x:v>87.9</x:v>
      </x:c>
      <x:c r="K20" s="31" t="str">
        <x:v>16</x:v>
      </x:c>
      <x:c r="L20" s="44" t="n">
        <x:v>91.6</x:v>
      </x:c>
      <x:c r="M20" s="31" t="n">
        <x:f>16</x:f>
        <x:v>16</x:v>
      </x:c>
      <x:c r="N20" s="44" t="n">
        <x:v>91.5</x:v>
      </x:c>
      <x:c r="O20" s="35" t="str">
        <x:v>https://www.topuniversities.com/universities/cornell-university</x:v>
      </x:c>
      <x:c r="P20" s="35" t="str">
        <x:v>https://cals.cornell.edu/global-development/degrees-programs/graduate/mps-global-development</x:v>
      </x:c>
    </x:row>
    <x:row r="21">
      <x:c r="A21" t="n">
        <x:v>17</x:v>
      </x:c>
      <x:c r="B21" t="str">
        <x:v>Yale University</x:v>
      </x:c>
      <x:c r="C21" s="32" t="str">
        <x:v>Master of Environmental Management</x:v>
      </x:c>
      <x:c r="D21" s="32" t="str">
        <x:v>Yale University</x:v>
      </x:c>
      <x:c r="E21" s="31" t="str">
        <x:v>18</x:v>
      </x:c>
      <x:c r="F21" s="44" t="n">
        <x:v>89</x:v>
      </x:c>
      <x:c r="G21" s="31" t="str">
        <x:v>16</x:v>
      </x:c>
      <x:c r="H21" s="44" t="n">
        <x:v>87.7</x:v>
      </x:c>
      <x:c r="I21" s="31" t="str">
        <x:v>23</x:v>
      </x:c>
      <x:c r="J21" s="44" t="n">
        <x:v>85.2</x:v>
      </x:c>
      <x:c r="K21" s="31" t="str">
        <x:v>21</x:v>
      </x:c>
      <x:c r="L21" s="44" t="n">
        <x:v>90.4</x:v>
      </x:c>
      <x:c r="M21" s="31" t="n">
        <x:f>16</x:f>
        <x:v>16</x:v>
      </x:c>
      <x:c r="N21" s="44" t="n">
        <x:v>91.5</x:v>
      </x:c>
      <x:c r="O21" s="35" t="str">
        <x:v>https://www.topuniversities.com/universities/yale-university</x:v>
      </x:c>
      <x:c r="P21" s="35" t="str">
        <x:v>https://environment.yale.edu/academics/masters/mem</x:v>
      </x:c>
    </x:row>
    <x:row r="22">
      <x:c r="A22" t="n">
        <x:v>18</x:v>
      </x:c>
      <x:c r="B22" t="str">
        <x:v>The Chinese University of Hong Kong (CUHK)</x:v>
      </x:c>
      <x:c r="C22" s="32" t="str">
        <x:v>MSc in Sustainable Global Business</x:v>
      </x:c>
      <x:c r="D22" s="32" t="str">
        <x:v>The Chinese University of Hong Kong (CUHK)</x:v>
      </x:c>
      <x:c r="E22" s="31" t="str">
        <x:v>38</x:v>
      </x:c>
      <x:c r="F22" s="44" t="n">
        <x:v>80.6</x:v>
      </x:c>
      <x:c r="G22" s="31" t="n">
        <x:f>47</x:f>
        <x:v>47</x:v>
      </x:c>
      <x:c r="H22" s="44" t="n">
        <x:v>76.2</x:v>
      </x:c>
      <x:c r="I22" s="31" t="str">
        <x:v>36</x:v>
      </x:c>
      <x:c r="J22" s="44" t="n">
        <x:v>81.3</x:v>
      </x:c>
      <x:c r="K22" s="31" t="n">
        <x:f>32</x:f>
        <x:v>32</x:v>
      </x:c>
      <x:c r="L22" s="44" t="n">
        <x:v>87.4</x:v>
      </x:c>
      <x:c r="M22" s="31" t="str">
        <x:v>18</x:v>
      </x:c>
      <x:c r="N22" s="44" t="n">
        <x:v>89.9</x:v>
      </x:c>
      <x:c r="O22" s="35" t="str">
        <x:v>https://www.topuniversities.com/universities/chinese-university-hong-kong-cuhk</x:v>
      </x:c>
      <x:c r="P22" s="35" t="str">
        <x:v>https://masters.bschool.cuhk.edu.hk/programmes/msc-in-sustainable-global-business/</x:v>
      </x:c>
    </x:row>
    <x:row r="23">
      <x:c r="A23" t="n">
        <x:v>19</x:v>
      </x:c>
      <x:c r="B23" t="str">
        <x:v>Johns Hopkins University</x:v>
      </x:c>
      <x:c r="C23" s="32" t="str">
        <x:v>MS in Energy Policy and Climate</x:v>
      </x:c>
      <x:c r="D23" s="32" t="str">
        <x:v>Johns Hopkins University</x:v>
      </x:c>
      <x:c r="E23" s="31" t="str">
        <x:v>24</x:v>
      </x:c>
      <x:c r="F23" s="44" t="n">
        <x:v>85.1</x:v>
      </x:c>
      <x:c r="G23" s="31" t="str">
        <x:v>28</x:v>
      </x:c>
      <x:c r="H23" s="44" t="n">
        <x:v>84.5</x:v>
      </x:c>
      <x:c r="I23" s="31" t="n">
        <x:f>32</x:f>
        <x:v>32</x:v>
      </x:c>
      <x:c r="J23" s="44" t="n">
        <x:v>82.1</x:v>
      </x:c>
      <x:c r="K23" s="31" t="str">
        <x:v>24</x:v>
      </x:c>
      <x:c r="L23" s="44" t="n">
        <x:v>89.7</x:v>
      </x:c>
      <x:c r="M23" s="31" t="n">
        <x:f>20</x:f>
        <x:v>20</x:v>
      </x:c>
      <x:c r="N23" s="44" t="n">
        <x:v>89.7</x:v>
      </x:c>
      <x:c r="O23" s="35" t="str">
        <x:v>https://www.topuniversities.com/universities/johns-hopkins-university</x:v>
      </x:c>
      <x:c r="P23" s="35" t="str">
        <x:v>https://advanced.jhu.edu/academics/graduate/ms-energy-policy-climate/</x:v>
      </x:c>
    </x:row>
    <x:row r="24">
      <x:c r="A24" t="n">
        <x:v>20</x:v>
      </x:c>
      <x:c r="B24" t="str">
        <x:v>University of California, Berkeley (UCB)</x:v>
      </x:c>
      <x:c r="C24" s="32" t="str">
        <x:v>Master of Climate Solutions</x:v>
      </x:c>
      <x:c r="D24" s="32" t="str">
        <x:v>University of California, Berkeley (UCB)</x:v>
      </x:c>
      <x:c r="E24" s="31" t="str">
        <x:v>27</x:v>
      </x:c>
      <x:c r="F24" s="44" t="n">
        <x:v>82.7</x:v>
      </x:c>
      <x:c r="G24" s="31" t="str">
        <x:v>10</x:v>
      </x:c>
      <x:c r="H24" s="44" t="n">
        <x:v>90.4</x:v>
      </x:c>
      <x:c r="I24" s="31" t="str">
        <x:v>12</x:v>
      </x:c>
      <x:c r="J24" s="44" t="n">
        <x:v>90.1</x:v>
      </x:c>
      <x:c r="K24" s="31" t="n">
        <x:f>17</x:f>
        <x:v>17</x:v>
      </x:c>
      <x:c r="L24" s="44" t="n">
        <x:v>91.2</x:v>
      </x:c>
      <x:c r="M24" s="31" t="n">
        <x:f>20</x:f>
        <x:v>20</x:v>
      </x:c>
      <x:c r="N24" s="44" t="n">
        <x:v>89.7</x:v>
      </x:c>
      <x:c r="O24" s="35" t="str">
        <x:v>https://www.topuniversities.com/universities/university-california-berkeley-ucb</x:v>
      </x:c>
      <x:c r="P24" s="35" t="str">
        <x:v>https://climatesolutions.berkeley.edu/</x:v>
      </x:c>
    </x:row>
    <x:row r="25">
      <x:c r="A25" t="n">
        <x:v>21</x:v>
      </x:c>
      <x:c r="B25" t="str">
        <x:v>EPFL – École polytechnique fédérale de Lausanne</x:v>
      </x:c>
      <x:c r="C25" s="32" t="str">
        <x:v>MSc Sustainable Management and Technology</x:v>
      </x:c>
      <x:c r="D25" s="32" t="str">
        <x:v>EPFL – École polytechnique fédérale de Lausanne</x:v>
      </x:c>
      <x:c r="E25" s="31" t="n">
        <x:f>16</x:f>
        <x:v>16</x:v>
      </x:c>
      <x:c r="F25" s="44" t="n">
        <x:v>89.2</x:v>
      </x:c>
      <x:c r="G25" s="31" t="str">
        <x:v>36</x:v>
      </x:c>
      <x:c r="H25" s="44" t="n">
        <x:v>80.4</x:v>
      </x:c>
      <x:c r="I25" s="31" t="str">
        <x:v>26</x:v>
      </x:c>
      <x:c r="J25" s="44" t="n">
        <x:v>83.5</x:v>
      </x:c>
      <x:c r="K25" s="31" t="n">
        <x:f>22</x:f>
        <x:v>22</x:v>
      </x:c>
      <x:c r="L25" s="44" t="n">
        <x:v>90.2</x:v>
      </x:c>
      <x:c r="M25" s="31" t="n">
        <x:f>22</x:f>
        <x:v>22</x:v>
      </x:c>
      <x:c r="N25" s="44" t="n">
        <x:v>89.6</x:v>
      </x:c>
      <x:c r="O25" s="35" t="str">
        <x:v>https://www.topuniversities.com/universities/epfl-ecole-polytechnique-federale-de-lausanne</x:v>
      </x:c>
      <x:c r="P25" s="35" t="str">
        <x:v>https://www.epfl.ch/education/master/programs/sustainable-management-and-technology/</x:v>
      </x:c>
    </x:row>
    <x:row r="26">
      <x:c r="A26" t="n">
        <x:v>22</x:v>
      </x:c>
      <x:c r="B26" t="str">
        <x:v>The University of Melbourne</x:v>
      </x:c>
      <x:c r="C26" s="32" t="str">
        <x:v>Master of Environment</x:v>
      </x:c>
      <x:c r="D26" s="32" t="str">
        <x:v>The University of Melbourne</x:v>
      </x:c>
      <x:c r="E26" s="31" t="str">
        <x:v>33</x:v>
      </x:c>
      <x:c r="F26" s="44" t="n">
        <x:v>81.6</x:v>
      </x:c>
      <x:c r="G26" s="31" t="str">
        <x:v>14</x:v>
      </x:c>
      <x:c r="H26" s="44" t="n">
        <x:v>87.9</x:v>
      </x:c>
      <x:c r="I26" s="31" t="str">
        <x:v>13</x:v>
      </x:c>
      <x:c r="J26" s="44" t="n">
        <x:v>88.9</x:v>
      </x:c>
      <x:c r="K26" s="31" t="str">
        <x:v>19</x:v>
      </x:c>
      <x:c r="L26" s="44" t="n">
        <x:v>90.8</x:v>
      </x:c>
      <x:c r="M26" s="31" t="n">
        <x:f>22</x:f>
        <x:v>22</x:v>
      </x:c>
      <x:c r="N26" s="44" t="n">
        <x:v>89.6</x:v>
      </x:c>
      <x:c r="O26" s="35" t="str">
        <x:v>https://www.topuniversities.com/universities/university-melbourne</x:v>
      </x:c>
      <x:c r="P26" s="35" t="str">
        <x:v>https://study.unimelb.edu.au/find/courses/graduate/master-of-environment/</x:v>
      </x:c>
    </x:row>
    <x:row r="27">
      <x:c r="A27" t="n">
        <x:v>23</x:v>
      </x:c>
      <x:c r="B27" t="str">
        <x:v>University of Chicago</x:v>
      </x:c>
      <x:c r="C27" s="32" t="str">
        <x:v>MS in Environmental Science and Policy</x:v>
      </x:c>
      <x:c r="D27" s="32" t="str">
        <x:v>University of Chicago</x:v>
      </x:c>
      <x:c r="E27" s="31" t="str">
        <x:v>10</x:v>
      </x:c>
      <x:c r="F27" s="44" t="n">
        <x:v>93.2</x:v>
      </x:c>
      <x:c r="G27" s="31" t="str">
        <x:v>11</x:v>
      </x:c>
      <x:c r="H27" s="44" t="n">
        <x:v>90.3</x:v>
      </x:c>
      <x:c r="I27" s="31" t="str">
        <x:v>21</x:v>
      </x:c>
      <x:c r="J27" s="44" t="n">
        <x:v>86.2</x:v>
      </x:c>
      <x:c r="K27" s="31" t="str">
        <x:v>13</x:v>
      </x:c>
      <x:c r="L27" s="44" t="n">
        <x:v>93</x:v>
      </x:c>
      <x:c r="M27" s="31" t="str">
        <x:v>24</x:v>
      </x:c>
      <x:c r="N27" s="44" t="n">
        <x:v>89.2</x:v>
      </x:c>
      <x:c r="O27" s="35" t="str">
        <x:v>https://www.topuniversities.com/universities/university-chicago</x:v>
      </x:c>
      <x:c r="P27" s="35" t="str">
        <x:v>https://professional.uchicago.edu/find-your-fit/masters/master-science-environmental-science-policy</x:v>
      </x:c>
    </x:row>
    <x:row r="28">
      <x:c r="A28" t="n">
        <x:v>24</x:v>
      </x:c>
      <x:c r="B28" t="str">
        <x:v>Technical University of Munich</x:v>
      </x:c>
      <x:c r="C28" s="32" t="str">
        <x:v>MSc Sustainable Management and Technology</x:v>
      </x:c>
      <x:c r="D28" s="32" t="str">
        <x:v>Technical University of Munich</x:v>
      </x:c>
      <x:c r="E28" s="31" t="str">
        <x:v>49</x:v>
      </x:c>
      <x:c r="F28" s="44" t="n">
        <x:v>76.4</x:v>
      </x:c>
      <x:c r="G28" s="31" t="str">
        <x:v>37</x:v>
      </x:c>
      <x:c r="H28" s="44" t="n">
        <x:v>80</x:v>
      </x:c>
      <x:c r="I28" s="31" t="str">
        <x:v>28</x:v>
      </x:c>
      <x:c r="J28" s="44" t="n">
        <x:v>83.2</x:v>
      </x:c>
      <x:c r="K28" s="31" t="n">
        <x:f>22</x:f>
        <x:v>22</x:v>
      </x:c>
      <x:c r="L28" s="44" t="n">
        <x:v>90.2</x:v>
      </x:c>
      <x:c r="M28" s="31" t="str">
        <x:v>25</x:v>
      </x:c>
      <x:c r="N28" s="44" t="n">
        <x:v>89.1</x:v>
      </x:c>
      <x:c r="O28" s="35" t="str">
        <x:v>https://www.topuniversities.com/universities/technical-university-munich</x:v>
      </x:c>
      <x:c r="P28" s="35" t="str">
        <x:v>https://www.tum.de/en/studies/degree-programs/detail/sustainable-management-and-technology-master-of-science-msc</x:v>
      </x:c>
    </x:row>
    <x:row r="29">
      <x:c r="A29" t="n">
        <x:v>25</x:v>
      </x:c>
      <x:c r="B29" t="str">
        <x:v>Fudan University</x:v>
      </x:c>
      <x:c r="C29" s="32" t="str">
        <x:v>Graduate program in Environmental Science and Engineering</x:v>
      </x:c>
      <x:c r="D29" s="32" t="str">
        <x:v>Fudan University</x:v>
      </x:c>
      <x:c r="E29" s="31" t="n">
        <x:f>34</x:f>
        <x:v>34</x:v>
      </x:c>
      <x:c r="F29" s="44" t="n">
        <x:v>81.5</x:v>
      </x:c>
      <x:c r="G29" s="31" t="str">
        <x:v>50</x:v>
      </x:c>
      <x:c r="H29" s="44" t="n">
        <x:v>74.4</x:v>
      </x:c>
      <x:c r="I29" s="31" t="str">
        <x:v>39</x:v>
      </x:c>
      <x:c r="J29" s="44" t="n">
        <x:v>80.3</x:v>
      </x:c>
      <x:c r="K29" s="31" t="str">
        <x:v>30</x:v>
      </x:c>
      <x:c r="L29" s="44" t="n">
        <x:v>88.4</x:v>
      </x:c>
      <x:c r="M29" s="31" t="str">
        <x:v>26</x:v>
      </x:c>
      <x:c r="N29" s="44" t="n">
        <x:v>89</x:v>
      </x:c>
      <x:c r="O29" s="35" t="str">
        <x:v>https://www.topuniversities.com/universities/fudan-university</x:v>
      </x:c>
      <x:c r="P29" s="35" t="str">
        <x:v>https://environment.fudan.edu.cn/</x:v>
      </x:c>
    </x:row>
    <x:row r="30">
      <x:c r="A30" t="n">
        <x:v>26</x:v>
      </x:c>
      <x:c r="B30" t="str">
        <x:v>Princeton University</x:v>
      </x:c>
      <x:c r="C30" s="32" t="str">
        <x:v>MPA with Science, Technology, and Environmental Policy field</x:v>
      </x:c>
      <x:c r="D30" s="32" t="str">
        <x:v>Princeton University</x:v>
      </x:c>
      <x:c r="E30" s="31" t="n">
        <x:f>16</x:f>
        <x:v>16</x:v>
      </x:c>
      <x:c r="F30" s="44" t="n">
        <x:v>89.2</x:v>
      </x:c>
      <x:c r="G30" s="31" t="n">
        <x:f>17</x:f>
        <x:v>17</x:v>
      </x:c>
      <x:c r="H30" s="44" t="n">
        <x:v>87</x:v>
      </x:c>
      <x:c r="I30" s="31" t="str">
        <x:v>22</x:v>
      </x:c>
      <x:c r="J30" s="44" t="n">
        <x:v>85.5</x:v>
      </x:c>
      <x:c r="K30" s="31" t="n">
        <x:f>25</x:f>
        <x:v>25</x:v>
      </x:c>
      <x:c r="L30" s="44" t="n">
        <x:v>89.4</x:v>
      </x:c>
      <x:c r="M30" s="31" t="str">
        <x:v>27</x:v>
      </x:c>
      <x:c r="N30" s="44" t="n">
        <x:v>88.9</x:v>
      </x:c>
      <x:c r="O30" s="35" t="str">
        <x:v>https://www.topuniversities.com/universities/princeton-university</x:v>
      </x:c>
      <x:c r="P30" s="35" t="str">
        <x:v>https://spia.princeton.edu/graduate-programs/masters-degrees/mpa</x:v>
      </x:c>
    </x:row>
    <x:row r="31">
      <x:c r="A31" t="n">
        <x:v>27</x:v>
      </x:c>
      <x:c r="B31" t="str">
        <x:v>McGill University</x:v>
      </x:c>
      <x:c r="C31" s="32" t="str">
        <x:v>MSc Sustainability, Science and Society</x:v>
      </x:c>
      <x:c r="D31" s="32" t="str">
        <x:v>McGill University</x:v>
      </x:c>
      <x:c r="E31" s="31" t="str">
        <x:v>31</x:v>
      </x:c>
      <x:c r="F31" s="44" t="n">
        <x:v>81.9</x:v>
      </x:c>
      <x:c r="G31" s="31" t="str">
        <x:v>30</x:v>
      </x:c>
      <x:c r="H31" s="44" t="n">
        <x:v>83.7</x:v>
      </x:c>
      <x:c r="I31" s="31" t="str">
        <x:v>29</x:v>
      </x:c>
      <x:c r="J31" s="44" t="n">
        <x:v>83</x:v>
      </x:c>
      <x:c r="K31" s="31" t="str">
        <x:v>27</x:v>
      </x:c>
      <x:c r="L31" s="44" t="n">
        <x:v>88.9</x:v>
      </x:c>
      <x:c r="M31" s="31" t="str">
        <x:v>30</x:v>
      </x:c>
      <x:c r="N31" s="44" t="n">
        <x:v>87.5</x:v>
      </x:c>
      <x:c r="O31" s="35" t="str">
        <x:v>https://www.topuniversities.com/universities/mcgill-university</x:v>
      </x:c>
      <x:c r="P31" s="35" t="str">
        <x:v>https://www.mcgill.ca/study/2026-2027/faculties/science/graduate/programs/master-science-msc-sustainability-science-and-society-thesis</x:v>
      </x:c>
    </x:row>
    <x:row r="32">
      <x:c r="A32" t="n">
        <x:v>28</x:v>
      </x:c>
      <x:c r="B32" t="str">
        <x:v>University of Toronto</x:v>
      </x:c>
      <x:c r="C32" s="32" t="str">
        <x:v>Master of Environment &amp; Sustainability</x:v>
      </x:c>
      <x:c r="D32" s="32" t="str">
        <x:v>University of Toronto</x:v>
      </x:c>
      <x:c r="E32" s="31" t="n">
        <x:f>34</x:f>
        <x:v>34</x:v>
      </x:c>
      <x:c r="F32" s="44" t="n">
        <x:v>81.5</x:v>
      </x:c>
      <x:c r="G32" s="31" t="str">
        <x:v>21</x:v>
      </x:c>
      <x:c r="H32" s="44" t="n">
        <x:v>86.3</x:v>
      </x:c>
      <x:c r="I32" s="31" t="str">
        <x:v>25</x:v>
      </x:c>
      <x:c r="J32" s="44" t="n">
        <x:v>84.1</x:v>
      </x:c>
      <x:c r="K32" s="31" t="str">
        <x:v>29</x:v>
      </x:c>
      <x:c r="L32" s="44" t="n">
        <x:v>88.5</x:v>
      </x:c>
      <x:c r="M32" s="31" t="str">
        <x:v>32</x:v>
      </x:c>
      <x:c r="N32" s="44" t="n">
        <x:v>86.8</x:v>
      </x:c>
      <x:c r="O32" s="35" t="str">
        <x:v>https://www.topuniversities.com/universities/university-toronto</x:v>
      </x:c>
      <x:c r="P32" s="35" t="str">
        <x:v>https://www.environment.utoronto.ca/graduate/mes</x:v>
      </x:c>
    </x:row>
    <x:row r="33">
      <x:c r="A33" t="n">
        <x:v>29</x:v>
      </x:c>
      <x:c r="B33" t="str">
        <x:v>Université PSL</x:v>
      </x:c>
      <x:c r="C33" s="32" t="str">
        <x:v>Master in Sustainable Management and Organizations</x:v>
      </x:c>
      <x:c r="D33" s="32" t="str">
        <x:v>Université PSL</x:v>
      </x:c>
      <x:c r="E33" s="31" t="str">
        <x:v>26</x:v>
      </x:c>
      <x:c r="F33" s="44" t="n">
        <x:v>83.8</x:v>
      </x:c>
      <x:c r="G33" s="31" t="str">
        <x:v>24</x:v>
      </x:c>
      <x:c r="H33" s="44" t="n">
        <x:v>85.8</x:v>
      </x:c>
      <x:c r="I33" s="31" t="str">
        <x:v>24</x:v>
      </x:c>
      <x:c r="J33" s="44" t="n">
        <x:v>84.7</x:v>
      </x:c>
      <x:c r="K33" s="31" t="str">
        <x:v>28</x:v>
      </x:c>
      <x:c r="L33" s="44" t="n">
        <x:v>88.6</x:v>
      </x:c>
      <x:c r="M33" s="31" t="str">
        <x:v>34</x:v>
      </x:c>
      <x:c r="N33" s="44" t="n">
        <x:v>86</x:v>
      </x:c>
      <x:c r="O33" s="35" t="str">
        <x:v>https://www.topuniversities.com/universities/universite-psl</x:v>
      </x:c>
      <x:c r="P33" s="35" t="str">
        <x:v>https://dauphine.psl.eu/en/training/masters-degrees/sustainable-management-and-organizations</x:v>
      </x:c>
    </x:row>
    <x:row r="34">
      <x:c r="A34" t="n">
        <x:v>30</x:v>
      </x:c>
      <x:c r="B34" t="str">
        <x:v>The University of Edinburgh</x:v>
      </x:c>
      <x:c r="C34" s="32" t="str">
        <x:v>MSc Global Strategy and Sustainability</x:v>
      </x:c>
      <x:c r="D34" s="32" t="str">
        <x:v>The University of Edinburgh</x:v>
      </x:c>
      <x:c r="E34" s="31" t="str">
        <x:v>15</x:v>
      </x:c>
      <x:c r="F34" s="44" t="n">
        <x:v>89.5</x:v>
      </x:c>
      <x:c r="G34" s="31" t="str">
        <x:v>22</x:v>
      </x:c>
      <x:c r="H34" s="44" t="n">
        <x:v>86.1</x:v>
      </x:c>
      <x:c r="I34" s="31" t="str">
        <x:v>27</x:v>
      </x:c>
      <x:c r="J34" s="44" t="n">
        <x:v>83.3</x:v>
      </x:c>
      <x:c r="K34" s="31" t="str">
        <x:v>34</x:v>
      </x:c>
      <x:c r="L34" s="44" t="n">
        <x:v>87.2</x:v>
      </x:c>
      <x:c r="M34" s="31" t="str">
        <x:v>35</x:v>
      </x:c>
      <x:c r="N34" s="44" t="n">
        <x:v>85.9</x:v>
      </x:c>
      <x:c r="O34" s="35" t="str">
        <x:v>https://www.topuniversities.com/universities/university-edinburgh</x:v>
      </x:c>
      <x:c r="P34" s="35" t="str">
        <x:v>https://www.business-school.ed.ac.uk/msc/global-strategy-sustainability</x:v>
      </x:c>
    </x:row>
    <x:row r="35">
      <x:c r="A35" t="n">
        <x:v>31</x:v>
      </x:c>
      <x:c r="B35" t="str">
        <x:v>Shanghai Jiao Tong University</x:v>
      </x:c>
      <x:c r="C35" s="32" t="str">
        <x:v>Graduate program in Environmental Science and Engineering</x:v>
      </x:c>
      <x:c r="D35" s="32" t="str">
        <x:v>Shanghai Jiao Tong University</x:v>
      </x:c>
      <x:c r="E35" s="31" t="str">
        <x:v>46</x:v>
      </x:c>
      <x:c r="F35" s="44" t="n">
        <x:v>77.4</x:v>
      </x:c>
      <x:c r="G35" s="31" t="str">
        <x:v>51</x:v>
      </x:c>
      <x:c r="H35" s="44" t="n">
        <x:v>74.3</x:v>
      </x:c>
      <x:c r="I35" s="31" t="str">
        <x:v>45</x:v>
      </x:c>
      <x:c r="J35" s="44" t="n">
        <x:v>77.8</x:v>
      </x:c>
      <x:c r="K35" s="31" t="n">
        <x:f>47</x:f>
        <x:v>47</x:v>
      </x:c>
      <x:c r="L35" s="44" t="n">
        <x:v>84.3</x:v>
      </x:c>
      <x:c r="M35" s="31" t="str">
        <x:v>36</x:v>
      </x:c>
      <x:c r="N35" s="44" t="n">
        <x:v>85.8</x:v>
      </x:c>
      <x:c r="O35" s="35" t="str">
        <x:v>https://www.topuniversities.com/universities/shanghai-jiao-tong-university</x:v>
      </x:c>
      <x:c r="P35" s="35" t="str">
        <x:v>https://en.sjtu.edu.cn/academics/schools/School%20of%20Environmental%20Science%20and%20Engineering</x:v>
      </x:c>
    </x:row>
    <x:row r="36">
      <x:c r="A36" t="n">
        <x:v>32</x:v>
      </x:c>
      <x:c r="B36" t="str">
        <x:v>King's College London</x:v>
      </x:c>
      <x:c r="C36" s="32" t="str">
        <x:v>Environment, Politics and Development MSc</x:v>
      </x:c>
      <x:c r="D36" s="32" t="str">
        <x:v>King's College London</x:v>
      </x:c>
      <x:c r="E36" s="31" t="str">
        <x:v>37</x:v>
      </x:c>
      <x:c r="F36" s="44" t="n">
        <x:v>81.2</x:v>
      </x:c>
      <x:c r="G36" s="31" t="str">
        <x:v>40</x:v>
      </x:c>
      <x:c r="H36" s="44" t="n">
        <x:v>79.3</x:v>
      </x:c>
      <x:c r="I36" s="31" t="n">
        <x:f>40</x:f>
        <x:v>40</x:v>
      </x:c>
      <x:c r="J36" s="44" t="n">
        <x:v>80.2</x:v>
      </x:c>
      <x:c r="K36" s="31" t="str">
        <x:v>31</x:v>
      </x:c>
      <x:c r="L36" s="44" t="n">
        <x:v>88.3</x:v>
      </x:c>
      <x:c r="M36" s="31" t="str">
        <x:v>37</x:v>
      </x:c>
      <x:c r="N36" s="44" t="n">
        <x:v>85.7</x:v>
      </x:c>
      <x:c r="O36" s="35" t="str">
        <x:v>https://www.topuniversities.com/universities/kings-college-london</x:v>
      </x:c>
      <x:c r="P36" s="35" t="str">
        <x:v>https://www.kcl.ac.uk/study/postgraduate-taught/courses/environment-politics-and-development-msc</x:v>
      </x:c>
    </x:row>
    <x:row r="37">
      <x:c r="A37" t="n">
        <x:v>33</x:v>
      </x:c>
      <x:c r="B37" t="str">
        <x:v>The University of Tokyo</x:v>
      </x:c>
      <x:c r="C37" s="32" t="str">
        <x:v>Graduate Program in Sustainability Science - Global Leadership Initiative</x:v>
      </x:c>
      <x:c r="D37" s="32" t="str">
        <x:v>The University of Tokyo</x:v>
      </x:c>
      <x:c r="E37" s="31" t="str">
        <x:v>23</x:v>
      </x:c>
      <x:c r="F37" s="44" t="n">
        <x:v>85.3</x:v>
      </x:c>
      <x:c r="G37" s="31" t="str">
        <x:v>28</x:v>
      </x:c>
      <x:c r="H37" s="44" t="n">
        <x:v>84.3</x:v>
      </x:c>
      <x:c r="I37" s="31" t="n">
        <x:f>32</x:f>
        <x:v>32</x:v>
      </x:c>
      <x:c r="J37" s="44" t="n">
        <x:v>82.1</x:v>
      </x:c>
      <x:c r="K37" s="31" t="n">
        <x:f>36</x:f>
        <x:v>36</x:v>
      </x:c>
      <x:c r="L37" s="44" t="n">
        <x:v>85.8</x:v>
      </x:c>
      <x:c r="M37" s="31" t="str">
        <x:v>39</x:v>
      </x:c>
      <x:c r="N37" s="44" t="n">
        <x:v>84.8</x:v>
      </x:c>
      <x:c r="O37" s="35" t="str">
        <x:v>https://www.topuniversities.com/universities/university-tokyo</x:v>
      </x:c>
      <x:c r="P37" s="35" t="str">
        <x:v>https://www.sustainability.k.u-tokyo.ac.jp/</x:v>
      </x:c>
    </x:row>
    <x:row r="38">
      <x:c r="A38" t="n">
        <x:v>34</x:v>
      </x:c>
      <x:c r="B38" t="str">
        <x:v>Columbia University</x:v>
      </x:c>
      <x:c r="C38" s="32" t="str">
        <x:v>MS in Sustainability Management</x:v>
      </x:c>
      <x:c r="D38" s="32" t="str">
        <x:v>Columbia University</x:v>
      </x:c>
      <x:c r="E38" s="31" t="str">
        <x:v>22</x:v>
      </x:c>
      <x:c r="F38" s="44" t="n">
        <x:v>86.7</x:v>
      </x:c>
      <x:c r="G38" s="31" t="str">
        <x:v>23</x:v>
      </x:c>
      <x:c r="H38" s="44" t="n">
        <x:v>85.9</x:v>
      </x:c>
      <x:c r="I38" s="31" t="n">
        <x:f>34</x:f>
        <x:v>34</x:v>
      </x:c>
      <x:c r="J38" s="44" t="n">
        <x:v>82</x:v>
      </x:c>
      <x:c r="K38" s="31" t="n">
        <x:f>38</x:f>
        <x:v>38</x:v>
      </x:c>
      <x:c r="L38" s="44" t="n">
        <x:v>85.6</x:v>
      </x:c>
      <x:c r="M38" s="31" t="n">
        <x:f>43</x:f>
        <x:v>43</x:v>
      </x:c>
      <x:c r="N38" s="44" t="n">
        <x:v>84</x:v>
      </x:c>
      <x:c r="O38" s="35" t="str">
        <x:v>https://www.topuniversities.com/universities/columbia-university</x:v>
      </x:c>
      <x:c r="P38" s="35" t="str">
        <x:v>https://www.sustainability.ei.columbia.edu/sustainability-management</x:v>
      </x:c>
    </x:row>
    <x:row r="39">
      <x:c r="A39" t="n">
        <x:v>35</x:v>
      </x:c>
      <x:c r="B39" t="str">
        <x:v>Northwestern University</x:v>
      </x:c>
      <x:c r="C39" s="32" t="str">
        <x:v>Master of Science in Energy and Sustainability</x:v>
      </x:c>
      <x:c r="D39" s="32" t="str">
        <x:v>Northwestern University</x:v>
      </x:c>
      <x:c r="E39" s="31" t="str">
        <x:v>32</x:v>
      </x:c>
      <x:c r="F39" s="44" t="n">
        <x:v>81.8</x:v>
      </x:c>
      <x:c r="G39" s="31" t="n">
        <x:f>47</x:f>
        <x:v>47</x:v>
      </x:c>
      <x:c r="H39" s="44" t="n">
        <x:v>76.2</x:v>
      </x:c>
      <x:c r="I39" s="31" t="n">
        <x:f>50</x:f>
        <x:v>50</x:v>
      </x:c>
      <x:c r="J39" s="44" t="n">
        <x:v>76</x:v>
      </x:c>
      <x:c r="K39" s="31" t="n">
        <x:f>42</x:f>
        <x:v>42</x:v>
      </x:c>
      <x:c r="L39" s="44" t="n">
        <x:v>85.1</x:v>
      </x:c>
      <x:c r="M39" s="31" t="n">
        <x:f>45</x:f>
        <x:v>45</x:v>
      </x:c>
      <x:c r="N39" s="44" t="n">
        <x:v>83.8</x:v>
      </x:c>
      <x:c r="O39" s="35" t="str">
        <x:v>https://www.topuniversities.com/universities/northwestern-university</x:v>
      </x:c>
      <x:c r="P39" s="35" t="str">
        <x:v>https://www.mccormick.northwestern.edu/energy-sustainability/</x:v>
      </x:c>
    </x:row>
    <x:row r="40">
      <x:c r="A40" t="n">
        <x:v>36</x:v>
      </x:c>
      <x:c r="B40" t="str">
        <x:v>University of British Columbia</x:v>
      </x:c>
      <x:c r="C40" s="32" t="str">
        <x:v>Master of Engineering Leadership in Sustainable Process Engineering</x:v>
      </x:c>
      <x:c r="D40" s="32" t="str">
        <x:v>University of British Columbia</x:v>
      </x:c>
      <x:c r="E40" s="31" t="str">
        <x:v>47</x:v>
      </x:c>
      <x:c r="F40" s="44" t="n">
        <x:v>77</x:v>
      </x:c>
      <x:c r="G40" s="31" t="n">
        <x:f>34</x:f>
        <x:v>34</x:v>
      </x:c>
      <x:c r="H40" s="44" t="n">
        <x:v>81.5</x:v>
      </x:c>
      <x:c r="I40" s="31" t="str">
        <x:v>38</x:v>
      </x:c>
      <x:c r="J40" s="44" t="n">
        <x:v>81</x:v>
      </x:c>
      <x:c r="K40" s="31" t="str">
        <x:v>40</x:v>
      </x:c>
      <x:c r="L40" s="44" t="n">
        <x:v>85.5</x:v>
      </x:c>
      <x:c r="M40" s="31" t="n">
        <x:f>45</x:f>
        <x:v>45</x:v>
      </x:c>
      <x:c r="N40" s="44" t="n">
        <x:v>83.9</x:v>
      </x:c>
      <x:c r="O40" s="35" t="str">
        <x:v>https://www.topuniversities.com/universities/university-british-columbia</x:v>
      </x:c>
      <x:c r="P40" s="35" t="str">
        <x:v>https://mel.ubc.ca/sustainable-process-engineering</x:v>
      </x:c>
    </x:row>
    <x:row r="41">
      <x:c r="A41" t="n">
        <x:v>37</x:v>
      </x:c>
      <x:c r="B41" t="str">
        <x:v>Zhejiang University</x:v>
      </x:c>
      <x:c r="C41" s="32" t="str">
        <x:v>Graduate program in Environmental Science and Engineering</x:v>
      </x:c>
      <x:c r="D41" s="32" t="str">
        <x:v>Zhejiang University</x:v>
      </x:c>
      <x:c r="E41" s="31" t="n">
        <x:f>42</x:f>
        <x:v>42</x:v>
      </x:c>
      <x:c r="F41" s="44" t="n">
        <x:v>79.3</x:v>
      </x:c>
      <x:c r="G41" s="31" t="n">
        <x:f>44</x:f>
        <x:v>44</x:v>
      </x:c>
      <x:c r="H41" s="44" t="n">
        <x:v>77.8</x:v>
      </x:c>
      <x:c r="I41" s="31" t="n">
        <x:f>47</x:f>
        <x:v>47</x:v>
      </x:c>
      <x:c r="J41" s="44" t="n">
        <x:v>77.1</x:v>
      </x:c>
      <x:c r="K41" s="31" t="str">
        <x:v>49</x:v>
      </x:c>
      <x:c r="L41" s="44" t="n">
        <x:v>84</x:v>
      </x:c>
      <x:c r="M41" s="31" t="str">
        <x:v>47</x:v>
      </x:c>
      <x:c r="N41" s="44" t="n">
        <x:v>83.5</x:v>
      </x:c>
      <x:c r="O41" s="35" t="str">
        <x:v>https://www.topuniversities.com/universities/zhejiang-university</x:v>
      </x:c>
      <x:c r="P41" s="35" t="str">
        <x:v>http://www.cers.zju.edu.cn/cersen/</x:v>
      </x:c>
    </x:row>
    <x:row r="42">
      <x:c r="A42" t="n">
        <x:v>38</x:v>
      </x:c>
      <x:c r="B42" t="str">
        <x:v>University of California, Los Angeles (UCLA)</x:v>
      </x:c>
      <x:c r="C42" s="32" t="str">
        <x:v>Urban Planning MA - Environmental Analysis and Policy / sustainability focus</x:v>
      </x:c>
      <x:c r="D42" s="32" t="str">
        <x:v>University of California, Los Angeles (UCLA)</x:v>
      </x:c>
      <x:c r="E42" s="31" t="str">
        <x:v>44</x:v>
      </x:c>
      <x:c r="F42" s="44" t="n">
        <x:v>78.7</x:v>
      </x:c>
      <x:c r="G42" s="31" t="str">
        <x:v>29</x:v>
      </x:c>
      <x:c r="H42" s="44" t="n">
        <x:v>83.8</x:v>
      </x:c>
      <x:c r="I42" s="31" t="str">
        <x:v>42</x:v>
      </x:c>
      <x:c r="J42" s="44" t="n">
        <x:v>79.8</x:v>
      </x:c>
      <x:c r="K42" s="31" t="str">
        <x:v>46</x:v>
      </x:c>
      <x:c r="L42" s="44" t="n">
        <x:v>84.4</x:v>
      </x:c>
      <x:c r="M42" s="31" t="str">
        <x:v>49</x:v>
      </x:c>
      <x:c r="N42" s="44" t="n">
        <x:v>82.7</x:v>
      </x:c>
      <x:c r="O42" s="35" t="str">
        <x:v>https://www.topuniversities.com/universities/university-california-los-angeles-ucla</x:v>
      </x:c>
      <x:c r="P42" s="35" t="str">
        <x:v>https://luskin.ucla.edu/urban-planning</x:v>
      </x:c>
    </x:row>
    <x:row r="43">
      <x:c r="A43" t="n">
        <x:v>39</x:v>
      </x:c>
      <x:c r="B43" t="str">
        <x:v>The University of New South Wales (UNSW Sydney)</x:v>
      </x:c>
      <x:c r="C43" s="32" t="str">
        <x:v>Master of Environmental Management</x:v>
      </x:c>
      <x:c r="D43" s="32" t="str">
        <x:v>The University of New South Wales (UNSW Sydney)</x:v>
      </x:c>
      <x:c r="E43" s="31" t="str">
        <x:v>45</x:v>
      </x:c>
      <x:c r="F43" s="44" t="n">
        <x:v>78</x:v>
      </x:c>
      <x:c r="G43" s="31" t="n">
        <x:f>19</x:f>
        <x:v>19</x:v>
      </x:c>
      <x:c r="H43" s="44" t="n">
        <x:v>86.7</x:v>
      </x:c>
      <x:c r="I43" s="31" t="str">
        <x:v>19</x:v>
      </x:c>
      <x:c r="J43" s="44" t="n">
        <x:v>87.1</x:v>
      </x:c>
      <x:c r="K43" s="31" t="str">
        <x:v>20</x:v>
      </x:c>
      <x:c r="L43" s="44" t="n">
        <x:v>90.7</x:v>
      </x:c>
      <x:c r="M43" s="31" t="str">
        <x:v>19</x:v>
      </x:c>
      <x:c r="N43" s="44" t="n">
        <x:v>89.8</x:v>
      </x:c>
      <x:c r="O43" s="35" t="str">
        <x:v>https://www.topuniversities.com/universities/university-new-south-wales-unsw-sydney</x:v>
      </x:c>
      <x:c r="P43" s="35" t="str">
        <x:v>https://www.unsw.edu.au/study/postgraduate/master-of-environmental-management</x:v>
      </x:c>
    </x:row>
    <x:row r="44">
      <x:c r="A44" t="n">
        <x:v>40</x:v>
      </x:c>
      <x:c r="B44" t="str">
        <x:v>The University of Sydney</x:v>
      </x:c>
      <x:c r="C44" s="32" t="str">
        <x:v>Master of Sustainability</x:v>
      </x:c>
      <x:c r="D44" s="32" t="str">
        <x:v>The University of Sydney</x:v>
      </x:c>
      <x:c r="E44" s="31" t="str">
        <x:v>41</x:v>
      </x:c>
      <x:c r="F44" s="44" t="n">
        <x:v>79.6</x:v>
      </x:c>
      <x:c r="G44" s="31" t="n">
        <x:f>19</x:f>
        <x:v>19</x:v>
      </x:c>
      <x:c r="H44" s="44" t="n">
        <x:v>86.7</x:v>
      </x:c>
      <x:c r="I44" s="31" t="str">
        <x:v>18</x:v>
      </x:c>
      <x:c r="J44" s="44" t="n">
        <x:v>87.3</x:v>
      </x:c>
      <x:c r="K44" s="31" t="n">
        <x:f>25</x:f>
        <x:v>25</x:v>
      </x:c>
      <x:c r="L44" s="44" t="n">
        <x:v>89.4</x:v>
      </x:c>
      <x:c r="M44" s="31" t="str">
        <x:v>28</x:v>
      </x:c>
      <x:c r="N44" s="44" t="n">
        <x:v>88.4</x:v>
      </x:c>
      <x:c r="O44" s="35" t="str">
        <x:v>https://www.topuniversities.com/universities/university-sydney</x:v>
      </x:c>
      <x:c r="P44" s="35" t="str">
        <x:v>https://www.sydney.edu.au/courses/courses/pc/master-of-sustainability.html</x:v>
      </x:c>
    </x:row>
    <x:row r="45">
      <x:c r="A45" t="n">
        <x:v>41</x:v>
      </x:c>
      <x:c r="B45" t="str">
        <x:v>Australian National University (ANU)</x:v>
      </x:c>
      <x:c r="C45" s="32" t="str">
        <x:v>Master of Climate Change</x:v>
      </x:c>
      <x:c r="D45" s="32" t="str">
        <x:v>Australian National University (ANU)</x:v>
      </x:c>
      <x:c r="E45" s="31" t="str">
        <x:v>30</x:v>
      </x:c>
      <x:c r="F45" s="44" t="n">
        <x:v>82.1</x:v>
      </x:c>
      <x:c r="G45" s="31" t="n">
        <x:f>34</x:f>
        <x:v>34</x:v>
      </x:c>
      <x:c r="H45" s="44" t="n">
        <x:v>81.5</x:v>
      </x:c>
      <x:c r="I45" s="31" t="str">
        <x:v>30</x:v>
      </x:c>
      <x:c r="J45" s="44" t="n">
        <x:v>82.4</x:v>
      </x:c>
      <x:c r="K45" s="31" t="n">
        <x:f>32</x:f>
        <x:v>32</x:v>
      </x:c>
      <x:c r="L45" s="44" t="n">
        <x:v>87.4</x:v>
      </x:c>
      <x:c r="M45" s="31" t="str">
        <x:v>29</x:v>
      </x:c>
      <x:c r="N45" s="44" t="n">
        <x:v>87.6</x:v>
      </x:c>
      <x:c r="O45" s="35" t="str">
        <x:v>https://www.topuniversities.com/universities/australian-national-university-anu</x:v>
      </x:c>
      <x:c r="P45" s="35" t="str">
        <x:v>https://programsandcourses.anu.edu.au/program/MCLCH</x:v>
      </x:c>
    </x:row>
    <x:row r="46">
      <x:c r="A46" t="n">
        <x:v>42</x:v>
      </x:c>
      <x:c r="B46" t="str">
        <x:v>Monash University</x:v>
      </x:c>
      <x:c r="C46" s="32" t="str">
        <x:v>Master of Environment and Sustainability</x:v>
      </x:c>
      <x:c r="D46" s="32" t="str">
        <x:v>Monash University</x:v>
      </x:c>
      <x:c r="E46" s="31" t="str">
        <x:v>57</x:v>
      </x:c>
      <x:c r="F46" s="44" t="n">
        <x:v>71.6</x:v>
      </x:c>
      <x:c r="G46" s="31" t="str">
        <x:v>42</x:v>
      </x:c>
      <x:c r="H46" s="44" t="n">
        <x:v>78.2</x:v>
      </x:c>
      <x:c r="I46" s="31" t="str">
        <x:v>37</x:v>
      </x:c>
      <x:c r="J46" s="44" t="n">
        <x:v>81.2</x:v>
      </x:c>
      <x:c r="K46" s="31" t="n">
        <x:f>36</x:f>
        <x:v>36</x:v>
      </x:c>
      <x:c r="L46" s="44" t="n">
        <x:v>85.8</x:v>
      </x:c>
      <x:c r="M46" s="31" t="str">
        <x:v>31</x:v>
      </x:c>
      <x:c r="N46" s="44" t="n">
        <x:v>87</x:v>
      </x:c>
      <x:c r="O46" s="35" t="str">
        <x:v>https://www.topuniversities.com/universities/monash-university</x:v>
      </x:c>
      <x:c r="P46" s="35" t="str">
        <x:v>https://www.monash.edu/study/courses/find-a-course/environment-and-sustainability-s6002</x:v>
      </x:c>
    </x:row>
    <x:row r="47">
      <x:c r="A47" t="n">
        <x:v>43</x:v>
      </x:c>
      <x:c r="B47" t="str">
        <x:v>The Hong Kong University of Science and Technology</x:v>
      </x:c>
      <x:c r="C47" s="32" t="str">
        <x:v>MSc in Environmental Engineering and Management</x:v>
      </x:c>
      <x:c r="D47" s="32" t="str">
        <x:v>The Hong Kong University of Science and Technology</x:v>
      </x:c>
      <x:c r="E47" s="31" t="str">
        <x:v>40</x:v>
      </x:c>
      <x:c r="F47" s="44" t="n">
        <x:v>79.8</x:v>
      </x:c>
      <x:c r="G47" s="31" t="str">
        <x:v>60</x:v>
      </x:c>
      <x:c r="H47" s="44" t="n">
        <x:v>71.1</x:v>
      </x:c>
      <x:c r="I47" s="31" t="n">
        <x:f>47</x:f>
        <x:v>47</x:v>
      </x:c>
      <x:c r="J47" s="44" t="n">
        <x:v>77.1</x:v>
      </x:c>
      <x:c r="K47" s="31" t="str">
        <x:v>44</x:v>
      </x:c>
      <x:c r="L47" s="44" t="n">
        <x:v>84.8</x:v>
      </x:c>
      <x:c r="M47" s="31" t="str">
        <x:v>33</x:v>
      </x:c>
      <x:c r="N47" s="44" t="n">
        <x:v>86.4</x:v>
      </x:c>
      <x:c r="O47" s="35" t="str">
        <x:v>https://www.topuniversities.com/universities/hong-kong-university-science-technology</x:v>
      </x:c>
      <x:c r="P47" s="35" t="str">
        <x:v>https://cee.hkust.edu.hk/msc-environmental-engineering-and-management</x:v>
      </x:c>
    </x:row>
    <x:row r="48">
      <x:c r="A48" t="n">
        <x:v>44</x:v>
      </x:c>
      <x:c r="B48" t="str">
        <x:v>Seoul National University</x:v>
      </x:c>
      <x:c r="C48" s="32" t="str">
        <x:v>Graduate School of Environmental Studies - Environmental Management</x:v>
      </x:c>
      <x:c r="D48" s="32" t="str">
        <x:v>Seoul National University</x:v>
      </x:c>
      <x:c r="E48" s="31" t="str">
        <x:v>29</x:v>
      </x:c>
      <x:c r="F48" s="44" t="n">
        <x:v>82.2</x:v>
      </x:c>
      <x:c r="G48" s="31" t="str">
        <x:v>41</x:v>
      </x:c>
      <x:c r="H48" s="44" t="n">
        <x:v>78.5</x:v>
      </x:c>
      <x:c r="I48" s="31" t="str">
        <x:v>31</x:v>
      </x:c>
      <x:c r="J48" s="44" t="n">
        <x:v>82.3</x:v>
      </x:c>
      <x:c r="K48" s="31" t="n">
        <x:f>38</x:f>
        <x:v>38</x:v>
      </x:c>
      <x:c r="L48" s="44" t="n">
        <x:v>85.6</x:v>
      </x:c>
      <x:c r="M48" s="31" t="str">
        <x:v>38</x:v>
      </x:c>
      <x:c r="N48" s="44" t="n">
        <x:v>85.4</x:v>
      </x:c>
      <x:c r="O48" s="35" t="str">
        <x:v>https://www.topuniversities.com/universities/seoul-national-university</x:v>
      </x:c>
      <x:c r="P48" s="35" t="str">
        <x:v>https://gses.snu.ac.kr/</x:v>
      </x:c>
    </x:row>
    <x:row r="49">
      <x:c r="A49" t="n">
        <x:v>45</x:v>
      </x:c>
      <x:c r="B49" t="str">
        <x:v>The University of Manchester</x:v>
      </x:c>
      <x:c r="C49" s="32" t="str">
        <x:v>MSc Environmental Governance</x:v>
      </x:c>
      <x:c r="D49" s="32" t="str">
        <x:v>The University of Manchester</x:v>
      </x:c>
      <x:c r="E49" s="31" t="str">
        <x:v>28</x:v>
      </x:c>
      <x:c r="F49" s="44" t="n">
        <x:v>82.3</x:v>
      </x:c>
      <x:c r="G49" s="31" t="str">
        <x:v>32</x:v>
      </x:c>
      <x:c r="H49" s="44" t="n">
        <x:v>82.2</x:v>
      </x:c>
      <x:c r="I49" s="31" t="n">
        <x:f>34</x:f>
        <x:v>34</x:v>
      </x:c>
      <x:c r="J49" s="44" t="n">
        <x:v>82</x:v>
      </x:c>
      <x:c r="K49" s="31" t="str">
        <x:v>35</x:v>
      </x:c>
      <x:c r="L49" s="44" t="n">
        <x:v>86.4</x:v>
      </x:c>
      <x:c r="M49" s="31" t="n">
        <x:f>40</x:f>
        <x:v>40</x:v>
      </x:c>
      <x:c r="N49" s="44" t="n">
        <x:v>84.6</x:v>
      </x:c>
      <x:c r="O49" s="35" t="str">
        <x:v>https://www.topuniversities.com/universities/university-manchester</x:v>
      </x:c>
      <x:c r="P49" s="35" t="str">
        <x:v>https://www.manchester.ac.uk/study/masters/courses/list/10380/msc-environmental-governance/</x:v>
      </x:c>
    </x:row>
    <x:row r="50">
      <x:c r="A50" t="n">
        <x:v>46</x:v>
      </x:c>
      <x:c r="B50" t="str">
        <x:v>The University of Queensland</x:v>
      </x:c>
      <x:c r="C50" s="32" t="str">
        <x:v>Master of Environmental Management</x:v>
      </x:c>
      <x:c r="D50" s="32" t="str">
        <x:v>The University of Queensland</x:v>
      </x:c>
      <x:c r="E50" s="31" t="n">
        <x:f>50</x:f>
        <x:v>50</x:v>
      </x:c>
      <x:c r="F50" s="44" t="n">
        <x:v>74.8</x:v>
      </x:c>
      <x:c r="G50" s="31" t="str">
        <x:v>43</x:v>
      </x:c>
      <x:c r="H50" s="44" t="n">
        <x:v>78.1</x:v>
      </x:c>
      <x:c r="I50" s="31" t="n">
        <x:f>40</x:f>
        <x:v>40</x:v>
      </x:c>
      <x:c r="J50" s="44" t="n">
        <x:v>80.2</x:v>
      </x:c>
      <x:c r="K50" s="31" t="n">
        <x:f>42</x:f>
        <x:v>42</x:v>
      </x:c>
      <x:c r="L50" s="44" t="n">
        <x:v>85.1</x:v>
      </x:c>
      <x:c r="M50" s="31" t="n">
        <x:f>40</x:f>
        <x:v>40</x:v>
      </x:c>
      <x:c r="N50" s="44" t="n">
        <x:v>84.6</x:v>
      </x:c>
      <x:c r="O50" s="35" t="str">
        <x:v>https://www.topuniversities.com/universities/university-queensland</x:v>
      </x:c>
      <x:c r="P50" s="35" t="str">
        <x:v>https://study.uq.edu.au/study-options/programs/master-environmental-management-5609</x:v>
      </x:c>
    </x:row>
    <x:row r="51">
      <x:c r="A51" t="n">
        <x:v>47</x:v>
      </x:c>
      <x:c r="B51" t="str">
        <x:v>Yonsei University</x:v>
      </x:c>
      <x:c r="C51" s="32" t="str">
        <x:v>Global Sustainable Development Cooperation major</x:v>
      </x:c>
      <x:c r="D51" s="32" t="str">
        <x:v>Yonsei University</x:v>
      </x:c>
      <x:c r="E51" s="31" t="str">
        <x:v>73</x:v>
      </x:c>
      <x:c r="F51" s="44" t="n">
        <x:v>67</x:v>
      </x:c>
      <x:c r="G51" s="31" t="n">
        <x:f>76</x:f>
        <x:v>76</x:v>
      </x:c>
      <x:c r="H51" s="44" t="n">
        <x:v>65.2</x:v>
      </x:c>
      <x:c r="I51" s="31" t="str">
        <x:v>56</x:v>
      </x:c>
      <x:c r="J51" s="44" t="n">
        <x:v>72.9</x:v>
      </x:c>
      <x:c r="K51" s="31" t="str">
        <x:v>50</x:v>
      </x:c>
      <x:c r="L51" s="44" t="n">
        <x:v>82.9</x:v>
      </x:c>
      <x:c r="M51" s="31" t="str">
        <x:v>42</x:v>
      </x:c>
      <x:c r="N51" s="44" t="n">
        <x:v>84.2</x:v>
      </x:c>
      <x:c r="O51" s="35" t="str">
        <x:v>https://www.topuniversities.com/universities/yonsei-university</x:v>
      </x:c>
      <x:c r="P51" s="35" t="str">
        <x:v>https://gsis.yonsei.ac.kr/gsis/academics/gsdc.do</x:v>
      </x:c>
    </x:row>
    <x:row r="52">
      <x:c r="A52" t="n">
        <x:v>48</x:v>
      </x:c>
      <x:c r="B52" t="str">
        <x:v>Institut Polytechnique de Paris</x:v>
      </x:c>
      <x:c r="C52" s="32" t="str">
        <x:v>MSc&amp;T Energy Environment: Science Technology and Management</x:v>
      </x:c>
      <x:c r="D52" s="32" t="str">
        <x:v>Institut Polytechnique de Paris</x:v>
      </x:c>
      <x:c r="E52" s="31" t="str">
        <x:v>48</x:v>
      </x:c>
      <x:c r="F52" s="44" t="n">
        <x:v>76.8</x:v>
      </x:c>
      <x:c r="G52" s="31" t="n">
        <x:f>38</x:f>
        <x:v>38</x:v>
      </x:c>
      <x:c r="H52" s="44" t="n">
        <x:v>79.5</x:v>
      </x:c>
      <x:c r="I52" s="31" t="str">
        <x:v>46</x:v>
      </x:c>
      <x:c r="J52" s="44" t="n">
        <x:v>77.5</x:v>
      </x:c>
      <x:c r="K52" s="31" t="str">
        <x:v>41</x:v>
      </x:c>
      <x:c r="L52" s="44" t="n">
        <x:v>85.4</x:v>
      </x:c>
      <x:c r="M52" s="31" t="n">
        <x:f>43</x:f>
        <x:v>43</x:v>
      </x:c>
      <x:c r="N52" s="44" t="n">
        <x:v>84</x:v>
      </x:c>
      <x:c r="O52" s="35" t="str">
        <x:v>https://www.topuniversities.com/universities/institut-polytechnique-de-paris</x:v>
      </x:c>
      <x:c r="P52" s="35" t="str">
        <x:v>https://www.ip-paris.fr/en/education/masters/msc-t-programs/energy-environment-science-technology-and-management</x:v>
      </x:c>
    </x:row>
    <x:row r="53">
      <x:c r="A53" t="n">
        <x:v>49</x:v>
      </x:c>
      <x:c r="B53" t="str">
        <x:v>Delft University of Technology</x:v>
      </x:c>
      <x:c r="C53" s="32" t="str">
        <x:v>MSc Industrial Ecology</x:v>
      </x:c>
      <x:c r="D53" s="32" t="str">
        <x:v>Delft University of Technology</x:v>
      </x:c>
      <x:c r="E53" s="31" t="n">
        <x:f>61</x:f>
        <x:v>61</x:v>
      </x:c>
      <x:c r="F53" s="44" t="n">
        <x:v>70</x:v>
      </x:c>
      <x:c r="G53" s="31" t="n">
        <x:f>47</x:f>
        <x:v>47</x:v>
      </x:c>
      <x:c r="H53" s="44" t="n">
        <x:v>76.2</x:v>
      </x:c>
      <x:c r="I53" s="31" t="str">
        <x:v>49</x:v>
      </x:c>
      <x:c r="J53" s="44" t="n">
        <x:v>77</x:v>
      </x:c>
      <x:c r="K53" s="31" t="n">
        <x:f>47</x:f>
        <x:v>47</x:v>
      </x:c>
      <x:c r="L53" s="44" t="n">
        <x:v>84.3</x:v>
      </x:c>
      <x:c r="M53" s="31" t="str">
        <x:v>48</x:v>
      </x:c>
      <x:c r="N53" s="44" t="n">
        <x:v>83.1</x:v>
      </x:c>
      <x:c r="O53" s="35" t="str">
        <x:v>https://www.topuniversities.com/universities/delft-university-technology</x:v>
      </x:c>
      <x:c r="P53" s="35" t="str">
        <x:v>https://www.tudelft.nl/en/education/programmes/masters/industrial-ecology/msc-industrial-ecology</x:v>
      </x:c>
    </x:row>
    <x:row r="54">
      <x:c r="A54" t="n">
        <x:v>50</x:v>
      </x:c>
      <x:c r="B54" t="str">
        <x:v>The Hong Kong Polytechnic University</x:v>
      </x:c>
      <x:c r="C54" s="32" t="str">
        <x:v>MSc in Sustainable Urban Development</x:v>
      </x:c>
      <x:c r="D54" s="32" t="str">
        <x:v>The Hong Kong Polytechnic University</x:v>
      </x:c>
      <x:c r="E54" s="31" t="n">
        <x:f>65</x:f>
        <x:v>65</x:v>
      </x:c>
      <x:c r="F54" s="44" t="n">
        <x:v>69</x:v>
      </x:c>
      <x:c r="G54" s="31" t="n">
        <x:f>65</x:f>
        <x:v>65</x:v>
      </x:c>
      <x:c r="H54" s="44" t="n">
        <x:v>68.7</x:v>
      </x:c>
      <x:c r="I54" s="31" t="str">
        <x:v>57</x:v>
      </x:c>
      <x:c r="J54" s="44" t="n">
        <x:v>72.1</x:v>
      </x:c>
      <x:c r="K54" s="31" t="str">
        <x:v>54</x:v>
      </x:c>
      <x:c r="L54" s="44" t="n">
        <x:v>81.2</x:v>
      </x:c>
      <x:c r="M54" s="31" t="str">
        <x:v>50</x:v>
      </x:c>
      <x:c r="N54" s="44" t="n">
        <x:v>82.3</x:v>
      </x:c>
      <x:c r="O54" s="35" t="str">
        <x:v>https://www.topuniversities.com/universities/hong-kong-polytechnic-university</x:v>
      </x:c>
      <x:c r="P54" s="35" t="str">
        <x:v>https://www.polyu.edu.hk/bre/study/taught-postgraduate-programmes/msc-in-sustainable-urban-development/</x:v>
      </x:c>
    </x:row>
    <x:row r="55">
      <x:c r="A55" t="n">
        <x:v>51</x:v>
      </x:c>
      <x:c r="B55" t="str">
        <x:v>University of Michigan-Ann Arbor</x:v>
      </x:c>
      <x:c r="C55" s="32" t="str">
        <x:v>MS in Sustainable Systems</x:v>
      </x:c>
      <x:c r="D55" s="32" t="str">
        <x:v>University of Michigan-Ann Arbor</x:v>
      </x:c>
      <x:c r="E55" s="31" t="str">
        <x:v>25</x:v>
      </x:c>
      <x:c r="F55" s="44" t="n">
        <x:v>84.4</x:v>
      </x:c>
      <x:c r="G55" s="31" t="str">
        <x:v>33</x:v>
      </x:c>
      <x:c r="H55" s="44" t="n">
        <x:v>81.7</x:v>
      </x:c>
      <x:c r="I55" s="31" t="str">
        <x:v>44</x:v>
      </x:c>
      <x:c r="J55" s="44" t="n">
        <x:v>79</x:v>
      </x:c>
      <x:c r="K55" s="31" t="str">
        <x:v>45</x:v>
      </x:c>
      <x:c r="L55" s="44" t="n">
        <x:v>84.7</x:v>
      </x:c>
      <x:c r="M55" s="31" t="str">
        <x:v>51</x:v>
      </x:c>
      <x:c r="N55" s="44" t="n">
        <x:v>82.2</x:v>
      </x:c>
      <x:c r="O55" s="35" t="str">
        <x:v>https://www.topuniversities.com/universities/university-michigan-ann-arbor</x:v>
      </x:c>
      <x:c r="P55" s="35" t="str">
        <x:v>https://seas.umich.edu/academics/master-science/sustainable-systems</x:v>
      </x:c>
    </x:row>
    <x:row r="56">
      <x:c r="A56" t="n">
        <x:v>52</x:v>
      </x:c>
      <x:c r="B56" t="str">
        <x:v>Carnegie Mellon University</x:v>
      </x:c>
      <x:c r="C56" s="32" t="str">
        <x:v>MS in Sustainable Design</x:v>
      </x:c>
      <x:c r="D56" s="32" t="str">
        <x:v>Carnegie Mellon University</x:v>
      </x:c>
      <x:c r="E56" s="31" t="str">
        <x:v>52</x:v>
      </x:c>
      <x:c r="F56" s="44" t="n">
        <x:v>74.6</x:v>
      </x:c>
      <x:c r="G56" s="31" t="str">
        <x:v>52</x:v>
      </x:c>
      <x:c r="H56" s="44" t="n">
        <x:v>73.7</x:v>
      </x:c>
      <x:c r="I56" s="31" t="str">
        <x:v>58</x:v>
      </x:c>
      <x:c r="J56" s="44" t="n">
        <x:v>72</x:v>
      </x:c>
      <x:c r="K56" s="31" t="str">
        <x:v>52</x:v>
      </x:c>
      <x:c r="L56" s="44" t="n">
        <x:v>82.3</x:v>
      </x:c>
      <x:c r="M56" s="31" t="str">
        <x:v>55</x:v>
      </x:c>
      <x:c r="N56" s="44" t="n">
        <x:v>81.4</x:v>
      </x:c>
      <x:c r="O56" s="35" t="str">
        <x:v>https://www.topuniversities.com/universities/carnegie-mellon-university</x:v>
      </x:c>
      <x:c r="P56" s="35" t="str">
        <x:v>https://soa.cmu.edu/ms-sustainable-design</x:v>
      </x:c>
    </x:row>
    <x:row r="57">
      <x:c r="A57" t="n">
        <x:v>53</x:v>
      </x:c>
      <x:c r="B57" t="str">
        <x:v>University of Washington</x:v>
      </x:c>
      <x:c r="C57" s="32" t="str">
        <x:v>MPA Environmental Policy specialization / sustainability pathway</x:v>
      </x:c>
      <x:c r="D57" s="32" t="str">
        <x:v>University of Washington</x:v>
      </x:c>
      <x:c r="E57" s="31" t="str">
        <x:v>80</x:v>
      </x:c>
      <x:c r="F57" s="44" t="n">
        <x:v>64.7</x:v>
      </x:c>
      <x:c r="G57" s="31" t="str">
        <x:v>63</x:v>
      </x:c>
      <x:c r="H57" s="44" t="n">
        <x:v>69.2</x:v>
      </x:c>
      <x:c r="I57" s="31" t="str">
        <x:v>76</x:v>
      </x:c>
      <x:c r="J57" s="44" t="n">
        <x:v>65.3</x:v>
      </x:c>
      <x:c r="K57" s="31" t="str">
        <x:v>81</x:v>
      </x:c>
      <x:c r="L57" s="44" t="n">
        <x:v>72.7</x:v>
      </x:c>
      <x:c r="M57" s="31" t="n">
        <x:f>92</x:f>
        <x:v>92</x:v>
      </x:c>
      <x:c r="N57" s="44" t="n">
        <x:v>70.2</x:v>
      </x:c>
      <x:c r="O57" s="35" t="str">
        <x:v>https://www.topuniversities.com/universities/university-washington</x:v>
      </x:c>
      <x:c r="P57" s="35" t="str">
        <x:v>https://evans.uw.edu/academic-programs/graduate-degrees/master-of-public-administration/</x:v>
      </x:c>
    </x:row>
    <x:row r="58">
      <x:c r="A58" t="n">
        <x:v>54</x:v>
      </x:c>
      <x:c r="B58" t="str">
        <x:v>Duke University</x:v>
      </x:c>
      <x:c r="C58" s="32" t="str">
        <x:v>Master of Environmental Management</x:v>
      </x:c>
      <x:c r="D58" s="32" t="str">
        <x:v>Duke University</x:v>
      </x:c>
      <x:c r="E58" s="31" t="n">
        <x:f>50</x:f>
        <x:v>50</x:v>
      </x:c>
      <x:c r="F58" s="44" t="n">
        <x:v>74.8</x:v>
      </x:c>
      <x:c r="G58" s="31" t="str">
        <x:v>57</x:v>
      </x:c>
      <x:c r="H58" s="44" t="n">
        <x:v>72</x:v>
      </x:c>
      <x:c r="I58" s="31" t="str">
        <x:v>61</x:v>
      </x:c>
      <x:c r="J58" s="44" t="n">
        <x:v>70.8</x:v>
      </x:c>
      <x:c r="K58" s="31" t="str">
        <x:v>62</x:v>
      </x:c>
      <x:c r="L58" s="44" t="n">
        <x:v>79</x:v>
      </x:c>
      <x:c r="M58" s="31" t="str">
        <x:v>70</x:v>
      </x:c>
      <x:c r="N58" s="44" t="n">
        <x:v>75.8</x:v>
      </x:c>
      <x:c r="O58" s="35" t="str">
        <x:v>https://www.topuniversities.com/universities/duke-university</x:v>
      </x:c>
      <x:c r="P58" s="35" t="str">
        <x:v>https://nicholas.duke.edu/academics/masters-programs/master-environmental-management</x:v>
      </x:c>
    </x:row>
    <x:row r="59">
      <x:c r="A59" t="n">
        <x:v>55</x:v>
      </x:c>
      <x:c r="B59" t="str">
        <x:v>New York University</x:v>
      </x:c>
      <x:c r="C59" s="32" t="str">
        <x:v>MS in Environmental Policy and Sustainability Management</x:v>
      </x:c>
      <x:c r="D59" s="32" t="str">
        <x:v>New York University (NYU)</x:v>
      </x:c>
      <x:c r="E59" s="31" t="str">
        <x:v>39</x:v>
      </x:c>
      <x:c r="F59" s="44" t="n">
        <x:v>80.3</x:v>
      </x:c>
      <x:c r="G59" s="31" t="n">
        <x:f>38</x:f>
        <x:v>38</x:v>
      </x:c>
      <x:c r="H59" s="44" t="n">
        <x:v>79.5</x:v>
      </x:c>
      <x:c r="I59" s="31" t="str">
        <x:v>43</x:v>
      </x:c>
      <x:c r="J59" s="44" t="n">
        <x:v>79.6</x:v>
      </x:c>
      <x:c r="K59" s="31" t="str">
        <x:v>55</x:v>
      </x:c>
      <x:c r="L59" s="44" t="n">
        <x:v>81.1</x:v>
      </x:c>
      <x:c r="M59" s="31" t="str">
        <x:v>58</x:v>
      </x:c>
      <x:c r="N59" s="44" t="n">
        <x:v>80.8</x:v>
      </x:c>
      <x:c r="O59" s="35" t="str">
        <x:v>https://www.topuniversities.com/universities/new-york-university-nyu</x:v>
      </x:c>
      <x:c r="P59" s="35" t="str">
        <x:v>https://www.sps.nyu.edu/homepage/academics/masters-degrees/ms-in-environmental-policy-and-sustainability-management.html</x:v>
      </x:c>
    </x:row>
    <x:row r="60">
      <x:c r="A60" t="n">
        <x:v>56</x:v>
      </x:c>
      <x:c r="B60" t="str">
        <x:v>LMU Munich</x:v>
      </x:c>
      <x:c r="C60" s="32" t="str">
        <x:v>MSc Environment and Society</x:v>
      </x:c>
      <x:c r="D60" s="32" t="str">
        <x:v>Ludwig-Maximilians-Universität München</x:v>
      </x:c>
      <x:c r="E60" s="31" t="str">
        <x:v>59</x:v>
      </x:c>
      <x:c r="F60" s="44" t="n">
        <x:v>70.4</x:v>
      </x:c>
      <x:c r="G60" s="31" t="str">
        <x:v>54</x:v>
      </x:c>
      <x:c r="H60" s="44" t="n">
        <x:v>72.5</x:v>
      </x:c>
      <x:c r="I60" s="31" t="str">
        <x:v>59</x:v>
      </x:c>
      <x:c r="J60" s="44" t="n">
        <x:v>71.6</x:v>
      </x:c>
      <x:c r="K60" s="31" t="n">
        <x:f>58</x:f>
        <x:v>58</x:v>
      </x:c>
      <x:c r="L60" s="44" t="n">
        <x:v>80.1</x:v>
      </x:c>
      <x:c r="M60" s="31" t="str">
        <x:v>61</x:v>
      </x:c>
      <x:c r="N60" s="44" t="n">
        <x:v>79.6</x:v>
      </x:c>
      <x:c r="O60" s="35" t="str">
        <x:v>https://www.topuniversities.com/universities/ludwig-maximilians-universitat-munchen</x:v>
      </x:c>
      <x:c r="P60" s="35" t="str">
        <x:v>https://www.lmu.de/en/study/all-degrees-and-programs/programs-for-international-visiting-students/environment-and-society-masters-program/</x:v>
      </x:c>
    </x:row>
    <x:row r="61">
      <x:c r="A61" t="n">
        <x:v>57</x:v>
      </x:c>
      <x:c r="B61" t="str">
        <x:v>Georgia Institute of Technology</x:v>
      </x:c>
      <x:c r="C61" s="32" t="str">
        <x:v>Master of Sustainable Energy and Environmental Management</x:v>
      </x:c>
      <x:c r="D61" s="32" t="str">
        <x:v>Georgia Institute of Technology</x:v>
      </x:c>
      <x:c r="E61" s="31" t="str">
        <x:v>88</x:v>
      </x:c>
      <x:c r="F61" s="44" t="n">
        <x:v>62.3</x:v>
      </x:c>
      <x:c r="G61" s="31" t="str">
        <x:v>97</x:v>
      </x:c>
      <x:c r="H61" s="44" t="n">
        <x:v>60.9</x:v>
      </x:c>
      <x:c r="I61" s="31" t="str">
        <x:v>114</x:v>
      </x:c>
      <x:c r="J61" s="44" t="n">
        <x:v>57.3</x:v>
      </x:c>
      <x:c r="K61" s="31" t="n">
        <x:f>123</x:f>
        <x:v>123</x:v>
      </x:c>
      <x:c r="L61" s="44" t="n">
        <x:v>65.5</x:v>
      </x:c>
      <x:c r="M61" s="31" t="n">
        <x:f>142</x:f>
        <x:v>142</x:v>
      </x:c>
      <x:c r="N61" s="44" t="n">
        <x:v>62.5</x:v>
      </x:c>
      <x:c r="O61" s="35" t="str">
        <x:v>https://www.topuniversities.com/universities/georgia-institute-technology</x:v>
      </x:c>
      <x:c r="P61" s="35" t="str">
        <x:v>https://spp.gatech.edu/master-sustainable-energy-environmental-management</x:v>
      </x:c>
    </x:row>
    <x:row r="62">
      <x:c r="A62" t="n">
        <x:v>58</x:v>
      </x:c>
      <x:c r="B62" t="str">
        <x:v>University of Illinois at Urbana-Champaign</x:v>
      </x:c>
      <x:c r="C62" s="32" t="str">
        <x:v>MS in Sustainable Design</x:v>
      </x:c>
      <x:c r="D62" s="32" t="str">
        <x:v>University of Illinois Urbana-Champaign</x:v>
      </x:c>
      <x:c r="E62" s="31" t="str">
        <x:v>85</x:v>
      </x:c>
      <x:c r="F62" s="44" t="n">
        <x:v>63.6</x:v>
      </x:c>
      <x:c r="G62" s="31" t="str">
        <x:v>64</x:v>
      </x:c>
      <x:c r="H62" s="44" t="n">
        <x:v>69.1</x:v>
      </x:c>
      <x:c r="I62" s="31" t="n">
        <x:f>69</x:f>
        <x:v>69</x:v>
      </x:c>
      <x:c r="J62" s="44" t="n">
        <x:v>68.2</x:v>
      </x:c>
      <x:c r="K62" s="31" t="n">
        <x:f>70</x:f>
        <x:v>70</x:v>
      </x:c>
      <x:c r="L62" s="44" t="n">
        <x:v>75.9</x:v>
      </x:c>
      <x:c r="M62" s="31" t="str">
        <x:v>74</x:v>
      </x:c>
      <x:c r="N62" s="44" t="n">
        <x:v>74.7</x:v>
      </x:c>
      <x:c r="O62" s="35" t="str">
        <x:v>https://www.topuniversities.com/universities/university-illinois-urbana-champaign</x:v>
      </x:c>
      <x:c r="P62" s="35" t="str">
        <x:v>https://arch.illinois.edu/programs-applying/graduate-degrees/ms-sustainable-design/</x:v>
      </x:c>
    </x:row>
    <x:row r="63">
      <x:c r="A63" t="n">
        <x:v>59</x:v>
      </x:c>
      <x:c r="B63" t="str">
        <x:v>KU Leuven</x:v>
      </x:c>
      <x:c r="C63" s="32" t="str">
        <x:v>Master of Sustainable Development</x:v>
      </x:c>
      <x:c r="D63" s="32" t="str">
        <x:v>KU Leuven</x:v>
      </x:c>
      <x:c r="E63" s="31" t="str">
        <x:v>76</x:v>
      </x:c>
      <x:c r="F63" s="44" t="n">
        <x:v>66</x:v>
      </x:c>
      <x:c r="G63" s="31" t="str">
        <x:v>61</x:v>
      </x:c>
      <x:c r="H63" s="44" t="n">
        <x:v>70.1</x:v>
      </x:c>
      <x:c r="I63" s="31" t="n">
        <x:f>63</x:f>
        <x:v>63</x:v>
      </x:c>
      <x:c r="J63" s="44" t="n">
        <x:v>70.3</x:v>
      </x:c>
      <x:c r="K63" s="31" t="str">
        <x:v>60</x:v>
      </x:c>
      <x:c r="L63" s="44" t="n">
        <x:v>79.7</x:v>
      </x:c>
      <x:c r="M63" s="31" t="str">
        <x:v>59</x:v>
      </x:c>
      <x:c r="N63" s="44" t="n">
        <x:v>80.5</x:v>
      </x:c>
      <x:c r="O63" s="35" t="str">
        <x:v>https://www.topuniversities.com/universities/ku-leuven</x:v>
      </x:c>
      <x:c r="P63" s="35" t="str">
        <x:v>https://www.kuleuven.be/programmes/master-sustainable-development</x:v>
      </x:c>
    </x:row>
    <x:row r="64">
      <x:c r="A64" t="n">
        <x:v>60</x:v>
      </x:c>
      <x:c r="B64" t="str">
        <x:v>University of California, San Diego</x:v>
      </x:c>
      <x:c r="C64" s="32" t="str">
        <x:v>MAS in Climate Science and Policy</x:v>
      </x:c>
      <x:c r="D64" s="32" t="str">
        <x:v>University of California, San Diego (UCSD)</x:v>
      </x:c>
      <x:c r="E64" s="31" t="str">
        <x:v>53</x:v>
      </x:c>
      <x:c r="F64" s="44" t="n">
        <x:v>74.5</x:v>
      </x:c>
      <x:c r="G64" s="31" t="str">
        <x:v>62</x:v>
      </x:c>
      <x:c r="H64" s="44" t="n">
        <x:v>70</x:v>
      </x:c>
      <x:c r="I64" s="31" t="str">
        <x:v>72</x:v>
      </x:c>
      <x:c r="J64" s="44" t="n">
        <x:v>67.1</x:v>
      </x:c>
      <x:c r="K64" s="31" t="str">
        <x:v>66</x:v>
      </x:c>
      <x:c r="L64" s="44" t="n">
        <x:v>76.9</x:v>
      </x:c>
      <x:c r="M64" s="31" t="str">
        <x:v>81</x:v>
      </x:c>
      <x:c r="N64" s="44" t="n">
        <x:v>73.3</x:v>
      </x:c>
      <x:c r="O64" s="35" t="str">
        <x:v>https://www.topuniversities.com/universities/university-california-san-diego-ucsd</x:v>
      </x:c>
      <x:c r="P64" s="35" t="str">
        <x:v>https://gps.ucsd.edu/academics/masters-programs/mas-climate-science-policy.html</x:v>
      </x:c>
    </x:row>
    <x:row r="65">
      <x:c r="A65" t="n">
        <x:v>61</x:v>
      </x:c>
      <x:c r="B65" t="str">
        <x:v>Universität Heidelberg</x:v>
      </x:c>
      <x:c r="C65" s="32" t="str">
        <x:v>MSc Governance of Risk and Resources</x:v>
      </x:c>
      <x:c r="D65" s="32" t="str">
        <x:v>Universität Heidelberg</x:v>
      </x:c>
      <x:c r="E65" s="31" t="n">
        <x:f>65</x:f>
        <x:v>65</x:v>
      </x:c>
      <x:c r="F65" s="44" t="n">
        <x:v>69</x:v>
      </x:c>
      <x:c r="G65" s="31" t="n">
        <x:f>87</x:f>
        <x:v>87</x:v>
      </x:c>
      <x:c r="H65" s="44" t="n">
        <x:v>62.2</x:v>
      </x:c>
      <x:c r="I65" s="31" t="n">
        <x:f>84</x:f>
        <x:v>84</x:v>
      </x:c>
      <x:c r="J65" s="44" t="n">
        <x:v>63.7</x:v>
      </x:c>
      <x:c r="K65" s="31" t="str">
        <x:v>80</x:v>
      </x:c>
      <x:c r="L65" s="44" t="n">
        <x:v>73</x:v>
      </x:c>
      <x:c r="M65" s="31" t="str">
        <x:v>86</x:v>
      </x:c>
      <x:c r="N65" s="44" t="n">
        <x:v>70.6</x:v>
      </x:c>
      <x:c r="O65" s="35" t="str">
        <x:v>https://www.topuniversities.com/universities/universitat-heidelberg</x:v>
      </x:c>
      <x:c r="P65" s="35" t="str">
        <x:v>https://www.hce.uni-heidelberg.de/en/study-and-teaching/masters-programme-governance-of-risk-and-resources</x:v>
      </x:c>
    </x:row>
    <x:row r="66">
      <x:c r="A66" t="n">
        <x:v>62</x:v>
      </x:c>
      <x:c r="B66" t="str">
        <x:v>University of Texas at Austin</x:v>
      </x:c>
      <x:c r="C66" s="32" t="str">
        <x:v>MS in Sustainable Design</x:v>
      </x:c>
      <x:c r="D66" s="32" t="str">
        <x:v>University of Texas at Austin</x:v>
      </x:c>
      <x:c r="E66" s="31" t="str">
        <x:v>72</x:v>
      </x:c>
      <x:c r="F66" s="44" t="n">
        <x:v>67.4</x:v>
      </x:c>
      <x:c r="G66" s="31" t="str">
        <x:v>58</x:v>
      </x:c>
      <x:c r="H66" s="44" t="n">
        <x:v>71.8</x:v>
      </x:c>
      <x:c r="I66" s="31" t="str">
        <x:v>66</x:v>
      </x:c>
      <x:c r="J66" s="44" t="n">
        <x:v>69.5</x:v>
      </x:c>
      <x:c r="K66" s="31" t="str">
        <x:v>68</x:v>
      </x:c>
      <x:c r="L66" s="44" t="n">
        <x:v>76.4</x:v>
      </x:c>
      <x:c r="M66" s="31" t="str">
        <x:v>72</x:v>
      </x:c>
      <x:c r="N66" s="44" t="n">
        <x:v>75.3</x:v>
      </x:c>
      <x:c r="O66" s="35" t="str">
        <x:v>https://www.topuniversities.com/universities/university-texas-austin</x:v>
      </x:c>
      <x:c r="P66" s="35" t="str">
        <x:v>https://soa.utexas.edu/programs/sustainable-design/ms-sustainable-design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4cf45569d9f40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42" hidden="0" customWidth="1"/>
    <x:col min="4" max="4" width="34" hidden="0" customWidth="1"/>
    <x:col min="5" max="5" width="11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2" hidden="0" customWidth="1"/>
    <x:col min="11" max="11" width="11" hidden="0" customWidth="1"/>
    <x:col min="12" max="12" width="12" hidden="0" customWidth="1"/>
    <x:col min="13" max="13" width="11" hidden="0" customWidth="1"/>
    <x:col min="14" max="14" width="12" hidden="0" customWidth="1"/>
    <x:col min="15" max="15" width="46" hidden="0" customWidth="1"/>
    <x:col min="16" max="16" width="48" hidden="0" customWidth="1"/>
  </x:cols>
  <x:sheetData>
    <x:row r="1" ht="28" customHeight="1">
      <x:c r="A1" s="3" t="str">
        <x:v>THE World University Rankings: 2022-2026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University-level ranking detail with exact rank bands, scores, official profiles, and the linked selected program.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30" t="str">
        <x:v>#</x:v>
      </x:c>
      <x:c r="B4" s="30" t="str">
        <x:v>Institution</x:v>
      </x:c>
      <x:c r="C4" s="30" t="str">
        <x:v>Selected program</x:v>
      </x:c>
      <x:c r="D4" s="30" t="str">
        <x:v>Official THE name</x:v>
      </x:c>
      <x:c r="E4" s="30" t="str">
        <x:v>Rank 2022</x:v>
      </x:c>
      <x:c r="F4" s="30" t="str">
        <x:v>Score 2022</x:v>
      </x:c>
      <x:c r="G4" s="30" t="str">
        <x:v>Rank 2023</x:v>
      </x:c>
      <x:c r="H4" s="30" t="str">
        <x:v>Score 2023</x:v>
      </x:c>
      <x:c r="I4" s="30" t="str">
        <x:v>Rank 2024</x:v>
      </x:c>
      <x:c r="J4" s="30" t="str">
        <x:v>Score 2024</x:v>
      </x:c>
      <x:c r="K4" s="30" t="str">
        <x:v>Rank 2025</x:v>
      </x:c>
      <x:c r="L4" s="30" t="str">
        <x:v>Score 2025</x:v>
      </x:c>
      <x:c r="M4" s="30" t="str">
        <x:v>Rank 2026</x:v>
      </x:c>
      <x:c r="N4" s="30" t="str">
        <x:v>Score 2026</x:v>
      </x:c>
      <x:c r="O4" s="30" t="str">
        <x:v>THE profile URL</x:v>
      </x:c>
      <x:c r="P4" s="30" t="str">
        <x:v>Program URL</x:v>
      </x:c>
    </x:row>
    <x:row r="5">
      <x:c r="A5" t="n">
        <x:v>1</x:v>
      </x:c>
      <x:c r="B5" t="str">
        <x:v>Massachusetts Institute of Technology (MIT)</x:v>
      </x:c>
      <x:c r="C5" s="32" t="str">
        <x:v>Master in City Planning - Environmental Policy and Planning focus</x:v>
      </x:c>
      <x:c r="D5" s="32" t="str">
        <x:v>Massachusetts Institute of Technology</x:v>
      </x:c>
      <x:c r="E5" s="31" t="n">
        <x:f>5</x:f>
        <x:v>5</x:v>
      </x:c>
      <x:c r="F5" s="38" t="str">
        <x:v>94.6</x:v>
      </x:c>
      <x:c r="G5" s="31" t="str">
        <x:v>5</x:v>
      </x:c>
      <x:c r="H5" s="38" t="str">
        <x:v>94.2</x:v>
      </x:c>
      <x:c r="I5" s="31" t="str">
        <x:v>3</x:v>
      </x:c>
      <x:c r="J5" s="38" t="str">
        <x:v>97.9</x:v>
      </x:c>
      <x:c r="K5" s="31" t="str">
        <x:v>2</x:v>
      </x:c>
      <x:c r="L5" s="38" t="str">
        <x:v>98.1</x:v>
      </x:c>
      <x:c r="M5" s="31" t="str">
        <x:v>2</x:v>
      </x:c>
      <x:c r="N5" s="38" t="str">
        <x:v>97.7</x:v>
      </x:c>
      <x:c r="O5" s="35" t="str">
        <x:v>https://www.timeshighereducation.com/world-university-rankings/massachusetts-institute-technology</x:v>
      </x:c>
      <x:c r="P5" s="35" t="str">
        <x:v>https://dusp.mit.edu/masters/city-planning</x:v>
      </x:c>
    </x:row>
    <x:row r="6">
      <x:c r="A6" t="n">
        <x:v>2</x:v>
      </x:c>
      <x:c r="B6" t="str">
        <x:v>Imperial College London</x:v>
      </x:c>
      <x:c r="C6" s="32" t="str">
        <x:v>MSc Climate Change, Management &amp; Finance</x:v>
      </x:c>
      <x:c r="D6" s="32" t="str">
        <x:v>Imperial College London</x:v>
      </x:c>
      <x:c r="E6" s="31" t="str">
        <x:v>12</x:v>
      </x:c>
      <x:c r="F6" s="38" t="str">
        <x:v>89.3</x:v>
      </x:c>
      <x:c r="G6" s="31" t="str">
        <x:v>10</x:v>
      </x:c>
      <x:c r="H6" s="38" t="str">
        <x:v>90.4</x:v>
      </x:c>
      <x:c r="I6" s="31" t="str">
        <x:v>8</x:v>
      </x:c>
      <x:c r="J6" s="38" t="str">
        <x:v>95.1</x:v>
      </x:c>
      <x:c r="K6" s="31" t="str">
        <x:v>9</x:v>
      </x:c>
      <x:c r="L6" s="38" t="str">
        <x:v>94.4</x:v>
      </x:c>
      <x:c r="M6" s="31" t="str">
        <x:v>8</x:v>
      </x:c>
      <x:c r="N6" s="38" t="str">
        <x:v>94.7</x:v>
      </x:c>
      <x:c r="O6" s="35" t="str">
        <x:v>https://www.timeshighereducation.com/world-university-rankings/imperial-college-london</x:v>
      </x:c>
      <x:c r="P6" s="35" t="str">
        <x:v>https://www.imperial.ac.uk/business-school/masters/climate-change-management-finance/</x:v>
      </x:c>
    </x:row>
    <x:row r="7">
      <x:c r="A7" t="n">
        <x:v>3</x:v>
      </x:c>
      <x:c r="B7" t="str">
        <x:v>Stanford University</x:v>
      </x:c>
      <x:c r="C7" s="32" t="str">
        <x:v>Joint MS in Environment and Resources</x:v>
      </x:c>
      <x:c r="D7" s="32" t="str">
        <x:v>Stanford University</x:v>
      </x:c>
      <x:c r="E7" s="31" t="str">
        <x:v>4</x:v>
      </x:c>
      <x:c r="F7" s="38" t="str">
        <x:v>94.9</x:v>
      </x:c>
      <x:c r="G7" s="31" t="n">
        <x:f>3</x:f>
        <x:v>3</x:v>
      </x:c>
      <x:c r="H7" s="38" t="str">
        <x:v>94.8</x:v>
      </x:c>
      <x:c r="I7" s="31" t="str">
        <x:v>2</x:v>
      </x:c>
      <x:c r="J7" s="38" t="str">
        <x:v>98.0</x:v>
      </x:c>
      <x:c r="K7" s="31" t="str">
        <x:v>6</x:v>
      </x:c>
      <x:c r="L7" s="38" t="str">
        <x:v>97.2</x:v>
      </x:c>
      <x:c r="M7" s="31" t="n">
        <x:f>5</x:f>
        <x:v>5</x:v>
      </x:c>
      <x:c r="N7" s="38" t="str">
        <x:v>97.1</x:v>
      </x:c>
      <x:c r="O7" s="35" t="str">
        <x:v>https://www.timeshighereducation.com/world-university-rankings/stanford-university</x:v>
      </x:c>
      <x:c r="P7" s="35" t="str">
        <x:v>https://eiper.stanford.edu/academics/joint-ms</x:v>
      </x:c>
    </x:row>
    <x:row r="8">
      <x:c r="A8" t="n">
        <x:v>4</x:v>
      </x:c>
      <x:c r="B8" t="str">
        <x:v>University of Oxford</x:v>
      </x:c>
      <x:c r="C8" s="32" t="str">
        <x:v>MSc in Sustainability, Enterprise and the Environment</x:v>
      </x:c>
      <x:c r="D8" s="32" t="str">
        <x:v>University of Oxford</x:v>
      </x:c>
      <x:c r="E8" s="31" t="str">
        <x:v>1</x:v>
      </x:c>
      <x:c r="F8" s="38" t="str">
        <x:v>95.7</x:v>
      </x:c>
      <x:c r="G8" s="31" t="str">
        <x:v>1</x:v>
      </x:c>
      <x:c r="H8" s="38" t="str">
        <x:v>96.4</x:v>
      </x:c>
      <x:c r="I8" s="31" t="str">
        <x:v>1</x:v>
      </x:c>
      <x:c r="J8" s="38" t="str">
        <x:v>98.5</x:v>
      </x:c>
      <x:c r="K8" s="31" t="str">
        <x:v>1</x:v>
      </x:c>
      <x:c r="L8" s="38" t="str">
        <x:v>98.5</x:v>
      </x:c>
      <x:c r="M8" s="31" t="str">
        <x:v>1</x:v>
      </x:c>
      <x:c r="N8" s="38" t="str">
        <x:v>98.2</x:v>
      </x:c>
      <x:c r="O8" s="35" t="str">
        <x:v>https://www.timeshighereducation.com/world-university-rankings/university-oxford</x:v>
      </x:c>
      <x:c r="P8" s="35" t="str">
        <x:v>https://www.smithschool.ox.ac.uk/course/msc-sustainability-enterprise-and-environment</x:v>
      </x:c>
    </x:row>
    <x:row r="9">
      <x:c r="A9" t="n">
        <x:v>5</x:v>
      </x:c>
      <x:c r="B9" t="str">
        <x:v>Harvard University</x:v>
      </x:c>
      <x:c r="C9" s="32" t="str">
        <x:v>Sustainability Master's Degree Program</x:v>
      </x:c>
      <x:c r="D9" s="32" t="str">
        <x:v>Harvard University</x:v>
      </x:c>
      <x:c r="E9" s="31" t="n">
        <x:f>2</x:f>
        <x:v>2</x:v>
      </x:c>
      <x:c r="F9" s="38" t="str">
        <x:v>95.0</x:v>
      </x:c>
      <x:c r="G9" s="31" t="str">
        <x:v>2</x:v>
      </x:c>
      <x:c r="H9" s="38" t="str">
        <x:v>95.2</x:v>
      </x:c>
      <x:c r="I9" s="31" t="str">
        <x:v>4</x:v>
      </x:c>
      <x:c r="J9" s="38" t="str">
        <x:v>97.8</x:v>
      </x:c>
      <x:c r="K9" s="31" t="str">
        <x:v>3</x:v>
      </x:c>
      <x:c r="L9" s="38" t="str">
        <x:v>97.7</x:v>
      </x:c>
      <x:c r="M9" s="31" t="n">
        <x:f>5</x:f>
        <x:v>5</x:v>
      </x:c>
      <x:c r="N9" s="38" t="str">
        <x:v>97.1</x:v>
      </x:c>
      <x:c r="O9" s="35" t="str">
        <x:v>https://www.timeshighereducation.com/world-university-rankings/harvard-university</x:v>
      </x:c>
      <x:c r="P9" s="35" t="str">
        <x:v>https://extension.harvard.edu/academics/programs/sustainability-graduate-program/</x:v>
      </x:c>
    </x:row>
    <x:row r="10">
      <x:c r="A10" t="n">
        <x:v>6</x:v>
      </x:c>
      <x:c r="B10" t="str">
        <x:v>University of Cambridge</x:v>
      </x:c>
      <x:c r="C10" s="32" t="str">
        <x:v>MPhil in Engineering for Sustainable Development</x:v>
      </x:c>
      <x:c r="D10" s="32" t="str">
        <x:v>University of Cambridge</x:v>
      </x:c>
      <x:c r="E10" s="31" t="n">
        <x:f>5</x:f>
        <x:v>5</x:v>
      </x:c>
      <x:c r="F10" s="38" t="str">
        <x:v>94.6</x:v>
      </x:c>
      <x:c r="G10" s="31" t="n">
        <x:f>3</x:f>
        <x:v>3</x:v>
      </x:c>
      <x:c r="H10" s="38" t="str">
        <x:v>94.8</x:v>
      </x:c>
      <x:c r="I10" s="31" t="str">
        <x:v>5</x:v>
      </x:c>
      <x:c r="J10" s="38" t="str">
        <x:v>97.5</x:v>
      </x:c>
      <x:c r="K10" s="31" t="str">
        <x:v>5</x:v>
      </x:c>
      <x:c r="L10" s="38" t="str">
        <x:v>97.4</x:v>
      </x:c>
      <x:c r="M10" s="31" t="n">
        <x:f>3</x:f>
        <x:v>3</x:v>
      </x:c>
      <x:c r="N10" s="38" t="str">
        <x:v>97.2</x:v>
      </x:c>
      <x:c r="O10" s="35" t="str">
        <x:v>https://www.timeshighereducation.com/world-university-rankings/university-cambridge</x:v>
      </x:c>
      <x:c r="P10" s="35" t="str">
        <x:v>https://www.postgraduate.study.cam.ac.uk/courses/directory/egegmpesd</x:v>
      </x:c>
    </x:row>
    <x:row r="11">
      <x:c r="A11" t="n">
        <x:v>7</x:v>
      </x:c>
      <x:c r="B11" t="str">
        <x:v>California Institute of Technology (Caltech)</x:v>
      </x:c>
      <x:c r="C11" s="32" t="str">
        <x:v>Environmental Science and Engineering Graduate Program</x:v>
      </x:c>
      <x:c r="D11" s="32" t="str">
        <x:v>California Institute of Technology</x:v>
      </x:c>
      <x:c r="E11" s="31" t="n">
        <x:f>2</x:f>
        <x:v>2</x:v>
      </x:c>
      <x:c r="F11" s="38" t="str">
        <x:v>95.0</x:v>
      </x:c>
      <x:c r="G11" s="31" t="str">
        <x:v>6</x:v>
      </x:c>
      <x:c r="H11" s="38" t="str">
        <x:v>94.1</x:v>
      </x:c>
      <x:c r="I11" s="31" t="str">
        <x:v>7</x:v>
      </x:c>
      <x:c r="J11" s="38" t="str">
        <x:v>96.5</x:v>
      </x:c>
      <x:c r="K11" s="31" t="str">
        <x:v>7</x:v>
      </x:c>
      <x:c r="L11" s="38" t="str">
        <x:v>96.3</x:v>
      </x:c>
      <x:c r="M11" s="31" t="str">
        <x:v>7</x:v>
      </x:c>
      <x:c r="N11" s="38" t="str">
        <x:v>96.3</x:v>
      </x:c>
      <x:c r="O11" s="35" t="str">
        <x:v>https://www.timeshighereducation.com/world-university-rankings/california-institute-technology</x:v>
      </x:c>
      <x:c r="P11" s="35" t="str">
        <x:v>https://www.ese.caltech.edu/academics/graduate-program</x:v>
      </x:c>
    </x:row>
    <x:row r="12">
      <x:c r="A12" t="n">
        <x:v>8</x:v>
      </x:c>
      <x:c r="B12" t="str">
        <x:v>ETH Zurich</x:v>
      </x:c>
      <x:c r="C12" s="32" t="str">
        <x:v>MSc Environmental Sciences</x:v>
      </x:c>
      <x:c r="D12" s="32" t="str">
        <x:v>ETH Zurich</x:v>
      </x:c>
      <x:c r="E12" s="31" t="str">
        <x:v>15</x:v>
      </x:c>
      <x:c r="F12" s="38" t="str">
        <x:v>88.2</x:v>
      </x:c>
      <x:c r="G12" s="31" t="n">
        <x:f>11</x:f>
        <x:v>11</x:v>
      </x:c>
      <x:c r="H12" s="38" t="str">
        <x:v>89.4</x:v>
      </x:c>
      <x:c r="I12" s="31" t="str">
        <x:v>11</x:v>
      </x:c>
      <x:c r="J12" s="38" t="str">
        <x:v>93.1</x:v>
      </x:c>
      <x:c r="K12" s="31" t="str">
        <x:v>11</x:v>
      </x:c>
      <x:c r="L12" s="38" t="str">
        <x:v>93.0</x:v>
      </x:c>
      <x:c r="M12" s="31" t="str">
        <x:v>11</x:v>
      </x:c>
      <x:c r="N12" s="38" t="str">
        <x:v>93.1</x:v>
      </x:c>
      <x:c r="O12" s="35" t="str">
        <x:v>https://www.timeshighereducation.com/world-university-rankings/eth-zurich</x:v>
      </x:c>
      <x:c r="P12" s="35" t="str">
        <x:v>https://ethz.ch/en/studies/master/degree-programmes/natural-sciences-and-mathematics/environmental-sciences.html</x:v>
      </x:c>
    </x:row>
    <x:row r="13">
      <x:c r="A13" t="n">
        <x:v>9</x:v>
      </x:c>
      <x:c r="B13" t="str">
        <x:v>UCL</x:v>
      </x:c>
      <x:c r="C13" s="32" t="str">
        <x:v>Sustainable Resources: Economics, Policy and Transitions MSc</x:v>
      </x:c>
      <x:c r="D13" s="32" t="str">
        <x:v>UCL</x:v>
      </x:c>
      <x:c r="E13" s="31" t="n">
        <x:f>18</x:f>
        <x:v>18</x:v>
      </x:c>
      <x:c r="F13" s="38" t="str">
        <x:v>87.2</x:v>
      </x:c>
      <x:c r="G13" s="31" t="str">
        <x:v>22</x:v>
      </x:c>
      <x:c r="H13" s="38" t="str">
        <x:v>85.7</x:v>
      </x:c>
      <x:c r="I13" s="31" t="str">
        <x:v>22</x:v>
      </x:c>
      <x:c r="J13" s="38" t="str">
        <x:v>88.1</x:v>
      </x:c>
      <x:c r="K13" s="31" t="n">
        <x:f>22</x:f>
        <x:v>22</x:v>
      </x:c>
      <x:c r="L13" s="38" t="str">
        <x:v>87.7</x:v>
      </x:c>
      <x:c r="M13" s="31" t="str">
        <x:v>22</x:v>
      </x:c>
      <x:c r="N13" s="38" t="str">
        <x:v>87.5</x:v>
      </x:c>
      <x:c r="O13" s="35" t="str">
        <x:v>https://www.timeshighereducation.com/world-university-rankings/ucl</x:v>
      </x:c>
      <x:c r="P13" s="35" t="str">
        <x:v>https://www.ucl.ac.uk/prospective-students/graduate/taught-degrees/sustainable-resources-economics-policy-and-transitions-msc</x:v>
      </x:c>
    </x:row>
    <x:row r="14">
      <x:c r="A14" t="n">
        <x:v>10</x:v>
      </x:c>
      <x:c r="B14" t="str">
        <x:v>National University of Singapore (NUS)</x:v>
      </x:c>
      <x:c r="C14" s="32" t="str">
        <x:v>MSc in Sustainable and Green Finance</x:v>
      </x:c>
      <x:c r="D14" s="32" t="str">
        <x:v>National University of Singapore</x:v>
      </x:c>
      <x:c r="E14" s="31" t="str">
        <x:v>21</x:v>
      </x:c>
      <x:c r="F14" s="38" t="str">
        <x:v>85.2</x:v>
      </x:c>
      <x:c r="G14" s="31" t="str">
        <x:v>19</x:v>
      </x:c>
      <x:c r="H14" s="38" t="str">
        <x:v>87.1</x:v>
      </x:c>
      <x:c r="I14" s="31" t="str">
        <x:v>19</x:v>
      </x:c>
      <x:c r="J14" s="38" t="str">
        <x:v>90.0</x:v>
      </x:c>
      <x:c r="K14" s="31" t="str">
        <x:v>17</x:v>
      </x:c>
      <x:c r="L14" s="38" t="str">
        <x:v>89.9</x:v>
      </x:c>
      <x:c r="M14" s="31" t="str">
        <x:v>17</x:v>
      </x:c>
      <x:c r="N14" s="38" t="str">
        <x:v>89.7</x:v>
      </x:c>
      <x:c r="O14" s="35" t="str">
        <x:v>https://www.timeshighereducation.com/world-university-rankings/national-university-singapore</x:v>
      </x:c>
      <x:c r="P14" s="35" t="str">
        <x:v>https://msgfin.nus.edu.sg/academics/</x:v>
      </x:c>
    </x:row>
    <x:row r="15">
      <x:c r="A15" t="n">
        <x:v>11</x:v>
      </x:c>
      <x:c r="B15" t="str">
        <x:v>The University of Hong Kong</x:v>
      </x:c>
      <x:c r="C15" s="32" t="str">
        <x:v>Master of Science in Environmental Management</x:v>
      </x:c>
      <x:c r="D15" s="32" t="str">
        <x:v>University of Hong Kong</x:v>
      </x:c>
      <x:c r="E15" s="31" t="n">
        <x:f>30</x:f>
        <x:v>30</x:v>
      </x:c>
      <x:c r="F15" s="38" t="str">
        <x:v>78.9</x:v>
      </x:c>
      <x:c r="G15" s="31" t="str">
        <x:v>31</x:v>
      </x:c>
      <x:c r="H15" s="38" t="str">
        <x:v>78.5</x:v>
      </x:c>
      <x:c r="I15" s="31" t="str">
        <x:v>35</x:v>
      </x:c>
      <x:c r="J15" s="38" t="str">
        <x:v>80.3</x:v>
      </x:c>
      <x:c r="K15" s="31" t="str">
        <x:v>35</x:v>
      </x:c>
      <x:c r="L15" s="38" t="str">
        <x:v>79.6</x:v>
      </x:c>
      <x:c r="M15" s="31" t="str">
        <x:v>33</x:v>
      </x:c>
      <x:c r="N15" s="38" t="str">
        <x:v>80.5</x:v>
      </x:c>
      <x:c r="O15" s="35" t="str">
        <x:v>https://www.timeshighereducation.com/world-university-rankings/university-hong-kong</x:v>
      </x:c>
      <x:c r="P15" s="35" t="str">
        <x:v>https://admissions.hku.hk/tpg/programme/master-science-environmental-management</x:v>
      </x:c>
    </x:row>
    <x:row r="16">
      <x:c r="A16" t="n">
        <x:v>12</x:v>
      </x:c>
      <x:c r="B16" t="str">
        <x:v>Nanyang Technological University, Singapore (NTU Singapore)</x:v>
      </x:c>
      <x:c r="C16" s="32" t="str">
        <x:v>MSc Sustainability Management</x:v>
      </x:c>
      <x:c r="D16" s="32" t="str">
        <x:v>Nanyang Technological University, Singapore</x:v>
      </x:c>
      <x:c r="E16" s="31" t="str">
        <x:v>46</x:v>
      </x:c>
      <x:c r="F16" s="38" t="str">
        <x:v>73.0</x:v>
      </x:c>
      <x:c r="G16" s="31" t="str">
        <x:v>36</x:v>
      </x:c>
      <x:c r="H16" s="38" t="str">
        <x:v>77.0</x:v>
      </x:c>
      <x:c r="I16" s="31" t="str">
        <x:v>32</x:v>
      </x:c>
      <x:c r="J16" s="38" t="str">
        <x:v>82.3</x:v>
      </x:c>
      <x:c r="K16" s="31" t="str">
        <x:v>30</x:v>
      </x:c>
      <x:c r="L16" s="38" t="str">
        <x:v>81.8</x:v>
      </x:c>
      <x:c r="M16" s="31" t="n">
        <x:f>31</x:f>
        <x:v>31</x:v>
      </x:c>
      <x:c r="N16" s="38" t="str">
        <x:v>81.6</x:v>
      </x:c>
      <x:c r="O16" s="35" t="str">
        <x:v>https://www.timeshighereducation.com/world-university-rankings/nanyang-technological-university-singapore</x:v>
      </x:c>
      <x:c r="P16" s="35" t="str">
        <x:v>https://www.ntu.edu.sg/business/admissions/graduate-studies/msc-sustainability-management</x:v>
      </x:c>
    </x:row>
    <x:row r="17">
      <x:c r="A17" t="n">
        <x:v>13</x:v>
      </x:c>
      <x:c r="B17" t="str">
        <x:v>Peking University</x:v>
      </x:c>
      <x:c r="C17" s="32" t="str">
        <x:v>Master's programs in Environmental Science and Engineering / Environmental Management</x:v>
      </x:c>
      <x:c r="D17" s="32" t="str">
        <x:v>Peking University</x:v>
      </x:c>
      <x:c r="E17" s="31" t="n">
        <x:f>16</x:f>
        <x:v>16</x:v>
      </x:c>
      <x:c r="F17" s="38" t="str">
        <x:v>87.5</x:v>
      </x:c>
      <x:c r="G17" s="31" t="str">
        <x:v>17</x:v>
      </x:c>
      <x:c r="H17" s="38" t="str">
        <x:v>88.1</x:v>
      </x:c>
      <x:c r="I17" s="31" t="str">
        <x:v>14</x:v>
      </x:c>
      <x:c r="J17" s="38" t="str">
        <x:v>91.8</x:v>
      </x:c>
      <x:c r="K17" s="31" t="str">
        <x:v>13</x:v>
      </x:c>
      <x:c r="L17" s="38" t="str">
        <x:v>92.0</x:v>
      </x:c>
      <x:c r="M17" s="31" t="str">
        <x:v>13</x:v>
      </x:c>
      <x:c r="N17" s="38" t="str">
        <x:v>92.3</x:v>
      </x:c>
      <x:c r="O17" s="35" t="str">
        <x:v>https://www.timeshighereducation.com/world-university-rankings/peking-university</x:v>
      </x:c>
      <x:c r="P17" s="35" t="str">
        <x:v>https://en.coe.pku.edu.cn/education/graduate_programs.htm</x:v>
      </x:c>
    </x:row>
    <x:row r="18">
      <x:c r="A18" t="n">
        <x:v>14</x:v>
      </x:c>
      <x:c r="B18" t="str">
        <x:v>Tsinghua University</x:v>
      </x:c>
      <x:c r="C18" s="32" t="str">
        <x:v>Graduate program in Environmental Science and Engineering</x:v>
      </x:c>
      <x:c r="D18" s="32" t="str">
        <x:v>Tsinghua University</x:v>
      </x:c>
      <x:c r="E18" s="31" t="n">
        <x:f>16</x:f>
        <x:v>16</x:v>
      </x:c>
      <x:c r="F18" s="38" t="str">
        <x:v>87.5</x:v>
      </x:c>
      <x:c r="G18" s="31" t="str">
        <x:v>16</x:v>
      </x:c>
      <x:c r="H18" s="38" t="str">
        <x:v>88.2</x:v>
      </x:c>
      <x:c r="I18" s="31" t="str">
        <x:v>12</x:v>
      </x:c>
      <x:c r="J18" s="38" t="str">
        <x:v>92.4</x:v>
      </x:c>
      <x:c r="K18" s="31" t="str">
        <x:v>12</x:v>
      </x:c>
      <x:c r="L18" s="38" t="str">
        <x:v>92.5</x:v>
      </x:c>
      <x:c r="M18" s="31" t="str">
        <x:v>12</x:v>
      </x:c>
      <x:c r="N18" s="38" t="str">
        <x:v>93.0</x:v>
      </x:c>
      <x:c r="O18" s="35" t="str">
        <x:v>https://www.timeshighereducation.com/world-university-rankings/tsinghua-university</x:v>
      </x:c>
      <x:c r="P18" s="35" t="str">
        <x:v>https://www.env.tsinghua.edu.cn/en/education/graduate.htm</x:v>
      </x:c>
    </x:row>
    <x:row r="19">
      <x:c r="A19" t="n">
        <x:v>15</x:v>
      </x:c>
      <x:c r="B19" t="str">
        <x:v>University of Pennsylvania</x:v>
      </x:c>
      <x:c r="C19" s="32" t="str">
        <x:v>Master of Environmental Studies</x:v>
      </x:c>
      <x:c r="D19" s="32" t="str">
        <x:v>University of Pennsylvania</x:v>
      </x:c>
      <x:c r="E19" s="31" t="n">
        <x:f>13</x:f>
        <x:v>13</x:v>
      </x:c>
      <x:c r="F19" s="38" t="str">
        <x:v>88.4</x:v>
      </x:c>
      <x:c r="G19" s="31" t="str">
        <x:v>14</x:v>
      </x:c>
      <x:c r="H19" s="38" t="str">
        <x:v>88.8</x:v>
      </x:c>
      <x:c r="I19" s="31" t="str">
        <x:v>16</x:v>
      </x:c>
      <x:c r="J19" s="38" t="str">
        <x:v>91.0</x:v>
      </x:c>
      <x:c r="K19" s="31" t="n">
        <x:f>14</x:f>
        <x:v>14</x:v>
      </x:c>
      <x:c r="L19" s="38" t="str">
        <x:v>90.9</x:v>
      </x:c>
      <x:c r="M19" s="31" t="str">
        <x:v>14</x:v>
      </x:c>
      <x:c r="N19" s="38" t="str">
        <x:v>90.8</x:v>
      </x:c>
      <x:c r="O19" s="35" t="str">
        <x:v>https://www.timeshighereducation.com/world-university-rankings/university-pennsylvania</x:v>
      </x:c>
      <x:c r="P19" s="35" t="str">
        <x:v>https://www.lps.upenn.edu/degree-programs/mes</x:v>
      </x:c>
    </x:row>
    <x:row r="20">
      <x:c r="A20" t="n">
        <x:v>16</x:v>
      </x:c>
      <x:c r="B20" t="str">
        <x:v>Cornell University</x:v>
      </x:c>
      <x:c r="C20" s="32" t="str">
        <x:v>MPS in Global Development</x:v>
      </x:c>
      <x:c r="D20" s="32" t="str">
        <x:v>Cornell University</x:v>
      </x:c>
      <x:c r="E20" s="31" t="str">
        <x:v>22</x:v>
      </x:c>
      <x:c r="F20" s="38" t="str">
        <x:v>85.0</x:v>
      </x:c>
      <x:c r="G20" s="31" t="str">
        <x:v>20</x:v>
      </x:c>
      <x:c r="H20" s="38" t="str">
        <x:v>85.9</x:v>
      </x:c>
      <x:c r="I20" s="31" t="str">
        <x:v>20</x:v>
      </x:c>
      <x:c r="J20" s="38" t="str">
        <x:v>89.5</x:v>
      </x:c>
      <x:c r="K20" s="31" t="str">
        <x:v>20</x:v>
      </x:c>
      <x:c r="L20" s="38" t="str">
        <x:v>89.2</x:v>
      </x:c>
      <x:c r="M20" s="31" t="n">
        <x:f>18</x:f>
        <x:v>18</x:v>
      </x:c>
      <x:c r="N20" s="38" t="str">
        <x:v>89.5</x:v>
      </x:c>
      <x:c r="O20" s="35" t="str">
        <x:v>https://www.timeshighereducation.com/world-university-rankings/cornell-university</x:v>
      </x:c>
      <x:c r="P20" s="35" t="str">
        <x:v>https://cals.cornell.edu/global-development/degrees-programs/graduate/mps-global-development</x:v>
      </x:c>
    </x:row>
    <x:row r="21">
      <x:c r="A21" t="n">
        <x:v>17</x:v>
      </x:c>
      <x:c r="B21" t="str">
        <x:v>Yale University</x:v>
      </x:c>
      <x:c r="C21" s="32" t="str">
        <x:v>Master of Environmental Management</x:v>
      </x:c>
      <x:c r="D21" s="32" t="str">
        <x:v>Yale University</x:v>
      </x:c>
      <x:c r="E21" s="31" t="str">
        <x:v>9</x:v>
      </x:c>
      <x:c r="F21" s="38" t="str">
        <x:v>90.8</x:v>
      </x:c>
      <x:c r="G21" s="31" t="str">
        <x:v>9</x:v>
      </x:c>
      <x:c r="H21" s="38" t="str">
        <x:v>91.4</x:v>
      </x:c>
      <x:c r="I21" s="31" t="str">
        <x:v>10</x:v>
      </x:c>
      <x:c r="J21" s="38" t="str">
        <x:v>94.2</x:v>
      </x:c>
      <x:c r="K21" s="31" t="str">
        <x:v>10</x:v>
      </x:c>
      <x:c r="L21" s="38" t="str">
        <x:v>94.1</x:v>
      </x:c>
      <x:c r="M21" s="31" t="str">
        <x:v>10</x:v>
      </x:c>
      <x:c r="N21" s="38" t="str">
        <x:v>94.1</x:v>
      </x:c>
      <x:c r="O21" s="35" t="str">
        <x:v>https://www.timeshighereducation.com/world-university-rankings/yale-university</x:v>
      </x:c>
      <x:c r="P21" s="35" t="str">
        <x:v>https://environment.yale.edu/academics/masters/mem</x:v>
      </x:c>
    </x:row>
    <x:row r="22">
      <x:c r="A22" t="n">
        <x:v>18</x:v>
      </x:c>
      <x:c r="B22" t="str">
        <x:v>The Chinese University of Hong Kong (CUHK)</x:v>
      </x:c>
      <x:c r="C22" s="32" t="str">
        <x:v>MSc in Sustainable Global Business</x:v>
      </x:c>
      <x:c r="D22" s="32" t="str">
        <x:v>The Chinese University of Hong Kong</x:v>
      </x:c>
      <x:c r="E22" s="31" t="str">
        <x:v>49</x:v>
      </x:c>
      <x:c r="F22" s="38" t="str">
        <x:v>71.3</x:v>
      </x:c>
      <x:c r="G22" s="31" t="str">
        <x:v>45</x:v>
      </x:c>
      <x:c r="H22" s="38" t="str">
        <x:v>73.2</x:v>
      </x:c>
      <x:c r="I22" s="31" t="str">
        <x:v>53</x:v>
      </x:c>
      <x:c r="J22" s="38" t="str">
        <x:v>75.4</x:v>
      </x:c>
      <x:c r="K22" s="31" t="str">
        <x:v>44</x:v>
      </x:c>
      <x:c r="L22" s="38" t="str">
        <x:v>76.8</x:v>
      </x:c>
      <x:c r="M22" s="31" t="n">
        <x:f>41</x:f>
        <x:v>41</x:v>
      </x:c>
      <x:c r="N22" s="38" t="str">
        <x:v>77.1</x:v>
      </x:c>
      <x:c r="O22" s="35" t="str">
        <x:v>https://www.timeshighereducation.com/world-university-rankings/chinese-university-hong-kong</x:v>
      </x:c>
      <x:c r="P22" s="35" t="str">
        <x:v>https://masters.bschool.cuhk.edu.hk/programmes/msc-in-sustainable-global-business/</x:v>
      </x:c>
    </x:row>
    <x:row r="23">
      <x:c r="A23" t="n">
        <x:v>19</x:v>
      </x:c>
      <x:c r="B23" t="str">
        <x:v>Johns Hopkins University</x:v>
      </x:c>
      <x:c r="C23" s="32" t="str">
        <x:v>MS in Energy Policy and Climate</x:v>
      </x:c>
      <x:c r="D23" s="32" t="str">
        <x:v>Johns Hopkins University</x:v>
      </x:c>
      <x:c r="E23" s="31" t="n">
        <x:f>13</x:f>
        <x:v>13</x:v>
      </x:c>
      <x:c r="F23" s="38" t="str">
        <x:v>88.4</x:v>
      </x:c>
      <x:c r="G23" s="31" t="str">
        <x:v>15</x:v>
      </x:c>
      <x:c r="H23" s="38" t="str">
        <x:v>88.3</x:v>
      </x:c>
      <x:c r="I23" s="31" t="str">
        <x:v>15</x:v>
      </x:c>
      <x:c r="J23" s="38" t="str">
        <x:v>91.1</x:v>
      </x:c>
      <x:c r="K23" s="31" t="str">
        <x:v>16</x:v>
      </x:c>
      <x:c r="L23" s="38" t="str">
        <x:v>90.7</x:v>
      </x:c>
      <x:c r="M23" s="31" t="str">
        <x:v>16</x:v>
      </x:c>
      <x:c r="N23" s="38" t="str">
        <x:v>90.1</x:v>
      </x:c>
      <x:c r="O23" s="35" t="str">
        <x:v>https://www.timeshighereducation.com/world-university-rankings/johns-hopkins-university</x:v>
      </x:c>
      <x:c r="P23" s="35" t="str">
        <x:v>https://advanced.jhu.edu/academics/graduate/ms-energy-policy-climate/</x:v>
      </x:c>
    </x:row>
    <x:row r="24">
      <x:c r="A24" t="n">
        <x:v>20</x:v>
      </x:c>
      <x:c r="B24" t="str">
        <x:v>University of California, Berkeley (UCB)</x:v>
      </x:c>
      <x:c r="C24" s="32" t="str">
        <x:v>Master of Climate Solutions</x:v>
      </x:c>
      <x:c r="D24" s="32" t="str">
        <x:v>University of California, Berkeley</x:v>
      </x:c>
      <x:c r="E24" s="31" t="str">
        <x:v>8</x:v>
      </x:c>
      <x:c r="F24" s="38" t="str">
        <x:v>92.2</x:v>
      </x:c>
      <x:c r="G24" s="31" t="str">
        <x:v>8</x:v>
      </x:c>
      <x:c r="H24" s="38" t="str">
        <x:v>92.1</x:v>
      </x:c>
      <x:c r="I24" s="31" t="str">
        <x:v>9</x:v>
      </x:c>
      <x:c r="J24" s="38" t="str">
        <x:v>94.6</x:v>
      </x:c>
      <x:c r="K24" s="31" t="str">
        <x:v>8</x:v>
      </x:c>
      <x:c r="L24" s="38" t="str">
        <x:v>94.5</x:v>
      </x:c>
      <x:c r="M24" s="31" t="str">
        <x:v>9</x:v>
      </x:c>
      <x:c r="N24" s="38" t="str">
        <x:v>94.4</x:v>
      </x:c>
      <x:c r="O24" s="35" t="str">
        <x:v>https://www.timeshighereducation.com/world-university-rankings/university-california-berkeley</x:v>
      </x:c>
      <x:c r="P24" s="35" t="str">
        <x:v>https://climatesolutions.berkeley.edu/</x:v>
      </x:c>
    </x:row>
    <x:row r="25">
      <x:c r="A25" t="n">
        <x:v>21</x:v>
      </x:c>
      <x:c r="B25" t="str">
        <x:v>EPFL – École polytechnique fédérale de Lausanne</x:v>
      </x:c>
      <x:c r="C25" s="32" t="str">
        <x:v>MSc Sustainable Management and Technology</x:v>
      </x:c>
      <x:c r="D25" s="32" t="str">
        <x:v>École Polytechnique Fédérale de Lausanne</x:v>
      </x:c>
      <x:c r="E25" s="31" t="n">
        <x:f>40</x:f>
        <x:v>40</x:v>
      </x:c>
      <x:c r="F25" s="38" t="str">
        <x:v>74.1</x:v>
      </x:c>
      <x:c r="G25" s="31" t="str">
        <x:v>41</x:v>
      </x:c>
      <x:c r="H25" s="38" t="str">
        <x:v>75.4</x:v>
      </x:c>
      <x:c r="I25" s="31" t="str">
        <x:v>33</x:v>
      </x:c>
      <x:c r="J25" s="38" t="str">
        <x:v>81.4</x:v>
      </x:c>
      <x:c r="K25" s="31" t="str">
        <x:v>32</x:v>
      </x:c>
      <x:c r="L25" s="38" t="str">
        <x:v>80.4</x:v>
      </x:c>
      <x:c r="M25" s="31" t="str">
        <x:v>35</x:v>
      </x:c>
      <x:c r="N25" s="38" t="str">
        <x:v>79.6</x:v>
      </x:c>
      <x:c r="O25" s="35" t="str">
        <x:v>https://www.timeshighereducation.com/world-university-rankings/ecole-polytechnique-federale-de-lausanne</x:v>
      </x:c>
      <x:c r="P25" s="35" t="str">
        <x:v>https://www.epfl.ch/education/master/programs/sustainable-management-and-technology/</x:v>
      </x:c>
    </x:row>
    <x:row r="26">
      <x:c r="A26" t="n">
        <x:v>22</x:v>
      </x:c>
      <x:c r="B26" t="str">
        <x:v>The University of Melbourne</x:v>
      </x:c>
      <x:c r="C26" s="32" t="str">
        <x:v>Master of Environment</x:v>
      </x:c>
      <x:c r="D26" s="32" t="str">
        <x:v>University of Melbourne</x:v>
      </x:c>
      <x:c r="E26" s="31" t="str">
        <x:v>33</x:v>
      </x:c>
      <x:c r="F26" s="38" t="str">
        <x:v>77.8</x:v>
      </x:c>
      <x:c r="G26" s="31" t="str">
        <x:v>34</x:v>
      </x:c>
      <x:c r="H26" s="38" t="str">
        <x:v>77.6</x:v>
      </x:c>
      <x:c r="I26" s="31" t="str">
        <x:v>37</x:v>
      </x:c>
      <x:c r="J26" s="38" t="str">
        <x:v>79.2</x:v>
      </x:c>
      <x:c r="K26" s="31" t="str">
        <x:v>39</x:v>
      </x:c>
      <x:c r="L26" s="38" t="str">
        <x:v>78.4</x:v>
      </x:c>
      <x:c r="M26" s="31" t="str">
        <x:v>37</x:v>
      </x:c>
      <x:c r="N26" s="38" t="str">
        <x:v>79.0</x:v>
      </x:c>
      <x:c r="O26" s="35" t="str">
        <x:v>https://www.timeshighereducation.com/world-university-rankings/university-melbourne</x:v>
      </x:c>
      <x:c r="P26" s="35" t="str">
        <x:v>https://study.unimelb.edu.au/find/courses/graduate/master-of-environment/</x:v>
      </x:c>
    </x:row>
    <x:row r="27">
      <x:c r="A27" t="n">
        <x:v>23</x:v>
      </x:c>
      <x:c r="B27" t="str">
        <x:v>University of Chicago</x:v>
      </x:c>
      <x:c r="C27" s="32" t="str">
        <x:v>MS in Environmental Science and Policy</x:v>
      </x:c>
      <x:c r="D27" s="32" t="str">
        <x:v>The University of Chicago</x:v>
      </x:c>
      <x:c r="E27" s="31" t="str">
        <x:v>10</x:v>
      </x:c>
      <x:c r="F27" s="38" t="str">
        <x:v>89.8</x:v>
      </x:c>
      <x:c r="G27" s="31" t="str">
        <x:v>13</x:v>
      </x:c>
      <x:c r="H27" s="38" t="str">
        <x:v>88.9</x:v>
      </x:c>
      <x:c r="I27" s="31" t="str">
        <x:v>13</x:v>
      </x:c>
      <x:c r="J27" s="38" t="str">
        <x:v>92.1</x:v>
      </x:c>
      <x:c r="K27" s="31" t="n">
        <x:f>14</x:f>
        <x:v>14</x:v>
      </x:c>
      <x:c r="L27" s="38" t="str">
        <x:v>90.9</x:v>
      </x:c>
      <x:c r="M27" s="31" t="str">
        <x:v>15</x:v>
      </x:c>
      <x:c r="N27" s="38" t="str">
        <x:v>90.6</x:v>
      </x:c>
      <x:c r="O27" s="35" t="str">
        <x:v>https://www.timeshighereducation.com/world-university-rankings/university-chicago</x:v>
      </x:c>
      <x:c r="P27" s="35" t="str">
        <x:v>https://professional.uchicago.edu/find-your-fit/masters/master-science-environmental-science-policy</x:v>
      </x:c>
    </x:row>
    <x:row r="28">
      <x:c r="A28" t="n">
        <x:v>24</x:v>
      </x:c>
      <x:c r="B28" t="str">
        <x:v>Technical University of Munich</x:v>
      </x:c>
      <x:c r="C28" s="32" t="str">
        <x:v>MSc Sustainable Management and Technology</x:v>
      </x:c>
      <x:c r="D28" s="32" t="str">
        <x:v>Technical University of Munich</x:v>
      </x:c>
      <x:c r="E28" s="31" t="str">
        <x:v>38</x:v>
      </x:c>
      <x:c r="F28" s="38" t="str">
        <x:v>75.6</x:v>
      </x:c>
      <x:c r="G28" s="31" t="str">
        <x:v>30</x:v>
      </x:c>
      <x:c r="H28" s="38" t="str">
        <x:v>79.3</x:v>
      </x:c>
      <x:c r="I28" s="31" t="n">
        <x:f>30</x:f>
        <x:v>30</x:v>
      </x:c>
      <x:c r="J28" s="38" t="str">
        <x:v>82.5</x:v>
      </x:c>
      <x:c r="K28" s="31" t="str">
        <x:v>26</x:v>
      </x:c>
      <x:c r="L28" s="38" t="str">
        <x:v>83.5</x:v>
      </x:c>
      <x:c r="M28" s="31" t="str">
        <x:v>27</x:v>
      </x:c>
      <x:c r="N28" s="38" t="str">
        <x:v>83.4</x:v>
      </x:c>
      <x:c r="O28" s="35" t="str">
        <x:v>https://www.timeshighereducation.com/world-university-rankings/technical-university-munich</x:v>
      </x:c>
      <x:c r="P28" s="35" t="str">
        <x:v>https://www.tum.de/en/studies/degree-programs/detail/sustainable-management-and-technology-master-of-science-msc</x:v>
      </x:c>
    </x:row>
    <x:row r="29">
      <x:c r="A29" t="n">
        <x:v>25</x:v>
      </x:c>
      <x:c r="B29" t="str">
        <x:v>Fudan University</x:v>
      </x:c>
      <x:c r="C29" s="32" t="str">
        <x:v>Graduate program in Environmental Science and Engineering</x:v>
      </x:c>
      <x:c r="D29" s="32" t="str">
        <x:v>Fudan University</x:v>
      </x:c>
      <x:c r="E29" s="31" t="str">
        <x:v>60</x:v>
      </x:c>
      <x:c r="F29" s="38" t="str">
        <x:v>69.7</x:v>
      </x:c>
      <x:c r="G29" s="31" t="str">
        <x:v>51</x:v>
      </x:c>
      <x:c r="H29" s="38" t="str">
        <x:v>72.0</x:v>
      </x:c>
      <x:c r="I29" s="31" t="str">
        <x:v>44</x:v>
      </x:c>
      <x:c r="J29" s="38" t="str">
        <x:v>77.5</x:v>
      </x:c>
      <x:c r="K29" s="31" t="n">
        <x:f>36</x:f>
        <x:v>36</x:v>
      </x:c>
      <x:c r="L29" s="38" t="str">
        <x:v>78.8</x:v>
      </x:c>
      <x:c r="M29" s="31" t="str">
        <x:v>36</x:v>
      </x:c>
      <x:c r="N29" s="38" t="str">
        <x:v>79.3</x:v>
      </x:c>
      <x:c r="O29" s="35" t="str">
        <x:v>https://www.timeshighereducation.com/world-university-rankings/fudan-university</x:v>
      </x:c>
      <x:c r="P29" s="35" t="str">
        <x:v>https://environment.fudan.edu.cn/</x:v>
      </x:c>
    </x:row>
    <x:row r="30">
      <x:c r="A30" t="n">
        <x:v>26</x:v>
      </x:c>
      <x:c r="B30" t="str">
        <x:v>Princeton University</x:v>
      </x:c>
      <x:c r="C30" s="32" t="str">
        <x:v>MPA with Science, Technology, and Environmental Policy field</x:v>
      </x:c>
      <x:c r="D30" s="32" t="str">
        <x:v>Princeton University</x:v>
      </x:c>
      <x:c r="E30" s="31" t="str">
        <x:v>7</x:v>
      </x:c>
      <x:c r="F30" s="38" t="str">
        <x:v>93.6</x:v>
      </x:c>
      <x:c r="G30" s="31" t="str">
        <x:v>7</x:v>
      </x:c>
      <x:c r="H30" s="38" t="str">
        <x:v>92.4</x:v>
      </x:c>
      <x:c r="I30" s="31" t="str">
        <x:v>6</x:v>
      </x:c>
      <x:c r="J30" s="38" t="str">
        <x:v>96.9</x:v>
      </x:c>
      <x:c r="K30" s="31" t="str">
        <x:v>4</x:v>
      </x:c>
      <x:c r="L30" s="38" t="str">
        <x:v>97.5</x:v>
      </x:c>
      <x:c r="M30" s="31" t="n">
        <x:f>3</x:f>
        <x:v>3</x:v>
      </x:c>
      <x:c r="N30" s="38" t="str">
        <x:v>97.2</x:v>
      </x:c>
      <x:c r="O30" s="35" t="str">
        <x:v>https://www.timeshighereducation.com/world-university-rankings/princeton-university</x:v>
      </x:c>
      <x:c r="P30" s="35" t="str">
        <x:v>https://spia.princeton.edu/graduate-programs/masters-degrees/mpa</x:v>
      </x:c>
    </x:row>
    <x:row r="31">
      <x:c r="A31" t="n">
        <x:v>27</x:v>
      </x:c>
      <x:c r="B31" t="str">
        <x:v>McGill University</x:v>
      </x:c>
      <x:c r="C31" s="32" t="str">
        <x:v>MSc Sustainability, Science and Society</x:v>
      </x:c>
      <x:c r="D31" s="32" t="str">
        <x:v>McGill University</x:v>
      </x:c>
      <x:c r="E31" s="31" t="str">
        <x:v>44</x:v>
      </x:c>
      <x:c r="F31" s="38" t="str">
        <x:v>73.4</x:v>
      </x:c>
      <x:c r="G31" s="31" t="str">
        <x:v>46</x:v>
      </x:c>
      <x:c r="H31" s="38" t="str">
        <x:v>73.0</x:v>
      </x:c>
      <x:c r="I31" s="31" t="str">
        <x:v>49</x:v>
      </x:c>
      <x:c r="J31" s="38" t="str">
        <x:v>76.0</x:v>
      </x:c>
      <x:c r="K31" s="31" t="str">
        <x:v>45</x:v>
      </x:c>
      <x:c r="L31" s="38" t="str">
        <x:v>76.7</x:v>
      </x:c>
      <x:c r="M31" s="31" t="n">
        <x:f>41</x:f>
        <x:v>41</x:v>
      </x:c>
      <x:c r="N31" s="38" t="str">
        <x:v>77.1</x:v>
      </x:c>
      <x:c r="O31" s="35" t="str">
        <x:v>https://www.timeshighereducation.com/world-university-rankings/mcgill-university</x:v>
      </x:c>
      <x:c r="P31" s="35" t="str">
        <x:v>https://www.mcgill.ca/study/2026-2027/faculties/science/graduate/programs/master-science-msc-sustainability-science-and-society-thesis</x:v>
      </x:c>
    </x:row>
    <x:row r="32">
      <x:c r="A32" t="n">
        <x:v>28</x:v>
      </x:c>
      <x:c r="B32" t="str">
        <x:v>University of Toronto</x:v>
      </x:c>
      <x:c r="C32" s="32" t="str">
        <x:v>Master of Environment &amp; Sustainability</x:v>
      </x:c>
      <x:c r="D32" s="32" t="str">
        <x:v>University of Toronto</x:v>
      </x:c>
      <x:c r="E32" s="31" t="n">
        <x:f>18</x:f>
        <x:v>18</x:v>
      </x:c>
      <x:c r="F32" s="38" t="str">
        <x:v>87.2</x:v>
      </x:c>
      <x:c r="G32" s="31" t="str">
        <x:v>18</x:v>
      </x:c>
      <x:c r="H32" s="38" t="str">
        <x:v>87.4</x:v>
      </x:c>
      <x:c r="I32" s="31" t="str">
        <x:v>21</x:v>
      </x:c>
      <x:c r="J32" s="38" t="str">
        <x:v>88.6</x:v>
      </x:c>
      <x:c r="K32" s="31" t="str">
        <x:v>21</x:v>
      </x:c>
      <x:c r="L32" s="38" t="str">
        <x:v>88.3</x:v>
      </x:c>
      <x:c r="M32" s="31" t="str">
        <x:v>21</x:v>
      </x:c>
      <x:c r="N32" s="38" t="str">
        <x:v>88.5</x:v>
      </x:c>
      <x:c r="O32" s="35" t="str">
        <x:v>https://www.timeshighereducation.com/world-university-rankings/university-toronto</x:v>
      </x:c>
      <x:c r="P32" s="35" t="str">
        <x:v>https://www.environment.utoronto.ca/graduate/mes</x:v>
      </x:c>
    </x:row>
    <x:row r="33">
      <x:c r="A33" t="n">
        <x:v>29</x:v>
      </x:c>
      <x:c r="B33" t="str">
        <x:v>Université PSL</x:v>
      </x:c>
      <x:c r="C33" s="32" t="str">
        <x:v>Master in Sustainable Management and Organizations</x:v>
      </x:c>
      <x:c r="D33" s="32" t="str">
        <x:v>Paris Sciences et Lettres – PSL Research University Paris</x:v>
      </x:c>
      <x:c r="E33" s="31" t="n">
        <x:f>40</x:f>
        <x:v>40</x:v>
      </x:c>
      <x:c r="F33" s="38" t="str">
        <x:v>74.1</x:v>
      </x:c>
      <x:c r="G33" s="31" t="str">
        <x:v>47</x:v>
      </x:c>
      <x:c r="H33" s="38" t="str">
        <x:v>72.9</x:v>
      </x:c>
      <x:c r="I33" s="31" t="str">
        <x:v>40</x:v>
      </x:c>
      <x:c r="J33" s="38" t="str">
        <x:v>78.5</x:v>
      </x:c>
      <x:c r="K33" s="31" t="str">
        <x:v>42</x:v>
      </x:c>
      <x:c r="L33" s="38" t="str">
        <x:v>77.7</x:v>
      </x:c>
      <x:c r="M33" s="31" t="str">
        <x:v>48</x:v>
      </x:c>
      <x:c r="N33" s="38" t="str">
        <x:v>76.5</x:v>
      </x:c>
      <x:c r="O33" s="35" t="str">
        <x:v>https://www.timeshighereducation.com/world-university-rankings/paris-sciences-et-lettres-psl-research-university-paris</x:v>
      </x:c>
      <x:c r="P33" s="35" t="str">
        <x:v>https://dauphine.psl.eu/en/training/masters-degrees/sustainable-management-and-organizations</x:v>
      </x:c>
    </x:row>
    <x:row r="34">
      <x:c r="A34" t="n">
        <x:v>30</x:v>
      </x:c>
      <x:c r="B34" t="str">
        <x:v>The University of Edinburgh</x:v>
      </x:c>
      <x:c r="C34" s="32" t="str">
        <x:v>MSc Global Strategy and Sustainability</x:v>
      </x:c>
      <x:c r="D34" s="32" t="str">
        <x:v>University of Edinburgh</x:v>
      </x:c>
      <x:c r="E34" s="31" t="n">
        <x:f>30</x:f>
        <x:v>30</x:v>
      </x:c>
      <x:c r="F34" s="38" t="str">
        <x:v>78.9</x:v>
      </x:c>
      <x:c r="G34" s="31" t="str">
        <x:v>29</x:v>
      </x:c>
      <x:c r="H34" s="38" t="str">
        <x:v>79.8</x:v>
      </x:c>
      <x:c r="I34" s="31" t="n">
        <x:f>30</x:f>
        <x:v>30</x:v>
      </x:c>
      <x:c r="J34" s="38" t="str">
        <x:v>82.5</x:v>
      </x:c>
      <x:c r="K34" s="31" t="str">
        <x:v>29</x:v>
      </x:c>
      <x:c r="L34" s="38" t="str">
        <x:v>82.5</x:v>
      </x:c>
      <x:c r="M34" s="31" t="str">
        <x:v>29</x:v>
      </x:c>
      <x:c r="N34" s="38" t="str">
        <x:v>82.5</x:v>
      </x:c>
      <x:c r="O34" s="35" t="str">
        <x:v>https://www.timeshighereducation.com/world-university-rankings/university-edinburgh</x:v>
      </x:c>
      <x:c r="P34" s="35" t="str">
        <x:v>https://www.business-school.ed.ac.uk/msc/global-strategy-sustainability</x:v>
      </x:c>
    </x:row>
    <x:row r="35">
      <x:c r="A35" t="n">
        <x:v>31</x:v>
      </x:c>
      <x:c r="B35" t="str">
        <x:v>Shanghai Jiao Tong University</x:v>
      </x:c>
      <x:c r="C35" s="32" t="str">
        <x:v>Graduate program in Environmental Science and Engineering</x:v>
      </x:c>
      <x:c r="D35" s="32" t="str">
        <x:v>Shanghai Jiao Tong University</x:v>
      </x:c>
      <x:c r="E35" s="31" t="str">
        <x:v>84</x:v>
      </x:c>
      <x:c r="F35" s="38" t="str">
        <x:v>64.7</x:v>
      </x:c>
      <x:c r="G35" s="31" t="str">
        <x:v>52</x:v>
      </x:c>
      <x:c r="H35" s="38" t="str">
        <x:v>71.2</x:v>
      </x:c>
      <x:c r="I35" s="31" t="str">
        <x:v>43</x:v>
      </x:c>
      <x:c r="J35" s="38" t="str">
        <x:v>77.7</x:v>
      </x:c>
      <x:c r="K35" s="31" t="str">
        <x:v>52</x:v>
      </x:c>
      <x:c r="L35" s="38" t="str">
        <x:v>75.8</x:v>
      </x:c>
      <x:c r="M35" s="31" t="str">
        <x:v>40</x:v>
      </x:c>
      <x:c r="N35" s="38" t="str">
        <x:v>77.6</x:v>
      </x:c>
      <x:c r="O35" s="35" t="str">
        <x:v>https://www.timeshighereducation.com/world-university-rankings/shanghai-jiao-tong-university</x:v>
      </x:c>
      <x:c r="P35" s="35" t="str">
        <x:v>https://en.sjtu.edu.cn/academics/schools/School%20of%20Environmental%20Science%20and%20Engineering</x:v>
      </x:c>
    </x:row>
    <x:row r="36">
      <x:c r="A36" t="n">
        <x:v>32</x:v>
      </x:c>
      <x:c r="B36" t="str">
        <x:v>King's College London</x:v>
      </x:c>
      <x:c r="C36" s="32" t="str">
        <x:v>Environment, Politics and Development MSc</x:v>
      </x:c>
      <x:c r="D36" s="32" t="str">
        <x:v>King’s College London</x:v>
      </x:c>
      <x:c r="E36" s="31" t="n">
        <x:f>35</x:f>
        <x:v>35</x:v>
      </x:c>
      <x:c r="F36" s="38" t="str">
        <x:v>76.0</x:v>
      </x:c>
      <x:c r="G36" s="31" t="str">
        <x:v>35</x:v>
      </x:c>
      <x:c r="H36" s="38" t="str">
        <x:v>77.1</x:v>
      </x:c>
      <x:c r="I36" s="31" t="n">
        <x:f>38</x:f>
        <x:v>38</x:v>
      </x:c>
      <x:c r="J36" s="38" t="str">
        <x:v>79.0</x:v>
      </x:c>
      <x:c r="K36" s="31" t="n">
        <x:f>36</x:f>
        <x:v>36</x:v>
      </x:c>
      <x:c r="L36" s="38" t="str">
        <x:v>78.8</x:v>
      </x:c>
      <x:c r="M36" s="31" t="str">
        <x:v>38</x:v>
      </x:c>
      <x:c r="N36" s="38" t="str">
        <x:v>78.7</x:v>
      </x:c>
      <x:c r="O36" s="35" t="str">
        <x:v>https://www.timeshighereducation.com/world-university-rankings/kings-college-london</x:v>
      </x:c>
      <x:c r="P36" s="35" t="str">
        <x:v>https://www.kcl.ac.uk/study/postgraduate-taught/courses/environment-politics-and-development-msc</x:v>
      </x:c>
    </x:row>
    <x:row r="37">
      <x:c r="A37" t="n">
        <x:v>33</x:v>
      </x:c>
      <x:c r="B37" t="str">
        <x:v>The University of Tokyo</x:v>
      </x:c>
      <x:c r="C37" s="32" t="str">
        <x:v>Graduate Program in Sustainability Science - Global Leadership Initiative</x:v>
      </x:c>
      <x:c r="D37" s="32" t="str">
        <x:v>The University of Tokyo</x:v>
      </x:c>
      <x:c r="E37" s="31" t="n">
        <x:f>35</x:f>
        <x:v>35</x:v>
      </x:c>
      <x:c r="F37" s="38" t="str">
        <x:v>76.0</x:v>
      </x:c>
      <x:c r="G37" s="31" t="str">
        <x:v>39</x:v>
      </x:c>
      <x:c r="H37" s="38" t="str">
        <x:v>75.9</x:v>
      </x:c>
      <x:c r="I37" s="31" t="str">
        <x:v>29</x:v>
      </x:c>
      <x:c r="J37" s="38" t="str">
        <x:v>83.1</x:v>
      </x:c>
      <x:c r="K37" s="31" t="str">
        <x:v>28</x:v>
      </x:c>
      <x:c r="L37" s="38" t="str">
        <x:v>83.3</x:v>
      </x:c>
      <x:c r="M37" s="31" t="str">
        <x:v>26</x:v>
      </x:c>
      <x:c r="N37" s="38" t="str">
        <x:v>83.5</x:v>
      </x:c>
      <x:c r="O37" s="35" t="str">
        <x:v>https://www.timeshighereducation.com/world-university-rankings/university-tokyo</x:v>
      </x:c>
      <x:c r="P37" s="35" t="str">
        <x:v>https://www.sustainability.k.u-tokyo.ac.jp/</x:v>
      </x:c>
    </x:row>
    <x:row r="38">
      <x:c r="A38" t="n">
        <x:v>34</x:v>
      </x:c>
      <x:c r="B38" t="str">
        <x:v>Columbia University</x:v>
      </x:c>
      <x:c r="C38" s="32" t="str">
        <x:v>MS in Sustainability Management</x:v>
      </x:c>
      <x:c r="D38" s="32" t="str">
        <x:v>Columbia University</x:v>
      </x:c>
      <x:c r="E38" s="31" t="str">
        <x:v>11</x:v>
      </x:c>
      <x:c r="F38" s="38" t="str">
        <x:v>89.6</x:v>
      </x:c>
      <x:c r="G38" s="31" t="n">
        <x:f>11</x:f>
        <x:v>11</x:v>
      </x:c>
      <x:c r="H38" s="38" t="str">
        <x:v>89.4</x:v>
      </x:c>
      <x:c r="I38" s="31" t="str">
        <x:v>17</x:v>
      </x:c>
      <x:c r="J38" s="38" t="str">
        <x:v>90.9</x:v>
      </x:c>
      <x:c r="K38" s="31" t="n">
        <x:f>18</x:f>
        <x:v>18</x:v>
      </x:c>
      <x:c r="L38" s="38" t="str">
        <x:v>89.8</x:v>
      </x:c>
      <x:c r="M38" s="31" t="str">
        <x:v>20</x:v>
      </x:c>
      <x:c r="N38" s="38" t="str">
        <x:v>89.4</x:v>
      </x:c>
      <x:c r="O38" s="35" t="str">
        <x:v>https://www.timeshighereducation.com/world-university-rankings/columbia-university</x:v>
      </x:c>
      <x:c r="P38" s="35" t="str">
        <x:v>https://www.sustainability.ei.columbia.edu/sustainability-management</x:v>
      </x:c>
    </x:row>
    <x:row r="39">
      <x:c r="A39" t="n">
        <x:v>35</x:v>
      </x:c>
      <x:c r="B39" t="str">
        <x:v>Northwestern University</x:v>
      </x:c>
      <x:c r="C39" s="32" t="str">
        <x:v>Master of Science in Energy and Sustainability</x:v>
      </x:c>
      <x:c r="D39" s="32" t="str">
        <x:v>Northwestern University</x:v>
      </x:c>
      <x:c r="E39" s="31" t="n">
        <x:f>24</x:f>
        <x:v>24</x:v>
      </x:c>
      <x:c r="F39" s="38" t="str">
        <x:v>83.1</x:v>
      </x:c>
      <x:c r="G39" s="31" t="n">
        <x:f>26</x:f>
        <x:v>26</x:v>
      </x:c>
      <x:c r="H39" s="38" t="str">
        <x:v>82.1</x:v>
      </x:c>
      <x:c r="I39" s="31" t="str">
        <x:v>28</x:v>
      </x:c>
      <x:c r="J39" s="38" t="str">
        <x:v>83.2</x:v>
      </x:c>
      <x:c r="K39" s="31" t="str">
        <x:v>31</x:v>
      </x:c>
      <x:c r="L39" s="38" t="str">
        <x:v>81.4</x:v>
      </x:c>
      <x:c r="M39" s="31" t="str">
        <x:v>30</x:v>
      </x:c>
      <x:c r="N39" s="38" t="str">
        <x:v>81.9</x:v>
      </x:c>
      <x:c r="O39" s="35" t="str">
        <x:v>https://www.timeshighereducation.com/world-university-rankings/northwestern-university</x:v>
      </x:c>
      <x:c r="P39" s="35" t="str">
        <x:v>https://www.mccormick.northwestern.edu/energy-sustainability/</x:v>
      </x:c>
    </x:row>
    <x:row r="40">
      <x:c r="A40" t="n">
        <x:v>36</x:v>
      </x:c>
      <x:c r="B40" t="str">
        <x:v>University of British Columbia</x:v>
      </x:c>
      <x:c r="C40" s="32" t="str">
        <x:v>Master of Engineering Leadership in Sustainable Process Engineering</x:v>
      </x:c>
      <x:c r="D40" s="32" t="str">
        <x:v>University of British Columbia</x:v>
      </x:c>
      <x:c r="E40" s="31" t="str">
        <x:v>37</x:v>
      </x:c>
      <x:c r="F40" s="38" t="str">
        <x:v>75.8</x:v>
      </x:c>
      <x:c r="G40" s="31" t="str">
        <x:v>40</x:v>
      </x:c>
      <x:c r="H40" s="38" t="str">
        <x:v>75.7</x:v>
      </x:c>
      <x:c r="I40" s="31" t="str">
        <x:v>41</x:v>
      </x:c>
      <x:c r="J40" s="38" t="str">
        <x:v>78.0</x:v>
      </x:c>
      <x:c r="K40" s="31" t="str">
        <x:v>41</x:v>
      </x:c>
      <x:c r="L40" s="38" t="str">
        <x:v>77.8</x:v>
      </x:c>
      <x:c r="M40" s="31" t="str">
        <x:v>45</x:v>
      </x:c>
      <x:c r="N40" s="38" t="str">
        <x:v>77.0</x:v>
      </x:c>
      <x:c r="O40" s="35" t="str">
        <x:v>https://www.timeshighereducation.com/world-university-rankings/university-british-columbia</x:v>
      </x:c>
      <x:c r="P40" s="35" t="str">
        <x:v>https://mel.ubc.ca/sustainable-process-engineering</x:v>
      </x:c>
    </x:row>
    <x:row r="41">
      <x:c r="A41" t="n">
        <x:v>37</x:v>
      </x:c>
      <x:c r="B41" t="str">
        <x:v>Zhejiang University</x:v>
      </x:c>
      <x:c r="C41" s="32" t="str">
        <x:v>Graduate program in Environmental Science and Engineering</x:v>
      </x:c>
      <x:c r="D41" s="32" t="str">
        <x:v>Zhejiang University</x:v>
      </x:c>
      <x:c r="E41" s="31" t="n">
        <x:f>75</x:f>
        <x:v>75</x:v>
      </x:c>
      <x:c r="F41" s="38" t="str">
        <x:v>65.8</x:v>
      </x:c>
      <x:c r="G41" s="31" t="str">
        <x:v>67</x:v>
      </x:c>
      <x:c r="H41" s="38" t="str">
        <x:v>68.1</x:v>
      </x:c>
      <x:c r="I41" s="31" t="n">
        <x:f>55</x:f>
        <x:v>55</x:v>
      </x:c>
      <x:c r="J41" s="38" t="str">
        <x:v>75.0</x:v>
      </x:c>
      <x:c r="K41" s="31" t="n">
        <x:f>47</x:f>
        <x:v>47</x:v>
      </x:c>
      <x:c r="L41" s="38" t="str">
        <x:v>76.2</x:v>
      </x:c>
      <x:c r="M41" s="31" t="str">
        <x:v>39</x:v>
      </x:c>
      <x:c r="N41" s="38" t="str">
        <x:v>78.3</x:v>
      </x:c>
      <x:c r="O41" s="35" t="str">
        <x:v>https://www.timeshighereducation.com/world-university-rankings/zhejiang-university</x:v>
      </x:c>
      <x:c r="P41" s="35" t="str">
        <x:v>http://www.cers.zju.edu.cn/cersen/</x:v>
      </x:c>
    </x:row>
    <x:row r="42">
      <x:c r="A42" t="n">
        <x:v>38</x:v>
      </x:c>
      <x:c r="B42" t="str">
        <x:v>University of California, Los Angeles (UCLA)</x:v>
      </x:c>
      <x:c r="C42" s="32" t="str">
        <x:v>Urban Planning MA - Environmental Analysis and Policy / sustainability focus</x:v>
      </x:c>
      <x:c r="D42" s="32" t="str">
        <x:v>University of California, Los Angeles</x:v>
      </x:c>
      <x:c r="E42" s="31" t="str">
        <x:v>20</x:v>
      </x:c>
      <x:c r="F42" s="38" t="str">
        <x:v>86.7</x:v>
      </x:c>
      <x:c r="G42" s="31" t="str">
        <x:v>21</x:v>
      </x:c>
      <x:c r="H42" s="38" t="str">
        <x:v>85.8</x:v>
      </x:c>
      <x:c r="I42" s="31" t="str">
        <x:v>18</x:v>
      </x:c>
      <x:c r="J42" s="38" t="str">
        <x:v>90.1</x:v>
      </x:c>
      <x:c r="K42" s="31" t="n">
        <x:f>18</x:f>
        <x:v>18</x:v>
      </x:c>
      <x:c r="L42" s="38" t="str">
        <x:v>89.8</x:v>
      </x:c>
      <x:c r="M42" s="31" t="n">
        <x:f>18</x:f>
        <x:v>18</x:v>
      </x:c>
      <x:c r="N42" s="38" t="str">
        <x:v>89.5</x:v>
      </x:c>
      <x:c r="O42" s="35" t="str">
        <x:v>https://www.timeshighereducation.com/world-university-rankings/university-california-los-angeles</x:v>
      </x:c>
      <x:c r="P42" s="35" t="str">
        <x:v>https://luskin.ucla.edu/urban-planning</x:v>
      </x:c>
    </x:row>
    <x:row r="43">
      <x:c r="A43" t="n">
        <x:v>39</x:v>
      </x:c>
      <x:c r="B43" t="str">
        <x:v>The University of New South Wales (UNSW Sydney)</x:v>
      </x:c>
      <x:c r="C43" s="32" t="str">
        <x:v>Master of Environmental Management</x:v>
      </x:c>
      <x:c r="D43" s="32" t="str">
        <x:v>UNSW Sydney</x:v>
      </x:c>
      <x:c r="E43" s="31" t="str">
        <x:v>70</x:v>
      </x:c>
      <x:c r="F43" s="38" t="str">
        <x:v>67.4</x:v>
      </x:c>
      <x:c r="G43" s="31" t="n">
        <x:f>71</x:f>
        <x:v>71</x:v>
      </x:c>
      <x:c r="H43" s="38" t="str">
        <x:v>67.5</x:v>
      </x:c>
      <x:c r="I43" s="31" t="str">
        <x:v>84</x:v>
      </x:c>
      <x:c r="J43" s="38" t="str">
        <x:v>68.9</x:v>
      </x:c>
      <x:c r="K43" s="31" t="str">
        <x:v>83</x:v>
      </x:c>
      <x:c r="L43" s="38" t="str">
        <x:v>69.1</x:v>
      </x:c>
      <x:c r="M43" s="31" t="str">
        <x:v>79</x:v>
      </x:c>
      <x:c r="N43" s="38" t="str">
        <x:v>70.0</x:v>
      </x:c>
      <x:c r="O43" s="35" t="str">
        <x:v>https://www.timeshighereducation.com/world-university-rankings/unsw-sydney</x:v>
      </x:c>
      <x:c r="P43" s="35" t="str">
        <x:v>https://www.unsw.edu.au/study/postgraduate/master-of-environmental-management</x:v>
      </x:c>
    </x:row>
    <x:row r="44">
      <x:c r="A44" t="n">
        <x:v>40</x:v>
      </x:c>
      <x:c r="B44" t="str">
        <x:v>The University of Sydney</x:v>
      </x:c>
      <x:c r="C44" s="32" t="str">
        <x:v>Master of Sustainability</x:v>
      </x:c>
      <x:c r="D44" s="32" t="str">
        <x:v>The University of Sydney</x:v>
      </x:c>
      <x:c r="E44" s="31" t="n">
        <x:f>58</x:f>
        <x:v>58</x:v>
      </x:c>
      <x:c r="F44" s="38" t="str">
        <x:v>69.8</x:v>
      </x:c>
      <x:c r="G44" s="31" t="n">
        <x:f>54</x:f>
        <x:v>54</x:v>
      </x:c>
      <x:c r="H44" s="38" t="str">
        <x:v>70.9</x:v>
      </x:c>
      <x:c r="I44" s="31" t="str">
        <x:v>60</x:v>
      </x:c>
      <x:c r="J44" s="38" t="str">
        <x:v>73.8</x:v>
      </x:c>
      <x:c r="K44" s="31" t="str">
        <x:v>61</x:v>
      </x:c>
      <x:c r="L44" s="38" t="str">
        <x:v>73.7</x:v>
      </x:c>
      <x:c r="M44" s="31" t="n">
        <x:f>53</x:f>
        <x:v>53</x:v>
      </x:c>
      <x:c r="N44" s="38" t="str">
        <x:v>75.0</x:v>
      </x:c>
      <x:c r="O44" s="35" t="str">
        <x:v>https://www.timeshighereducation.com/world-university-rankings/university-sydney</x:v>
      </x:c>
      <x:c r="P44" s="35" t="str">
        <x:v>https://www.sydney.edu.au/courses/courses/pc/master-of-sustainability.html</x:v>
      </x:c>
    </x:row>
    <x:row r="45">
      <x:c r="A45" t="n">
        <x:v>41</x:v>
      </x:c>
      <x:c r="B45" t="str">
        <x:v>Australian National University (ANU)</x:v>
      </x:c>
      <x:c r="C45" s="32" t="str">
        <x:v>Master of Climate Change</x:v>
      </x:c>
      <x:c r="D45" s="32" t="str">
        <x:v>Australian National University</x:v>
      </x:c>
      <x:c r="E45" s="31" t="n">
        <x:f>54</x:f>
        <x:v>54</x:v>
      </x:c>
      <x:c r="F45" s="38" t="str">
        <x:v>70.0</x:v>
      </x:c>
      <x:c r="G45" s="31" t="str">
        <x:v>62</x:v>
      </x:c>
      <x:c r="H45" s="38" t="str">
        <x:v>69.0</x:v>
      </x:c>
      <x:c r="I45" s="31" t="str">
        <x:v>67</x:v>
      </x:c>
      <x:c r="J45" s="38" t="str">
        <x:v>72.6</x:v>
      </x:c>
      <x:c r="K45" s="31" t="n">
        <x:f>73</x:f>
        <x:v>73</x:v>
      </x:c>
      <x:c r="L45" s="38" t="str">
        <x:v>70.7</x:v>
      </x:c>
      <x:c r="M45" s="31" t="n">
        <x:f>73</x:f>
        <x:v>73</x:v>
      </x:c>
      <x:c r="N45" s="38" t="str">
        <x:v>71.1</x:v>
      </x:c>
      <x:c r="O45" s="35" t="str">
        <x:v>https://www.timeshighereducation.com/world-university-rankings/australian-national-university</x:v>
      </x:c>
      <x:c r="P45" s="35" t="str">
        <x:v>https://programsandcourses.anu.edu.au/program/MCLCH</x:v>
      </x:c>
    </x:row>
    <x:row r="46">
      <x:c r="A46" t="n">
        <x:v>42</x:v>
      </x:c>
      <x:c r="B46" t="str">
        <x:v>Monash University</x:v>
      </x:c>
      <x:c r="C46" s="32" t="str">
        <x:v>Master of Environment and Sustainability</x:v>
      </x:c>
      <x:c r="D46" s="32" t="str">
        <x:v>Monash University</x:v>
      </x:c>
      <x:c r="E46" s="31" t="str">
        <x:v>57</x:v>
      </x:c>
      <x:c r="F46" s="38" t="str">
        <x:v>69.9</x:v>
      </x:c>
      <x:c r="G46" s="31" t="str">
        <x:v>44</x:v>
      </x:c>
      <x:c r="H46" s="38" t="str">
        <x:v>73.6</x:v>
      </x:c>
      <x:c r="I46" s="31" t="str">
        <x:v>54</x:v>
      </x:c>
      <x:c r="J46" s="38" t="str">
        <x:v>75.2</x:v>
      </x:c>
      <x:c r="K46" s="31" t="n">
        <x:f>58</x:f>
        <x:v>58</x:v>
      </x:c>
      <x:c r="L46" s="38" t="str">
        <x:v>73.8</x:v>
      </x:c>
      <x:c r="M46" s="31" t="n">
        <x:f>58</x:f>
        <x:v>58</x:v>
      </x:c>
      <x:c r="N46" s="38" t="str">
        <x:v>74.1</x:v>
      </x:c>
      <x:c r="O46" s="35" t="str">
        <x:v>https://www.timeshighereducation.com/world-university-rankings/monash-university</x:v>
      </x:c>
      <x:c r="P46" s="35" t="str">
        <x:v>https://www.monash.edu/study/courses/find-a-course/environment-and-sustainability-s6002</x:v>
      </x:c>
    </x:row>
    <x:row r="47">
      <x:c r="A47" t="n">
        <x:v>43</x:v>
      </x:c>
      <x:c r="B47" t="str">
        <x:v>The Hong Kong University of Science and Technology</x:v>
      </x:c>
      <x:c r="C47" s="32" t="str">
        <x:v>MSc in Environmental Engineering and Management</x:v>
      </x:c>
      <x:c r="D47" s="32" t="str">
        <x:v>The Hong Kong University of Science and Technology</x:v>
      </x:c>
      <x:c r="E47" s="31" t="str">
        <x:v>66</x:v>
      </x:c>
      <x:c r="F47" s="38" t="str">
        <x:v>68.8</x:v>
      </x:c>
      <x:c r="G47" s="31" t="str">
        <x:v>58</x:v>
      </x:c>
      <x:c r="H47" s="38" t="str">
        <x:v>70.5</x:v>
      </x:c>
      <x:c r="I47" s="31" t="n">
        <x:f>64</x:f>
        <x:v>64</x:v>
      </x:c>
      <x:c r="J47" s="38" t="str">
        <x:v>73.0</x:v>
      </x:c>
      <x:c r="K47" s="31" t="str">
        <x:v>66</x:v>
      </x:c>
      <x:c r="L47" s="38" t="str">
        <x:v>72.9</x:v>
      </x:c>
      <x:c r="M47" s="31" t="n">
        <x:f>58</x:f>
        <x:v>58</x:v>
      </x:c>
      <x:c r="N47" s="38" t="str">
        <x:v>74.1</x:v>
      </x:c>
      <x:c r="O47" s="35" t="str">
        <x:v>https://www.timeshighereducation.com/world-university-rankings/hong-kong-university-science-and-technology</x:v>
      </x:c>
      <x:c r="P47" s="35" t="str">
        <x:v>https://cee.hkust.edu.hk/msc-environmental-engineering-and-management</x:v>
      </x:c>
    </x:row>
    <x:row r="48">
      <x:c r="A48" t="n">
        <x:v>44</x:v>
      </x:c>
      <x:c r="B48" t="str">
        <x:v>Seoul National University</x:v>
      </x:c>
      <x:c r="C48" s="32" t="str">
        <x:v>Graduate School of Environmental Studies - Environmental Management</x:v>
      </x:c>
      <x:c r="D48" s="32" t="str">
        <x:v>Seoul National University</x:v>
      </x:c>
      <x:c r="E48" s="31" t="n">
        <x:f>54</x:f>
        <x:v>54</x:v>
      </x:c>
      <x:c r="F48" s="38" t="str">
        <x:v>70.0</x:v>
      </x:c>
      <x:c r="G48" s="31" t="str">
        <x:v>56</x:v>
      </x:c>
      <x:c r="H48" s="38" t="str">
        <x:v>70.8</x:v>
      </x:c>
      <x:c r="I48" s="31" t="str">
        <x:v>62</x:v>
      </x:c>
      <x:c r="J48" s="38" t="str">
        <x:v>73.4</x:v>
      </x:c>
      <x:c r="K48" s="31" t="n">
        <x:f>62</x:f>
        <x:v>62</x:v>
      </x:c>
      <x:c r="L48" s="38" t="str">
        <x:v>73.5</x:v>
      </x:c>
      <x:c r="M48" s="31" t="n">
        <x:f>58</x:f>
        <x:v>58</x:v>
      </x:c>
      <x:c r="N48" s="38" t="str">
        <x:v>74.1</x:v>
      </x:c>
      <x:c r="O48" s="35" t="str">
        <x:v>https://www.timeshighereducation.com/world-university-rankings/seoul-national-university</x:v>
      </x:c>
      <x:c r="P48" s="35" t="str">
        <x:v>https://gses.snu.ac.kr/</x:v>
      </x:c>
    </x:row>
    <x:row r="49">
      <x:c r="A49" t="n">
        <x:v>45</x:v>
      </x:c>
      <x:c r="B49" t="str">
        <x:v>The University of Manchester</x:v>
      </x:c>
      <x:c r="C49" s="32" t="str">
        <x:v>MSc Environmental Governance</x:v>
      </x:c>
      <x:c r="D49" s="32" t="str">
        <x:v>University of Manchester</x:v>
      </x:c>
      <x:c r="E49" s="31" t="str">
        <x:v>50</x:v>
      </x:c>
      <x:c r="F49" s="38" t="str">
        <x:v>71.2</x:v>
      </x:c>
      <x:c r="G49" s="31" t="n">
        <x:f>54</x:f>
        <x:v>54</x:v>
      </x:c>
      <x:c r="H49" s="38" t="str">
        <x:v>70.9</x:v>
      </x:c>
      <x:c r="I49" s="31" t="str">
        <x:v>51</x:v>
      </x:c>
      <x:c r="J49" s="38" t="str">
        <x:v>75.6</x:v>
      </x:c>
      <x:c r="K49" s="31" t="n">
        <x:f>53</x:f>
        <x:v>53</x:v>
      </x:c>
      <x:c r="L49" s="38" t="str">
        <x:v>75.5</x:v>
      </x:c>
      <x:c r="M49" s="31" t="str">
        <x:v>56</x:v>
      </x:c>
      <x:c r="N49" s="38" t="str">
        <x:v>74.9</x:v>
      </x:c>
      <x:c r="O49" s="35" t="str">
        <x:v>https://www.timeshighereducation.com/world-university-rankings/university-manchester</x:v>
      </x:c>
      <x:c r="P49" s="35" t="str">
        <x:v>https://www.manchester.ac.uk/study/masters/courses/list/10380/msc-environmental-governance/</x:v>
      </x:c>
    </x:row>
    <x:row r="50">
      <x:c r="A50" t="n">
        <x:v>46</x:v>
      </x:c>
      <x:c r="B50" t="str">
        <x:v>The University of Queensland</x:v>
      </x:c>
      <x:c r="C50" s="32" t="str">
        <x:v>Master of Environmental Management</x:v>
      </x:c>
      <x:c r="D50" s="32" t="str">
        <x:v>The University of Queensland</x:v>
      </x:c>
      <x:c r="E50" s="31" t="n">
        <x:f>54</x:f>
        <x:v>54</x:v>
      </x:c>
      <x:c r="F50" s="38" t="str">
        <x:v>70.0</x:v>
      </x:c>
      <x:c r="G50" s="31" t="str">
        <x:v>53</x:v>
      </x:c>
      <x:c r="H50" s="38" t="str">
        <x:v>71.1</x:v>
      </x:c>
      <x:c r="I50" s="31" t="str">
        <x:v>70</x:v>
      </x:c>
      <x:c r="J50" s="38" t="str">
        <x:v>72.0</x:v>
      </x:c>
      <x:c r="K50" s="31" t="str">
        <x:v>77</x:v>
      </x:c>
      <x:c r="L50" s="38" t="str">
        <x:v>70.3</x:v>
      </x:c>
      <x:c r="M50" s="31" t="n">
        <x:f>80</x:f>
        <x:v>80</x:v>
      </x:c>
      <x:c r="N50" s="38" t="str">
        <x:v>69.7</x:v>
      </x:c>
      <x:c r="O50" s="35" t="str">
        <x:v>https://www.timeshighereducation.com/world-university-rankings/university-queensland</x:v>
      </x:c>
      <x:c r="P50" s="35" t="str">
        <x:v>https://study.uq.edu.au/study-options/programs/master-environmental-management-5609</x:v>
      </x:c>
    </x:row>
    <x:row r="51">
      <x:c r="A51" t="n">
        <x:v>47</x:v>
      </x:c>
      <x:c r="B51" t="str">
        <x:v>Yonsei University</x:v>
      </x:c>
      <x:c r="C51" s="32" t="str">
        <x:v>Global Sustainable Development Cooperation major</x:v>
      </x:c>
      <x:c r="D51" s="32" t="str">
        <x:v>Yonsei University (Seoul campus)</x:v>
      </x:c>
      <x:c r="E51" s="31" t="n">
        <x:f>151</x:f>
        <x:v>151</x:v>
      </x:c>
      <x:c r="F51" s="38" t="str">
        <x:v>57.4</x:v>
      </x:c>
      <x:c r="G51" s="31" t="str">
        <x:v>78</x:v>
      </x:c>
      <x:c r="H51" s="38" t="str">
        <x:v>66.3</x:v>
      </x:c>
      <x:c r="I51" s="31" t="str">
        <x:v>76</x:v>
      </x:c>
      <x:c r="J51" s="38" t="str">
        <x:v>70.4</x:v>
      </x:c>
      <x:c r="K51" s="31" t="n">
        <x:f>102</x:f>
        <x:v>102</x:v>
      </x:c>
      <x:c r="L51" s="38" t="str">
        <x:v>66.1</x:v>
      </x:c>
      <x:c r="M51" s="31" t="str">
        <x:v>86</x:v>
      </x:c>
      <x:c r="N51" s="38" t="str">
        <x:v>68.5</x:v>
      </x:c>
      <x:c r="O51" s="35" t="str">
        <x:v>https://www.timeshighereducation.com/world-university-rankings/yonsei-university-seoul-campus</x:v>
      </x:c>
      <x:c r="P51" s="35" t="str">
        <x:v>https://gsis.yonsei.ac.kr/gsis/academics/gsdc.do</x:v>
      </x:c>
    </x:row>
    <x:row r="52">
      <x:c r="A52" t="n">
        <x:v>48</x:v>
      </x:c>
      <x:c r="B52" t="str">
        <x:v>Institut Polytechnique de Paris</x:v>
      </x:c>
      <x:c r="C52" s="32" t="str">
        <x:v>MSc&amp;T Energy Environment: Science Technology and Management</x:v>
      </x:c>
      <x:c r="D52" s="32" t="str">
        <x:v>Institut Polytechnique de Paris</x:v>
      </x:c>
      <x:c r="E52" s="31" t="str">
        <x:v>91</x:v>
      </x:c>
      <x:c r="F52" s="38" t="str">
        <x:v>63.3</x:v>
      </x:c>
      <x:c r="G52" s="31" t="n">
        <x:f>95</x:f>
        <x:v>95</x:v>
      </x:c>
      <x:c r="H52" s="38" t="str">
        <x:v>63.6</x:v>
      </x:c>
      <x:c r="I52" s="31" t="str">
        <x:v>71</x:v>
      </x:c>
      <x:c r="J52" s="38" t="str">
        <x:v>71.3</x:v>
      </x:c>
      <x:c r="K52" s="31" t="str">
        <x:v>71</x:v>
      </x:c>
      <x:c r="L52" s="38" t="str">
        <x:v>71.3</x:v>
      </x:c>
      <x:c r="M52" s="31" t="n">
        <x:f>68</x:f>
        <x:v>68</x:v>
      </x:c>
      <x:c r="N52" s="38" t="str">
        <x:v>71.6</x:v>
      </x:c>
      <x:c r="O52" s="35" t="str">
        <x:v>https://www.timeshighereducation.com/world-university-rankings/institut-polytechnique-de-paris</x:v>
      </x:c>
      <x:c r="P52" s="35" t="str">
        <x:v>https://www.ip-paris.fr/en/education/masters/msc-t-programs/energy-environment-science-technology-and-management</x:v>
      </x:c>
    </x:row>
    <x:row r="53">
      <x:c r="A53" t="n">
        <x:v>49</x:v>
      </x:c>
      <x:c r="B53" t="str">
        <x:v>Delft University of Technology</x:v>
      </x:c>
      <x:c r="C53" s="32" t="str">
        <x:v>MSc Industrial Ecology</x:v>
      </x:c>
      <x:c r="D53" s="32" t="str">
        <x:v>Delft University of Technology</x:v>
      </x:c>
      <x:c r="E53" s="31" t="n">
        <x:f>75</x:f>
        <x:v>75</x:v>
      </x:c>
      <x:c r="F53" s="38" t="str">
        <x:v>65.8</x:v>
      </x:c>
      <x:c r="G53" s="31" t="str">
        <x:v>70</x:v>
      </x:c>
      <x:c r="H53" s="38" t="str">
        <x:v>67.7</x:v>
      </x:c>
      <x:c r="I53" s="31" t="str">
        <x:v>48</x:v>
      </x:c>
      <x:c r="J53" s="38" t="str">
        <x:v>76.3</x:v>
      </x:c>
      <x:c r="K53" s="31" t="n">
        <x:f>56</x:f>
        <x:v>56</x:v>
      </x:c>
      <x:c r="L53" s="38" t="str">
        <x:v>74.8</x:v>
      </x:c>
      <x:c r="M53" s="31" t="str">
        <x:v>57</x:v>
      </x:c>
      <x:c r="N53" s="38" t="str">
        <x:v>74.3</x:v>
      </x:c>
      <x:c r="O53" s="35" t="str">
        <x:v>https://www.timeshighereducation.com/world-university-rankings/delft-university-technology</x:v>
      </x:c>
      <x:c r="P53" s="35" t="str">
        <x:v>https://www.tudelft.nl/en/education/programmes/masters/industrial-ecology/msc-industrial-ecology</x:v>
      </x:c>
    </x:row>
    <x:row r="54">
      <x:c r="A54" t="n">
        <x:v>50</x:v>
      </x:c>
      <x:c r="B54" t="str">
        <x:v>The Hong Kong Polytechnic University</x:v>
      </x:c>
      <x:c r="C54" s="32" t="str">
        <x:v>MSc in Sustainable Urban Development</x:v>
      </x:c>
      <x:c r="D54" s="32" t="str">
        <x:v>The Hong Kong Polytechnic University</x:v>
      </x:c>
      <x:c r="E54" s="31" t="str">
        <x:v>91</x:v>
      </x:c>
      <x:c r="F54" s="38" t="str">
        <x:v>63.3</x:v>
      </x:c>
      <x:c r="G54" s="31" t="str">
        <x:v>79</x:v>
      </x:c>
      <x:c r="H54" s="38" t="str">
        <x:v>65.8</x:v>
      </x:c>
      <x:c r="I54" s="31" t="n">
        <x:f>87</x:f>
        <x:v>87</x:v>
      </x:c>
      <x:c r="J54" s="38" t="str">
        <x:v>68.2</x:v>
      </x:c>
      <x:c r="K54" s="31" t="n">
        <x:f>84</x:f>
        <x:v>84</x:v>
      </x:c>
      <x:c r="L54" s="38" t="str">
        <x:v>68.0</x:v>
      </x:c>
      <x:c r="M54" s="31" t="str">
        <x:v>80</x:v>
      </x:c>
      <x:c r="N54" s="38" t="str">
        <x:v>69.7</x:v>
      </x:c>
      <x:c r="O54" s="35" t="str">
        <x:v>https://www.timeshighereducation.com/world-university-rankings/hong-kong-polytechnic-university</x:v>
      </x:c>
      <x:c r="P54" s="35" t="str">
        <x:v>https://www.polyu.edu.hk/bre/study/taught-postgraduate-programmes/msc-in-sustainable-urban-development/</x:v>
      </x:c>
    </x:row>
    <x:row r="55">
      <x:c r="A55" t="n">
        <x:v>51</x:v>
      </x:c>
      <x:c r="B55" t="str">
        <x:v>University of Michigan-Ann Arbor</x:v>
      </x:c>
      <x:c r="C55" s="32" t="str">
        <x:v>MS in Sustainable Systems</x:v>
      </x:c>
      <x:c r="D55" s="32" t="str">
        <x:v>University of Michigan-Ann Arbor</x:v>
      </x:c>
      <x:c r="E55" s="31" t="n">
        <x:f>24</x:f>
        <x:v>24</x:v>
      </x:c>
      <x:c r="F55" s="38" t="str">
        <x:v>83.1</x:v>
      </x:c>
      <x:c r="G55" s="31" t="str">
        <x:v>23</x:v>
      </x:c>
      <x:c r="H55" s="38" t="str">
        <x:v>82.9</x:v>
      </x:c>
      <x:c r="I55" s="31" t="str">
        <x:v>23</x:v>
      </x:c>
      <x:c r="J55" s="38" t="str">
        <x:v>87.4</x:v>
      </x:c>
      <x:c r="K55" s="31" t="n">
        <x:f>22</x:f>
        <x:v>22</x:v>
      </x:c>
      <x:c r="L55" s="38" t="str">
        <x:v>87.7</x:v>
      </x:c>
      <x:c r="M55" s="31" t="str">
        <x:v>23</x:v>
      </x:c>
      <x:c r="N55" s="38" t="str">
        <x:v>86.9</x:v>
      </x:c>
      <x:c r="O55" s="35" t="str">
        <x:v>https://www.timeshighereducation.com/world-university-rankings/university-michigan-ann-arbor</x:v>
      </x:c>
      <x:c r="P55" s="35" t="str">
        <x:v>https://seas.umich.edu/academics/master-science/sustainable-systems</x:v>
      </x:c>
    </x:row>
    <x:row r="56">
      <x:c r="A56" t="n">
        <x:v>52</x:v>
      </x:c>
      <x:c r="B56" t="str">
        <x:v>Carnegie Mellon University</x:v>
      </x:c>
      <x:c r="C56" s="32" t="str">
        <x:v>MS in Sustainable Design</x:v>
      </x:c>
      <x:c r="D56" s="32" t="str">
        <x:v>Carnegie Mellon University</x:v>
      </x:c>
      <x:c r="E56" s="31" t="str">
        <x:v>28</x:v>
      </x:c>
      <x:c r="F56" s="38" t="str">
        <x:v>80.6</x:v>
      </x:c>
      <x:c r="G56" s="31" t="str">
        <x:v>28</x:v>
      </x:c>
      <x:c r="H56" s="38" t="str">
        <x:v>81.1</x:v>
      </x:c>
      <x:c r="I56" s="31" t="str">
        <x:v>24</x:v>
      </x:c>
      <x:c r="J56" s="38" t="str">
        <x:v>86.3</x:v>
      </x:c>
      <x:c r="K56" s="31" t="str">
        <x:v>24</x:v>
      </x:c>
      <x:c r="L56" s="38" t="str">
        <x:v>85.7</x:v>
      </x:c>
      <x:c r="M56" s="31" t="str">
        <x:v>24</x:v>
      </x:c>
      <x:c r="N56" s="38" t="str">
        <x:v>85.0</x:v>
      </x:c>
      <x:c r="O56" s="35" t="str">
        <x:v>https://www.timeshighereducation.com/world-university-rankings/carnegie-mellon-university</x:v>
      </x:c>
      <x:c r="P56" s="35" t="str">
        <x:v>https://soa.cmu.edu/ms-sustainable-design</x:v>
      </x:c>
    </x:row>
    <x:row r="57">
      <x:c r="A57" t="n">
        <x:v>53</x:v>
      </x:c>
      <x:c r="B57" t="str">
        <x:v>University of Washington</x:v>
      </x:c>
      <x:c r="C57" s="32" t="str">
        <x:v>MPA Environmental Policy specialization / sustainability pathway</x:v>
      </x:c>
      <x:c r="D57" s="32" t="str">
        <x:v>University of Washington</x:v>
      </x:c>
      <x:c r="E57" s="31" t="str">
        <x:v>29</x:v>
      </x:c>
      <x:c r="F57" s="38" t="str">
        <x:v>79.8</x:v>
      </x:c>
      <x:c r="G57" s="31" t="n">
        <x:f>26</x:f>
        <x:v>26</x:v>
      </x:c>
      <x:c r="H57" s="38" t="str">
        <x:v>82.1</x:v>
      </x:c>
      <x:c r="I57" s="31" t="str">
        <x:v>25</x:v>
      </x:c>
      <x:c r="J57" s="38" t="str">
        <x:v>85.3</x:v>
      </x:c>
      <x:c r="K57" s="31" t="str">
        <x:v>25</x:v>
      </x:c>
      <x:c r="L57" s="38" t="str">
        <x:v>83.8</x:v>
      </x:c>
      <x:c r="M57" s="31" t="str">
        <x:v>25</x:v>
      </x:c>
      <x:c r="N57" s="38" t="str">
        <x:v>83.7</x:v>
      </x:c>
      <x:c r="O57" s="35" t="str">
        <x:v>https://www.timeshighereducation.com/world-university-rankings/university-washington</x:v>
      </x:c>
      <x:c r="P57" s="35" t="str">
        <x:v>https://evans.uw.edu/academic-programs/graduate-degrees/master-of-public-administration/</x:v>
      </x:c>
    </x:row>
    <x:row r="58">
      <x:c r="A58" t="n">
        <x:v>54</x:v>
      </x:c>
      <x:c r="B58" t="str">
        <x:v>Duke University</x:v>
      </x:c>
      <x:c r="C58" s="32" t="str">
        <x:v>Master of Environmental Management</x:v>
      </x:c>
      <x:c r="D58" s="32" t="str">
        <x:v>Duke University</x:v>
      </x:c>
      <x:c r="E58" s="31" t="str">
        <x:v>23</x:v>
      </x:c>
      <x:c r="F58" s="38" t="str">
        <x:v>83.5</x:v>
      </x:c>
      <x:c r="G58" s="31" t="str">
        <x:v>25</x:v>
      </x:c>
      <x:c r="H58" s="38" t="str">
        <x:v>82.6</x:v>
      </x:c>
      <x:c r="I58" s="31" t="str">
        <x:v>26</x:v>
      </x:c>
      <x:c r="J58" s="38" t="str">
        <x:v>83.9</x:v>
      </x:c>
      <x:c r="K58" s="31" t="str">
        <x:v>27</x:v>
      </x:c>
      <x:c r="L58" s="38" t="str">
        <x:v>83.4</x:v>
      </x:c>
      <x:c r="M58" s="31" t="str">
        <x:v>28</x:v>
      </x:c>
      <x:c r="N58" s="38" t="str">
        <x:v>82.9</x:v>
      </x:c>
      <x:c r="O58" s="35" t="str">
        <x:v>https://www.timeshighereducation.com/world-university-rankings/duke-university</x:v>
      </x:c>
      <x:c r="P58" s="35" t="str">
        <x:v>https://nicholas.duke.edu/academics/masters-programs/master-environmental-management</x:v>
      </x:c>
    </x:row>
    <x:row r="59">
      <x:c r="A59" t="n">
        <x:v>55</x:v>
      </x:c>
      <x:c r="B59" t="str">
        <x:v>New York University</x:v>
      </x:c>
      <x:c r="C59" s="32" t="str">
        <x:v>MS in Environmental Policy and Sustainability Management</x:v>
      </x:c>
      <x:c r="D59" s="32" t="str">
        <x:v>New York University</x:v>
      </x:c>
      <x:c r="E59" s="31" t="str">
        <x:v>26</x:v>
      </x:c>
      <x:c r="F59" s="38" t="str">
        <x:v>82.4</x:v>
      </x:c>
      <x:c r="G59" s="31" t="str">
        <x:v>24</x:v>
      </x:c>
      <x:c r="H59" s="38" t="str">
        <x:v>82.7</x:v>
      </x:c>
      <x:c r="I59" s="31" t="str">
        <x:v>27</x:v>
      </x:c>
      <x:c r="J59" s="38" t="str">
        <x:v>83.5</x:v>
      </x:c>
      <x:c r="K59" s="31" t="str">
        <x:v>33</x:v>
      </x:c>
      <x:c r="L59" s="38" t="str">
        <x:v>80.3</x:v>
      </x:c>
      <x:c r="M59" s="31" t="n">
        <x:f>31</x:f>
        <x:v>31</x:v>
      </x:c>
      <x:c r="N59" s="38" t="str">
        <x:v>81.6</x:v>
      </x:c>
      <x:c r="O59" s="35" t="str">
        <x:v>https://www.timeshighereducation.com/world-university-rankings/new-york-university</x:v>
      </x:c>
      <x:c r="P59" s="35" t="str">
        <x:v>https://www.sps.nyu.edu/homepage/academics/masters-degrees/ms-in-environmental-policy-and-sustainability-management.html</x:v>
      </x:c>
    </x:row>
    <x:row r="60">
      <x:c r="A60" t="n">
        <x:v>56</x:v>
      </x:c>
      <x:c r="B60" t="str">
        <x:v>LMU Munich</x:v>
      </x:c>
      <x:c r="C60" s="32" t="str">
        <x:v>MSc Environment and Society</x:v>
      </x:c>
      <x:c r="D60" s="32" t="str">
        <x:v>LMU Munich</x:v>
      </x:c>
      <x:c r="E60" s="31" t="str">
        <x:v>32</x:v>
      </x:c>
      <x:c r="F60" s="38" t="str">
        <x:v>78.6</x:v>
      </x:c>
      <x:c r="G60" s="31" t="str">
        <x:v>33</x:v>
      </x:c>
      <x:c r="H60" s="38" t="str">
        <x:v>77.7</x:v>
      </x:c>
      <x:c r="I60" s="31" t="n">
        <x:f>38</x:f>
        <x:v>38</x:v>
      </x:c>
      <x:c r="J60" s="38" t="str">
        <x:v>79.0</x:v>
      </x:c>
      <x:c r="K60" s="31" t="str">
        <x:v>38</x:v>
      </x:c>
      <x:c r="L60" s="38" t="str">
        <x:v>78.7</x:v>
      </x:c>
      <x:c r="M60" s="31" t="str">
        <x:v>34</x:v>
      </x:c>
      <x:c r="N60" s="38" t="str">
        <x:v>79.7</x:v>
      </x:c>
      <x:c r="O60" s="35" t="str">
        <x:v>https://www.timeshighereducation.com/world-university-rankings/lmu-munich</x:v>
      </x:c>
      <x:c r="P60" s="35" t="str">
        <x:v>https://www.lmu.de/en/study/all-degrees-and-programs/programs-for-international-visiting-students/environment-and-society-masters-program/</x:v>
      </x:c>
    </x:row>
    <x:row r="61">
      <x:c r="A61" t="n">
        <x:v>57</x:v>
      </x:c>
      <x:c r="B61" t="str">
        <x:v>Georgia Institute of Technology</x:v>
      </x:c>
      <x:c r="C61" s="32" t="str">
        <x:v>Master of Sustainable Energy and Environmental Management</x:v>
      </x:c>
      <x:c r="D61" s="32" t="str">
        <x:v>Georgia Institute of Technology</x:v>
      </x:c>
      <x:c r="E61" s="31" t="str">
        <x:v>45</x:v>
      </x:c>
      <x:c r="F61" s="38" t="str">
        <x:v>73.3</x:v>
      </x:c>
      <x:c r="G61" s="31" t="str">
        <x:v>38</x:v>
      </x:c>
      <x:c r="H61" s="38" t="str">
        <x:v>76.0</x:v>
      </x:c>
      <x:c r="I61" s="31" t="str">
        <x:v>36</x:v>
      </x:c>
      <x:c r="J61" s="38" t="str">
        <x:v>80.0</x:v>
      </x:c>
      <x:c r="K61" s="31" t="str">
        <x:v>40</x:v>
      </x:c>
      <x:c r="L61" s="38" t="str">
        <x:v>78.3</x:v>
      </x:c>
      <x:c r="M61" s="31" t="n">
        <x:f>41</x:f>
        <x:v>41</x:v>
      </x:c>
      <x:c r="N61" s="38" t="str">
        <x:v>77.1</x:v>
      </x:c>
      <x:c r="O61" s="35" t="str">
        <x:v>https://www.timeshighereducation.com/world-university-rankings/georgia-institute-technology</x:v>
      </x:c>
      <x:c r="P61" s="35" t="str">
        <x:v>https://spp.gatech.edu/master-sustainable-energy-environmental-management</x:v>
      </x:c>
    </x:row>
    <x:row r="62">
      <x:c r="A62" t="n">
        <x:v>58</x:v>
      </x:c>
      <x:c r="B62" t="str">
        <x:v>University of Illinois at Urbana-Champaign</x:v>
      </x:c>
      <x:c r="C62" s="32" t="str">
        <x:v>MS in Sustainable Design</x:v>
      </x:c>
      <x:c r="D62" s="32" t="str">
        <x:v>University of Illinois at Urbana-Champaign</x:v>
      </x:c>
      <x:c r="E62" s="31" t="str">
        <x:v>48</x:v>
      </x:c>
      <x:c r="F62" s="38" t="str">
        <x:v>72.6</x:v>
      </x:c>
      <x:c r="G62" s="31" t="str">
        <x:v>48</x:v>
      </x:c>
      <x:c r="H62" s="38" t="str">
        <x:v>72.7</x:v>
      </x:c>
      <x:c r="I62" s="31" t="str">
        <x:v>42</x:v>
      </x:c>
      <x:c r="J62" s="38" t="str">
        <x:v>77.9</x:v>
      </x:c>
      <x:c r="K62" s="31" t="str">
        <x:v>46</x:v>
      </x:c>
      <x:c r="L62" s="38" t="str">
        <x:v>76.5</x:v>
      </x:c>
      <x:c r="M62" s="31" t="n">
        <x:f>41</x:f>
        <x:v>41</x:v>
      </x:c>
      <x:c r="N62" s="38" t="str">
        <x:v>77.1</x:v>
      </x:c>
      <x:c r="O62" s="35" t="str">
        <x:v>https://www.timeshighereducation.com/world-university-rankings/university-illinois-urbana-champaign</x:v>
      </x:c>
      <x:c r="P62" s="35" t="str">
        <x:v>https://arch.illinois.edu/programs-applying/graduate-degrees/ms-sustainable-design/</x:v>
      </x:c>
    </x:row>
    <x:row r="63">
      <x:c r="A63" t="n">
        <x:v>59</x:v>
      </x:c>
      <x:c r="B63" t="str">
        <x:v>KU Leuven</x:v>
      </x:c>
      <x:c r="C63" s="32" t="str">
        <x:v>Master of Sustainable Development</x:v>
      </x:c>
      <x:c r="D63" s="32" t="str">
        <x:v>KU Leuven</x:v>
      </x:c>
      <x:c r="E63" s="31" t="n">
        <x:f>42</x:f>
        <x:v>42</x:v>
      </x:c>
      <x:c r="F63" s="38" t="str">
        <x:v>73.6</x:v>
      </x:c>
      <x:c r="G63" s="31" t="str">
        <x:v>42</x:v>
      </x:c>
      <x:c r="H63" s="38" t="str">
        <x:v>74.6</x:v>
      </x:c>
      <x:c r="I63" s="31" t="str">
        <x:v>45</x:v>
      </x:c>
      <x:c r="J63" s="38" t="str">
        <x:v>77.0</x:v>
      </x:c>
      <x:c r="K63" s="31" t="str">
        <x:v>43</x:v>
      </x:c>
      <x:c r="L63" s="38" t="str">
        <x:v>77.0</x:v>
      </x:c>
      <x:c r="M63" s="31" t="str">
        <x:v>46</x:v>
      </x:c>
      <x:c r="N63" s="38" t="str">
        <x:v>76.8</x:v>
      </x:c>
      <x:c r="O63" s="35" t="str">
        <x:v>https://www.timeshighereducation.com/world-university-rankings/ku-leuven</x:v>
      </x:c>
      <x:c r="P63" s="35" t="str">
        <x:v>https://www.kuleuven.be/programmes/master-sustainable-development</x:v>
      </x:c>
    </x:row>
    <x:row r="64">
      <x:c r="A64" t="n">
        <x:v>60</x:v>
      </x:c>
      <x:c r="B64" t="str">
        <x:v>University of California, San Diego</x:v>
      </x:c>
      <x:c r="C64" s="32" t="str">
        <x:v>MAS in Climate Science and Policy</x:v>
      </x:c>
      <x:c r="D64" s="32" t="str">
        <x:v>University of California, San Diego</x:v>
      </x:c>
      <x:c r="E64" s="31" t="str">
        <x:v>34</x:v>
      </x:c>
      <x:c r="F64" s="38" t="str">
        <x:v>77.7</x:v>
      </x:c>
      <x:c r="G64" s="31" t="str">
        <x:v>32</x:v>
      </x:c>
      <x:c r="H64" s="38" t="str">
        <x:v>78.1</x:v>
      </x:c>
      <x:c r="I64" s="31" t="str">
        <x:v>34</x:v>
      </x:c>
      <x:c r="J64" s="38" t="str">
        <x:v>81.0</x:v>
      </x:c>
      <x:c r="K64" s="31" t="str">
        <x:v>34</x:v>
      </x:c>
      <x:c r="L64" s="38" t="str">
        <x:v>79.9</x:v>
      </x:c>
      <x:c r="M64" s="31" t="str">
        <x:v>47</x:v>
      </x:c>
      <x:c r="N64" s="38" t="str">
        <x:v>76.6</x:v>
      </x:c>
      <x:c r="O64" s="35" t="str">
        <x:v>https://www.timeshighereducation.com/world-university-rankings/university-california-san-diego</x:v>
      </x:c>
      <x:c r="P64" s="35" t="str">
        <x:v>https://gps.ucsd.edu/academics/masters-programs/mas-climate-science-policy.html</x:v>
      </x:c>
    </x:row>
    <x:row r="65">
      <x:c r="A65" t="n">
        <x:v>61</x:v>
      </x:c>
      <x:c r="B65" t="str">
        <x:v>Universität Heidelberg</x:v>
      </x:c>
      <x:c r="C65" s="32" t="str">
        <x:v>MSc Governance of Risk and Resources</x:v>
      </x:c>
      <x:c r="D65" s="32" t="str">
        <x:v>Universität Heidelberg</x:v>
      </x:c>
      <x:c r="E65" s="31" t="n">
        <x:f>42</x:f>
        <x:v>42</x:v>
      </x:c>
      <x:c r="F65" s="38" t="str">
        <x:v>73.6</x:v>
      </x:c>
      <x:c r="G65" s="31" t="str">
        <x:v>43</x:v>
      </x:c>
      <x:c r="H65" s="38" t="str">
        <x:v>74.1</x:v>
      </x:c>
      <x:c r="I65" s="31" t="str">
        <x:v>47</x:v>
      </x:c>
      <x:c r="J65" s="38" t="str">
        <x:v>76.7</x:v>
      </x:c>
      <x:c r="K65" s="31" t="n">
        <x:f>47</x:f>
        <x:v>47</x:v>
      </x:c>
      <x:c r="L65" s="38" t="str">
        <x:v>76.2</x:v>
      </x:c>
      <x:c r="M65" s="31" t="str">
        <x:v>49</x:v>
      </x:c>
      <x:c r="N65" s="38" t="str">
        <x:v>76.3</x:v>
      </x:c>
      <x:c r="O65" s="35" t="str">
        <x:v>https://www.timeshighereducation.com/world-university-rankings/universitat-heidelberg</x:v>
      </x:c>
      <x:c r="P65" s="35" t="str">
        <x:v>https://www.hce.uni-heidelberg.de/en/study-and-teaching/masters-programme-governance-of-risk-and-resources</x:v>
      </x:c>
    </x:row>
    <x:row r="66">
      <x:c r="A66" t="n">
        <x:v>62</x:v>
      </x:c>
      <x:c r="B66" t="str">
        <x:v>University of Texas at Austin</x:v>
      </x:c>
      <x:c r="C66" s="32" t="str">
        <x:v>MS in Sustainable Design</x:v>
      </x:c>
      <x:c r="D66" s="32" t="str">
        <x:v>University of Texas at Austin</x:v>
      </x:c>
      <x:c r="E66" s="31" t="str">
        <x:v>47</x:v>
      </x:c>
      <x:c r="F66" s="38" t="str">
        <x:v>72.9</x:v>
      </x:c>
      <x:c r="G66" s="31" t="str">
        <x:v>50</x:v>
      </x:c>
      <x:c r="H66" s="38" t="str">
        <x:v>72.3</x:v>
      </x:c>
      <x:c r="I66" s="31" t="str">
        <x:v>52</x:v>
      </x:c>
      <x:c r="J66" s="38" t="str">
        <x:v>75.5</x:v>
      </x:c>
      <x:c r="K66" s="31" t="n">
        <x:f>50</x:f>
        <x:v>50</x:v>
      </x:c>
      <x:c r="L66" s="38" t="str">
        <x:v>75.9</x:v>
      </x:c>
      <x:c r="M66" s="31" t="str">
        <x:v>50</x:v>
      </x:c>
      <x:c r="N66" s="38" t="str">
        <x:v>75.8</x:v>
      </x:c>
      <x:c r="O66" s="35" t="str">
        <x:v>https://www.timeshighereducation.com/world-university-rankings/university-texas-austin</x:v>
      </x:c>
      <x:c r="P66" s="35" t="str">
        <x:v>https://soa.utexas.edu/programs/sustainable-design/ms-sustainable-design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d9835ffa0b646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42" hidden="0" customWidth="1"/>
    <x:col min="4" max="4" width="31" hidden="0" customWidth="1"/>
    <x:col min="5" max="5" width="10" hidden="0" customWidth="1"/>
    <x:col min="6" max="6" width="11" hidden="0" customWidth="1"/>
    <x:col min="7" max="7" width="11" hidden="0" customWidth="1"/>
    <x:col min="8" max="8" width="38" hidden="0" customWidth="1"/>
    <x:col min="9" max="9" width="46" hidden="0" customWidth="1"/>
    <x:col min="10" max="10" width="54" hidden="0" customWidth="1"/>
    <x:col min="11" max="11" width="48" hidden="0" customWidth="1"/>
  </x:cols>
  <x:sheetData>
    <x:row r="1" ht="28" customHeight="1">
      <x:c r="A1" s="3" t="str">
        <x:v>QS Program-Related Subject Ranking Detail: 2022-2026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Long-format audit sheet. Status distinguishes a complete-table non-rank from a program not found in the stated collection range.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29" t="str">
        <x:v>#</x:v>
      </x:c>
      <x:c r="B4" s="29" t="str">
        <x:v>Institution</x:v>
      </x:c>
      <x:c r="C4" s="29" t="str">
        <x:v>Selected program</x:v>
      </x:c>
      <x:c r="D4" s="29" t="str">
        <x:v>QS subject proxy</x:v>
      </x:c>
      <x:c r="E4" s="29" t="str">
        <x:v>Edition</x:v>
      </x:c>
      <x:c r="F4" s="29" t="str">
        <x:v>Rank</x:v>
      </x:c>
      <x:c r="G4" s="29" t="str">
        <x:v>Score</x:v>
      </x:c>
      <x:c r="H4" s="29" t="str">
        <x:v>Status</x:v>
      </x:c>
      <x:c r="I4" s="29" t="str">
        <x:v>Institution profile URL</x:v>
      </x:c>
      <x:c r="J4" s="29" t="str">
        <x:v>Official ranking page</x:v>
      </x:c>
      <x:c r="K4" s="29" t="str">
        <x:v>Program URL</x:v>
      </x:c>
    </x:row>
    <x:row r="5">
      <x:c r="A5" s="31" t="n">
        <x:v>1</x:v>
      </x:c>
      <x:c r="B5" t="str">
        <x:v>Massachusetts Institute of Technology (MIT)</x:v>
      </x:c>
      <x:c r="C5" s="32" t="str">
        <x:v>Master in City Planning - Environmental Policy and Planning focus</x:v>
      </x:c>
      <x:c r="D5" s="32" t="str">
        <x:v>Architecture &amp; Built Environment</x:v>
      </x:c>
      <x:c r="E5" s="31" t="n">
        <x:v>2022</x:v>
      </x:c>
      <x:c r="F5" s="31" t="str">
        <x:v>1</x:v>
      </x:c>
      <x:c r="G5" s="43" t="n">
        <x:v>97.2</x:v>
      </x:c>
      <x:c r="H5" s="32" t="str">
        <x:v>Ranked in collected subject table</x:v>
      </x:c>
      <x:c r="I5" s="35" t="str">
        <x:v>https://www.topuniversities.com/universities/massachusetts-institute-technology-mit</x:v>
      </x:c>
      <x:c r="J5" s="35" t="str">
        <x:v>https://www.topuniversities.com/university-subject-rankings/architecture-built-environment/2022?items_per_page=150</x:v>
      </x:c>
      <x:c r="K5" s="35" t="str">
        <x:v>https://dusp.mit.edu/masters/city-planning</x:v>
      </x:c>
    </x:row>
    <x:row r="6">
      <x:c r="A6" s="31" t="n">
        <x:v>1</x:v>
      </x:c>
      <x:c r="B6" t="str">
        <x:v>Massachusetts Institute of Technology (MIT)</x:v>
      </x:c>
      <x:c r="C6" s="32" t="str">
        <x:v>Master in City Planning - Environmental Policy and Planning focus</x:v>
      </x:c>
      <x:c r="D6" s="32" t="str">
        <x:v>Architecture &amp; Built Environment</x:v>
      </x:c>
      <x:c r="E6" s="31" t="n">
        <x:v>2023</x:v>
      </x:c>
      <x:c r="F6" s="31" t="str">
        <x:v>2</x:v>
      </x:c>
      <x:c r="G6" s="43" t="n">
        <x:v>96.2</x:v>
      </x:c>
      <x:c r="H6" s="32" t="str">
        <x:v>Ranked in collected subject table</x:v>
      </x:c>
      <x:c r="I6" s="35" t="str">
        <x:v>https://www.topuniversities.com/universities/massachusetts-institute-technology-mit</x:v>
      </x:c>
      <x:c r="J6" s="35" t="str">
        <x:v>https://www.topuniversities.com/university-subject-rankings/architecture-built-environment/2023?items_per_page=150</x:v>
      </x:c>
      <x:c r="K6" s="35" t="str">
        <x:v>https://dusp.mit.edu/masters/city-planning</x:v>
      </x:c>
    </x:row>
    <x:row r="7">
      <x:c r="A7" s="31" t="n">
        <x:v>1</x:v>
      </x:c>
      <x:c r="B7" t="str">
        <x:v>Massachusetts Institute of Technology (MIT)</x:v>
      </x:c>
      <x:c r="C7" s="32" t="str">
        <x:v>Master in City Planning - Environmental Policy and Planning focus</x:v>
      </x:c>
      <x:c r="D7" s="32" t="str">
        <x:v>Architecture &amp; Built Environment</x:v>
      </x:c>
      <x:c r="E7" s="31" t="n">
        <x:v>2024</x:v>
      </x:c>
      <x:c r="F7" s="31" t="str">
        <x:v>2</x:v>
      </x:c>
      <x:c r="G7" s="43" t="n">
        <x:v>95.4</x:v>
      </x:c>
      <x:c r="H7" s="32" t="str">
        <x:v>Ranked in collected subject table</x:v>
      </x:c>
      <x:c r="I7" s="35" t="str">
        <x:v>https://www.topuniversities.com/universities/massachusetts-institute-technology-mit</x:v>
      </x:c>
      <x:c r="J7" s="35" t="str">
        <x:v>https://www.topuniversities.com/university-subject-rankings/architecture-built-environment/2024?items_per_page=150</x:v>
      </x:c>
      <x:c r="K7" s="35" t="str">
        <x:v>https://dusp.mit.edu/masters/city-planning</x:v>
      </x:c>
    </x:row>
    <x:row r="8">
      <x:c r="A8" s="31" t="n">
        <x:v>1</x:v>
      </x:c>
      <x:c r="B8" t="str">
        <x:v>Massachusetts Institute of Technology (MIT)</x:v>
      </x:c>
      <x:c r="C8" s="32" t="str">
        <x:v>Master in City Planning - Environmental Policy and Planning focus</x:v>
      </x:c>
      <x:c r="D8" s="32" t="str">
        <x:v>Architecture &amp; Built Environment</x:v>
      </x:c>
      <x:c r="E8" s="31" t="n">
        <x:v>2025</x:v>
      </x:c>
      <x:c r="F8" s="31" t="str">
        <x:v>2</x:v>
      </x:c>
      <x:c r="G8" s="43" t="n">
        <x:v>95.7</x:v>
      </x:c>
      <x:c r="H8" s="32" t="str">
        <x:v>Ranked in collected subject table</x:v>
      </x:c>
      <x:c r="I8" s="35" t="str">
        <x:v>https://www.topuniversities.com/universities/massachusetts-institute-technology-mit</x:v>
      </x:c>
      <x:c r="J8" s="35" t="str">
        <x:v>https://www.topuniversities.com/university-subject-rankings/architecture-built-environment/2025?items_per_page=150</x:v>
      </x:c>
      <x:c r="K8" s="35" t="str">
        <x:v>https://dusp.mit.edu/masters/city-planning</x:v>
      </x:c>
    </x:row>
    <x:row r="9">
      <x:c r="A9" s="31" t="n">
        <x:v>1</x:v>
      </x:c>
      <x:c r="B9" t="str">
        <x:v>Massachusetts Institute of Technology (MIT)</x:v>
      </x:c>
      <x:c r="C9" s="32" t="str">
        <x:v>Master in City Planning - Environmental Policy and Planning focus</x:v>
      </x:c>
      <x:c r="D9" s="32" t="str">
        <x:v>Architecture &amp; Built Environment</x:v>
      </x:c>
      <x:c r="E9" s="31" t="n">
        <x:v>2026</x:v>
      </x:c>
      <x:c r="F9" s="31" t="str">
        <x:v>2</x:v>
      </x:c>
      <x:c r="G9" s="43" t="n">
        <x:v>94.6</x:v>
      </x:c>
      <x:c r="H9" s="32" t="str">
        <x:v>Ranked in collected subject table</x:v>
      </x:c>
      <x:c r="I9" s="35" t="str">
        <x:v>https://www.topuniversities.com/universities/massachusetts-institute-technology-mit</x:v>
      </x:c>
      <x:c r="J9" s="35" t="str">
        <x:v>https://www.topuniversities.com/university-subject-rankings/architecture-built-environment?items_per_page=150</x:v>
      </x:c>
      <x:c r="K9" s="35" t="str">
        <x:v>https://dusp.mit.edu/masters/city-planning</x:v>
      </x:c>
    </x:row>
    <x:row r="10">
      <x:c r="A10" s="31" t="n">
        <x:v>2</x:v>
      </x:c>
      <x:c r="B10" t="str">
        <x:v>Imperial College London</x:v>
      </x:c>
      <x:c r="C10" s="32" t="str">
        <x:v>MSc Climate Change, Management &amp; Finance</x:v>
      </x:c>
      <x:c r="D10" s="32" t="str">
        <x:v>Business &amp; Management Studies</x:v>
      </x:c>
      <x:c r="E10" s="31" t="n">
        <x:v>2022</x:v>
      </x:c>
      <x:c r="F10" s="31" t="n">
        <x:f>25</x:f>
        <x:v>25</x:v>
      </x:c>
      <x:c r="G10" s="43" t="n">
        <x:v>81</x:v>
      </x:c>
      <x:c r="H10" s="32" t="str">
        <x:v>Ranked in collected subject table</x:v>
      </x:c>
      <x:c r="I10" s="35" t="str">
        <x:v>https://www.topuniversities.com/universities/imperial-college-london</x:v>
      </x:c>
      <x:c r="J10" s="35" t="str">
        <x:v>https://www.topuniversities.com/university-subject-rankings/business-management-studies/2022?items_per_page=150</x:v>
      </x:c>
      <x:c r="K10" s="35" t="str">
        <x:v>https://www.imperial.ac.uk/business-school/masters/climate-change-management-finance/</x:v>
      </x:c>
    </x:row>
    <x:row r="11">
      <x:c r="A11" s="31" t="n">
        <x:v>2</x:v>
      </x:c>
      <x:c r="B11" t="str">
        <x:v>Imperial College London</x:v>
      </x:c>
      <x:c r="C11" s="32" t="str">
        <x:v>MSc Climate Change, Management &amp; Finance</x:v>
      </x:c>
      <x:c r="D11" s="32" t="str">
        <x:v>Business &amp; Management Studies</x:v>
      </x:c>
      <x:c r="E11" s="31" t="n">
        <x:v>2023</x:v>
      </x:c>
      <x:c r="F11" s="31" t="str">
        <x:v>28</x:v>
      </x:c>
      <x:c r="G11" s="43" t="n">
        <x:v>80</x:v>
      </x:c>
      <x:c r="H11" s="32" t="str">
        <x:v>Ranked in collected subject table</x:v>
      </x:c>
      <x:c r="I11" s="35" t="str">
        <x:v>https://www.topuniversities.com/universities/imperial-college-london</x:v>
      </x:c>
      <x:c r="J11" s="35" t="str">
        <x:v>https://www.topuniversities.com/university-subject-rankings/business-management-studies/2023?items_per_page=150</x:v>
      </x:c>
      <x:c r="K11" s="35" t="str">
        <x:v>https://www.imperial.ac.uk/business-school/masters/climate-change-management-finance/</x:v>
      </x:c>
    </x:row>
    <x:row r="12">
      <x:c r="A12" s="31" t="n">
        <x:v>2</x:v>
      </x:c>
      <x:c r="B12" t="str">
        <x:v>Imperial College London</x:v>
      </x:c>
      <x:c r="C12" s="32" t="str">
        <x:v>MSc Climate Change, Management &amp; Finance</x:v>
      </x:c>
      <x:c r="D12" s="32" t="str">
        <x:v>Business &amp; Management Studies</x:v>
      </x:c>
      <x:c r="E12" s="31" t="n">
        <x:v>2024</x:v>
      </x:c>
      <x:c r="F12" s="31" t="str">
        <x:v>29</x:v>
      </x:c>
      <x:c r="G12" s="43" t="n">
        <x:v>81.4</x:v>
      </x:c>
      <x:c r="H12" s="32" t="str">
        <x:v>Ranked in collected subject table</x:v>
      </x:c>
      <x:c r="I12" s="35" t="str">
        <x:v>https://www.topuniversities.com/universities/imperial-college-london</x:v>
      </x:c>
      <x:c r="J12" s="35" t="str">
        <x:v>https://www.topuniversities.com/university-subject-rankings/business-management-studies/2024?items_per_page=150</x:v>
      </x:c>
      <x:c r="K12" s="35" t="str">
        <x:v>https://www.imperial.ac.uk/business-school/masters/climate-change-management-finance/</x:v>
      </x:c>
    </x:row>
    <x:row r="13">
      <x:c r="A13" s="31" t="n">
        <x:v>2</x:v>
      </x:c>
      <x:c r="B13" t="str">
        <x:v>Imperial College London</x:v>
      </x:c>
      <x:c r="C13" s="32" t="str">
        <x:v>MSc Climate Change, Management &amp; Finance</x:v>
      </x:c>
      <x:c r="D13" s="32" t="str">
        <x:v>Business &amp; Management Studies</x:v>
      </x:c>
      <x:c r="E13" s="31" t="n">
        <x:v>2025</x:v>
      </x:c>
      <x:c r="F13" s="31" t="n">
        <x:f>37</x:f>
        <x:v>37</x:v>
      </x:c>
      <x:c r="G13" s="43" t="n">
        <x:v>79.2</x:v>
      </x:c>
      <x:c r="H13" s="32" t="str">
        <x:v>Ranked in collected subject table</x:v>
      </x:c>
      <x:c r="I13" s="35" t="str">
        <x:v>https://www.topuniversities.com/universities/imperial-college-london</x:v>
      </x:c>
      <x:c r="J13" s="35" t="str">
        <x:v>https://www.topuniversities.com/university-subject-rankings/business-management-studies/2025?items_per_page=150</x:v>
      </x:c>
      <x:c r="K13" s="35" t="str">
        <x:v>https://www.imperial.ac.uk/business-school/masters/climate-change-management-finance/</x:v>
      </x:c>
    </x:row>
    <x:row r="14">
      <x:c r="A14" s="31" t="n">
        <x:v>2</x:v>
      </x:c>
      <x:c r="B14" t="str">
        <x:v>Imperial College London</x:v>
      </x:c>
      <x:c r="C14" s="32" t="str">
        <x:v>MSc Climate Change, Management &amp; Finance</x:v>
      </x:c>
      <x:c r="D14" s="32" t="str">
        <x:v>Business &amp; Management Studies</x:v>
      </x:c>
      <x:c r="E14" s="31" t="n">
        <x:v>2026</x:v>
      </x:c>
      <x:c r="F14" s="31" t="n">
        <x:f>22</x:f>
        <x:v>22</x:v>
      </x:c>
      <x:c r="G14" s="43" t="n">
        <x:v>80.5</x:v>
      </x:c>
      <x:c r="H14" s="32" t="str">
        <x:v>Ranked in collected subject table</x:v>
      </x:c>
      <x:c r="I14" s="35" t="str">
        <x:v>https://www.topuniversities.com/universities/imperial-college-london</x:v>
      </x:c>
      <x:c r="J14" s="35" t="str">
        <x:v>https://www.topuniversities.com/university-subject-rankings/business-management-studies?items_per_page=150</x:v>
      </x:c>
      <x:c r="K14" s="35" t="str">
        <x:v>https://www.imperial.ac.uk/business-school/masters/climate-change-management-finance/</x:v>
      </x:c>
    </x:row>
    <x:row r="15">
      <x:c r="A15" s="31" t="n">
        <x:v>3</x:v>
      </x:c>
      <x:c r="B15" t="str">
        <x:v>Stanford University</x:v>
      </x:c>
      <x:c r="C15" s="32" t="str">
        <x:v>Joint MS in Environment and Resources</x:v>
      </x:c>
      <x:c r="D15" s="32" t="str">
        <x:v>Environmental Sciences</x:v>
      </x:c>
      <x:c r="E15" s="31" t="n">
        <x:v>2022</x:v>
      </x:c>
      <x:c r="F15" s="31" t="n">
        <x:f>1</x:f>
        <x:v>1</x:v>
      </x:c>
      <x:c r="G15" s="43" t="n">
        <x:v>96.1</x:v>
      </x:c>
      <x:c r="H15" s="32" t="str">
        <x:v>Ranked in collected subject table</x:v>
      </x:c>
      <x:c r="I15" s="35" t="str">
        <x:v>https://www.topuniversities.com/universities/stanford-university</x:v>
      </x:c>
      <x:c r="J15" s="35" t="str">
        <x:v>https://www.topuniversities.com/university-subject-rankings/environmental-sciences/2022?items_per_page=150</x:v>
      </x:c>
      <x:c r="K15" s="35" t="str">
        <x:v>https://eiper.stanford.edu/academics/joint-ms</x:v>
      </x:c>
    </x:row>
    <x:row r="16">
      <x:c r="A16" s="31" t="n">
        <x:v>3</x:v>
      </x:c>
      <x:c r="B16" t="str">
        <x:v>Stanford University</x:v>
      </x:c>
      <x:c r="C16" s="32" t="str">
        <x:v>Joint MS in Environment and Resources</x:v>
      </x:c>
      <x:c r="D16" s="32" t="str">
        <x:v>Environmental Sciences</x:v>
      </x:c>
      <x:c r="E16" s="31" t="n">
        <x:v>2023</x:v>
      </x:c>
      <x:c r="F16" s="31" t="str">
        <x:v>6</x:v>
      </x:c>
      <x:c r="G16" s="43" t="n">
        <x:v>93.9</x:v>
      </x:c>
      <x:c r="H16" s="32" t="str">
        <x:v>Ranked in collected subject table</x:v>
      </x:c>
      <x:c r="I16" s="35" t="str">
        <x:v>https://www.topuniversities.com/universities/stanford-university</x:v>
      </x:c>
      <x:c r="J16" s="35" t="str">
        <x:v>https://www.topuniversities.com/university-subject-rankings/environmental-sciences/2023?items_per_page=150</x:v>
      </x:c>
      <x:c r="K16" s="35" t="str">
        <x:v>https://eiper.stanford.edu/academics/joint-ms</x:v>
      </x:c>
    </x:row>
    <x:row r="17">
      <x:c r="A17" s="31" t="n">
        <x:v>3</x:v>
      </x:c>
      <x:c r="B17" t="str">
        <x:v>Stanford University</x:v>
      </x:c>
      <x:c r="C17" s="32" t="str">
        <x:v>Joint MS in Environment and Resources</x:v>
      </x:c>
      <x:c r="D17" s="32" t="str">
        <x:v>Environmental Sciences</x:v>
      </x:c>
      <x:c r="E17" s="31" t="n">
        <x:v>2024</x:v>
      </x:c>
      <x:c r="F17" s="31" t="n">
        <x:f>5</x:f>
        <x:v>5</x:v>
      </x:c>
      <x:c r="G17" s="43" t="n">
        <x:v>93.5</x:v>
      </x:c>
      <x:c r="H17" s="32" t="str">
        <x:v>Ranked in collected subject table</x:v>
      </x:c>
      <x:c r="I17" s="35" t="str">
        <x:v>https://www.topuniversities.com/universities/stanford-university</x:v>
      </x:c>
      <x:c r="J17" s="35" t="str">
        <x:v>https://www.topuniversities.com/university-subject-rankings/environmental-sciences/2024?items_per_page=150</x:v>
      </x:c>
      <x:c r="K17" s="35" t="str">
        <x:v>https://eiper.stanford.edu/academics/joint-ms</x:v>
      </x:c>
    </x:row>
    <x:row r="18">
      <x:c r="A18" s="31" t="n">
        <x:v>3</x:v>
      </x:c>
      <x:c r="B18" t="str">
        <x:v>Stanford University</x:v>
      </x:c>
      <x:c r="C18" s="32" t="str">
        <x:v>Joint MS in Environment and Resources</x:v>
      </x:c>
      <x:c r="D18" s="32" t="str">
        <x:v>Environmental Sciences</x:v>
      </x:c>
      <x:c r="E18" s="31" t="n">
        <x:v>2025</x:v>
      </x:c>
      <x:c r="F18" s="31" t="str">
        <x:v>5</x:v>
      </x:c>
      <x:c r="G18" s="43" t="n">
        <x:v>91.9</x:v>
      </x:c>
      <x:c r="H18" s="32" t="str">
        <x:v>Ranked in collected subject table</x:v>
      </x:c>
      <x:c r="I18" s="35" t="str">
        <x:v>https://www.topuniversities.com/universities/stanford-university</x:v>
      </x:c>
      <x:c r="J18" s="35" t="str">
        <x:v>https://www.topuniversities.com/university-subject-rankings/environmental-sciences/2025?items_per_page=150</x:v>
      </x:c>
      <x:c r="K18" s="35" t="str">
        <x:v>https://eiper.stanford.edu/academics/joint-ms</x:v>
      </x:c>
    </x:row>
    <x:row r="19">
      <x:c r="A19" s="31" t="n">
        <x:v>3</x:v>
      </x:c>
      <x:c r="B19" t="str">
        <x:v>Stanford University</x:v>
      </x:c>
      <x:c r="C19" s="32" t="str">
        <x:v>Joint MS in Environment and Resources</x:v>
      </x:c>
      <x:c r="D19" s="32" t="str">
        <x:v>Environmental Sciences</x:v>
      </x:c>
      <x:c r="E19" s="31" t="n">
        <x:v>2026</x:v>
      </x:c>
      <x:c r="F19" s="31" t="str">
        <x:v>5</x:v>
      </x:c>
      <x:c r="G19" s="43" t="n">
        <x:v>91.3</x:v>
      </x:c>
      <x:c r="H19" s="32" t="str">
        <x:v>Ranked in collected subject table</x:v>
      </x:c>
      <x:c r="I19" s="35" t="str">
        <x:v>https://www.topuniversities.com/universities/stanford-university</x:v>
      </x:c>
      <x:c r="J19" s="35" t="str">
        <x:v>https://www.topuniversities.com/university-subject-rankings/environmental-sciences?items_per_page=150</x:v>
      </x:c>
      <x:c r="K19" s="35" t="str">
        <x:v>https://eiper.stanford.edu/academics/joint-ms</x:v>
      </x:c>
    </x:row>
    <x:row r="20">
      <x:c r="A20" s="31" t="n">
        <x:v>4</x:v>
      </x:c>
      <x:c r="B20" t="str">
        <x:v>University of Oxford</x:v>
      </x:c>
      <x:c r="C20" s="32" t="str">
        <x:v>MSc in Sustainability, Enterprise and the Environment</x:v>
      </x:c>
      <x:c r="D20" s="32" t="str">
        <x:v>Business &amp; Management Studies</x:v>
      </x:c>
      <x:c r="E20" s="31" t="n">
        <x:v>2022</x:v>
      </x:c>
      <x:c r="F20" s="31" t="str">
        <x:v>9</x:v>
      </x:c>
      <x:c r="G20" s="43" t="n">
        <x:v>90.4</x:v>
      </x:c>
      <x:c r="H20" s="32" t="str">
        <x:v>Ranked in collected subject table</x:v>
      </x:c>
      <x:c r="I20" s="35" t="str">
        <x:v>https://www.topuniversities.com/universities/university-oxford</x:v>
      </x:c>
      <x:c r="J20" s="35" t="str">
        <x:v>https://www.topuniversities.com/university-subject-rankings/business-management-studies/2022?items_per_page=150</x:v>
      </x:c>
      <x:c r="K20" s="35" t="str">
        <x:v>https://www.smithschool.ox.ac.uk/course/msc-sustainability-enterprise-and-environment</x:v>
      </x:c>
    </x:row>
    <x:row r="21">
      <x:c r="A21" s="31" t="n">
        <x:v>4</x:v>
      </x:c>
      <x:c r="B21" t="str">
        <x:v>University of Oxford</x:v>
      </x:c>
      <x:c r="C21" s="32" t="str">
        <x:v>MSc in Sustainability, Enterprise and the Environment</x:v>
      </x:c>
      <x:c r="D21" s="32" t="str">
        <x:v>Business &amp; Management Studies</x:v>
      </x:c>
      <x:c r="E21" s="31" t="n">
        <x:v>2023</x:v>
      </x:c>
      <x:c r="F21" s="31" t="str">
        <x:v>9</x:v>
      </x:c>
      <x:c r="G21" s="43" t="n">
        <x:v>89.9</x:v>
      </x:c>
      <x:c r="H21" s="32" t="str">
        <x:v>Ranked in collected subject table</x:v>
      </x:c>
      <x:c r="I21" s="35" t="str">
        <x:v>https://www.topuniversities.com/universities/university-oxford</x:v>
      </x:c>
      <x:c r="J21" s="35" t="str">
        <x:v>https://www.topuniversities.com/university-subject-rankings/business-management-studies/2023?items_per_page=150</x:v>
      </x:c>
      <x:c r="K21" s="35" t="str">
        <x:v>https://www.smithschool.ox.ac.uk/course/msc-sustainability-enterprise-and-environment</x:v>
      </x:c>
    </x:row>
    <x:row r="22">
      <x:c r="A22" s="31" t="n">
        <x:v>4</x:v>
      </x:c>
      <x:c r="B22" t="str">
        <x:v>University of Oxford</x:v>
      </x:c>
      <x:c r="C22" s="32" t="str">
        <x:v>MSc in Sustainability, Enterprise and the Environment</x:v>
      </x:c>
      <x:c r="D22" s="32" t="str">
        <x:v>Business &amp; Management Studies</x:v>
      </x:c>
      <x:c r="E22" s="31" t="n">
        <x:v>2024</x:v>
      </x:c>
      <x:c r="F22" s="31" t="str">
        <x:v>6</x:v>
      </x:c>
      <x:c r="G22" s="43" t="n">
        <x:v>90.9</x:v>
      </x:c>
      <x:c r="H22" s="32" t="str">
        <x:v>Ranked in collected subject table</x:v>
      </x:c>
      <x:c r="I22" s="35" t="str">
        <x:v>https://www.topuniversities.com/universities/university-oxford</x:v>
      </x:c>
      <x:c r="J22" s="35" t="str">
        <x:v>https://www.topuniversities.com/university-subject-rankings/business-management-studies/2024?items_per_page=150</x:v>
      </x:c>
      <x:c r="K22" s="35" t="str">
        <x:v>https://www.smithschool.ox.ac.uk/course/msc-sustainability-enterprise-and-environment</x:v>
      </x:c>
    </x:row>
    <x:row r="23">
      <x:c r="A23" s="31" t="n">
        <x:v>4</x:v>
      </x:c>
      <x:c r="B23" t="str">
        <x:v>University of Oxford</x:v>
      </x:c>
      <x:c r="C23" s="32" t="str">
        <x:v>MSc in Sustainability, Enterprise and the Environment</x:v>
      </x:c>
      <x:c r="D23" s="32" t="str">
        <x:v>Business &amp; Management Studies</x:v>
      </x:c>
      <x:c r="E23" s="31" t="n">
        <x:v>2025</x:v>
      </x:c>
      <x:c r="F23" s="31" t="n">
        <x:f>5</x:f>
        <x:v>5</x:v>
      </x:c>
      <x:c r="G23" s="43" t="n">
        <x:v>90.5</x:v>
      </x:c>
      <x:c r="H23" s="32" t="str">
        <x:v>Ranked in collected subject table</x:v>
      </x:c>
      <x:c r="I23" s="35" t="str">
        <x:v>https://www.topuniversities.com/universities/university-oxford</x:v>
      </x:c>
      <x:c r="J23" s="35" t="str">
        <x:v>https://www.topuniversities.com/university-subject-rankings/business-management-studies/2025?items_per_page=150</x:v>
      </x:c>
      <x:c r="K23" s="35" t="str">
        <x:v>https://www.smithschool.ox.ac.uk/course/msc-sustainability-enterprise-and-environment</x:v>
      </x:c>
    </x:row>
    <x:row r="24">
      <x:c r="A24" s="31" t="n">
        <x:v>4</x:v>
      </x:c>
      <x:c r="B24" t="str">
        <x:v>University of Oxford</x:v>
      </x:c>
      <x:c r="C24" s="32" t="str">
        <x:v>MSc in Sustainability, Enterprise and the Environment</x:v>
      </x:c>
      <x:c r="D24" s="32" t="str">
        <x:v>Business &amp; Management Studies</x:v>
      </x:c>
      <x:c r="E24" s="31" t="n">
        <x:v>2026</x:v>
      </x:c>
      <x:c r="F24" s="31" t="str">
        <x:v>5</x:v>
      </x:c>
      <x:c r="G24" s="43" t="n">
        <x:v>89.5</x:v>
      </x:c>
      <x:c r="H24" s="32" t="str">
        <x:v>Ranked in collected subject table</x:v>
      </x:c>
      <x:c r="I24" s="35" t="str">
        <x:v>https://www.topuniversities.com/universities/university-oxford</x:v>
      </x:c>
      <x:c r="J24" s="35" t="str">
        <x:v>https://www.topuniversities.com/university-subject-rankings/business-management-studies?items_per_page=150</x:v>
      </x:c>
      <x:c r="K24" s="35" t="str">
        <x:v>https://www.smithschool.ox.ac.uk/course/msc-sustainability-enterprise-and-environment</x:v>
      </x:c>
    </x:row>
    <x:row r="25">
      <x:c r="A25" s="31" t="n">
        <x:v>5</x:v>
      </x:c>
      <x:c r="B25" t="str">
        <x:v>Harvard University</x:v>
      </x:c>
      <x:c r="C25" s="32" t="str">
        <x:v>Sustainability Master's Degree Program</x:v>
      </x:c>
      <x:c r="D25" s="32" t="str">
        <x:v>Environmental Sciences</x:v>
      </x:c>
      <x:c r="E25" s="31" t="n">
        <x:v>2022</x:v>
      </x:c>
      <x:c r="F25" s="31" t="n">
        <x:f>1</x:f>
        <x:v>1</x:v>
      </x:c>
      <x:c r="G25" s="43" t="n">
        <x:v>96.1</x:v>
      </x:c>
      <x:c r="H25" s="32" t="str">
        <x:v>Ranked in collected subject table</x:v>
      </x:c>
      <x:c r="I25" s="35" t="str">
        <x:v>https://www.topuniversities.com/universities/harvard-university</x:v>
      </x:c>
      <x:c r="J25" s="35" t="str">
        <x:v>https://www.topuniversities.com/university-subject-rankings/environmental-sciences/2022?items_per_page=150</x:v>
      </x:c>
      <x:c r="K25" s="35" t="str">
        <x:v>https://extension.harvard.edu/academics/programs/sustainability-graduate-program/</x:v>
      </x:c>
    </x:row>
    <x:row r="26">
      <x:c r="A26" s="31" t="n">
        <x:v>5</x:v>
      </x:c>
      <x:c r="B26" t="str">
        <x:v>Harvard University</x:v>
      </x:c>
      <x:c r="C26" s="32" t="str">
        <x:v>Sustainability Master's Degree Program</x:v>
      </x:c>
      <x:c r="D26" s="32" t="str">
        <x:v>Environmental Sciences</x:v>
      </x:c>
      <x:c r="E26" s="31" t="n">
        <x:v>2023</x:v>
      </x:c>
      <x:c r="F26" s="31" t="str">
        <x:v>1</x:v>
      </x:c>
      <x:c r="G26" s="43" t="n">
        <x:v>95.4</x:v>
      </x:c>
      <x:c r="H26" s="32" t="str">
        <x:v>Ranked in collected subject table</x:v>
      </x:c>
      <x:c r="I26" s="35" t="str">
        <x:v>https://www.topuniversities.com/universities/harvard-university</x:v>
      </x:c>
      <x:c r="J26" s="35" t="str">
        <x:v>https://www.topuniversities.com/university-subject-rankings/environmental-sciences/2023?items_per_page=150</x:v>
      </x:c>
      <x:c r="K26" s="35" t="str">
        <x:v>https://extension.harvard.edu/academics/programs/sustainability-graduate-program/</x:v>
      </x:c>
    </x:row>
    <x:row r="27">
      <x:c r="A27" s="31" t="n">
        <x:v>5</x:v>
      </x:c>
      <x:c r="B27" t="str">
        <x:v>Harvard University</x:v>
      </x:c>
      <x:c r="C27" s="32" t="str">
        <x:v>Sustainability Master's Degree Program</x:v>
      </x:c>
      <x:c r="D27" s="32" t="str">
        <x:v>Environmental Sciences</x:v>
      </x:c>
      <x:c r="E27" s="31" t="n">
        <x:v>2024</x:v>
      </x:c>
      <x:c r="F27" s="31" t="str">
        <x:v>1</x:v>
      </x:c>
      <x:c r="G27" s="43" t="n">
        <x:v>94.6</x:v>
      </x:c>
      <x:c r="H27" s="32" t="str">
        <x:v>Ranked in collected subject table</x:v>
      </x:c>
      <x:c r="I27" s="35" t="str">
        <x:v>https://www.topuniversities.com/universities/harvard-university</x:v>
      </x:c>
      <x:c r="J27" s="35" t="str">
        <x:v>https://www.topuniversities.com/university-subject-rankings/environmental-sciences/2024?items_per_page=150</x:v>
      </x:c>
      <x:c r="K27" s="35" t="str">
        <x:v>https://extension.harvard.edu/academics/programs/sustainability-graduate-program/</x:v>
      </x:c>
    </x:row>
    <x:row r="28">
      <x:c r="A28" s="31" t="n">
        <x:v>5</x:v>
      </x:c>
      <x:c r="B28" t="str">
        <x:v>Harvard University</x:v>
      </x:c>
      <x:c r="C28" s="32" t="str">
        <x:v>Sustainability Master's Degree Program</x:v>
      </x:c>
      <x:c r="D28" s="32" t="str">
        <x:v>Environmental Sciences</x:v>
      </x:c>
      <x:c r="E28" s="31" t="n">
        <x:v>2025</x:v>
      </x:c>
      <x:c r="F28" s="31" t="str">
        <x:v>1</x:v>
      </x:c>
      <x:c r="G28" s="43" t="n">
        <x:v>93.6</x:v>
      </x:c>
      <x:c r="H28" s="32" t="str">
        <x:v>Ranked in collected subject table</x:v>
      </x:c>
      <x:c r="I28" s="35" t="str">
        <x:v>https://www.topuniversities.com/universities/harvard-university</x:v>
      </x:c>
      <x:c r="J28" s="35" t="str">
        <x:v>https://www.topuniversities.com/university-subject-rankings/environmental-sciences/2025?items_per_page=150</x:v>
      </x:c>
      <x:c r="K28" s="35" t="str">
        <x:v>https://extension.harvard.edu/academics/programs/sustainability-graduate-program/</x:v>
      </x:c>
    </x:row>
    <x:row r="29">
      <x:c r="A29" s="31" t="n">
        <x:v>5</x:v>
      </x:c>
      <x:c r="B29" t="str">
        <x:v>Harvard University</x:v>
      </x:c>
      <x:c r="C29" s="32" t="str">
        <x:v>Sustainability Master's Degree Program</x:v>
      </x:c>
      <x:c r="D29" s="32" t="str">
        <x:v>Environmental Sciences</x:v>
      </x:c>
      <x:c r="E29" s="31" t="n">
        <x:v>2026</x:v>
      </x:c>
      <x:c r="F29" s="31" t="str">
        <x:v>1</x:v>
      </x:c>
      <x:c r="G29" s="43" t="n">
        <x:v>92.4</x:v>
      </x:c>
      <x:c r="H29" s="32" t="str">
        <x:v>Ranked in collected subject table</x:v>
      </x:c>
      <x:c r="I29" s="35" t="str">
        <x:v>https://www.topuniversities.com/universities/harvard-university</x:v>
      </x:c>
      <x:c r="J29" s="35" t="str">
        <x:v>https://www.topuniversities.com/university-subject-rankings/environmental-sciences?items_per_page=150</x:v>
      </x:c>
      <x:c r="K29" s="35" t="str">
        <x:v>https://extension.harvard.edu/academics/programs/sustainability-graduate-program/</x:v>
      </x:c>
    </x:row>
    <x:row r="30">
      <x:c r="A30" s="31" t="n">
        <x:v>6</x:v>
      </x:c>
      <x:c r="B30" t="str">
        <x:v>University of Cambridge</x:v>
      </x:c>
      <x:c r="C30" s="32" t="str">
        <x:v>MPhil in Engineering for Sustainable Development</x:v>
      </x:c>
      <x:c r="D30" s="32" t="str">
        <x:v>Environmental Sciences</x:v>
      </x:c>
      <x:c r="E30" s="31" t="n">
        <x:v>2022</x:v>
      </x:c>
      <x:c r="F30" s="31" t="n">
        <x:f>6</x:f>
        <x:v>6</x:v>
      </x:c>
      <x:c r="G30" s="43" t="n">
        <x:v>94.5</x:v>
      </x:c>
      <x:c r="H30" s="32" t="str">
        <x:v>Ranked in collected subject table</x:v>
      </x:c>
      <x:c r="I30" s="35" t="str">
        <x:v>https://www.topuniversities.com/universities/university-cambridge</x:v>
      </x:c>
      <x:c r="J30" s="35" t="str">
        <x:v>https://www.topuniversities.com/university-subject-rankings/environmental-sciences/2022?items_per_page=150</x:v>
      </x:c>
      <x:c r="K30" s="35" t="str">
        <x:v>https://www.postgraduate.study.cam.ac.uk/courses/directory/egegmpesd</x:v>
      </x:c>
    </x:row>
    <x:row r="31">
      <x:c r="A31" s="31" t="n">
        <x:v>6</x:v>
      </x:c>
      <x:c r="B31" t="str">
        <x:v>University of Cambridge</x:v>
      </x:c>
      <x:c r="C31" s="32" t="str">
        <x:v>MPhil in Engineering for Sustainable Development</x:v>
      </x:c>
      <x:c r="D31" s="32" t="str">
        <x:v>Environmental Sciences</x:v>
      </x:c>
      <x:c r="E31" s="31" t="n">
        <x:v>2023</x:v>
      </x:c>
      <x:c r="F31" s="31" t="str">
        <x:v>7</x:v>
      </x:c>
      <x:c r="G31" s="43" t="n">
        <x:v>93.4</x:v>
      </x:c>
      <x:c r="H31" s="32" t="str">
        <x:v>Ranked in collected subject table</x:v>
      </x:c>
      <x:c r="I31" s="35" t="str">
        <x:v>https://www.topuniversities.com/universities/university-cambridge</x:v>
      </x:c>
      <x:c r="J31" s="35" t="str">
        <x:v>https://www.topuniversities.com/university-subject-rankings/environmental-sciences/2023?items_per_page=150</x:v>
      </x:c>
      <x:c r="K31" s="35" t="str">
        <x:v>https://www.postgraduate.study.cam.ac.uk/courses/directory/egegmpesd</x:v>
      </x:c>
    </x:row>
    <x:row r="32">
      <x:c r="A32" s="31" t="n">
        <x:v>6</x:v>
      </x:c>
      <x:c r="B32" t="str">
        <x:v>University of Cambridge</x:v>
      </x:c>
      <x:c r="C32" s="32" t="str">
        <x:v>MPhil in Engineering for Sustainable Development</x:v>
      </x:c>
      <x:c r="D32" s="32" t="str">
        <x:v>Environmental Sciences</x:v>
      </x:c>
      <x:c r="E32" s="31" t="n">
        <x:v>2024</x:v>
      </x:c>
      <x:c r="F32" s="31" t="str">
        <x:v>8</x:v>
      </x:c>
      <x:c r="G32" s="43" t="n">
        <x:v>92.3</x:v>
      </x:c>
      <x:c r="H32" s="32" t="str">
        <x:v>Ranked in collected subject table</x:v>
      </x:c>
      <x:c r="I32" s="35" t="str">
        <x:v>https://www.topuniversities.com/universities/university-cambridge</x:v>
      </x:c>
      <x:c r="J32" s="35" t="str">
        <x:v>https://www.topuniversities.com/university-subject-rankings/environmental-sciences/2024?items_per_page=150</x:v>
      </x:c>
      <x:c r="K32" s="35" t="str">
        <x:v>https://www.postgraduate.study.cam.ac.uk/courses/directory/egegmpesd</x:v>
      </x:c>
    </x:row>
    <x:row r="33">
      <x:c r="A33" s="31" t="n">
        <x:v>6</x:v>
      </x:c>
      <x:c r="B33" t="str">
        <x:v>University of Cambridge</x:v>
      </x:c>
      <x:c r="C33" s="32" t="str">
        <x:v>MPhil in Engineering for Sustainable Development</x:v>
      </x:c>
      <x:c r="D33" s="32" t="str">
        <x:v>Environmental Sciences</x:v>
      </x:c>
      <x:c r="E33" s="31" t="n">
        <x:v>2025</x:v>
      </x:c>
      <x:c r="F33" s="31" t="str">
        <x:v>9</x:v>
      </x:c>
      <x:c r="G33" s="43" t="n">
        <x:v>90.9</x:v>
      </x:c>
      <x:c r="H33" s="32" t="str">
        <x:v>Ranked in collected subject table</x:v>
      </x:c>
      <x:c r="I33" s="35" t="str">
        <x:v>https://www.topuniversities.com/universities/university-cambridge</x:v>
      </x:c>
      <x:c r="J33" s="35" t="str">
        <x:v>https://www.topuniversities.com/university-subject-rankings/environmental-sciences/2025?items_per_page=150</x:v>
      </x:c>
      <x:c r="K33" s="35" t="str">
        <x:v>https://www.postgraduate.study.cam.ac.uk/courses/directory/egegmpesd</x:v>
      </x:c>
    </x:row>
    <x:row r="34">
      <x:c r="A34" s="31" t="n">
        <x:v>6</x:v>
      </x:c>
      <x:c r="B34" t="str">
        <x:v>University of Cambridge</x:v>
      </x:c>
      <x:c r="C34" s="32" t="str">
        <x:v>MPhil in Engineering for Sustainable Development</x:v>
      </x:c>
      <x:c r="D34" s="32" t="str">
        <x:v>Environmental Sciences</x:v>
      </x:c>
      <x:c r="E34" s="31" t="n">
        <x:v>2026</x:v>
      </x:c>
      <x:c r="F34" s="31" t="str">
        <x:v>6</x:v>
      </x:c>
      <x:c r="G34" s="43" t="n">
        <x:v>90.6</x:v>
      </x:c>
      <x:c r="H34" s="32" t="str">
        <x:v>Ranked in collected subject table</x:v>
      </x:c>
      <x:c r="I34" s="35" t="str">
        <x:v>https://www.topuniversities.com/universities/university-cambridge</x:v>
      </x:c>
      <x:c r="J34" s="35" t="str">
        <x:v>https://www.topuniversities.com/university-subject-rankings/environmental-sciences?items_per_page=150</x:v>
      </x:c>
      <x:c r="K34" s="35" t="str">
        <x:v>https://www.postgraduate.study.cam.ac.uk/courses/directory/egegmpesd</x:v>
      </x:c>
    </x:row>
    <x:row r="35">
      <x:c r="A35" s="31" t="n">
        <x:v>7</x:v>
      </x:c>
      <x:c r="B35" t="str">
        <x:v>California Institute of Technology (Caltech)</x:v>
      </x:c>
      <x:c r="C35" s="32" t="str">
        <x:v>Environmental Science and Engineering Graduate Program</x:v>
      </x:c>
      <x:c r="D35" s="32" t="str">
        <x:v>Environmental Sciences</x:v>
      </x:c>
      <x:c r="E35" s="31" t="n">
        <x:v>2022</x:v>
      </x:c>
      <x:c r="F35" s="31" t="n">
        <x:f>24</x:f>
        <x:v>24</x:v>
      </x:c>
      <x:c r="G35" s="43" t="n">
        <x:v>87.2</x:v>
      </x:c>
      <x:c r="H35" s="32" t="str">
        <x:v>Ranked in collected subject table</x:v>
      </x:c>
      <x:c r="I35" s="35" t="str">
        <x:v>https://www.topuniversities.com/universities/california-institute-technology-caltech</x:v>
      </x:c>
      <x:c r="J35" s="35" t="str">
        <x:v>https://www.topuniversities.com/university-subject-rankings/environmental-sciences/2022?items_per_page=150</x:v>
      </x:c>
      <x:c r="K35" s="35" t="str">
        <x:v>https://www.ese.caltech.edu/academics/graduate-program</x:v>
      </x:c>
    </x:row>
    <x:row r="36">
      <x:c r="A36" s="31" t="n">
        <x:v>7</x:v>
      </x:c>
      <x:c r="B36" t="str">
        <x:v>California Institute of Technology (Caltech)</x:v>
      </x:c>
      <x:c r="C36" s="32" t="str">
        <x:v>Environmental Science and Engineering Graduate Program</x:v>
      </x:c>
      <x:c r="D36" s="32" t="str">
        <x:v>Environmental Sciences</x:v>
      </x:c>
      <x:c r="E36" s="31" t="n">
        <x:v>2023</x:v>
      </x:c>
      <x:c r="F36" s="31" t="str">
        <x:v>17</x:v>
      </x:c>
      <x:c r="G36" s="43" t="n">
        <x:v>87.7</x:v>
      </x:c>
      <x:c r="H36" s="32" t="str">
        <x:v>Ranked in collected subject table</x:v>
      </x:c>
      <x:c r="I36" s="35" t="str">
        <x:v>https://www.topuniversities.com/universities/california-institute-technology-caltech</x:v>
      </x:c>
      <x:c r="J36" s="35" t="str">
        <x:v>https://www.topuniversities.com/university-subject-rankings/environmental-sciences/2023?items_per_page=150</x:v>
      </x:c>
      <x:c r="K36" s="35" t="str">
        <x:v>https://www.ese.caltech.edu/academics/graduate-program</x:v>
      </x:c>
    </x:row>
    <x:row r="37">
      <x:c r="A37" s="31" t="n">
        <x:v>7</x:v>
      </x:c>
      <x:c r="B37" t="str">
        <x:v>California Institute of Technology (Caltech)</x:v>
      </x:c>
      <x:c r="C37" s="32" t="str">
        <x:v>Environmental Science and Engineering Graduate Program</x:v>
      </x:c>
      <x:c r="D37" s="32" t="str">
        <x:v>Environmental Sciences</x:v>
      </x:c>
      <x:c r="E37" s="31" t="n">
        <x:v>2024</x:v>
      </x:c>
      <x:c r="F37" s="31" t="n">
        <x:f>25</x:f>
        <x:v>25</x:v>
      </x:c>
      <x:c r="G37" s="43" t="n">
        <x:v>85.1</x:v>
      </x:c>
      <x:c r="H37" s="32" t="str">
        <x:v>Ranked in collected subject table</x:v>
      </x:c>
      <x:c r="I37" s="35" t="str">
        <x:v>https://www.topuniversities.com/universities/california-institute-technology-caltech</x:v>
      </x:c>
      <x:c r="J37" s="35" t="str">
        <x:v>https://www.topuniversities.com/university-subject-rankings/environmental-sciences/2024?items_per_page=150</x:v>
      </x:c>
      <x:c r="K37" s="35" t="str">
        <x:v>https://www.ese.caltech.edu/academics/graduate-program</x:v>
      </x:c>
    </x:row>
    <x:row r="38">
      <x:c r="A38" s="31" t="n">
        <x:v>7</x:v>
      </x:c>
      <x:c r="B38" t="str">
        <x:v>California Institute of Technology (Caltech)</x:v>
      </x:c>
      <x:c r="C38" s="32" t="str">
        <x:v>Environmental Science and Engineering Graduate Program</x:v>
      </x:c>
      <x:c r="D38" s="32" t="str">
        <x:v>Environmental Sciences</x:v>
      </x:c>
      <x:c r="E38" s="31" t="n">
        <x:v>2025</x:v>
      </x:c>
      <x:c r="F38" s="31" t="n">
        <x:f>29</x:f>
        <x:v>29</x:v>
      </x:c>
      <x:c r="G38" s="43" t="n">
        <x:v>83.9</x:v>
      </x:c>
      <x:c r="H38" s="32" t="str">
        <x:v>Ranked in collected subject table</x:v>
      </x:c>
      <x:c r="I38" s="35" t="str">
        <x:v>https://www.topuniversities.com/universities/california-institute-technology-caltech</x:v>
      </x:c>
      <x:c r="J38" s="35" t="str">
        <x:v>https://www.topuniversities.com/university-subject-rankings/environmental-sciences/2025?items_per_page=150</x:v>
      </x:c>
      <x:c r="K38" s="35" t="str">
        <x:v>https://www.ese.caltech.edu/academics/graduate-program</x:v>
      </x:c>
    </x:row>
    <x:row r="39">
      <x:c r="A39" s="31" t="n">
        <x:v>7</x:v>
      </x:c>
      <x:c r="B39" t="str">
        <x:v>California Institute of Technology (Caltech)</x:v>
      </x:c>
      <x:c r="C39" s="32" t="str">
        <x:v>Environmental Science and Engineering Graduate Program</x:v>
      </x:c>
      <x:c r="D39" s="32" t="str">
        <x:v>Environmental Sciences</x:v>
      </x:c>
      <x:c r="E39" s="31" t="n">
        <x:v>2026</x:v>
      </x:c>
      <x:c r="F39" s="31" t="n">
        <x:f>47</x:f>
        <x:v>47</x:v>
      </x:c>
      <x:c r="G39" s="43" t="n">
        <x:v>80.5</x:v>
      </x:c>
      <x:c r="H39" s="32" t="str">
        <x:v>Ranked in collected subject table</x:v>
      </x:c>
      <x:c r="I39" s="35" t="str">
        <x:v>https://www.topuniversities.com/universities/california-institute-technology-caltech</x:v>
      </x:c>
      <x:c r="J39" s="35" t="str">
        <x:v>https://www.topuniversities.com/university-subject-rankings/environmental-sciences?items_per_page=150</x:v>
      </x:c>
      <x:c r="K39" s="35" t="str">
        <x:v>https://www.ese.caltech.edu/academics/graduate-program</x:v>
      </x:c>
    </x:row>
    <x:row r="40">
      <x:c r="A40" s="31" t="n">
        <x:v>8</x:v>
      </x:c>
      <x:c r="B40" t="str">
        <x:v>ETH Zurich</x:v>
      </x:c>
      <x:c r="C40" s="32" t="str">
        <x:v>MSc Environmental Sciences</x:v>
      </x:c>
      <x:c r="D40" s="32" t="str">
        <x:v>Environmental Sciences</x:v>
      </x:c>
      <x:c r="E40" s="31" t="n">
        <x:v>2022</x:v>
      </x:c>
      <x:c r="F40" s="31" t="str">
        <x:v>8</x:v>
      </x:c>
      <x:c r="G40" s="43" t="n">
        <x:v>94.3</x:v>
      </x:c>
      <x:c r="H40" s="32" t="str">
        <x:v>Ranked in collected subject table</x:v>
      </x:c>
      <x:c r="I40" s="35" t="str">
        <x:v>https://www.topuniversities.com/universities/eth-zurich</x:v>
      </x:c>
      <x:c r="J40" s="35" t="str">
        <x:v>https://www.topuniversities.com/university-subject-rankings/environmental-sciences/2022?items_per_page=150</x:v>
      </x:c>
      <x:c r="K40" s="35" t="str">
        <x:v>https://ethz.ch/en/studies/master/degree-programmes/natural-sciences-and-mathematics/environmental-sciences.html</x:v>
      </x:c>
    </x:row>
    <x:row r="41">
      <x:c r="A41" s="31" t="n">
        <x:v>8</x:v>
      </x:c>
      <x:c r="B41" t="str">
        <x:v>ETH Zurich</x:v>
      </x:c>
      <x:c r="C41" s="32" t="str">
        <x:v>MSc Environmental Sciences</x:v>
      </x:c>
      <x:c r="D41" s="32" t="str">
        <x:v>Environmental Sciences</x:v>
      </x:c>
      <x:c r="E41" s="31" t="n">
        <x:v>2023</x:v>
      </x:c>
      <x:c r="F41" s="31" t="str">
        <x:v>7</x:v>
      </x:c>
      <x:c r="G41" s="43" t="n">
        <x:v>93.4</x:v>
      </x:c>
      <x:c r="H41" s="32" t="str">
        <x:v>Ranked in collected subject table</x:v>
      </x:c>
      <x:c r="I41" s="35" t="str">
        <x:v>https://www.topuniversities.com/universities/eth-zurich</x:v>
      </x:c>
      <x:c r="J41" s="35" t="str">
        <x:v>https://www.topuniversities.com/university-subject-rankings/environmental-sciences/2023?items_per_page=150</x:v>
      </x:c>
      <x:c r="K41" s="35" t="str">
        <x:v>https://ethz.ch/en/studies/master/degree-programmes/natural-sciences-and-mathematics/environmental-sciences.html</x:v>
      </x:c>
    </x:row>
    <x:row r="42">
      <x:c r="A42" s="31" t="n">
        <x:v>8</x:v>
      </x:c>
      <x:c r="B42" t="str">
        <x:v>ETH Zurich</x:v>
      </x:c>
      <x:c r="C42" s="32" t="str">
        <x:v>MSc Environmental Sciences</x:v>
      </x:c>
      <x:c r="D42" s="32" t="str">
        <x:v>Environmental Sciences</x:v>
      </x:c>
      <x:c r="E42" s="31" t="n">
        <x:v>2024</x:v>
      </x:c>
      <x:c r="F42" s="31" t="str">
        <x:v>7</x:v>
      </x:c>
      <x:c r="G42" s="43" t="n">
        <x:v>92.4</x:v>
      </x:c>
      <x:c r="H42" s="32" t="str">
        <x:v>Ranked in collected subject table</x:v>
      </x:c>
      <x:c r="I42" s="35" t="str">
        <x:v>https://www.topuniversities.com/universities/eth-zurich</x:v>
      </x:c>
      <x:c r="J42" s="35" t="str">
        <x:v>https://www.topuniversities.com/university-subject-rankings/environmental-sciences/2024?items_per_page=150</x:v>
      </x:c>
      <x:c r="K42" s="35" t="str">
        <x:v>https://ethz.ch/en/studies/master/degree-programmes/natural-sciences-and-mathematics/environmental-sciences.html</x:v>
      </x:c>
    </x:row>
    <x:row r="43">
      <x:c r="A43" s="31" t="n">
        <x:v>8</x:v>
      </x:c>
      <x:c r="B43" t="str">
        <x:v>ETH Zurich</x:v>
      </x:c>
      <x:c r="C43" s="32" t="str">
        <x:v>MSc Environmental Sciences</x:v>
      </x:c>
      <x:c r="D43" s="32" t="str">
        <x:v>Environmental Sciences</x:v>
      </x:c>
      <x:c r="E43" s="31" t="n">
        <x:v>2025</x:v>
      </x:c>
      <x:c r="F43" s="31" t="str">
        <x:v>8</x:v>
      </x:c>
      <x:c r="G43" s="43" t="n">
        <x:v>91.1</x:v>
      </x:c>
      <x:c r="H43" s="32" t="str">
        <x:v>Ranked in collected subject table</x:v>
      </x:c>
      <x:c r="I43" s="35" t="str">
        <x:v>https://www.topuniversities.com/universities/eth-zurich</x:v>
      </x:c>
      <x:c r="J43" s="35" t="str">
        <x:v>https://www.topuniversities.com/university-subject-rankings/environmental-sciences/2025?items_per_page=150</x:v>
      </x:c>
      <x:c r="K43" s="35" t="str">
        <x:v>https://ethz.ch/en/studies/master/degree-programmes/natural-sciences-and-mathematics/environmental-sciences.html</x:v>
      </x:c>
    </x:row>
    <x:row r="44">
      <x:c r="A44" s="31" t="n">
        <x:v>8</x:v>
      </x:c>
      <x:c r="B44" t="str">
        <x:v>ETH Zurich</x:v>
      </x:c>
      <x:c r="C44" s="32" t="str">
        <x:v>MSc Environmental Sciences</x:v>
      </x:c>
      <x:c r="D44" s="32" t="str">
        <x:v>Environmental Sciences</x:v>
      </x:c>
      <x:c r="E44" s="31" t="n">
        <x:v>2026</x:v>
      </x:c>
      <x:c r="F44" s="31" t="str">
        <x:v>4</x:v>
      </x:c>
      <x:c r="G44" s="43" t="n">
        <x:v>91.4</x:v>
      </x:c>
      <x:c r="H44" s="32" t="str">
        <x:v>Ranked in collected subject table</x:v>
      </x:c>
      <x:c r="I44" s="35" t="str">
        <x:v>https://www.topuniversities.com/universities/eth-zurich</x:v>
      </x:c>
      <x:c r="J44" s="35" t="str">
        <x:v>https://www.topuniversities.com/university-subject-rankings/environmental-sciences?items_per_page=150</x:v>
      </x:c>
      <x:c r="K44" s="35" t="str">
        <x:v>https://ethz.ch/en/studies/master/degree-programmes/natural-sciences-and-mathematics/environmental-sciences.html</x:v>
      </x:c>
    </x:row>
    <x:row r="45">
      <x:c r="A45" s="31" t="n">
        <x:v>9</x:v>
      </x:c>
      <x:c r="B45" t="str">
        <x:v>UCL</x:v>
      </x:c>
      <x:c r="C45" s="32" t="str">
        <x:v>Sustainable Resources: Economics, Policy and Transitions MSc</x:v>
      </x:c>
      <x:c r="D45" s="32" t="str">
        <x:v>Development Studies</x:v>
      </x:c>
      <x:c r="E45" s="31" t="n">
        <x:v>2022</x:v>
      </x:c>
      <x:c r="F45" s="31" t="str">
        <x:v>NR</x:v>
      </x:c>
      <x:c r="G45" s="43"/>
      <x:c r="H45" s="32" t="str">
        <x:v>Not ranked in complete subject table</x:v>
      </x:c>
      <x:c r="I45" s="35" t="str">
        <x:v>https://www.topuniversities.com/universities/ucl</x:v>
      </x:c>
      <x:c r="J45" s="35" t="str">
        <x:v>https://www.topuniversities.com/university-subject-rankings/development-studies/2022?items_per_page=150</x:v>
      </x:c>
      <x:c r="K45" s="35" t="str">
        <x:v>https://www.ucl.ac.uk/prospective-students/graduate/taught-degrees/sustainable-resources-economics-policy-and-transitions-msc</x:v>
      </x:c>
    </x:row>
    <x:row r="46">
      <x:c r="A46" s="31" t="n">
        <x:v>9</x:v>
      </x:c>
      <x:c r="B46" t="str">
        <x:v>UCL</x:v>
      </x:c>
      <x:c r="C46" s="32" t="str">
        <x:v>Sustainable Resources: Economics, Policy and Transitions MSc</x:v>
      </x:c>
      <x:c r="D46" s="32" t="str">
        <x:v>Development Studies</x:v>
      </x:c>
      <x:c r="E46" s="31" t="n">
        <x:v>2023</x:v>
      </x:c>
      <x:c r="F46" s="31" t="str">
        <x:v>NR</x:v>
      </x:c>
      <x:c r="G46" s="43"/>
      <x:c r="H46" s="32" t="str">
        <x:v>Not ranked in complete subject table</x:v>
      </x:c>
      <x:c r="I46" s="35" t="str">
        <x:v>https://www.topuniversities.com/universities/ucl</x:v>
      </x:c>
      <x:c r="J46" s="35" t="str">
        <x:v>https://www.topuniversities.com/university-subject-rankings/development-studies/2023?items_per_page=150</x:v>
      </x:c>
      <x:c r="K46" s="35" t="str">
        <x:v>https://www.ucl.ac.uk/prospective-students/graduate/taught-degrees/sustainable-resources-economics-policy-and-transitions-msc</x:v>
      </x:c>
    </x:row>
    <x:row r="47">
      <x:c r="A47" s="31" t="n">
        <x:v>9</x:v>
      </x:c>
      <x:c r="B47" t="str">
        <x:v>UCL</x:v>
      </x:c>
      <x:c r="C47" s="32" t="str">
        <x:v>Sustainable Resources: Economics, Policy and Transitions MSc</x:v>
      </x:c>
      <x:c r="D47" s="32" t="str">
        <x:v>Development Studies</x:v>
      </x:c>
      <x:c r="E47" s="31" t="n">
        <x:v>2024</x:v>
      </x:c>
      <x:c r="F47" s="31" t="str">
        <x:v>14</x:v>
      </x:c>
      <x:c r="G47" s="43" t="n">
        <x:v>83.7</x:v>
      </x:c>
      <x:c r="H47" s="32" t="str">
        <x:v>Ranked in collected subject table</x:v>
      </x:c>
      <x:c r="I47" s="35" t="str">
        <x:v>https://www.topuniversities.com/universities/ucl</x:v>
      </x:c>
      <x:c r="J47" s="35" t="str">
        <x:v>https://www.topuniversities.com/university-subject-rankings/development-studies/2024?items_per_page=150</x:v>
      </x:c>
      <x:c r="K47" s="35" t="str">
        <x:v>https://www.ucl.ac.uk/prospective-students/graduate/taught-degrees/sustainable-resources-economics-policy-and-transitions-msc</x:v>
      </x:c>
    </x:row>
    <x:row r="48">
      <x:c r="A48" s="31" t="n">
        <x:v>9</x:v>
      </x:c>
      <x:c r="B48" t="str">
        <x:v>UCL</x:v>
      </x:c>
      <x:c r="C48" s="32" t="str">
        <x:v>Sustainable Resources: Economics, Policy and Transitions MSc</x:v>
      </x:c>
      <x:c r="D48" s="32" t="str">
        <x:v>Development Studies</x:v>
      </x:c>
      <x:c r="E48" s="31" t="n">
        <x:v>2025</x:v>
      </x:c>
      <x:c r="F48" s="31" t="str">
        <x:v>12</x:v>
      </x:c>
      <x:c r="G48" s="43" t="n">
        <x:v>83.2</x:v>
      </x:c>
      <x:c r="H48" s="32" t="str">
        <x:v>Ranked in collected subject table</x:v>
      </x:c>
      <x:c r="I48" s="35" t="str">
        <x:v>https://www.topuniversities.com/universities/ucl</x:v>
      </x:c>
      <x:c r="J48" s="35" t="str">
        <x:v>https://www.topuniversities.com/university-subject-rankings/development-studies/2025?items_per_page=150</x:v>
      </x:c>
      <x:c r="K48" s="35" t="str">
        <x:v>https://www.ucl.ac.uk/prospective-students/graduate/taught-degrees/sustainable-resources-economics-policy-and-transitions-msc</x:v>
      </x:c>
    </x:row>
    <x:row r="49">
      <x:c r="A49" s="31" t="n">
        <x:v>9</x:v>
      </x:c>
      <x:c r="B49" t="str">
        <x:v>UCL</x:v>
      </x:c>
      <x:c r="C49" s="32" t="str">
        <x:v>Sustainable Resources: Economics, Policy and Transitions MSc</x:v>
      </x:c>
      <x:c r="D49" s="32" t="str">
        <x:v>Development Studies</x:v>
      </x:c>
      <x:c r="E49" s="31" t="n">
        <x:v>2026</x:v>
      </x:c>
      <x:c r="F49" s="31" t="str">
        <x:v>10</x:v>
      </x:c>
      <x:c r="G49" s="43" t="n">
        <x:v>80.3</x:v>
      </x:c>
      <x:c r="H49" s="32" t="str">
        <x:v>Ranked in collected subject table</x:v>
      </x:c>
      <x:c r="I49" s="35" t="str">
        <x:v>https://www.topuniversities.com/universities/ucl</x:v>
      </x:c>
      <x:c r="J49" s="35" t="str">
        <x:v>https://www.topuniversities.com/university-subject-rankings/development-studies?items_per_page=150</x:v>
      </x:c>
      <x:c r="K49" s="35" t="str">
        <x:v>https://www.ucl.ac.uk/prospective-students/graduate/taught-degrees/sustainable-resources-economics-policy-and-transitions-msc</x:v>
      </x:c>
    </x:row>
    <x:row r="50">
      <x:c r="A50" s="31" t="n">
        <x:v>10</x:v>
      </x:c>
      <x:c r="B50" t="str">
        <x:v>National University of Singapore (NUS)</x:v>
      </x:c>
      <x:c r="C50" s="32" t="str">
        <x:v>MSc in Sustainable and Green Finance</x:v>
      </x:c>
      <x:c r="D50" s="32" t="str">
        <x:v>Business &amp; Management Studies</x:v>
      </x:c>
      <x:c r="E50" s="31" t="n">
        <x:v>2022</x:v>
      </x:c>
      <x:c r="F50" s="31" t="str">
        <x:v>13</x:v>
      </x:c>
      <x:c r="G50" s="43" t="n">
        <x:v>86.9</x:v>
      </x:c>
      <x:c r="H50" s="32" t="str">
        <x:v>Ranked in collected subject table</x:v>
      </x:c>
      <x:c r="I50" s="35" t="str">
        <x:v>https://www.topuniversities.com/universities/national-university-singapore-nus</x:v>
      </x:c>
      <x:c r="J50" s="35" t="str">
        <x:v>https://www.topuniversities.com/university-subject-rankings/business-management-studies/2022?items_per_page=150</x:v>
      </x:c>
      <x:c r="K50" s="35" t="str">
        <x:v>https://msgfin.nus.edu.sg/academics/</x:v>
      </x:c>
    </x:row>
    <x:row r="51">
      <x:c r="A51" s="31" t="n">
        <x:v>10</x:v>
      </x:c>
      <x:c r="B51" t="str">
        <x:v>National University of Singapore (NUS)</x:v>
      </x:c>
      <x:c r="C51" s="32" t="str">
        <x:v>MSc in Sustainable and Green Finance</x:v>
      </x:c>
      <x:c r="D51" s="32" t="str">
        <x:v>Business &amp; Management Studies</x:v>
      </x:c>
      <x:c r="E51" s="31" t="n">
        <x:v>2023</x:v>
      </x:c>
      <x:c r="F51" s="31" t="str">
        <x:v>13</x:v>
      </x:c>
      <x:c r="G51" s="43" t="n">
        <x:v>85.6</x:v>
      </x:c>
      <x:c r="H51" s="32" t="str">
        <x:v>Ranked in collected subject table</x:v>
      </x:c>
      <x:c r="I51" s="35" t="str">
        <x:v>https://www.topuniversities.com/universities/national-university-singapore-nus</x:v>
      </x:c>
      <x:c r="J51" s="35" t="str">
        <x:v>https://www.topuniversities.com/university-subject-rankings/business-management-studies/2023?items_per_page=150</x:v>
      </x:c>
      <x:c r="K51" s="35" t="str">
        <x:v>https://msgfin.nus.edu.sg/academics/</x:v>
      </x:c>
    </x:row>
    <x:row r="52">
      <x:c r="A52" s="31" t="n">
        <x:v>10</x:v>
      </x:c>
      <x:c r="B52" t="str">
        <x:v>National University of Singapore (NUS)</x:v>
      </x:c>
      <x:c r="C52" s="32" t="str">
        <x:v>MSc in Sustainable and Green Finance</x:v>
      </x:c>
      <x:c r="D52" s="32" t="str">
        <x:v>Business &amp; Management Studies</x:v>
      </x:c>
      <x:c r="E52" s="31" t="n">
        <x:v>2024</x:v>
      </x:c>
      <x:c r="F52" s="31" t="str">
        <x:v>10</x:v>
      </x:c>
      <x:c r="G52" s="43" t="n">
        <x:v>89.5</x:v>
      </x:c>
      <x:c r="H52" s="32" t="str">
        <x:v>Ranked in collected subject table</x:v>
      </x:c>
      <x:c r="I52" s="35" t="str">
        <x:v>https://www.topuniversities.com/universities/national-university-singapore-nus</x:v>
      </x:c>
      <x:c r="J52" s="35" t="str">
        <x:v>https://www.topuniversities.com/university-subject-rankings/business-management-studies/2024?items_per_page=150</x:v>
      </x:c>
      <x:c r="K52" s="35" t="str">
        <x:v>https://msgfin.nus.edu.sg/academics/</x:v>
      </x:c>
    </x:row>
    <x:row r="53">
      <x:c r="A53" s="31" t="n">
        <x:v>10</x:v>
      </x:c>
      <x:c r="B53" t="str">
        <x:v>National University of Singapore (NUS)</x:v>
      </x:c>
      <x:c r="C53" s="32" t="str">
        <x:v>MSc in Sustainable and Green Finance</x:v>
      </x:c>
      <x:c r="D53" s="32" t="str">
        <x:v>Business &amp; Management Studies</x:v>
      </x:c>
      <x:c r="E53" s="31" t="n">
        <x:v>2025</x:v>
      </x:c>
      <x:c r="F53" s="31" t="str">
        <x:v>8</x:v>
      </x:c>
      <x:c r="G53" s="43" t="n">
        <x:v>89.7</x:v>
      </x:c>
      <x:c r="H53" s="32" t="str">
        <x:v>Ranked in collected subject table</x:v>
      </x:c>
      <x:c r="I53" s="35" t="str">
        <x:v>https://www.topuniversities.com/universities/national-university-singapore-nus</x:v>
      </x:c>
      <x:c r="J53" s="35" t="str">
        <x:v>https://www.topuniversities.com/university-subject-rankings/business-management-studies/2025?items_per_page=150</x:v>
      </x:c>
      <x:c r="K53" s="35" t="str">
        <x:v>https://msgfin.nus.edu.sg/academics/</x:v>
      </x:c>
    </x:row>
    <x:row r="54">
      <x:c r="A54" s="31" t="n">
        <x:v>10</x:v>
      </x:c>
      <x:c r="B54" t="str">
        <x:v>National University of Singapore (NUS)</x:v>
      </x:c>
      <x:c r="C54" s="32" t="str">
        <x:v>MSc in Sustainable and Green Finance</x:v>
      </x:c>
      <x:c r="D54" s="32" t="str">
        <x:v>Business &amp; Management Studies</x:v>
      </x:c>
      <x:c r="E54" s="31" t="n">
        <x:v>2026</x:v>
      </x:c>
      <x:c r="F54" s="31" t="str">
        <x:v>8</x:v>
      </x:c>
      <x:c r="G54" s="43" t="n">
        <x:v>88.8</x:v>
      </x:c>
      <x:c r="H54" s="32" t="str">
        <x:v>Ranked in collected subject table</x:v>
      </x:c>
      <x:c r="I54" s="35" t="str">
        <x:v>https://www.topuniversities.com/universities/national-university-singapore-nus</x:v>
      </x:c>
      <x:c r="J54" s="35" t="str">
        <x:v>https://www.topuniversities.com/university-subject-rankings/business-management-studies?items_per_page=150</x:v>
      </x:c>
      <x:c r="K54" s="35" t="str">
        <x:v>https://msgfin.nus.edu.sg/academics/</x:v>
      </x:c>
    </x:row>
    <x:row r="55">
      <x:c r="A55" s="31" t="n">
        <x:v>11</x:v>
      </x:c>
      <x:c r="B55" t="str">
        <x:v>The University of Hong Kong</x:v>
      </x:c>
      <x:c r="C55" s="32" t="str">
        <x:v>Master of Science in Environmental Management</x:v>
      </x:c>
      <x:c r="D55" s="32" t="str">
        <x:v>Environmental Sciences</x:v>
      </x:c>
      <x:c r="E55" s="31" t="n">
        <x:v>2022</x:v>
      </x:c>
      <x:c r="F55" s="31" t="str">
        <x:v>31</x:v>
      </x:c>
      <x:c r="G55" s="43" t="n">
        <x:v>86.3</x:v>
      </x:c>
      <x:c r="H55" s="32" t="str">
        <x:v>Ranked in collected subject table</x:v>
      </x:c>
      <x:c r="I55" s="35" t="str">
        <x:v>https://www.topuniversities.com/universities/university-hong-kong</x:v>
      </x:c>
      <x:c r="J55" s="35" t="str">
        <x:v>https://www.topuniversities.com/university-subject-rankings/environmental-sciences/2022?items_per_page=150</x:v>
      </x:c>
      <x:c r="K55" s="35" t="str">
        <x:v>https://admissions.hku.hk/tpg/programme/master-science-environmental-management</x:v>
      </x:c>
    </x:row>
    <x:row r="56">
      <x:c r="A56" s="31" t="n">
        <x:v>11</x:v>
      </x:c>
      <x:c r="B56" t="str">
        <x:v>The University of Hong Kong</x:v>
      </x:c>
      <x:c r="C56" s="32" t="str">
        <x:v>Master of Science in Environmental Management</x:v>
      </x:c>
      <x:c r="D56" s="32" t="str">
        <x:v>Environmental Sciences</x:v>
      </x:c>
      <x:c r="E56" s="31" t="n">
        <x:v>2023</x:v>
      </x:c>
      <x:c r="F56" s="31" t="str">
        <x:v>41</x:v>
      </x:c>
      <x:c r="G56" s="43" t="n">
        <x:v>84</x:v>
      </x:c>
      <x:c r="H56" s="32" t="str">
        <x:v>Ranked in collected subject table</x:v>
      </x:c>
      <x:c r="I56" s="35" t="str">
        <x:v>https://www.topuniversities.com/universities/university-hong-kong</x:v>
      </x:c>
      <x:c r="J56" s="35" t="str">
        <x:v>https://www.topuniversities.com/university-subject-rankings/environmental-sciences/2023?items_per_page=150</x:v>
      </x:c>
      <x:c r="K56" s="35" t="str">
        <x:v>https://admissions.hku.hk/tpg/programme/master-science-environmental-management</x:v>
      </x:c>
    </x:row>
    <x:row r="57">
      <x:c r="A57" s="31" t="n">
        <x:v>11</x:v>
      </x:c>
      <x:c r="B57" t="str">
        <x:v>The University of Hong Kong</x:v>
      </x:c>
      <x:c r="C57" s="32" t="str">
        <x:v>Master of Science in Environmental Management</x:v>
      </x:c>
      <x:c r="D57" s="32" t="str">
        <x:v>Environmental Sciences</x:v>
      </x:c>
      <x:c r="E57" s="31" t="n">
        <x:v>2024</x:v>
      </x:c>
      <x:c r="F57" s="31" t="n">
        <x:f>39</x:f>
        <x:v>39</x:v>
      </x:c>
      <x:c r="G57" s="43" t="n">
        <x:v>83.5</x:v>
      </x:c>
      <x:c r="H57" s="32" t="str">
        <x:v>Ranked in collected subject table</x:v>
      </x:c>
      <x:c r="I57" s="35" t="str">
        <x:v>https://www.topuniversities.com/universities/university-hong-kong</x:v>
      </x:c>
      <x:c r="J57" s="35" t="str">
        <x:v>https://www.topuniversities.com/university-subject-rankings/environmental-sciences/2024?items_per_page=150</x:v>
      </x:c>
      <x:c r="K57" s="35" t="str">
        <x:v>https://admissions.hku.hk/tpg/programme/master-science-environmental-management</x:v>
      </x:c>
    </x:row>
    <x:row r="58">
      <x:c r="A58" s="31" t="n">
        <x:v>11</x:v>
      </x:c>
      <x:c r="B58" t="str">
        <x:v>The University of Hong Kong</x:v>
      </x:c>
      <x:c r="C58" s="32" t="str">
        <x:v>Master of Science in Environmental Management</x:v>
      </x:c>
      <x:c r="D58" s="32" t="str">
        <x:v>Environmental Sciences</x:v>
      </x:c>
      <x:c r="E58" s="31" t="n">
        <x:v>2025</x:v>
      </x:c>
      <x:c r="F58" s="31" t="n">
        <x:f>27</x:f>
        <x:v>27</x:v>
      </x:c>
      <x:c r="G58" s="43" t="n">
        <x:v>84</x:v>
      </x:c>
      <x:c r="H58" s="32" t="str">
        <x:v>Ranked in collected subject table</x:v>
      </x:c>
      <x:c r="I58" s="35" t="str">
        <x:v>https://www.topuniversities.com/universities/university-hong-kong</x:v>
      </x:c>
      <x:c r="J58" s="35" t="str">
        <x:v>https://www.topuniversities.com/university-subject-rankings/environmental-sciences/2025?items_per_page=150</x:v>
      </x:c>
      <x:c r="K58" s="35" t="str">
        <x:v>https://admissions.hku.hk/tpg/programme/master-science-environmental-management</x:v>
      </x:c>
    </x:row>
    <x:row r="59">
      <x:c r="A59" s="31" t="n">
        <x:v>11</x:v>
      </x:c>
      <x:c r="B59" t="str">
        <x:v>The University of Hong Kong</x:v>
      </x:c>
      <x:c r="C59" s="32" t="str">
        <x:v>Master of Science in Environmental Management</x:v>
      </x:c>
      <x:c r="D59" s="32" t="str">
        <x:v>Environmental Sciences</x:v>
      </x:c>
      <x:c r="E59" s="31" t="n">
        <x:v>2026</x:v>
      </x:c>
      <x:c r="F59" s="31" t="n">
        <x:f>47</x:f>
        <x:v>47</x:v>
      </x:c>
      <x:c r="G59" s="43" t="n">
        <x:v>80.5</x:v>
      </x:c>
      <x:c r="H59" s="32" t="str">
        <x:v>Ranked in collected subject table</x:v>
      </x:c>
      <x:c r="I59" s="35" t="str">
        <x:v>https://www.topuniversities.com/universities/university-hong-kong</x:v>
      </x:c>
      <x:c r="J59" s="35" t="str">
        <x:v>https://www.topuniversities.com/university-subject-rankings/environmental-sciences?items_per_page=150</x:v>
      </x:c>
      <x:c r="K59" s="35" t="str">
        <x:v>https://admissions.hku.hk/tpg/programme/master-science-environmental-management</x:v>
      </x:c>
    </x:row>
    <x:row r="60">
      <x:c r="A60" s="31" t="n">
        <x:v>12</x:v>
      </x:c>
      <x:c r="B60" t="str">
        <x:v>Nanyang Technological University, Singapore (NTU Singapore)</x:v>
      </x:c>
      <x:c r="C60" s="32" t="str">
        <x:v>MSc Sustainability Management</x:v>
      </x:c>
      <x:c r="D60" s="32" t="str">
        <x:v>Business &amp; Management Studies</x:v>
      </x:c>
      <x:c r="E60" s="31" t="n">
        <x:v>2022</x:v>
      </x:c>
      <x:c r="F60" s="31" t="str">
        <x:v>20</x:v>
      </x:c>
      <x:c r="G60" s="43" t="n">
        <x:v>83.3</x:v>
      </x:c>
      <x:c r="H60" s="32" t="str">
        <x:v>Ranked in collected subject table</x:v>
      </x:c>
      <x:c r="I60" s="35" t="str">
        <x:v>https://www.topuniversities.com/universities/nanyang-technological-university-singapore-ntu-singapore</x:v>
      </x:c>
      <x:c r="J60" s="35" t="str">
        <x:v>https://www.topuniversities.com/university-subject-rankings/business-management-studies/2022?items_per_page=150</x:v>
      </x:c>
      <x:c r="K60" s="35" t="str">
        <x:v>https://www.ntu.edu.sg/business/admissions/graduate-studies/msc-sustainability-management</x:v>
      </x:c>
    </x:row>
    <x:row r="61">
      <x:c r="A61" s="31" t="n">
        <x:v>12</x:v>
      </x:c>
      <x:c r="B61" t="str">
        <x:v>Nanyang Technological University, Singapore (NTU Singapore)</x:v>
      </x:c>
      <x:c r="C61" s="32" t="str">
        <x:v>MSc Sustainability Management</x:v>
      </x:c>
      <x:c r="D61" s="32" t="str">
        <x:v>Business &amp; Management Studies</x:v>
      </x:c>
      <x:c r="E61" s="31" t="n">
        <x:v>2023</x:v>
      </x:c>
      <x:c r="F61" s="31" t="str">
        <x:v>21</x:v>
      </x:c>
      <x:c r="G61" s="43" t="n">
        <x:v>82.1</x:v>
      </x:c>
      <x:c r="H61" s="32" t="str">
        <x:v>Ranked in collected subject table</x:v>
      </x:c>
      <x:c r="I61" s="35" t="str">
        <x:v>https://www.topuniversities.com/universities/nanyang-technological-university-singapore-ntu-singapore</x:v>
      </x:c>
      <x:c r="J61" s="35" t="str">
        <x:v>https://www.topuniversities.com/university-subject-rankings/business-management-studies/2023?items_per_page=150</x:v>
      </x:c>
      <x:c r="K61" s="35" t="str">
        <x:v>https://www.ntu.edu.sg/business/admissions/graduate-studies/msc-sustainability-management</x:v>
      </x:c>
    </x:row>
    <x:row r="62">
      <x:c r="A62" s="31" t="n">
        <x:v>12</x:v>
      </x:c>
      <x:c r="B62" t="str">
        <x:v>Nanyang Technological University, Singapore (NTU Singapore)</x:v>
      </x:c>
      <x:c r="C62" s="32" t="str">
        <x:v>MSc Sustainability Management</x:v>
      </x:c>
      <x:c r="D62" s="32" t="str">
        <x:v>Business &amp; Management Studies</x:v>
      </x:c>
      <x:c r="E62" s="31" t="n">
        <x:v>2024</x:v>
      </x:c>
      <x:c r="F62" s="31" t="str">
        <x:v>14</x:v>
      </x:c>
      <x:c r="G62" s="43" t="n">
        <x:v>85.5</x:v>
      </x:c>
      <x:c r="H62" s="32" t="str">
        <x:v>Ranked in collected subject table</x:v>
      </x:c>
      <x:c r="I62" s="35" t="str">
        <x:v>https://www.topuniversities.com/universities/nanyang-technological-university-singapore-ntu-singapore</x:v>
      </x:c>
      <x:c r="J62" s="35" t="str">
        <x:v>https://www.topuniversities.com/university-subject-rankings/business-management-studies/2024?items_per_page=150</x:v>
      </x:c>
      <x:c r="K62" s="35" t="str">
        <x:v>https://www.ntu.edu.sg/business/admissions/graduate-studies/msc-sustainability-management</x:v>
      </x:c>
    </x:row>
    <x:row r="63">
      <x:c r="A63" s="31" t="n">
        <x:v>12</x:v>
      </x:c>
      <x:c r="B63" t="str">
        <x:v>Nanyang Technological University, Singapore (NTU Singapore)</x:v>
      </x:c>
      <x:c r="C63" s="32" t="str">
        <x:v>MSc Sustainability Management</x:v>
      </x:c>
      <x:c r="D63" s="32" t="str">
        <x:v>Business &amp; Management Studies</x:v>
      </x:c>
      <x:c r="E63" s="31" t="n">
        <x:v>2025</x:v>
      </x:c>
      <x:c r="F63" s="31" t="str">
        <x:v>14</x:v>
      </x:c>
      <x:c r="G63" s="43" t="n">
        <x:v>86</x:v>
      </x:c>
      <x:c r="H63" s="32" t="str">
        <x:v>Ranked in collected subject table</x:v>
      </x:c>
      <x:c r="I63" s="35" t="str">
        <x:v>https://www.topuniversities.com/universities/nanyang-technological-university-singapore-ntu-singapore</x:v>
      </x:c>
      <x:c r="J63" s="35" t="str">
        <x:v>https://www.topuniversities.com/university-subject-rankings/business-management-studies/2025?items_per_page=150</x:v>
      </x:c>
      <x:c r="K63" s="35" t="str">
        <x:v>https://www.ntu.edu.sg/business/admissions/graduate-studies/msc-sustainability-management</x:v>
      </x:c>
    </x:row>
    <x:row r="64">
      <x:c r="A64" s="31" t="n">
        <x:v>12</x:v>
      </x:c>
      <x:c r="B64" t="str">
        <x:v>Nanyang Technological University, Singapore (NTU Singapore)</x:v>
      </x:c>
      <x:c r="C64" s="32" t="str">
        <x:v>MSc Sustainability Management</x:v>
      </x:c>
      <x:c r="D64" s="32" t="str">
        <x:v>Business &amp; Management Studies</x:v>
      </x:c>
      <x:c r="E64" s="31" t="n">
        <x:v>2026</x:v>
      </x:c>
      <x:c r="F64" s="31" t="str">
        <x:v>14</x:v>
      </x:c>
      <x:c r="G64" s="43" t="n">
        <x:v>83.8</x:v>
      </x:c>
      <x:c r="H64" s="32" t="str">
        <x:v>Ranked in collected subject table</x:v>
      </x:c>
      <x:c r="I64" s="35" t="str">
        <x:v>https://www.topuniversities.com/universities/nanyang-technological-university-singapore-ntu-singapore</x:v>
      </x:c>
      <x:c r="J64" s="35" t="str">
        <x:v>https://www.topuniversities.com/university-subject-rankings/business-management-studies?items_per_page=150</x:v>
      </x:c>
      <x:c r="K64" s="35" t="str">
        <x:v>https://www.ntu.edu.sg/business/admissions/graduate-studies/msc-sustainability-management</x:v>
      </x:c>
    </x:row>
    <x:row r="65">
      <x:c r="A65" s="31" t="n">
        <x:v>13</x:v>
      </x:c>
      <x:c r="B65" t="str">
        <x:v>Peking University</x:v>
      </x:c>
      <x:c r="C65" s="32" t="str">
        <x:v>Master's programs in Environmental Science and Engineering / Environmental Management</x:v>
      </x:c>
      <x:c r="D65" s="32" t="str">
        <x:v>Environmental Sciences</x:v>
      </x:c>
      <x:c r="E65" s="31" t="n">
        <x:v>2022</x:v>
      </x:c>
      <x:c r="F65" s="31" t="str">
        <x:v>16</x:v>
      </x:c>
      <x:c r="G65" s="43" t="n">
        <x:v>89.3</x:v>
      </x:c>
      <x:c r="H65" s="32" t="str">
        <x:v>Ranked in collected subject table</x:v>
      </x:c>
      <x:c r="I65" s="35" t="str">
        <x:v>https://www.topuniversities.com/universities/peking-university</x:v>
      </x:c>
      <x:c r="J65" s="35" t="str">
        <x:v>https://www.topuniversities.com/university-subject-rankings/environmental-sciences/2022?items_per_page=150</x:v>
      </x:c>
      <x:c r="K65" s="35" t="str">
        <x:v>https://en.coe.pku.edu.cn/education/graduate_programs.htm</x:v>
      </x:c>
    </x:row>
    <x:row r="66">
      <x:c r="A66" s="31" t="n">
        <x:v>13</x:v>
      </x:c>
      <x:c r="B66" t="str">
        <x:v>Peking University</x:v>
      </x:c>
      <x:c r="C66" s="32" t="str">
        <x:v>Master's programs in Environmental Science and Engineering / Environmental Management</x:v>
      </x:c>
      <x:c r="D66" s="32" t="str">
        <x:v>Environmental Sciences</x:v>
      </x:c>
      <x:c r="E66" s="31" t="n">
        <x:v>2023</x:v>
      </x:c>
      <x:c r="F66" s="31" t="str">
        <x:v>15</x:v>
      </x:c>
      <x:c r="G66" s="43" t="n">
        <x:v>88</x:v>
      </x:c>
      <x:c r="H66" s="32" t="str">
        <x:v>Ranked in collected subject table</x:v>
      </x:c>
      <x:c r="I66" s="35" t="str">
        <x:v>https://www.topuniversities.com/universities/peking-university</x:v>
      </x:c>
      <x:c r="J66" s="35" t="str">
        <x:v>https://www.topuniversities.com/university-subject-rankings/environmental-sciences/2023?items_per_page=150</x:v>
      </x:c>
      <x:c r="K66" s="35" t="str">
        <x:v>https://en.coe.pku.edu.cn/education/graduate_programs.htm</x:v>
      </x:c>
    </x:row>
    <x:row r="67">
      <x:c r="A67" s="31" t="n">
        <x:v>13</x:v>
      </x:c>
      <x:c r="B67" t="str">
        <x:v>Peking University</x:v>
      </x:c>
      <x:c r="C67" s="32" t="str">
        <x:v>Master's programs in Environmental Science and Engineering / Environmental Management</x:v>
      </x:c>
      <x:c r="D67" s="32" t="str">
        <x:v>Environmental Sciences</x:v>
      </x:c>
      <x:c r="E67" s="31" t="n">
        <x:v>2024</x:v>
      </x:c>
      <x:c r="F67" s="31" t="str">
        <x:v>15</x:v>
      </x:c>
      <x:c r="G67" s="43" t="n">
        <x:v>87.8</x:v>
      </x:c>
      <x:c r="H67" s="32" t="str">
        <x:v>Ranked in collected subject table</x:v>
      </x:c>
      <x:c r="I67" s="35" t="str">
        <x:v>https://www.topuniversities.com/universities/peking-university</x:v>
      </x:c>
      <x:c r="J67" s="35" t="str">
        <x:v>https://www.topuniversities.com/university-subject-rankings/environmental-sciences/2024?items_per_page=150</x:v>
      </x:c>
      <x:c r="K67" s="35" t="str">
        <x:v>https://en.coe.pku.edu.cn/education/graduate_programs.htm</x:v>
      </x:c>
    </x:row>
    <x:row r="68">
      <x:c r="A68" s="31" t="n">
        <x:v>13</x:v>
      </x:c>
      <x:c r="B68" t="str">
        <x:v>Peking University</x:v>
      </x:c>
      <x:c r="C68" s="32" t="str">
        <x:v>Master's programs in Environmental Science and Engineering / Environmental Management</x:v>
      </x:c>
      <x:c r="D68" s="32" t="str">
        <x:v>Environmental Sciences</x:v>
      </x:c>
      <x:c r="E68" s="31" t="n">
        <x:v>2025</x:v>
      </x:c>
      <x:c r="F68" s="31" t="str">
        <x:v>12</x:v>
      </x:c>
      <x:c r="G68" s="43" t="n">
        <x:v>88.6</x:v>
      </x:c>
      <x:c r="H68" s="32" t="str">
        <x:v>Ranked in collected subject table</x:v>
      </x:c>
      <x:c r="I68" s="35" t="str">
        <x:v>https://www.topuniversities.com/universities/peking-university</x:v>
      </x:c>
      <x:c r="J68" s="35" t="str">
        <x:v>https://www.topuniversities.com/university-subject-rankings/environmental-sciences/2025?items_per_page=150</x:v>
      </x:c>
      <x:c r="K68" s="35" t="str">
        <x:v>https://en.coe.pku.edu.cn/education/graduate_programs.htm</x:v>
      </x:c>
    </x:row>
    <x:row r="69">
      <x:c r="A69" s="31" t="n">
        <x:v>13</x:v>
      </x:c>
      <x:c r="B69" t="str">
        <x:v>Peking University</x:v>
      </x:c>
      <x:c r="C69" s="32" t="str">
        <x:v>Master's programs in Environmental Science and Engineering / Environmental Management</x:v>
      </x:c>
      <x:c r="D69" s="32" t="str">
        <x:v>Environmental Sciences</x:v>
      </x:c>
      <x:c r="E69" s="31" t="n">
        <x:v>2026</x:v>
      </x:c>
      <x:c r="F69" s="31" t="str">
        <x:v>16</x:v>
      </x:c>
      <x:c r="G69" s="43" t="n">
        <x:v>85.3</x:v>
      </x:c>
      <x:c r="H69" s="32" t="str">
        <x:v>Ranked in collected subject table</x:v>
      </x:c>
      <x:c r="I69" s="35" t="str">
        <x:v>https://www.topuniversities.com/universities/peking-university</x:v>
      </x:c>
      <x:c r="J69" s="35" t="str">
        <x:v>https://www.topuniversities.com/university-subject-rankings/environmental-sciences?items_per_page=150</x:v>
      </x:c>
      <x:c r="K69" s="35" t="str">
        <x:v>https://en.coe.pku.edu.cn/education/graduate_programs.htm</x:v>
      </x:c>
    </x:row>
    <x:row r="70">
      <x:c r="A70" s="31" t="n">
        <x:v>14</x:v>
      </x:c>
      <x:c r="B70" t="str">
        <x:v>Tsinghua University</x:v>
      </x:c>
      <x:c r="C70" s="32" t="str">
        <x:v>Graduate program in Environmental Science and Engineering</x:v>
      </x:c>
      <x:c r="D70" s="32" t="str">
        <x:v>Environmental Sciences</x:v>
      </x:c>
      <x:c r="E70" s="31" t="n">
        <x:v>2022</x:v>
      </x:c>
      <x:c r="F70" s="31" t="str">
        <x:v>9</x:v>
      </x:c>
      <x:c r="G70" s="43" t="n">
        <x:v>93.9</x:v>
      </x:c>
      <x:c r="H70" s="32" t="str">
        <x:v>Ranked in collected subject table</x:v>
      </x:c>
      <x:c r="I70" s="35" t="str">
        <x:v>https://www.topuniversities.com/universities/tsinghua-university</x:v>
      </x:c>
      <x:c r="J70" s="35" t="str">
        <x:v>https://www.topuniversities.com/university-subject-rankings/environmental-sciences/2022?items_per_page=150</x:v>
      </x:c>
      <x:c r="K70" s="35" t="str">
        <x:v>https://www.env.tsinghua.edu.cn/en/education/graduate.htm</x:v>
      </x:c>
    </x:row>
    <x:row r="71">
      <x:c r="A71" s="31" t="n">
        <x:v>14</x:v>
      </x:c>
      <x:c r="B71" t="str">
        <x:v>Tsinghua University</x:v>
      </x:c>
      <x:c r="C71" s="32" t="str">
        <x:v>Graduate program in Environmental Science and Engineering</x:v>
      </x:c>
      <x:c r="D71" s="32" t="str">
        <x:v>Environmental Sciences</x:v>
      </x:c>
      <x:c r="E71" s="31" t="n">
        <x:v>2023</x:v>
      </x:c>
      <x:c r="F71" s="31" t="str">
        <x:v>9</x:v>
      </x:c>
      <x:c r="G71" s="43" t="n">
        <x:v>92.7</x:v>
      </x:c>
      <x:c r="H71" s="32" t="str">
        <x:v>Ranked in collected subject table</x:v>
      </x:c>
      <x:c r="I71" s="35" t="str">
        <x:v>https://www.topuniversities.com/universities/tsinghua-university</x:v>
      </x:c>
      <x:c r="J71" s="35" t="str">
        <x:v>https://www.topuniversities.com/university-subject-rankings/environmental-sciences/2023?items_per_page=150</x:v>
      </x:c>
      <x:c r="K71" s="35" t="str">
        <x:v>https://www.env.tsinghua.edu.cn/en/education/graduate.htm</x:v>
      </x:c>
    </x:row>
    <x:row r="72">
      <x:c r="A72" s="31" t="n">
        <x:v>14</x:v>
      </x:c>
      <x:c r="B72" t="str">
        <x:v>Tsinghua University</x:v>
      </x:c>
      <x:c r="C72" s="32" t="str">
        <x:v>Graduate program in Environmental Science and Engineering</x:v>
      </x:c>
      <x:c r="D72" s="32" t="str">
        <x:v>Environmental Sciences</x:v>
      </x:c>
      <x:c r="E72" s="31" t="n">
        <x:v>2024</x:v>
      </x:c>
      <x:c r="F72" s="31" t="str">
        <x:v>10</x:v>
      </x:c>
      <x:c r="G72" s="43" t="n">
        <x:v>91.4</x:v>
      </x:c>
      <x:c r="H72" s="32" t="str">
        <x:v>Ranked in collected subject table</x:v>
      </x:c>
      <x:c r="I72" s="35" t="str">
        <x:v>https://www.topuniversities.com/universities/tsinghua-university</x:v>
      </x:c>
      <x:c r="J72" s="35" t="str">
        <x:v>https://www.topuniversities.com/university-subject-rankings/environmental-sciences/2024?items_per_page=150</x:v>
      </x:c>
      <x:c r="K72" s="35" t="str">
        <x:v>https://www.env.tsinghua.edu.cn/en/education/graduate.htm</x:v>
      </x:c>
    </x:row>
    <x:row r="73">
      <x:c r="A73" s="31" t="n">
        <x:v>14</x:v>
      </x:c>
      <x:c r="B73" t="str">
        <x:v>Tsinghua University</x:v>
      </x:c>
      <x:c r="C73" s="32" t="str">
        <x:v>Graduate program in Environmental Science and Engineering</x:v>
      </x:c>
      <x:c r="D73" s="32" t="str">
        <x:v>Environmental Sciences</x:v>
      </x:c>
      <x:c r="E73" s="31" t="n">
        <x:v>2025</x:v>
      </x:c>
      <x:c r="F73" s="31" t="str">
        <x:v>2</x:v>
      </x:c>
      <x:c r="G73" s="43" t="n">
        <x:v>92.9</x:v>
      </x:c>
      <x:c r="H73" s="32" t="str">
        <x:v>Ranked in collected subject table</x:v>
      </x:c>
      <x:c r="I73" s="35" t="str">
        <x:v>https://www.topuniversities.com/universities/tsinghua-university</x:v>
      </x:c>
      <x:c r="J73" s="35" t="str">
        <x:v>https://www.topuniversities.com/university-subject-rankings/environmental-sciences/2025?items_per_page=150</x:v>
      </x:c>
      <x:c r="K73" s="35" t="str">
        <x:v>https://www.env.tsinghua.edu.cn/en/education/graduate.htm</x:v>
      </x:c>
    </x:row>
    <x:row r="74">
      <x:c r="A74" s="31" t="n">
        <x:v>14</x:v>
      </x:c>
      <x:c r="B74" t="str">
        <x:v>Tsinghua University</x:v>
      </x:c>
      <x:c r="C74" s="32" t="str">
        <x:v>Graduate program in Environmental Science and Engineering</x:v>
      </x:c>
      <x:c r="D74" s="32" t="str">
        <x:v>Environmental Sciences</x:v>
      </x:c>
      <x:c r="E74" s="31" t="n">
        <x:v>2026</x:v>
      </x:c>
      <x:c r="F74" s="31" t="n">
        <x:f>7</x:f>
        <x:v>7</x:v>
      </x:c>
      <x:c r="G74" s="43" t="n">
        <x:v>90.4</x:v>
      </x:c>
      <x:c r="H74" s="32" t="str">
        <x:v>Ranked in collected subject table</x:v>
      </x:c>
      <x:c r="I74" s="35" t="str">
        <x:v>https://www.topuniversities.com/universities/tsinghua-university</x:v>
      </x:c>
      <x:c r="J74" s="35" t="str">
        <x:v>https://www.topuniversities.com/university-subject-rankings/environmental-sciences?items_per_page=150</x:v>
      </x:c>
      <x:c r="K74" s="35" t="str">
        <x:v>https://www.env.tsinghua.edu.cn/en/education/graduate.htm</x:v>
      </x:c>
    </x:row>
    <x:row r="75">
      <x:c r="A75" s="31" t="n">
        <x:v>15</x:v>
      </x:c>
      <x:c r="B75" t="str">
        <x:v>University of Pennsylvania</x:v>
      </x:c>
      <x:c r="C75" s="32" t="str">
        <x:v>Master of Environmental Studies</x:v>
      </x:c>
      <x:c r="D75" s="32" t="str">
        <x:v>Environmental Sciences</x:v>
      </x:c>
      <x:c r="E75" s="31" t="n">
        <x:v>2022</x:v>
      </x:c>
      <x:c r="F75" s="31" t="str">
        <x:v>201-250</x:v>
      </x:c>
      <x:c r="G75" s="43"/>
      <x:c r="H75" s="32" t="str">
        <x:v>Ranked in collected subject table</x:v>
      </x:c>
      <x:c r="I75" s="35" t="str">
        <x:v>https://www.topuniversities.com/universities/university-pennsylvania</x:v>
      </x:c>
      <x:c r="J75" s="35" t="str">
        <x:v>https://www.topuniversities.com/university-subject-rankings/environmental-sciences/2022?items_per_page=150</x:v>
      </x:c>
      <x:c r="K75" s="35" t="str">
        <x:v>https://www.lps.upenn.edu/degree-programs/mes</x:v>
      </x:c>
    </x:row>
    <x:row r="76">
      <x:c r="A76" s="31" t="n">
        <x:v>15</x:v>
      </x:c>
      <x:c r="B76" t="str">
        <x:v>University of Pennsylvania</x:v>
      </x:c>
      <x:c r="C76" s="32" t="str">
        <x:v>Master of Environmental Studies</x:v>
      </x:c>
      <x:c r="D76" s="32" t="str">
        <x:v>Environmental Sciences</x:v>
      </x:c>
      <x:c r="E76" s="31" t="n">
        <x:v>2023</x:v>
      </x:c>
      <x:c r="F76" s="31" t="str">
        <x:v>151-200</x:v>
      </x:c>
      <x:c r="G76" s="43"/>
      <x:c r="H76" s="32" t="str">
        <x:v>Ranked in collected subject table</x:v>
      </x:c>
      <x:c r="I76" s="35" t="str">
        <x:v>https://www.topuniversities.com/universities/university-pennsylvania</x:v>
      </x:c>
      <x:c r="J76" s="35" t="str">
        <x:v>https://www.topuniversities.com/university-subject-rankings/environmental-sciences/2023?items_per_page=150</x:v>
      </x:c>
      <x:c r="K76" s="35" t="str">
        <x:v>https://www.lps.upenn.edu/degree-programs/mes</x:v>
      </x:c>
    </x:row>
    <x:row r="77">
      <x:c r="A77" s="31" t="n">
        <x:v>15</x:v>
      </x:c>
      <x:c r="B77" t="str">
        <x:v>University of Pennsylvania</x:v>
      </x:c>
      <x:c r="C77" s="32" t="str">
        <x:v>Master of Environmental Studies</x:v>
      </x:c>
      <x:c r="D77" s="32" t="str">
        <x:v>Environmental Sciences</x:v>
      </x:c>
      <x:c r="E77" s="31" t="n">
        <x:v>2024</x:v>
      </x:c>
      <x:c r="F77" s="31" t="str">
        <x:v>151-200</x:v>
      </x:c>
      <x:c r="G77" s="43"/>
      <x:c r="H77" s="32" t="str">
        <x:v>Ranked in collected subject table</x:v>
      </x:c>
      <x:c r="I77" s="35" t="str">
        <x:v>https://www.topuniversities.com/universities/university-pennsylvania</x:v>
      </x:c>
      <x:c r="J77" s="35" t="str">
        <x:v>https://www.topuniversities.com/university-subject-rankings/environmental-sciences/2024?items_per_page=150</x:v>
      </x:c>
      <x:c r="K77" s="35" t="str">
        <x:v>https://www.lps.upenn.edu/degree-programs/mes</x:v>
      </x:c>
    </x:row>
    <x:row r="78">
      <x:c r="A78" s="31" t="n">
        <x:v>15</x:v>
      </x:c>
      <x:c r="B78" t="str">
        <x:v>University of Pennsylvania</x:v>
      </x:c>
      <x:c r="C78" s="32" t="str">
        <x:v>Master of Environmental Studies</x:v>
      </x:c>
      <x:c r="D78" s="32" t="str">
        <x:v>Environmental Sciences</x:v>
      </x:c>
      <x:c r="E78" s="31" t="n">
        <x:v>2025</x:v>
      </x:c>
      <x:c r="F78" s="31" t="str">
        <x:v>151-200</x:v>
      </x:c>
      <x:c r="G78" s="43"/>
      <x:c r="H78" s="32" t="str">
        <x:v>Ranked in collected subject table</x:v>
      </x:c>
      <x:c r="I78" s="35" t="str">
        <x:v>https://www.topuniversities.com/universities/university-pennsylvania</x:v>
      </x:c>
      <x:c r="J78" s="35" t="str">
        <x:v>https://www.topuniversities.com/university-subject-rankings/environmental-sciences/2025?items_per_page=150</x:v>
      </x:c>
      <x:c r="K78" s="35" t="str">
        <x:v>https://www.lps.upenn.edu/degree-programs/mes</x:v>
      </x:c>
    </x:row>
    <x:row r="79">
      <x:c r="A79" s="31" t="n">
        <x:v>15</x:v>
      </x:c>
      <x:c r="B79" t="str">
        <x:v>University of Pennsylvania</x:v>
      </x:c>
      <x:c r="C79" s="32" t="str">
        <x:v>Master of Environmental Studies</x:v>
      </x:c>
      <x:c r="D79" s="32" t="str">
        <x:v>Environmental Sciences</x:v>
      </x:c>
      <x:c r="E79" s="31" t="n">
        <x:v>2026</x:v>
      </x:c>
      <x:c r="F79" s="31" t="str">
        <x:v>151-200</x:v>
      </x:c>
      <x:c r="G79" s="43"/>
      <x:c r="H79" s="32" t="str">
        <x:v>Ranked in collected subject table</x:v>
      </x:c>
      <x:c r="I79" s="35" t="str">
        <x:v>https://www.topuniversities.com/universities/university-pennsylvania</x:v>
      </x:c>
      <x:c r="J79" s="35" t="str">
        <x:v>https://www.topuniversities.com/university-subject-rankings/environmental-sciences?items_per_page=150</x:v>
      </x:c>
      <x:c r="K79" s="35" t="str">
        <x:v>https://www.lps.upenn.edu/degree-programs/mes</x:v>
      </x:c>
    </x:row>
    <x:row r="80">
      <x:c r="A80" s="31" t="n">
        <x:v>16</x:v>
      </x:c>
      <x:c r="B80" t="str">
        <x:v>Cornell University</x:v>
      </x:c>
      <x:c r="C80" s="32" t="str">
        <x:v>MPS in Global Development</x:v>
      </x:c>
      <x:c r="D80" s="32" t="str">
        <x:v>Development Studies</x:v>
      </x:c>
      <x:c r="E80" s="31" t="n">
        <x:v>2022</x:v>
      </x:c>
      <x:c r="F80" s="31" t="str">
        <x:v>20</x:v>
      </x:c>
      <x:c r="G80" s="43" t="n">
        <x:v>77.6</x:v>
      </x:c>
      <x:c r="H80" s="32" t="str">
        <x:v>Ranked in collected subject table</x:v>
      </x:c>
      <x:c r="I80" s="35" t="str">
        <x:v>https://www.topuniversities.com/universities/cornell-university</x:v>
      </x:c>
      <x:c r="J80" s="35" t="str">
        <x:v>https://www.topuniversities.com/university-subject-rankings/development-studies/2022?items_per_page=150</x:v>
      </x:c>
      <x:c r="K80" s="35" t="str">
        <x:v>https://cals.cornell.edu/global-development/degrees-programs/graduate/mps-global-development</x:v>
      </x:c>
    </x:row>
    <x:row r="81">
      <x:c r="A81" s="31" t="n">
        <x:v>16</x:v>
      </x:c>
      <x:c r="B81" t="str">
        <x:v>Cornell University</x:v>
      </x:c>
      <x:c r="C81" s="32" t="str">
        <x:v>MPS in Global Development</x:v>
      </x:c>
      <x:c r="D81" s="32" t="str">
        <x:v>Development Studies</x:v>
      </x:c>
      <x:c r="E81" s="31" t="n">
        <x:v>2023</x:v>
      </x:c>
      <x:c r="F81" s="31" t="str">
        <x:v>24</x:v>
      </x:c>
      <x:c r="G81" s="43" t="n">
        <x:v>79.1</x:v>
      </x:c>
      <x:c r="H81" s="32" t="str">
        <x:v>Ranked in collected subject table</x:v>
      </x:c>
      <x:c r="I81" s="35" t="str">
        <x:v>https://www.topuniversities.com/universities/cornell-university</x:v>
      </x:c>
      <x:c r="J81" s="35" t="str">
        <x:v>https://www.topuniversities.com/university-subject-rankings/development-studies/2023?items_per_page=150</x:v>
      </x:c>
      <x:c r="K81" s="35" t="str">
        <x:v>https://cals.cornell.edu/global-development/degrees-programs/graduate/mps-global-development</x:v>
      </x:c>
    </x:row>
    <x:row r="82">
      <x:c r="A82" s="31" t="n">
        <x:v>16</x:v>
      </x:c>
      <x:c r="B82" t="str">
        <x:v>Cornell University</x:v>
      </x:c>
      <x:c r="C82" s="32" t="str">
        <x:v>MPS in Global Development</x:v>
      </x:c>
      <x:c r="D82" s="32" t="str">
        <x:v>Development Studies</x:v>
      </x:c>
      <x:c r="E82" s="31" t="n">
        <x:v>2024</x:v>
      </x:c>
      <x:c r="F82" s="31" t="str">
        <x:v>18</x:v>
      </x:c>
      <x:c r="G82" s="43" t="n">
        <x:v>82.6</x:v>
      </x:c>
      <x:c r="H82" s="32" t="str">
        <x:v>Ranked in collected subject table</x:v>
      </x:c>
      <x:c r="I82" s="35" t="str">
        <x:v>https://www.topuniversities.com/universities/cornell-university</x:v>
      </x:c>
      <x:c r="J82" s="35" t="str">
        <x:v>https://www.topuniversities.com/university-subject-rankings/development-studies/2024?items_per_page=150</x:v>
      </x:c>
      <x:c r="K82" s="35" t="str">
        <x:v>https://cals.cornell.edu/global-development/degrees-programs/graduate/mps-global-development</x:v>
      </x:c>
    </x:row>
    <x:row r="83">
      <x:c r="A83" s="31" t="n">
        <x:v>16</x:v>
      </x:c>
      <x:c r="B83" t="str">
        <x:v>Cornell University</x:v>
      </x:c>
      <x:c r="C83" s="32" t="str">
        <x:v>MPS in Global Development</x:v>
      </x:c>
      <x:c r="D83" s="32" t="str">
        <x:v>Development Studies</x:v>
      </x:c>
      <x:c r="E83" s="31" t="n">
        <x:v>2025</x:v>
      </x:c>
      <x:c r="F83" s="31" t="str">
        <x:v>23</x:v>
      </x:c>
      <x:c r="G83" s="43" t="n">
        <x:v>78.9</x:v>
      </x:c>
      <x:c r="H83" s="32" t="str">
        <x:v>Ranked in collected subject table</x:v>
      </x:c>
      <x:c r="I83" s="35" t="str">
        <x:v>https://www.topuniversities.com/universities/cornell-university</x:v>
      </x:c>
      <x:c r="J83" s="35" t="str">
        <x:v>https://www.topuniversities.com/university-subject-rankings/development-studies/2025?items_per_page=150</x:v>
      </x:c>
      <x:c r="K83" s="35" t="str">
        <x:v>https://cals.cornell.edu/global-development/degrees-programs/graduate/mps-global-development</x:v>
      </x:c>
    </x:row>
    <x:row r="84">
      <x:c r="A84" s="31" t="n">
        <x:v>16</x:v>
      </x:c>
      <x:c r="B84" t="str">
        <x:v>Cornell University</x:v>
      </x:c>
      <x:c r="C84" s="32" t="str">
        <x:v>MPS in Global Development</x:v>
      </x:c>
      <x:c r="D84" s="32" t="str">
        <x:v>Development Studies</x:v>
      </x:c>
      <x:c r="E84" s="31" t="n">
        <x:v>2026</x:v>
      </x:c>
      <x:c r="F84" s="31" t="str">
        <x:v>15</x:v>
      </x:c>
      <x:c r="G84" s="43" t="n">
        <x:v>78.2</x:v>
      </x:c>
      <x:c r="H84" s="32" t="str">
        <x:v>Ranked in collected subject table</x:v>
      </x:c>
      <x:c r="I84" s="35" t="str">
        <x:v>https://www.topuniversities.com/universities/cornell-university</x:v>
      </x:c>
      <x:c r="J84" s="35" t="str">
        <x:v>https://www.topuniversities.com/university-subject-rankings/development-studies?items_per_page=150</x:v>
      </x:c>
      <x:c r="K84" s="35" t="str">
        <x:v>https://cals.cornell.edu/global-development/degrees-programs/graduate/mps-global-development</x:v>
      </x:c>
    </x:row>
    <x:row r="85">
      <x:c r="A85" s="31" t="n">
        <x:v>17</x:v>
      </x:c>
      <x:c r="B85" t="str">
        <x:v>Yale University</x:v>
      </x:c>
      <x:c r="C85" s="32" t="str">
        <x:v>Master of Environmental Management</x:v>
      </x:c>
      <x:c r="D85" s="32" t="str">
        <x:v>Environmental Sciences</x:v>
      </x:c>
      <x:c r="E85" s="31" t="n">
        <x:v>2022</x:v>
      </x:c>
      <x:c r="F85" s="31" t="str">
        <x:v>15</x:v>
      </x:c>
      <x:c r="G85" s="43" t="n">
        <x:v>89.4</x:v>
      </x:c>
      <x:c r="H85" s="32" t="str">
        <x:v>Ranked in collected subject table</x:v>
      </x:c>
      <x:c r="I85" s="35" t="str">
        <x:v>https://www.topuniversities.com/universities/yale-university</x:v>
      </x:c>
      <x:c r="J85" s="35" t="str">
        <x:v>https://www.topuniversities.com/university-subject-rankings/environmental-sciences/2022?items_per_page=150</x:v>
      </x:c>
      <x:c r="K85" s="35" t="str">
        <x:v>https://environment.yale.edu/academics/masters/mem</x:v>
      </x:c>
    </x:row>
    <x:row r="86">
      <x:c r="A86" s="31" t="n">
        <x:v>17</x:v>
      </x:c>
      <x:c r="B86" t="str">
        <x:v>Yale University</x:v>
      </x:c>
      <x:c r="C86" s="32" t="str">
        <x:v>Master of Environmental Management</x:v>
      </x:c>
      <x:c r="D86" s="32" t="str">
        <x:v>Environmental Sciences</x:v>
      </x:c>
      <x:c r="E86" s="31" t="n">
        <x:v>2023</x:v>
      </x:c>
      <x:c r="F86" s="31" t="str">
        <x:v>14</x:v>
      </x:c>
      <x:c r="G86" s="43" t="n">
        <x:v>88.7</x:v>
      </x:c>
      <x:c r="H86" s="32" t="str">
        <x:v>Ranked in collected subject table</x:v>
      </x:c>
      <x:c r="I86" s="35" t="str">
        <x:v>https://www.topuniversities.com/universities/yale-university</x:v>
      </x:c>
      <x:c r="J86" s="35" t="str">
        <x:v>https://www.topuniversities.com/university-subject-rankings/environmental-sciences/2023?items_per_page=150</x:v>
      </x:c>
      <x:c r="K86" s="35" t="str">
        <x:v>https://environment.yale.edu/academics/masters/mem</x:v>
      </x:c>
    </x:row>
    <x:row r="87">
      <x:c r="A87" s="31" t="n">
        <x:v>17</x:v>
      </x:c>
      <x:c r="B87" t="str">
        <x:v>Yale University</x:v>
      </x:c>
      <x:c r="C87" s="32" t="str">
        <x:v>Master of Environmental Management</x:v>
      </x:c>
      <x:c r="D87" s="32" t="str">
        <x:v>Environmental Sciences</x:v>
      </x:c>
      <x:c r="E87" s="31" t="n">
        <x:v>2024</x:v>
      </x:c>
      <x:c r="F87" s="31" t="n">
        <x:f>16</x:f>
        <x:v>16</x:v>
      </x:c>
      <x:c r="G87" s="43" t="n">
        <x:v>87</x:v>
      </x:c>
      <x:c r="H87" s="32" t="str">
        <x:v>Ranked in collected subject table</x:v>
      </x:c>
      <x:c r="I87" s="35" t="str">
        <x:v>https://www.topuniversities.com/universities/yale-university</x:v>
      </x:c>
      <x:c r="J87" s="35" t="str">
        <x:v>https://www.topuniversities.com/university-subject-rankings/environmental-sciences/2024?items_per_page=150</x:v>
      </x:c>
      <x:c r="K87" s="35" t="str">
        <x:v>https://environment.yale.edu/academics/masters/mem</x:v>
      </x:c>
    </x:row>
    <x:row r="88">
      <x:c r="A88" s="31" t="n">
        <x:v>17</x:v>
      </x:c>
      <x:c r="B88" t="str">
        <x:v>Yale University</x:v>
      </x:c>
      <x:c r="C88" s="32" t="str">
        <x:v>Master of Environmental Management</x:v>
      </x:c>
      <x:c r="D88" s="32" t="str">
        <x:v>Environmental Sciences</x:v>
      </x:c>
      <x:c r="E88" s="31" t="n">
        <x:v>2025</x:v>
      </x:c>
      <x:c r="F88" s="31" t="str">
        <x:v>14</x:v>
      </x:c>
      <x:c r="G88" s="43" t="n">
        <x:v>86.9</x:v>
      </x:c>
      <x:c r="H88" s="32" t="str">
        <x:v>Ranked in collected subject table</x:v>
      </x:c>
      <x:c r="I88" s="35" t="str">
        <x:v>https://www.topuniversities.com/universities/yale-university</x:v>
      </x:c>
      <x:c r="J88" s="35" t="str">
        <x:v>https://www.topuniversities.com/university-subject-rankings/environmental-sciences/2025?items_per_page=150</x:v>
      </x:c>
      <x:c r="K88" s="35" t="str">
        <x:v>https://environment.yale.edu/academics/masters/mem</x:v>
      </x:c>
    </x:row>
    <x:row r="89">
      <x:c r="A89" s="31" t="n">
        <x:v>17</x:v>
      </x:c>
      <x:c r="B89" t="str">
        <x:v>Yale University</x:v>
      </x:c>
      <x:c r="C89" s="32" t="str">
        <x:v>Master of Environmental Management</x:v>
      </x:c>
      <x:c r="D89" s="32" t="str">
        <x:v>Environmental Sciences</x:v>
      </x:c>
      <x:c r="E89" s="31" t="n">
        <x:v>2026</x:v>
      </x:c>
      <x:c r="F89" s="31" t="n">
        <x:f>12</x:f>
        <x:v>12</x:v>
      </x:c>
      <x:c r="G89" s="43" t="n">
        <x:v>87.3</x:v>
      </x:c>
      <x:c r="H89" s="32" t="str">
        <x:v>Ranked in collected subject table</x:v>
      </x:c>
      <x:c r="I89" s="35" t="str">
        <x:v>https://www.topuniversities.com/universities/yale-university</x:v>
      </x:c>
      <x:c r="J89" s="35" t="str">
        <x:v>https://www.topuniversities.com/university-subject-rankings/environmental-sciences?items_per_page=150</x:v>
      </x:c>
      <x:c r="K89" s="35" t="str">
        <x:v>https://environment.yale.edu/academics/masters/mem</x:v>
      </x:c>
    </x:row>
    <x:row r="90">
      <x:c r="A90" s="31" t="n">
        <x:v>18</x:v>
      </x:c>
      <x:c r="B90" t="str">
        <x:v>The Chinese University of Hong Kong (CUHK)</x:v>
      </x:c>
      <x:c r="C90" s="32" t="str">
        <x:v>MSc in Sustainable Global Business</x:v>
      </x:c>
      <x:c r="D90" s="32" t="str">
        <x:v>Business &amp; Management Studies</x:v>
      </x:c>
      <x:c r="E90" s="31" t="n">
        <x:v>2022</x:v>
      </x:c>
      <x:c r="F90" s="31" t="str">
        <x:v>56</x:v>
      </x:c>
      <x:c r="G90" s="43" t="n">
        <x:v>75.6</x:v>
      </x:c>
      <x:c r="H90" s="32" t="str">
        <x:v>Ranked in collected subject table</x:v>
      </x:c>
      <x:c r="I90" s="35" t="str">
        <x:v>https://www.topuniversities.com/universities/chinese-university-hong-kong-cuhk</x:v>
      </x:c>
      <x:c r="J90" s="35" t="str">
        <x:v>https://www.topuniversities.com/university-subject-rankings/business-management-studies/2022?items_per_page=150</x:v>
      </x:c>
      <x:c r="K90" s="35" t="str">
        <x:v>https://masters.bschool.cuhk.edu.hk/programmes/msc-in-sustainable-global-business/</x:v>
      </x:c>
    </x:row>
    <x:row r="91">
      <x:c r="A91" s="31" t="n">
        <x:v>18</x:v>
      </x:c>
      <x:c r="B91" t="str">
        <x:v>The Chinese University of Hong Kong (CUHK)</x:v>
      </x:c>
      <x:c r="C91" s="32" t="str">
        <x:v>MSc in Sustainable Global Business</x:v>
      </x:c>
      <x:c r="D91" s="32" t="str">
        <x:v>Business &amp; Management Studies</x:v>
      </x:c>
      <x:c r="E91" s="31" t="n">
        <x:v>2023</x:v>
      </x:c>
      <x:c r="F91" s="31" t="str">
        <x:v>65</x:v>
      </x:c>
      <x:c r="G91" s="43" t="n">
        <x:v>73.8</x:v>
      </x:c>
      <x:c r="H91" s="32" t="str">
        <x:v>Ranked in collected subject table</x:v>
      </x:c>
      <x:c r="I91" s="35" t="str">
        <x:v>https://www.topuniversities.com/universities/chinese-university-hong-kong-cuhk</x:v>
      </x:c>
      <x:c r="J91" s="35" t="str">
        <x:v>https://www.topuniversities.com/university-subject-rankings/business-management-studies/2023?items_per_page=150</x:v>
      </x:c>
      <x:c r="K91" s="35" t="str">
        <x:v>https://masters.bschool.cuhk.edu.hk/programmes/msc-in-sustainable-global-business/</x:v>
      </x:c>
    </x:row>
    <x:row r="92">
      <x:c r="A92" s="31" t="n">
        <x:v>18</x:v>
      </x:c>
      <x:c r="B92" t="str">
        <x:v>The Chinese University of Hong Kong (CUHK)</x:v>
      </x:c>
      <x:c r="C92" s="32" t="str">
        <x:v>MSc in Sustainable Global Business</x:v>
      </x:c>
      <x:c r="D92" s="32" t="str">
        <x:v>Business &amp; Management Studies</x:v>
      </x:c>
      <x:c r="E92" s="31" t="n">
        <x:v>2024</x:v>
      </x:c>
      <x:c r="F92" s="31" t="str">
        <x:v>59</x:v>
      </x:c>
      <x:c r="G92" s="43" t="n">
        <x:v>76.7</x:v>
      </x:c>
      <x:c r="H92" s="32" t="str">
        <x:v>Ranked in collected subject table</x:v>
      </x:c>
      <x:c r="I92" s="35" t="str">
        <x:v>https://www.topuniversities.com/universities/chinese-university-hong-kong-cuhk</x:v>
      </x:c>
      <x:c r="J92" s="35" t="str">
        <x:v>https://www.topuniversities.com/university-subject-rankings/business-management-studies/2024?items_per_page=150</x:v>
      </x:c>
      <x:c r="K92" s="35" t="str">
        <x:v>https://masters.bschool.cuhk.edu.hk/programmes/msc-in-sustainable-global-business/</x:v>
      </x:c>
    </x:row>
    <x:row r="93">
      <x:c r="A93" s="31" t="n">
        <x:v>18</x:v>
      </x:c>
      <x:c r="B93" t="str">
        <x:v>The Chinese University of Hong Kong (CUHK)</x:v>
      </x:c>
      <x:c r="C93" s="32" t="str">
        <x:v>MSc in Sustainable Global Business</x:v>
      </x:c>
      <x:c r="D93" s="32" t="str">
        <x:v>Business &amp; Management Studies</x:v>
      </x:c>
      <x:c r="E93" s="31" t="n">
        <x:v>2025</x:v>
      </x:c>
      <x:c r="F93" s="31" t="n">
        <x:f>46</x:f>
        <x:v>46</x:v>
      </x:c>
      <x:c r="G93" s="43" t="n">
        <x:v>78</x:v>
      </x:c>
      <x:c r="H93" s="32" t="str">
        <x:v>Ranked in collected subject table</x:v>
      </x:c>
      <x:c r="I93" s="35" t="str">
        <x:v>https://www.topuniversities.com/universities/chinese-university-hong-kong-cuhk</x:v>
      </x:c>
      <x:c r="J93" s="35" t="str">
        <x:v>https://www.topuniversities.com/university-subject-rankings/business-management-studies/2025?items_per_page=150</x:v>
      </x:c>
      <x:c r="K93" s="35" t="str">
        <x:v>https://masters.bschool.cuhk.edu.hk/programmes/msc-in-sustainable-global-business/</x:v>
      </x:c>
    </x:row>
    <x:row r="94">
      <x:c r="A94" s="31" t="n">
        <x:v>18</x:v>
      </x:c>
      <x:c r="B94" t="str">
        <x:v>The Chinese University of Hong Kong (CUHK)</x:v>
      </x:c>
      <x:c r="C94" s="32" t="str">
        <x:v>MSc in Sustainable Global Business</x:v>
      </x:c>
      <x:c r="D94" s="32" t="str">
        <x:v>Business &amp; Management Studies</x:v>
      </x:c>
      <x:c r="E94" s="31" t="n">
        <x:v>2026</x:v>
      </x:c>
      <x:c r="F94" s="31" t="str">
        <x:v>53</x:v>
      </x:c>
      <x:c r="G94" s="43" t="n">
        <x:v>74.5</x:v>
      </x:c>
      <x:c r="H94" s="32" t="str">
        <x:v>Ranked in collected subject table</x:v>
      </x:c>
      <x:c r="I94" s="35" t="str">
        <x:v>https://www.topuniversities.com/universities/chinese-university-hong-kong-cuhk</x:v>
      </x:c>
      <x:c r="J94" s="35" t="str">
        <x:v>https://www.topuniversities.com/university-subject-rankings/business-management-studies?items_per_page=150</x:v>
      </x:c>
      <x:c r="K94" s="35" t="str">
        <x:v>https://masters.bschool.cuhk.edu.hk/programmes/msc-in-sustainable-global-business/</x:v>
      </x:c>
    </x:row>
    <x:row r="95">
      <x:c r="A95" s="31" t="n">
        <x:v>19</x:v>
      </x:c>
      <x:c r="B95" t="str">
        <x:v>Johns Hopkins University</x:v>
      </x:c>
      <x:c r="C95" s="32" t="str">
        <x:v>MS in Energy Policy and Climate</x:v>
      </x:c>
      <x:c r="D95" s="32" t="str">
        <x:v>Development Studies</x:v>
      </x:c>
      <x:c r="E95" s="31" t="n">
        <x:v>2022</x:v>
      </x:c>
      <x:c r="F95" s="31" t="str">
        <x:v>49</x:v>
      </x:c>
      <x:c r="G95" s="43" t="n">
        <x:v>69.2</x:v>
      </x:c>
      <x:c r="H95" s="32" t="str">
        <x:v>Ranked in collected subject table</x:v>
      </x:c>
      <x:c r="I95" s="35" t="str">
        <x:v>https://www.topuniversities.com/universities/johns-hopkins-university</x:v>
      </x:c>
      <x:c r="J95" s="35" t="str">
        <x:v>https://www.topuniversities.com/university-subject-rankings/development-studies/2022?items_per_page=150</x:v>
      </x:c>
      <x:c r="K95" s="35" t="str">
        <x:v>https://advanced.jhu.edu/academics/graduate/ms-energy-policy-climate/</x:v>
      </x:c>
    </x:row>
    <x:row r="96">
      <x:c r="A96" s="31" t="n">
        <x:v>19</x:v>
      </x:c>
      <x:c r="B96" t="str">
        <x:v>Johns Hopkins University</x:v>
      </x:c>
      <x:c r="C96" s="32" t="str">
        <x:v>MS in Energy Policy and Climate</x:v>
      </x:c>
      <x:c r="D96" s="32" t="str">
        <x:v>Development Studies</x:v>
      </x:c>
      <x:c r="E96" s="31" t="n">
        <x:v>2023</x:v>
      </x:c>
      <x:c r="F96" s="31" t="str">
        <x:v>39</x:v>
      </x:c>
      <x:c r="G96" s="43" t="n">
        <x:v>75.1</x:v>
      </x:c>
      <x:c r="H96" s="32" t="str">
        <x:v>Ranked in collected subject table</x:v>
      </x:c>
      <x:c r="I96" s="35" t="str">
        <x:v>https://www.topuniversities.com/universities/johns-hopkins-university</x:v>
      </x:c>
      <x:c r="J96" s="35" t="str">
        <x:v>https://www.topuniversities.com/university-subject-rankings/development-studies/2023?items_per_page=150</x:v>
      </x:c>
      <x:c r="K96" s="35" t="str">
        <x:v>https://advanced.jhu.edu/academics/graduate/ms-energy-policy-climate/</x:v>
      </x:c>
    </x:row>
    <x:row r="97">
      <x:c r="A97" s="31" t="n">
        <x:v>19</x:v>
      </x:c>
      <x:c r="B97" t="str">
        <x:v>Johns Hopkins University</x:v>
      </x:c>
      <x:c r="C97" s="32" t="str">
        <x:v>MS in Energy Policy and Climate</x:v>
      </x:c>
      <x:c r="D97" s="32" t="str">
        <x:v>Development Studies</x:v>
      </x:c>
      <x:c r="E97" s="31" t="n">
        <x:v>2024</x:v>
      </x:c>
      <x:c r="F97" s="31" t="n">
        <x:f>20</x:f>
        <x:v>20</x:v>
      </x:c>
      <x:c r="G97" s="43" t="n">
        <x:v>81.3</x:v>
      </x:c>
      <x:c r="H97" s="32" t="str">
        <x:v>Ranked in collected subject table</x:v>
      </x:c>
      <x:c r="I97" s="35" t="str">
        <x:v>https://www.topuniversities.com/universities/johns-hopkins-university</x:v>
      </x:c>
      <x:c r="J97" s="35" t="str">
        <x:v>https://www.topuniversities.com/university-subject-rankings/development-studies/2024?items_per_page=150</x:v>
      </x:c>
      <x:c r="K97" s="35" t="str">
        <x:v>https://advanced.jhu.edu/academics/graduate/ms-energy-policy-climate/</x:v>
      </x:c>
    </x:row>
    <x:row r="98">
      <x:c r="A98" s="31" t="n">
        <x:v>19</x:v>
      </x:c>
      <x:c r="B98" t="str">
        <x:v>Johns Hopkins University</x:v>
      </x:c>
      <x:c r="C98" s="32" t="str">
        <x:v>MS in Energy Policy and Climate</x:v>
      </x:c>
      <x:c r="D98" s="32" t="str">
        <x:v>Development Studies</x:v>
      </x:c>
      <x:c r="E98" s="31" t="n">
        <x:v>2025</x:v>
      </x:c>
      <x:c r="F98" s="31" t="str">
        <x:v>19</x:v>
      </x:c>
      <x:c r="G98" s="43" t="n">
        <x:v>80.2</x:v>
      </x:c>
      <x:c r="H98" s="32" t="str">
        <x:v>Ranked in collected subject table</x:v>
      </x:c>
      <x:c r="I98" s="35" t="str">
        <x:v>https://www.topuniversities.com/universities/johns-hopkins-university</x:v>
      </x:c>
      <x:c r="J98" s="35" t="str">
        <x:v>https://www.topuniversities.com/university-subject-rankings/development-studies/2025?items_per_page=150</x:v>
      </x:c>
      <x:c r="K98" s="35" t="str">
        <x:v>https://advanced.jhu.edu/academics/graduate/ms-energy-policy-climate/</x:v>
      </x:c>
    </x:row>
    <x:row r="99">
      <x:c r="A99" s="31" t="n">
        <x:v>19</x:v>
      </x:c>
      <x:c r="B99" t="str">
        <x:v>Johns Hopkins University</x:v>
      </x:c>
      <x:c r="C99" s="32" t="str">
        <x:v>MS in Energy Policy and Climate</x:v>
      </x:c>
      <x:c r="D99" s="32" t="str">
        <x:v>Development Studies</x:v>
      </x:c>
      <x:c r="E99" s="31" t="n">
        <x:v>2026</x:v>
      </x:c>
      <x:c r="F99" s="31" t="str">
        <x:v>35</x:v>
      </x:c>
      <x:c r="G99" s="43" t="n">
        <x:v>72</x:v>
      </x:c>
      <x:c r="H99" s="32" t="str">
        <x:v>Ranked in collected subject table</x:v>
      </x:c>
      <x:c r="I99" s="35" t="str">
        <x:v>https://www.topuniversities.com/universities/johns-hopkins-university</x:v>
      </x:c>
      <x:c r="J99" s="35" t="str">
        <x:v>https://www.topuniversities.com/university-subject-rankings/development-studies?items_per_page=150</x:v>
      </x:c>
      <x:c r="K99" s="35" t="str">
        <x:v>https://advanced.jhu.edu/academics/graduate/ms-energy-policy-climate/</x:v>
      </x:c>
    </x:row>
    <x:row r="100">
      <x:c r="A100" s="31" t="n">
        <x:v>20</x:v>
      </x:c>
      <x:c r="B100" t="str">
        <x:v>University of California, Berkeley (UCB)</x:v>
      </x:c>
      <x:c r="C100" s="32" t="str">
        <x:v>Master of Climate Solutions</x:v>
      </x:c>
      <x:c r="D100" s="32" t="str">
        <x:v>Environmental Sciences</x:v>
      </x:c>
      <x:c r="E100" s="31" t="n">
        <x:v>2022</x:v>
      </x:c>
      <x:c r="F100" s="31" t="str">
        <x:v>4</x:v>
      </x:c>
      <x:c r="G100" s="43" t="n">
        <x:v>95.3</x:v>
      </x:c>
      <x:c r="H100" s="32" t="str">
        <x:v>Ranked in collected subject table</x:v>
      </x:c>
      <x:c r="I100" s="35" t="str">
        <x:v>https://www.topuniversities.com/universities/university-california-berkeley-ucb</x:v>
      </x:c>
      <x:c r="J100" s="35" t="str">
        <x:v>https://www.topuniversities.com/university-subject-rankings/environmental-sciences/2022?items_per_page=150</x:v>
      </x:c>
      <x:c r="K100" s="35" t="str">
        <x:v>https://climatesolutions.berkeley.edu/</x:v>
      </x:c>
    </x:row>
    <x:row r="101">
      <x:c r="A101" s="31" t="n">
        <x:v>20</x:v>
      </x:c>
      <x:c r="B101" t="str">
        <x:v>University of California, Berkeley (UCB)</x:v>
      </x:c>
      <x:c r="C101" s="32" t="str">
        <x:v>Master of Climate Solutions</x:v>
      </x:c>
      <x:c r="D101" s="32" t="str">
        <x:v>Environmental Sciences</x:v>
      </x:c>
      <x:c r="E101" s="31" t="n">
        <x:v>2023</x:v>
      </x:c>
      <x:c r="F101" s="31" t="str">
        <x:v>5</x:v>
      </x:c>
      <x:c r="G101" s="43" t="n">
        <x:v>94.4</x:v>
      </x:c>
      <x:c r="H101" s="32" t="str">
        <x:v>Ranked in collected subject table</x:v>
      </x:c>
      <x:c r="I101" s="35" t="str">
        <x:v>https://www.topuniversities.com/universities/university-california-berkeley-ucb</x:v>
      </x:c>
      <x:c r="J101" s="35" t="str">
        <x:v>https://www.topuniversities.com/university-subject-rankings/environmental-sciences/2023?items_per_page=150</x:v>
      </x:c>
      <x:c r="K101" s="35" t="str">
        <x:v>https://climatesolutions.berkeley.edu/</x:v>
      </x:c>
    </x:row>
    <x:row r="102">
      <x:c r="A102" s="31" t="n">
        <x:v>20</x:v>
      </x:c>
      <x:c r="B102" t="str">
        <x:v>University of California, Berkeley (UCB)</x:v>
      </x:c>
      <x:c r="C102" s="32" t="str">
        <x:v>Master of Climate Solutions</x:v>
      </x:c>
      <x:c r="D102" s="32" t="str">
        <x:v>Environmental Sciences</x:v>
      </x:c>
      <x:c r="E102" s="31" t="n">
        <x:v>2024</x:v>
      </x:c>
      <x:c r="F102" s="31" t="n">
        <x:f>5</x:f>
        <x:v>5</x:v>
      </x:c>
      <x:c r="G102" s="43" t="n">
        <x:v>93.5</x:v>
      </x:c>
      <x:c r="H102" s="32" t="str">
        <x:v>Ranked in collected subject table</x:v>
      </x:c>
      <x:c r="I102" s="35" t="str">
        <x:v>https://www.topuniversities.com/universities/university-california-berkeley-ucb</x:v>
      </x:c>
      <x:c r="J102" s="35" t="str">
        <x:v>https://www.topuniversities.com/university-subject-rankings/environmental-sciences/2024?items_per_page=150</x:v>
      </x:c>
      <x:c r="K102" s="35" t="str">
        <x:v>https://climatesolutions.berkeley.edu/</x:v>
      </x:c>
    </x:row>
    <x:row r="103">
      <x:c r="A103" s="31" t="n">
        <x:v>20</x:v>
      </x:c>
      <x:c r="B103" t="str">
        <x:v>University of California, Berkeley (UCB)</x:v>
      </x:c>
      <x:c r="C103" s="32" t="str">
        <x:v>Master of Climate Solutions</x:v>
      </x:c>
      <x:c r="D103" s="32" t="str">
        <x:v>Environmental Sciences</x:v>
      </x:c>
      <x:c r="E103" s="31" t="n">
        <x:v>2025</x:v>
      </x:c>
      <x:c r="F103" s="31" t="str">
        <x:v>7</x:v>
      </x:c>
      <x:c r="G103" s="43" t="n">
        <x:v>91.6</x:v>
      </x:c>
      <x:c r="H103" s="32" t="str">
        <x:v>Ranked in collected subject table</x:v>
      </x:c>
      <x:c r="I103" s="35" t="str">
        <x:v>https://www.topuniversities.com/universities/university-california-berkeley-ucb</x:v>
      </x:c>
      <x:c r="J103" s="35" t="str">
        <x:v>https://www.topuniversities.com/university-subject-rankings/environmental-sciences/2025?items_per_page=150</x:v>
      </x:c>
      <x:c r="K103" s="35" t="str">
        <x:v>https://climatesolutions.berkeley.edu/</x:v>
      </x:c>
    </x:row>
    <x:row r="104">
      <x:c r="A104" s="31" t="n">
        <x:v>20</x:v>
      </x:c>
      <x:c r="B104" t="str">
        <x:v>University of California, Berkeley (UCB)</x:v>
      </x:c>
      <x:c r="C104" s="32" t="str">
        <x:v>Master of Climate Solutions</x:v>
      </x:c>
      <x:c r="D104" s="32" t="str">
        <x:v>Environmental Sciences</x:v>
      </x:c>
      <x:c r="E104" s="31" t="n">
        <x:v>2026</x:v>
      </x:c>
      <x:c r="F104" s="31" t="str">
        <x:v>9</x:v>
      </x:c>
      <x:c r="G104" s="43" t="n">
        <x:v>89.8</x:v>
      </x:c>
      <x:c r="H104" s="32" t="str">
        <x:v>Ranked in collected subject table</x:v>
      </x:c>
      <x:c r="I104" s="35" t="str">
        <x:v>https://www.topuniversities.com/universities/university-california-berkeley-ucb</x:v>
      </x:c>
      <x:c r="J104" s="35" t="str">
        <x:v>https://www.topuniversities.com/university-subject-rankings/environmental-sciences?items_per_page=150</x:v>
      </x:c>
      <x:c r="K104" s="35" t="str">
        <x:v>https://climatesolutions.berkeley.edu/</x:v>
      </x:c>
    </x:row>
    <x:row r="105">
      <x:c r="A105" s="31" t="n">
        <x:v>21</x:v>
      </x:c>
      <x:c r="B105" t="str">
        <x:v>EPFL – École polytechnique fédérale de Lausanne</x:v>
      </x:c>
      <x:c r="C105" s="32" t="str">
        <x:v>MSc Sustainable Management and Technology</x:v>
      </x:c>
      <x:c r="D105" s="32" t="str">
        <x:v>Business &amp; Management Studies</x:v>
      </x:c>
      <x:c r="E105" s="31" t="n">
        <x:v>2022</x:v>
      </x:c>
      <x:c r="F105" s="31" t="str">
        <x:v>NR</x:v>
      </x:c>
      <x:c r="G105" s="43"/>
      <x:c r="H105" s="32" t="str">
        <x:v>Not in collected top 300 or not ranked</x:v>
      </x:c>
      <x:c r="I105" s="35" t="str">
        <x:v>https://www.topuniversities.com/universities/epfl-ecole-polytechnique-federale-de-lausanne</x:v>
      </x:c>
      <x:c r="J105" s="35" t="str">
        <x:v>https://www.topuniversities.com/university-subject-rankings/business-management-studies/2022?items_per_page=150</x:v>
      </x:c>
      <x:c r="K105" s="35" t="str">
        <x:v>https://www.epfl.ch/education/master/programs/sustainable-management-and-technology/</x:v>
      </x:c>
    </x:row>
    <x:row r="106">
      <x:c r="A106" s="31" t="n">
        <x:v>21</x:v>
      </x:c>
      <x:c r="B106" t="str">
        <x:v>EPFL – École polytechnique fédérale de Lausanne</x:v>
      </x:c>
      <x:c r="C106" s="32" t="str">
        <x:v>MSc Sustainable Management and Technology</x:v>
      </x:c>
      <x:c r="D106" s="32" t="str">
        <x:v>Business &amp; Management Studies</x:v>
      </x:c>
      <x:c r="E106" s="31" t="n">
        <x:v>2023</x:v>
      </x:c>
      <x:c r="F106" s="31" t="str">
        <x:v>NR</x:v>
      </x:c>
      <x:c r="G106" s="43"/>
      <x:c r="H106" s="32" t="str">
        <x:v>Not in collected top 300 or not ranked</x:v>
      </x:c>
      <x:c r="I106" s="35" t="str">
        <x:v>https://www.topuniversities.com/universities/epfl-ecole-polytechnique-federale-de-lausanne</x:v>
      </x:c>
      <x:c r="J106" s="35" t="str">
        <x:v>https://www.topuniversities.com/university-subject-rankings/business-management-studies/2023?items_per_page=150</x:v>
      </x:c>
      <x:c r="K106" s="35" t="str">
        <x:v>https://www.epfl.ch/education/master/programs/sustainable-management-and-technology/</x:v>
      </x:c>
    </x:row>
    <x:row r="107">
      <x:c r="A107" s="31" t="n">
        <x:v>21</x:v>
      </x:c>
      <x:c r="B107" t="str">
        <x:v>EPFL – École polytechnique fédérale de Lausanne</x:v>
      </x:c>
      <x:c r="C107" s="32" t="str">
        <x:v>MSc Sustainable Management and Technology</x:v>
      </x:c>
      <x:c r="D107" s="32" t="str">
        <x:v>Business &amp; Management Studies</x:v>
      </x:c>
      <x:c r="E107" s="31" t="n">
        <x:v>2024</x:v>
      </x:c>
      <x:c r="F107" s="31" t="str">
        <x:v>NR</x:v>
      </x:c>
      <x:c r="G107" s="43"/>
      <x:c r="H107" s="32" t="str">
        <x:v>Not in collected top 300 or not ranked</x:v>
      </x:c>
      <x:c r="I107" s="35" t="str">
        <x:v>https://www.topuniversities.com/universities/epfl-ecole-polytechnique-federale-de-lausanne</x:v>
      </x:c>
      <x:c r="J107" s="35" t="str">
        <x:v>https://www.topuniversities.com/university-subject-rankings/business-management-studies/2024?items_per_page=150</x:v>
      </x:c>
      <x:c r="K107" s="35" t="str">
        <x:v>https://www.epfl.ch/education/master/programs/sustainable-management-and-technology/</x:v>
      </x:c>
    </x:row>
    <x:row r="108">
      <x:c r="A108" s="31" t="n">
        <x:v>21</x:v>
      </x:c>
      <x:c r="B108" t="str">
        <x:v>EPFL – École polytechnique fédérale de Lausanne</x:v>
      </x:c>
      <x:c r="C108" s="32" t="str">
        <x:v>MSc Sustainable Management and Technology</x:v>
      </x:c>
      <x:c r="D108" s="32" t="str">
        <x:v>Business &amp; Management Studies</x:v>
      </x:c>
      <x:c r="E108" s="31" t="n">
        <x:v>2025</x:v>
      </x:c>
      <x:c r="F108" s="31" t="n">
        <x:f>137</x:f>
        <x:v>137</x:v>
      </x:c>
      <x:c r="G108" s="43" t="n">
        <x:v>68.6</x:v>
      </x:c>
      <x:c r="H108" s="32" t="str">
        <x:v>Ranked in collected subject table</x:v>
      </x:c>
      <x:c r="I108" s="35" t="str">
        <x:v>https://www.topuniversities.com/universities/epfl-ecole-polytechnique-federale-de-lausanne</x:v>
      </x:c>
      <x:c r="J108" s="35" t="str">
        <x:v>https://www.topuniversities.com/university-subject-rankings/business-management-studies/2025?items_per_page=150</x:v>
      </x:c>
      <x:c r="K108" s="35" t="str">
        <x:v>https://www.epfl.ch/education/master/programs/sustainable-management-and-technology/</x:v>
      </x:c>
    </x:row>
    <x:row r="109">
      <x:c r="A109" s="31" t="n">
        <x:v>21</x:v>
      </x:c>
      <x:c r="B109" t="str">
        <x:v>EPFL – École polytechnique fédérale de Lausanne</x:v>
      </x:c>
      <x:c r="C109" s="32" t="str">
        <x:v>MSc Sustainable Management and Technology</x:v>
      </x:c>
      <x:c r="D109" s="32" t="str">
        <x:v>Business &amp; Management Studies</x:v>
      </x:c>
      <x:c r="E109" s="31" t="n">
        <x:v>2026</x:v>
      </x:c>
      <x:c r="F109" s="31" t="str">
        <x:v>137</x:v>
      </x:c>
      <x:c r="G109" s="43" t="n">
        <x:v>67</x:v>
      </x:c>
      <x:c r="H109" s="32" t="str">
        <x:v>Ranked in collected subject table</x:v>
      </x:c>
      <x:c r="I109" s="35" t="str">
        <x:v>https://www.topuniversities.com/universities/epfl-ecole-polytechnique-federale-de-lausanne</x:v>
      </x:c>
      <x:c r="J109" s="35" t="str">
        <x:v>https://www.topuniversities.com/university-subject-rankings/business-management-studies?items_per_page=150</x:v>
      </x:c>
      <x:c r="K109" s="35" t="str">
        <x:v>https://www.epfl.ch/education/master/programs/sustainable-management-and-technology/</x:v>
      </x:c>
    </x:row>
    <x:row r="110">
      <x:c r="A110" s="31" t="n">
        <x:v>22</x:v>
      </x:c>
      <x:c r="B110" t="str">
        <x:v>The University of Melbourne</x:v>
      </x:c>
      <x:c r="C110" s="32" t="str">
        <x:v>Master of Environment</x:v>
      </x:c>
      <x:c r="D110" s="32" t="str">
        <x:v>Environmental Sciences</x:v>
      </x:c>
      <x:c r="E110" s="31" t="n">
        <x:v>2022</x:v>
      </x:c>
      <x:c r="F110" s="31" t="str">
        <x:v>21</x:v>
      </x:c>
      <x:c r="G110" s="43" t="n">
        <x:v>88</x:v>
      </x:c>
      <x:c r="H110" s="32" t="str">
        <x:v>Ranked in collected subject table</x:v>
      </x:c>
      <x:c r="I110" s="35" t="str">
        <x:v>https://www.topuniversities.com/universities/university-melbourne</x:v>
      </x:c>
      <x:c r="J110" s="35" t="str">
        <x:v>https://www.topuniversities.com/university-subject-rankings/environmental-sciences/2022?items_per_page=150</x:v>
      </x:c>
      <x:c r="K110" s="35" t="str">
        <x:v>https://study.unimelb.edu.au/find/courses/graduate/master-of-environment/</x:v>
      </x:c>
    </x:row>
    <x:row r="111">
      <x:c r="A111" s="31" t="n">
        <x:v>22</x:v>
      </x:c>
      <x:c r="B111" t="str">
        <x:v>The University of Melbourne</x:v>
      </x:c>
      <x:c r="C111" s="32" t="str">
        <x:v>Master of Environment</x:v>
      </x:c>
      <x:c r="D111" s="32" t="str">
        <x:v>Environmental Sciences</x:v>
      </x:c>
      <x:c r="E111" s="31" t="n">
        <x:v>2023</x:v>
      </x:c>
      <x:c r="F111" s="31" t="str">
        <x:v>23</x:v>
      </x:c>
      <x:c r="G111" s="43" t="n">
        <x:v>86.7</x:v>
      </x:c>
      <x:c r="H111" s="32" t="str">
        <x:v>Ranked in collected subject table</x:v>
      </x:c>
      <x:c r="I111" s="35" t="str">
        <x:v>https://www.topuniversities.com/universities/university-melbourne</x:v>
      </x:c>
      <x:c r="J111" s="35" t="str">
        <x:v>https://www.topuniversities.com/university-subject-rankings/environmental-sciences/2023?items_per_page=150</x:v>
      </x:c>
      <x:c r="K111" s="35" t="str">
        <x:v>https://study.unimelb.edu.au/find/courses/graduate/master-of-environment/</x:v>
      </x:c>
    </x:row>
    <x:row r="112">
      <x:c r="A112" s="31" t="n">
        <x:v>22</x:v>
      </x:c>
      <x:c r="B112" t="str">
        <x:v>The University of Melbourne</x:v>
      </x:c>
      <x:c r="C112" s="32" t="str">
        <x:v>Master of Environment</x:v>
      </x:c>
      <x:c r="D112" s="32" t="str">
        <x:v>Environmental Sciences</x:v>
      </x:c>
      <x:c r="E112" s="31" t="n">
        <x:v>2024</x:v>
      </x:c>
      <x:c r="F112" s="31" t="str">
        <x:v>22</x:v>
      </x:c>
      <x:c r="G112" s="43" t="n">
        <x:v>86.1</x:v>
      </x:c>
      <x:c r="H112" s="32" t="str">
        <x:v>Ranked in collected subject table</x:v>
      </x:c>
      <x:c r="I112" s="35" t="str">
        <x:v>https://www.topuniversities.com/universities/university-melbourne</x:v>
      </x:c>
      <x:c r="J112" s="35" t="str">
        <x:v>https://www.topuniversities.com/university-subject-rankings/environmental-sciences/2024?items_per_page=150</x:v>
      </x:c>
      <x:c r="K112" s="35" t="str">
        <x:v>https://study.unimelb.edu.au/find/courses/graduate/master-of-environment/</x:v>
      </x:c>
    </x:row>
    <x:row r="113">
      <x:c r="A113" s="31" t="n">
        <x:v>22</x:v>
      </x:c>
      <x:c r="B113" t="str">
        <x:v>The University of Melbourne</x:v>
      </x:c>
      <x:c r="C113" s="32" t="str">
        <x:v>Master of Environment</x:v>
      </x:c>
      <x:c r="D113" s="32" t="str">
        <x:v>Environmental Sciences</x:v>
      </x:c>
      <x:c r="E113" s="31" t="n">
        <x:v>2025</x:v>
      </x:c>
      <x:c r="F113" s="31" t="str">
        <x:v>24</x:v>
      </x:c>
      <x:c r="G113" s="43" t="n">
        <x:v>84.6</x:v>
      </x:c>
      <x:c r="H113" s="32" t="str">
        <x:v>Ranked in collected subject table</x:v>
      </x:c>
      <x:c r="I113" s="35" t="str">
        <x:v>https://www.topuniversities.com/universities/university-melbourne</x:v>
      </x:c>
      <x:c r="J113" s="35" t="str">
        <x:v>https://www.topuniversities.com/university-subject-rankings/environmental-sciences/2025?items_per_page=150</x:v>
      </x:c>
      <x:c r="K113" s="35" t="str">
        <x:v>https://study.unimelb.edu.au/find/courses/graduate/master-of-environment/</x:v>
      </x:c>
    </x:row>
    <x:row r="114">
      <x:c r="A114" s="31" t="n">
        <x:v>22</x:v>
      </x:c>
      <x:c r="B114" t="str">
        <x:v>The University of Melbourne</x:v>
      </x:c>
      <x:c r="C114" s="32" t="str">
        <x:v>Master of Environment</x:v>
      </x:c>
      <x:c r="D114" s="32" t="str">
        <x:v>Environmental Sciences</x:v>
      </x:c>
      <x:c r="E114" s="31" t="n">
        <x:v>2026</x:v>
      </x:c>
      <x:c r="F114" s="31" t="str">
        <x:v>20</x:v>
      </x:c>
      <x:c r="G114" s="43" t="n">
        <x:v>83.4</x:v>
      </x:c>
      <x:c r="H114" s="32" t="str">
        <x:v>Ranked in collected subject table</x:v>
      </x:c>
      <x:c r="I114" s="35" t="str">
        <x:v>https://www.topuniversities.com/universities/university-melbourne</x:v>
      </x:c>
      <x:c r="J114" s="35" t="str">
        <x:v>https://www.topuniversities.com/university-subject-rankings/environmental-sciences?items_per_page=150</x:v>
      </x:c>
      <x:c r="K114" s="35" t="str">
        <x:v>https://study.unimelb.edu.au/find/courses/graduate/master-of-environment/</x:v>
      </x:c>
    </x:row>
    <x:row r="115">
      <x:c r="A115" s="31" t="n">
        <x:v>23</x:v>
      </x:c>
      <x:c r="B115" t="str">
        <x:v>University of Chicago</x:v>
      </x:c>
      <x:c r="C115" s="32" t="str">
        <x:v>MS in Environmental Science and Policy</x:v>
      </x:c>
      <x:c r="D115" s="32" t="str">
        <x:v>Environmental Sciences</x:v>
      </x:c>
      <x:c r="E115" s="31" t="n">
        <x:v>2022</x:v>
      </x:c>
      <x:c r="F115" s="31" t="str">
        <x:v>101-150</x:v>
      </x:c>
      <x:c r="G115" s="43"/>
      <x:c r="H115" s="32" t="str">
        <x:v>Ranked in collected subject table</x:v>
      </x:c>
      <x:c r="I115" s="35" t="str">
        <x:v>https://www.topuniversities.com/universities/university-chicago</x:v>
      </x:c>
      <x:c r="J115" s="35" t="str">
        <x:v>https://www.topuniversities.com/university-subject-rankings/environmental-sciences/2022?items_per_page=150</x:v>
      </x:c>
      <x:c r="K115" s="35" t="str">
        <x:v>https://professional.uchicago.edu/find-your-fit/masters/master-science-environmental-science-policy</x:v>
      </x:c>
    </x:row>
    <x:row r="116">
      <x:c r="A116" s="31" t="n">
        <x:v>23</x:v>
      </x:c>
      <x:c r="B116" t="str">
        <x:v>University of Chicago</x:v>
      </x:c>
      <x:c r="C116" s="32" t="str">
        <x:v>MS in Environmental Science and Policy</x:v>
      </x:c>
      <x:c r="D116" s="32" t="str">
        <x:v>Environmental Sciences</x:v>
      </x:c>
      <x:c r="E116" s="31" t="n">
        <x:v>2023</x:v>
      </x:c>
      <x:c r="F116" s="31" t="str">
        <x:v>100</x:v>
      </x:c>
      <x:c r="G116" s="43" t="n">
        <x:v>78.4</x:v>
      </x:c>
      <x:c r="H116" s="32" t="str">
        <x:v>Ranked in collected subject table</x:v>
      </x:c>
      <x:c r="I116" s="35" t="str">
        <x:v>https://www.topuniversities.com/universities/university-chicago</x:v>
      </x:c>
      <x:c r="J116" s="35" t="str">
        <x:v>https://www.topuniversities.com/university-subject-rankings/environmental-sciences/2023?items_per_page=150</x:v>
      </x:c>
      <x:c r="K116" s="35" t="str">
        <x:v>https://professional.uchicago.edu/find-your-fit/masters/master-science-environmental-science-policy</x:v>
      </x:c>
    </x:row>
    <x:row r="117">
      <x:c r="A117" s="31" t="n">
        <x:v>23</x:v>
      </x:c>
      <x:c r="B117" t="str">
        <x:v>University of Chicago</x:v>
      </x:c>
      <x:c r="C117" s="32" t="str">
        <x:v>MS in Environmental Science and Policy</x:v>
      </x:c>
      <x:c r="D117" s="32" t="str">
        <x:v>Environmental Sciences</x:v>
      </x:c>
      <x:c r="E117" s="31" t="n">
        <x:v>2024</x:v>
      </x:c>
      <x:c r="F117" s="31" t="str">
        <x:v>151-200</x:v>
      </x:c>
      <x:c r="G117" s="43"/>
      <x:c r="H117" s="32" t="str">
        <x:v>Ranked in collected subject table</x:v>
      </x:c>
      <x:c r="I117" s="35" t="str">
        <x:v>https://www.topuniversities.com/universities/university-chicago</x:v>
      </x:c>
      <x:c r="J117" s="35" t="str">
        <x:v>https://www.topuniversities.com/university-subject-rankings/environmental-sciences/2024?items_per_page=150</x:v>
      </x:c>
      <x:c r="K117" s="35" t="str">
        <x:v>https://professional.uchicago.edu/find-your-fit/masters/master-science-environmental-science-policy</x:v>
      </x:c>
    </x:row>
    <x:row r="118">
      <x:c r="A118" s="31" t="n">
        <x:v>23</x:v>
      </x:c>
      <x:c r="B118" t="str">
        <x:v>University of Chicago</x:v>
      </x:c>
      <x:c r="C118" s="32" t="str">
        <x:v>MS in Environmental Science and Policy</x:v>
      </x:c>
      <x:c r="D118" s="32" t="str">
        <x:v>Environmental Sciences</x:v>
      </x:c>
      <x:c r="E118" s="31" t="n">
        <x:v>2025</x:v>
      </x:c>
      <x:c r="F118" s="31" t="str">
        <x:v>151-200</x:v>
      </x:c>
      <x:c r="G118" s="43"/>
      <x:c r="H118" s="32" t="str">
        <x:v>Ranked in collected subject table</x:v>
      </x:c>
      <x:c r="I118" s="35" t="str">
        <x:v>https://www.topuniversities.com/universities/university-chicago</x:v>
      </x:c>
      <x:c r="J118" s="35" t="str">
        <x:v>https://www.topuniversities.com/university-subject-rankings/environmental-sciences/2025?items_per_page=150</x:v>
      </x:c>
      <x:c r="K118" s="35" t="str">
        <x:v>https://professional.uchicago.edu/find-your-fit/masters/master-science-environmental-science-policy</x:v>
      </x:c>
    </x:row>
    <x:row r="119">
      <x:c r="A119" s="31" t="n">
        <x:v>23</x:v>
      </x:c>
      <x:c r="B119" t="str">
        <x:v>University of Chicago</x:v>
      </x:c>
      <x:c r="C119" s="32" t="str">
        <x:v>MS in Environmental Science and Policy</x:v>
      </x:c>
      <x:c r="D119" s="32" t="str">
        <x:v>Environmental Sciences</x:v>
      </x:c>
      <x:c r="E119" s="31" t="n">
        <x:v>2026</x:v>
      </x:c>
      <x:c r="F119" s="31" t="str">
        <x:v>201-250</x:v>
      </x:c>
      <x:c r="G119" s="43"/>
      <x:c r="H119" s="32" t="str">
        <x:v>Ranked in collected subject table</x:v>
      </x:c>
      <x:c r="I119" s="35" t="str">
        <x:v>https://www.topuniversities.com/universities/university-chicago</x:v>
      </x:c>
      <x:c r="J119" s="35" t="str">
        <x:v>https://www.topuniversities.com/university-subject-rankings/environmental-sciences?items_per_page=150</x:v>
      </x:c>
      <x:c r="K119" s="35" t="str">
        <x:v>https://professional.uchicago.edu/find-your-fit/masters/master-science-environmental-science-policy</x:v>
      </x:c>
    </x:row>
    <x:row r="120">
      <x:c r="A120" s="31" t="n">
        <x:v>24</x:v>
      </x:c>
      <x:c r="B120" t="str">
        <x:v>Technical University of Munich</x:v>
      </x:c>
      <x:c r="C120" s="32" t="str">
        <x:v>MSc Sustainable Management and Technology</x:v>
      </x:c>
      <x:c r="D120" s="32" t="str">
        <x:v>Business &amp; Management Studies</x:v>
      </x:c>
      <x:c r="E120" s="31" t="n">
        <x:v>2022</x:v>
      </x:c>
      <x:c r="F120" s="31" t="n">
        <x:f>79</x:f>
        <x:v>79</x:v>
      </x:c>
      <x:c r="G120" s="43" t="n">
        <x:v>73</x:v>
      </x:c>
      <x:c r="H120" s="32" t="str">
        <x:v>Ranked in collected subject table</x:v>
      </x:c>
      <x:c r="I120" s="35" t="str">
        <x:v>https://www.topuniversities.com/universities/technical-university-munich</x:v>
      </x:c>
      <x:c r="J120" s="35" t="str">
        <x:v>https://www.topuniversities.com/university-subject-rankings/business-management-studies/2022?items_per_page=150</x:v>
      </x:c>
      <x:c r="K120" s="35" t="str">
        <x:v>https://www.tum.de/en/studies/degree-programs/detail/sustainable-management-and-technology-master-of-science-msc</x:v>
      </x:c>
    </x:row>
    <x:row r="121">
      <x:c r="A121" s="31" t="n">
        <x:v>24</x:v>
      </x:c>
      <x:c r="B121" t="str">
        <x:v>Technical University of Munich</x:v>
      </x:c>
      <x:c r="C121" s="32" t="str">
        <x:v>MSc Sustainable Management and Technology</x:v>
      </x:c>
      <x:c r="D121" s="32" t="str">
        <x:v>Business &amp; Management Studies</x:v>
      </x:c>
      <x:c r="E121" s="31" t="n">
        <x:v>2023</x:v>
      </x:c>
      <x:c r="F121" s="31" t="str">
        <x:v>76</x:v>
      </x:c>
      <x:c r="G121" s="43" t="n">
        <x:v>72.5</x:v>
      </x:c>
      <x:c r="H121" s="32" t="str">
        <x:v>Ranked in collected subject table</x:v>
      </x:c>
      <x:c r="I121" s="35" t="str">
        <x:v>https://www.topuniversities.com/universities/technical-university-munich</x:v>
      </x:c>
      <x:c r="J121" s="35" t="str">
        <x:v>https://www.topuniversities.com/university-subject-rankings/business-management-studies/2023?items_per_page=150</x:v>
      </x:c>
      <x:c r="K121" s="35" t="str">
        <x:v>https://www.tum.de/en/studies/degree-programs/detail/sustainable-management-and-technology-master-of-science-msc</x:v>
      </x:c>
    </x:row>
    <x:row r="122">
      <x:c r="A122" s="31" t="n">
        <x:v>24</x:v>
      </x:c>
      <x:c r="B122" t="str">
        <x:v>Technical University of Munich</x:v>
      </x:c>
      <x:c r="C122" s="32" t="str">
        <x:v>MSc Sustainable Management and Technology</x:v>
      </x:c>
      <x:c r="D122" s="32" t="str">
        <x:v>Business &amp; Management Studies</x:v>
      </x:c>
      <x:c r="E122" s="31" t="n">
        <x:v>2024</x:v>
      </x:c>
      <x:c r="F122" s="31" t="n">
        <x:f>80</x:f>
        <x:v>80</x:v>
      </x:c>
      <x:c r="G122" s="43" t="n">
        <x:v>74.3</x:v>
      </x:c>
      <x:c r="H122" s="32" t="str">
        <x:v>Ranked in collected subject table</x:v>
      </x:c>
      <x:c r="I122" s="35" t="str">
        <x:v>https://www.topuniversities.com/universities/technical-university-munich</x:v>
      </x:c>
      <x:c r="J122" s="35" t="str">
        <x:v>https://www.topuniversities.com/university-subject-rankings/business-management-studies/2024?items_per_page=150</x:v>
      </x:c>
      <x:c r="K122" s="35" t="str">
        <x:v>https://www.tum.de/en/studies/degree-programs/detail/sustainable-management-and-technology-master-of-science-msc</x:v>
      </x:c>
    </x:row>
    <x:row r="123">
      <x:c r="A123" s="31" t="n">
        <x:v>24</x:v>
      </x:c>
      <x:c r="B123" t="str">
        <x:v>Technical University of Munich</x:v>
      </x:c>
      <x:c r="C123" s="32" t="str">
        <x:v>MSc Sustainable Management and Technology</x:v>
      </x:c>
      <x:c r="D123" s="32" t="str">
        <x:v>Business &amp; Management Studies</x:v>
      </x:c>
      <x:c r="E123" s="31" t="n">
        <x:v>2025</x:v>
      </x:c>
      <x:c r="F123" s="31" t="str">
        <x:v>105</x:v>
      </x:c>
      <x:c r="G123" s="43" t="n">
        <x:v>72.4</x:v>
      </x:c>
      <x:c r="H123" s="32" t="str">
        <x:v>Ranked in collected subject table</x:v>
      </x:c>
      <x:c r="I123" s="35" t="str">
        <x:v>https://www.topuniversities.com/universities/technical-university-munich</x:v>
      </x:c>
      <x:c r="J123" s="35" t="str">
        <x:v>https://www.topuniversities.com/university-subject-rankings/business-management-studies/2025?items_per_page=150</x:v>
      </x:c>
      <x:c r="K123" s="35" t="str">
        <x:v>https://www.tum.de/en/studies/degree-programs/detail/sustainable-management-and-technology-master-of-science-msc</x:v>
      </x:c>
    </x:row>
    <x:row r="124">
      <x:c r="A124" s="31" t="n">
        <x:v>24</x:v>
      </x:c>
      <x:c r="B124" t="str">
        <x:v>Technical University of Munich</x:v>
      </x:c>
      <x:c r="C124" s="32" t="str">
        <x:v>MSc Sustainable Management and Technology</x:v>
      </x:c>
      <x:c r="D124" s="32" t="str">
        <x:v>Business &amp; Management Studies</x:v>
      </x:c>
      <x:c r="E124" s="31" t="n">
        <x:v>2026</x:v>
      </x:c>
      <x:c r="F124" s="31" t="n">
        <x:f>91</x:f>
        <x:v>91</x:v>
      </x:c>
      <x:c r="G124" s="43" t="n">
        <x:v>70.6</x:v>
      </x:c>
      <x:c r="H124" s="32" t="str">
        <x:v>Ranked in collected subject table</x:v>
      </x:c>
      <x:c r="I124" s="35" t="str">
        <x:v>https://www.topuniversities.com/universities/technical-university-munich</x:v>
      </x:c>
      <x:c r="J124" s="35" t="str">
        <x:v>https://www.topuniversities.com/university-subject-rankings/business-management-studies?items_per_page=150</x:v>
      </x:c>
      <x:c r="K124" s="35" t="str">
        <x:v>https://www.tum.de/en/studies/degree-programs/detail/sustainable-management-and-technology-master-of-science-msc</x:v>
      </x:c>
    </x:row>
    <x:row r="125">
      <x:c r="A125" s="31" t="n">
        <x:v>25</x:v>
      </x:c>
      <x:c r="B125" t="str">
        <x:v>Fudan University</x:v>
      </x:c>
      <x:c r="C125" s="32" t="str">
        <x:v>Graduate program in Environmental Science and Engineering</x:v>
      </x:c>
      <x:c r="D125" s="32" t="str">
        <x:v>Environmental Sciences</x:v>
      </x:c>
      <x:c r="E125" s="31" t="n">
        <x:v>2022</x:v>
      </x:c>
      <x:c r="F125" s="31" t="str">
        <x:v>101-150</x:v>
      </x:c>
      <x:c r="G125" s="43"/>
      <x:c r="H125" s="32" t="str">
        <x:v>Ranked in collected subject table</x:v>
      </x:c>
      <x:c r="I125" s="35" t="str">
        <x:v>https://www.topuniversities.com/universities/fudan-university</x:v>
      </x:c>
      <x:c r="J125" s="35" t="str">
        <x:v>https://www.topuniversities.com/university-subject-rankings/environmental-sciences/2022?items_per_page=150</x:v>
      </x:c>
      <x:c r="K125" s="35" t="str">
        <x:v>https://environment.fudan.edu.cn/</x:v>
      </x:c>
    </x:row>
    <x:row r="126">
      <x:c r="A126" s="31" t="n">
        <x:v>25</x:v>
      </x:c>
      <x:c r="B126" t="str">
        <x:v>Fudan University</x:v>
      </x:c>
      <x:c r="C126" s="32" t="str">
        <x:v>Graduate program in Environmental Science and Engineering</x:v>
      </x:c>
      <x:c r="D126" s="32" t="str">
        <x:v>Environmental Sciences</x:v>
      </x:c>
      <x:c r="E126" s="31" t="n">
        <x:v>2023</x:v>
      </x:c>
      <x:c r="F126" s="31" t="str">
        <x:v>101-150</x:v>
      </x:c>
      <x:c r="G126" s="43"/>
      <x:c r="H126" s="32" t="str">
        <x:v>Ranked in collected subject table</x:v>
      </x:c>
      <x:c r="I126" s="35" t="str">
        <x:v>https://www.topuniversities.com/universities/fudan-university</x:v>
      </x:c>
      <x:c r="J126" s="35" t="str">
        <x:v>https://www.topuniversities.com/university-subject-rankings/environmental-sciences/2023?items_per_page=150</x:v>
      </x:c>
      <x:c r="K126" s="35" t="str">
        <x:v>https://environment.fudan.edu.cn/</x:v>
      </x:c>
    </x:row>
    <x:row r="127">
      <x:c r="A127" s="31" t="n">
        <x:v>25</x:v>
      </x:c>
      <x:c r="B127" t="str">
        <x:v>Fudan University</x:v>
      </x:c>
      <x:c r="C127" s="32" t="str">
        <x:v>Graduate program in Environmental Science and Engineering</x:v>
      </x:c>
      <x:c r="D127" s="32" t="str">
        <x:v>Environmental Sciences</x:v>
      </x:c>
      <x:c r="E127" s="31" t="n">
        <x:v>2024</x:v>
      </x:c>
      <x:c r="F127" s="31" t="n">
        <x:f>130</x:f>
        <x:v>130</x:v>
      </x:c>
      <x:c r="G127" s="43" t="n">
        <x:v>76</x:v>
      </x:c>
      <x:c r="H127" s="32" t="str">
        <x:v>Ranked in collected subject table</x:v>
      </x:c>
      <x:c r="I127" s="35" t="str">
        <x:v>https://www.topuniversities.com/universities/fudan-university</x:v>
      </x:c>
      <x:c r="J127" s="35" t="str">
        <x:v>https://www.topuniversities.com/university-subject-rankings/environmental-sciences/2024?items_per_page=150</x:v>
      </x:c>
      <x:c r="K127" s="35" t="str">
        <x:v>https://environment.fudan.edu.cn/</x:v>
      </x:c>
    </x:row>
    <x:row r="128">
      <x:c r="A128" s="31" t="n">
        <x:v>25</x:v>
      </x:c>
      <x:c r="B128" t="str">
        <x:v>Fudan University</x:v>
      </x:c>
      <x:c r="C128" s="32" t="str">
        <x:v>Graduate program in Environmental Science and Engineering</x:v>
      </x:c>
      <x:c r="D128" s="32" t="str">
        <x:v>Environmental Sciences</x:v>
      </x:c>
      <x:c r="E128" s="31" t="n">
        <x:v>2025</x:v>
      </x:c>
      <x:c r="F128" s="31" t="n">
        <x:f>94</x:f>
        <x:v>94</x:v>
      </x:c>
      <x:c r="G128" s="43" t="n">
        <x:v>77.8</x:v>
      </x:c>
      <x:c r="H128" s="32" t="str">
        <x:v>Ranked in collected subject table</x:v>
      </x:c>
      <x:c r="I128" s="35" t="str">
        <x:v>https://www.topuniversities.com/universities/fudan-university</x:v>
      </x:c>
      <x:c r="J128" s="35" t="str">
        <x:v>https://www.topuniversities.com/university-subject-rankings/environmental-sciences/2025?items_per_page=150</x:v>
      </x:c>
      <x:c r="K128" s="35" t="str">
        <x:v>https://environment.fudan.edu.cn/</x:v>
      </x:c>
    </x:row>
    <x:row r="129">
      <x:c r="A129" s="31" t="n">
        <x:v>25</x:v>
      </x:c>
      <x:c r="B129" t="str">
        <x:v>Fudan University</x:v>
      </x:c>
      <x:c r="C129" s="32" t="str">
        <x:v>Graduate program in Environmental Science and Engineering</x:v>
      </x:c>
      <x:c r="D129" s="32" t="str">
        <x:v>Environmental Sciences</x:v>
      </x:c>
      <x:c r="E129" s="31" t="n">
        <x:v>2026</x:v>
      </x:c>
      <x:c r="F129" s="31" t="n">
        <x:f>115</x:f>
        <x:v>115</x:v>
      </x:c>
      <x:c r="G129" s="43" t="n">
        <x:v>74.9</x:v>
      </x:c>
      <x:c r="H129" s="32" t="str">
        <x:v>Ranked in collected subject table</x:v>
      </x:c>
      <x:c r="I129" s="35" t="str">
        <x:v>https://www.topuniversities.com/universities/fudan-university</x:v>
      </x:c>
      <x:c r="J129" s="35" t="str">
        <x:v>https://www.topuniversities.com/university-subject-rankings/environmental-sciences?items_per_page=150</x:v>
      </x:c>
      <x:c r="K129" s="35" t="str">
        <x:v>https://environment.fudan.edu.cn/</x:v>
      </x:c>
    </x:row>
    <x:row r="130">
      <x:c r="A130" s="31" t="n">
        <x:v>26</x:v>
      </x:c>
      <x:c r="B130" t="str">
        <x:v>Princeton University</x:v>
      </x:c>
      <x:c r="C130" s="32" t="str">
        <x:v>MPA with Science, Technology, and Environmental Policy field</x:v>
      </x:c>
      <x:c r="D130" s="32" t="str">
        <x:v>Development Studies</x:v>
      </x:c>
      <x:c r="E130" s="31" t="n">
        <x:v>2022</x:v>
      </x:c>
      <x:c r="F130" s="31" t="str">
        <x:v>17</x:v>
      </x:c>
      <x:c r="G130" s="43" t="n">
        <x:v>78.2</x:v>
      </x:c>
      <x:c r="H130" s="32" t="str">
        <x:v>Ranked in collected subject table</x:v>
      </x:c>
      <x:c r="I130" s="35" t="str">
        <x:v>https://www.topuniversities.com/universities/princeton-university</x:v>
      </x:c>
      <x:c r="J130" s="35" t="str">
        <x:v>https://www.topuniversities.com/university-subject-rankings/development-studies/2022?items_per_page=150</x:v>
      </x:c>
      <x:c r="K130" s="35" t="str">
        <x:v>https://spia.princeton.edu/graduate-programs/masters-degrees/mpa</x:v>
      </x:c>
    </x:row>
    <x:row r="131">
      <x:c r="A131" s="31" t="n">
        <x:v>26</x:v>
      </x:c>
      <x:c r="B131" t="str">
        <x:v>Princeton University</x:v>
      </x:c>
      <x:c r="C131" s="32" t="str">
        <x:v>MPA with Science, Technology, and Environmental Policy field</x:v>
      </x:c>
      <x:c r="D131" s="32" t="str">
        <x:v>Development Studies</x:v>
      </x:c>
      <x:c r="E131" s="31" t="n">
        <x:v>2023</x:v>
      </x:c>
      <x:c r="F131" s="31" t="str">
        <x:v>17</x:v>
      </x:c>
      <x:c r="G131" s="43" t="n">
        <x:v>81.3</x:v>
      </x:c>
      <x:c r="H131" s="32" t="str">
        <x:v>Ranked in collected subject table</x:v>
      </x:c>
      <x:c r="I131" s="35" t="str">
        <x:v>https://www.topuniversities.com/universities/princeton-university</x:v>
      </x:c>
      <x:c r="J131" s="35" t="str">
        <x:v>https://www.topuniversities.com/university-subject-rankings/development-studies/2023?items_per_page=150</x:v>
      </x:c>
      <x:c r="K131" s="35" t="str">
        <x:v>https://spia.princeton.edu/graduate-programs/masters-degrees/mpa</x:v>
      </x:c>
    </x:row>
    <x:row r="132">
      <x:c r="A132" s="31" t="n">
        <x:v>26</x:v>
      </x:c>
      <x:c r="B132" t="str">
        <x:v>Princeton University</x:v>
      </x:c>
      <x:c r="C132" s="32" t="str">
        <x:v>MPA with Science, Technology, and Environmental Policy field</x:v>
      </x:c>
      <x:c r="D132" s="32" t="str">
        <x:v>Development Studies</x:v>
      </x:c>
      <x:c r="E132" s="31" t="n">
        <x:v>2024</x:v>
      </x:c>
      <x:c r="F132" s="31" t="str">
        <x:v>13</x:v>
      </x:c>
      <x:c r="G132" s="43" t="n">
        <x:v>84.1</x:v>
      </x:c>
      <x:c r="H132" s="32" t="str">
        <x:v>Ranked in collected subject table</x:v>
      </x:c>
      <x:c r="I132" s="35" t="str">
        <x:v>https://www.topuniversities.com/universities/princeton-university</x:v>
      </x:c>
      <x:c r="J132" s="35" t="str">
        <x:v>https://www.topuniversities.com/university-subject-rankings/development-studies/2024?items_per_page=150</x:v>
      </x:c>
      <x:c r="K132" s="35" t="str">
        <x:v>https://spia.princeton.edu/graduate-programs/masters-degrees/mpa</x:v>
      </x:c>
    </x:row>
    <x:row r="133">
      <x:c r="A133" s="31" t="n">
        <x:v>26</x:v>
      </x:c>
      <x:c r="B133" t="str">
        <x:v>Princeton University</x:v>
      </x:c>
      <x:c r="C133" s="32" t="str">
        <x:v>MPA with Science, Technology, and Environmental Policy field</x:v>
      </x:c>
      <x:c r="D133" s="32" t="str">
        <x:v>Development Studies</x:v>
      </x:c>
      <x:c r="E133" s="31" t="n">
        <x:v>2025</x:v>
      </x:c>
      <x:c r="F133" s="31" t="str">
        <x:v>20</x:v>
      </x:c>
      <x:c r="G133" s="43" t="n">
        <x:v>79.6</x:v>
      </x:c>
      <x:c r="H133" s="32" t="str">
        <x:v>Ranked in collected subject table</x:v>
      </x:c>
      <x:c r="I133" s="35" t="str">
        <x:v>https://www.topuniversities.com/universities/princeton-university</x:v>
      </x:c>
      <x:c r="J133" s="35" t="str">
        <x:v>https://www.topuniversities.com/university-subject-rankings/development-studies/2025?items_per_page=150</x:v>
      </x:c>
      <x:c r="K133" s="35" t="str">
        <x:v>https://spia.princeton.edu/graduate-programs/masters-degrees/mpa</x:v>
      </x:c>
    </x:row>
    <x:row r="134">
      <x:c r="A134" s="31" t="n">
        <x:v>26</x:v>
      </x:c>
      <x:c r="B134" t="str">
        <x:v>Princeton University</x:v>
      </x:c>
      <x:c r="C134" s="32" t="str">
        <x:v>MPA with Science, Technology, and Environmental Policy field</x:v>
      </x:c>
      <x:c r="D134" s="32" t="str">
        <x:v>Development Studies</x:v>
      </x:c>
      <x:c r="E134" s="31" t="n">
        <x:v>2026</x:v>
      </x:c>
      <x:c r="F134" s="31" t="str">
        <x:v>19</x:v>
      </x:c>
      <x:c r="G134" s="43" t="n">
        <x:v>75</x:v>
      </x:c>
      <x:c r="H134" s="32" t="str">
        <x:v>Ranked in collected subject table</x:v>
      </x:c>
      <x:c r="I134" s="35" t="str">
        <x:v>https://www.topuniversities.com/universities/princeton-university</x:v>
      </x:c>
      <x:c r="J134" s="35" t="str">
        <x:v>https://www.topuniversities.com/university-subject-rankings/development-studies?items_per_page=150</x:v>
      </x:c>
      <x:c r="K134" s="35" t="str">
        <x:v>https://spia.princeton.edu/graduate-programs/masters-degrees/mpa</x:v>
      </x:c>
    </x:row>
    <x:row r="135">
      <x:c r="A135" s="31" t="n">
        <x:v>27</x:v>
      </x:c>
      <x:c r="B135" t="str">
        <x:v>McGill University</x:v>
      </x:c>
      <x:c r="C135" s="32" t="str">
        <x:v>MSc Sustainability, Science and Society</x:v>
      </x:c>
      <x:c r="D135" s="32" t="str">
        <x:v>Environmental Sciences</x:v>
      </x:c>
      <x:c r="E135" s="31" t="n">
        <x:v>2022</x:v>
      </x:c>
      <x:c r="F135" s="31" t="n">
        <x:f>24</x:f>
        <x:v>24</x:v>
      </x:c>
      <x:c r="G135" s="43" t="n">
        <x:v>87.2</x:v>
      </x:c>
      <x:c r="H135" s="32" t="str">
        <x:v>Ranked in collected subject table</x:v>
      </x:c>
      <x:c r="I135" s="35" t="str">
        <x:v>https://www.topuniversities.com/universities/mcgill-university</x:v>
      </x:c>
      <x:c r="J135" s="35" t="str">
        <x:v>https://www.topuniversities.com/university-subject-rankings/environmental-sciences/2022?items_per_page=150</x:v>
      </x:c>
      <x:c r="K135" s="35" t="str">
        <x:v>https://www.mcgill.ca/study/2026-2027/faculties/science/graduate/programs/master-science-msc-sustainability-science-and-society-thesis</x:v>
      </x:c>
    </x:row>
    <x:row r="136">
      <x:c r="A136" s="31" t="n">
        <x:v>27</x:v>
      </x:c>
      <x:c r="B136" t="str">
        <x:v>McGill University</x:v>
      </x:c>
      <x:c r="C136" s="32" t="str">
        <x:v>MSc Sustainability, Science and Society</x:v>
      </x:c>
      <x:c r="D136" s="32" t="str">
        <x:v>Environmental Sciences</x:v>
      </x:c>
      <x:c r="E136" s="31" t="n">
        <x:v>2023</x:v>
      </x:c>
      <x:c r="F136" s="31" t="str">
        <x:v>23</x:v>
      </x:c>
      <x:c r="G136" s="43" t="n">
        <x:v>86.7</x:v>
      </x:c>
      <x:c r="H136" s="32" t="str">
        <x:v>Ranked in collected subject table</x:v>
      </x:c>
      <x:c r="I136" s="35" t="str">
        <x:v>https://www.topuniversities.com/universities/mcgill-university</x:v>
      </x:c>
      <x:c r="J136" s="35" t="str">
        <x:v>https://www.topuniversities.com/university-subject-rankings/environmental-sciences/2023?items_per_page=150</x:v>
      </x:c>
      <x:c r="K136" s="35" t="str">
        <x:v>https://www.mcgill.ca/study/2026-2027/faculties/science/graduate/programs/master-science-msc-sustainability-science-and-society-thesis</x:v>
      </x:c>
    </x:row>
    <x:row r="137">
      <x:c r="A137" s="31" t="n">
        <x:v>27</x:v>
      </x:c>
      <x:c r="B137" t="str">
        <x:v>McGill University</x:v>
      </x:c>
      <x:c r="C137" s="32" t="str">
        <x:v>MSc Sustainability, Science and Society</x:v>
      </x:c>
      <x:c r="D137" s="32" t="str">
        <x:v>Environmental Sciences</x:v>
      </x:c>
      <x:c r="E137" s="31" t="n">
        <x:v>2024</x:v>
      </x:c>
      <x:c r="F137" s="31" t="n">
        <x:f>18</x:f>
        <x:v>18</x:v>
      </x:c>
      <x:c r="G137" s="43" t="n">
        <x:v>86.8</x:v>
      </x:c>
      <x:c r="H137" s="32" t="str">
        <x:v>Ranked in collected subject table</x:v>
      </x:c>
      <x:c r="I137" s="35" t="str">
        <x:v>https://www.topuniversities.com/universities/mcgill-university</x:v>
      </x:c>
      <x:c r="J137" s="35" t="str">
        <x:v>https://www.topuniversities.com/university-subject-rankings/environmental-sciences/2024?items_per_page=150</x:v>
      </x:c>
      <x:c r="K137" s="35" t="str">
        <x:v>https://www.mcgill.ca/study/2026-2027/faculties/science/graduate/programs/master-science-msc-sustainability-science-and-society-thesis</x:v>
      </x:c>
    </x:row>
    <x:row r="138">
      <x:c r="A138" s="31" t="n">
        <x:v>27</x:v>
      </x:c>
      <x:c r="B138" t="str">
        <x:v>McGill University</x:v>
      </x:c>
      <x:c r="C138" s="32" t="str">
        <x:v>MSc Sustainability, Science and Society</x:v>
      </x:c>
      <x:c r="D138" s="32" t="str">
        <x:v>Environmental Sciences</x:v>
      </x:c>
      <x:c r="E138" s="31" t="n">
        <x:v>2025</x:v>
      </x:c>
      <x:c r="F138" s="31" t="n">
        <x:f>21</x:f>
        <x:v>21</x:v>
      </x:c>
      <x:c r="G138" s="43" t="n">
        <x:v>84.9</x:v>
      </x:c>
      <x:c r="H138" s="32" t="str">
        <x:v>Ranked in collected subject table</x:v>
      </x:c>
      <x:c r="I138" s="35" t="str">
        <x:v>https://www.topuniversities.com/universities/mcgill-university</x:v>
      </x:c>
      <x:c r="J138" s="35" t="str">
        <x:v>https://www.topuniversities.com/university-subject-rankings/environmental-sciences/2025?items_per_page=150</x:v>
      </x:c>
      <x:c r="K138" s="35" t="str">
        <x:v>https://www.mcgill.ca/study/2026-2027/faculties/science/graduate/programs/master-science-msc-sustainability-science-and-society-thesis</x:v>
      </x:c>
    </x:row>
    <x:row r="139">
      <x:c r="A139" s="31" t="n">
        <x:v>27</x:v>
      </x:c>
      <x:c r="B139" t="str">
        <x:v>McGill University</x:v>
      </x:c>
      <x:c r="C139" s="32" t="str">
        <x:v>MSc Sustainability, Science and Society</x:v>
      </x:c>
      <x:c r="D139" s="32" t="str">
        <x:v>Environmental Sciences</x:v>
      </x:c>
      <x:c r="E139" s="31" t="n">
        <x:v>2026</x:v>
      </x:c>
      <x:c r="F139" s="31" t="str">
        <x:v>32</x:v>
      </x:c>
      <x:c r="G139" s="43" t="n">
        <x:v>82.1</x:v>
      </x:c>
      <x:c r="H139" s="32" t="str">
        <x:v>Ranked in collected subject table</x:v>
      </x:c>
      <x:c r="I139" s="35" t="str">
        <x:v>https://www.topuniversities.com/universities/mcgill-university</x:v>
      </x:c>
      <x:c r="J139" s="35" t="str">
        <x:v>https://www.topuniversities.com/university-subject-rankings/environmental-sciences?items_per_page=150</x:v>
      </x:c>
      <x:c r="K139" s="35" t="str">
        <x:v>https://www.mcgill.ca/study/2026-2027/faculties/science/graduate/programs/master-science-msc-sustainability-science-and-society-thesis</x:v>
      </x:c>
    </x:row>
    <x:row r="140">
      <x:c r="A140" s="31" t="n">
        <x:v>28</x:v>
      </x:c>
      <x:c r="B140" t="str">
        <x:v>University of Toronto</x:v>
      </x:c>
      <x:c r="C140" s="32" t="str">
        <x:v>Master of Environment &amp; Sustainability</x:v>
      </x:c>
      <x:c r="D140" s="32" t="str">
        <x:v>Environmental Sciences</x:v>
      </x:c>
      <x:c r="E140" s="31" t="n">
        <x:v>2022</x:v>
      </x:c>
      <x:c r="F140" s="31" t="str">
        <x:v>26</x:v>
      </x:c>
      <x:c r="G140" s="43" t="n">
        <x:v>87.1</x:v>
      </x:c>
      <x:c r="H140" s="32" t="str">
        <x:v>Ranked in collected subject table</x:v>
      </x:c>
      <x:c r="I140" s="35" t="str">
        <x:v>https://www.topuniversities.com/universities/university-toronto</x:v>
      </x:c>
      <x:c r="J140" s="35" t="str">
        <x:v>https://www.topuniversities.com/university-subject-rankings/environmental-sciences/2022?items_per_page=150</x:v>
      </x:c>
      <x:c r="K140" s="35" t="str">
        <x:v>https://www.environment.utoronto.ca/graduate/mes</x:v>
      </x:c>
    </x:row>
    <x:row r="141">
      <x:c r="A141" s="31" t="n">
        <x:v>28</x:v>
      </x:c>
      <x:c r="B141" t="str">
        <x:v>University of Toronto</x:v>
      </x:c>
      <x:c r="C141" s="32" t="str">
        <x:v>Master of Environment &amp; Sustainability</x:v>
      </x:c>
      <x:c r="D141" s="32" t="str">
        <x:v>Environmental Sciences</x:v>
      </x:c>
      <x:c r="E141" s="31" t="n">
        <x:v>2023</x:v>
      </x:c>
      <x:c r="F141" s="31" t="str">
        <x:v>25</x:v>
      </x:c>
      <x:c r="G141" s="43" t="n">
        <x:v>86.5</x:v>
      </x:c>
      <x:c r="H141" s="32" t="str">
        <x:v>Ranked in collected subject table</x:v>
      </x:c>
      <x:c r="I141" s="35" t="str">
        <x:v>https://www.topuniversities.com/universities/university-toronto</x:v>
      </x:c>
      <x:c r="J141" s="35" t="str">
        <x:v>https://www.topuniversities.com/university-subject-rankings/environmental-sciences/2023?items_per_page=150</x:v>
      </x:c>
      <x:c r="K141" s="35" t="str">
        <x:v>https://www.environment.utoronto.ca/graduate/mes</x:v>
      </x:c>
    </x:row>
    <x:row r="142">
      <x:c r="A142" s="31" t="n">
        <x:v>28</x:v>
      </x:c>
      <x:c r="B142" t="str">
        <x:v>University of Toronto</x:v>
      </x:c>
      <x:c r="C142" s="32" t="str">
        <x:v>Master of Environment &amp; Sustainability</x:v>
      </x:c>
      <x:c r="D142" s="32" t="str">
        <x:v>Environmental Sciences</x:v>
      </x:c>
      <x:c r="E142" s="31" t="n">
        <x:v>2024</x:v>
      </x:c>
      <x:c r="F142" s="31" t="str">
        <x:v>21</x:v>
      </x:c>
      <x:c r="G142" s="43" t="n">
        <x:v>86.2</x:v>
      </x:c>
      <x:c r="H142" s="32" t="str">
        <x:v>Ranked in collected subject table</x:v>
      </x:c>
      <x:c r="I142" s="35" t="str">
        <x:v>https://www.topuniversities.com/universities/university-toronto</x:v>
      </x:c>
      <x:c r="J142" s="35" t="str">
        <x:v>https://www.topuniversities.com/university-subject-rankings/environmental-sciences/2024?items_per_page=150</x:v>
      </x:c>
      <x:c r="K142" s="35" t="str">
        <x:v>https://www.environment.utoronto.ca/graduate/mes</x:v>
      </x:c>
    </x:row>
    <x:row r="143">
      <x:c r="A143" s="31" t="n">
        <x:v>28</x:v>
      </x:c>
      <x:c r="B143" t="str">
        <x:v>University of Toronto</x:v>
      </x:c>
      <x:c r="C143" s="32" t="str">
        <x:v>Master of Environment &amp; Sustainability</x:v>
      </x:c>
      <x:c r="D143" s="32" t="str">
        <x:v>Environmental Sciences</x:v>
      </x:c>
      <x:c r="E143" s="31" t="n">
        <x:v>2025</x:v>
      </x:c>
      <x:c r="F143" s="31" t="n">
        <x:f>21</x:f>
        <x:v>21</x:v>
      </x:c>
      <x:c r="G143" s="43" t="n">
        <x:v>84.9</x:v>
      </x:c>
      <x:c r="H143" s="32" t="str">
        <x:v>Ranked in collected subject table</x:v>
      </x:c>
      <x:c r="I143" s="35" t="str">
        <x:v>https://www.topuniversities.com/universities/university-toronto</x:v>
      </x:c>
      <x:c r="J143" s="35" t="str">
        <x:v>https://www.topuniversities.com/university-subject-rankings/environmental-sciences/2025?items_per_page=150</x:v>
      </x:c>
      <x:c r="K143" s="35" t="str">
        <x:v>https://www.environment.utoronto.ca/graduate/mes</x:v>
      </x:c>
    </x:row>
    <x:row r="144">
      <x:c r="A144" s="31" t="n">
        <x:v>28</x:v>
      </x:c>
      <x:c r="B144" t="str">
        <x:v>University of Toronto</x:v>
      </x:c>
      <x:c r="C144" s="32" t="str">
        <x:v>Master of Environment &amp; Sustainability</x:v>
      </x:c>
      <x:c r="D144" s="32" t="str">
        <x:v>Environmental Sciences</x:v>
      </x:c>
      <x:c r="E144" s="31" t="n">
        <x:v>2026</x:v>
      </x:c>
      <x:c r="F144" s="31" t="n">
        <x:f>25</x:f>
        <x:v>25</x:v>
      </x:c>
      <x:c r="G144" s="43" t="n">
        <x:v>82.6</x:v>
      </x:c>
      <x:c r="H144" s="32" t="str">
        <x:v>Ranked in collected subject table</x:v>
      </x:c>
      <x:c r="I144" s="35" t="str">
        <x:v>https://www.topuniversities.com/universities/university-toronto</x:v>
      </x:c>
      <x:c r="J144" s="35" t="str">
        <x:v>https://www.topuniversities.com/university-subject-rankings/environmental-sciences?items_per_page=150</x:v>
      </x:c>
      <x:c r="K144" s="35" t="str">
        <x:v>https://www.environment.utoronto.ca/graduate/mes</x:v>
      </x:c>
    </x:row>
    <x:row r="145">
      <x:c r="A145" s="31" t="n">
        <x:v>29</x:v>
      </x:c>
      <x:c r="B145" t="str">
        <x:v>Université PSL</x:v>
      </x:c>
      <x:c r="C145" s="32" t="str">
        <x:v>Master in Sustainable Management and Organizations</x:v>
      </x:c>
      <x:c r="D145" s="32" t="str">
        <x:v>Business &amp; Management Studies</x:v>
      </x:c>
      <x:c r="E145" s="31" t="n">
        <x:v>2022</x:v>
      </x:c>
      <x:c r="F145" s="31" t="str">
        <x:v>87</x:v>
      </x:c>
      <x:c r="G145" s="43" t="n">
        <x:v>72.4</x:v>
      </x:c>
      <x:c r="H145" s="32" t="str">
        <x:v>Ranked in collected subject table</x:v>
      </x:c>
      <x:c r="I145" s="35" t="str">
        <x:v>https://www.topuniversities.com/universities/universite-psl</x:v>
      </x:c>
      <x:c r="J145" s="35" t="str">
        <x:v>https://www.topuniversities.com/university-subject-rankings/business-management-studies/2022?items_per_page=150</x:v>
      </x:c>
      <x:c r="K145" s="35" t="str">
        <x:v>https://dauphine.psl.eu/en/training/masters-degrees/sustainable-management-and-organizations</x:v>
      </x:c>
    </x:row>
    <x:row r="146">
      <x:c r="A146" s="31" t="n">
        <x:v>29</x:v>
      </x:c>
      <x:c r="B146" t="str">
        <x:v>Université PSL</x:v>
      </x:c>
      <x:c r="C146" s="32" t="str">
        <x:v>Master in Sustainable Management and Organizations</x:v>
      </x:c>
      <x:c r="D146" s="32" t="str">
        <x:v>Business &amp; Management Studies</x:v>
      </x:c>
      <x:c r="E146" s="31" t="n">
        <x:v>2023</x:v>
      </x:c>
      <x:c r="F146" s="31" t="str">
        <x:v>104</x:v>
      </x:c>
      <x:c r="G146" s="43" t="n">
        <x:v>71</x:v>
      </x:c>
      <x:c r="H146" s="32" t="str">
        <x:v>Ranked in collected subject table</x:v>
      </x:c>
      <x:c r="I146" s="35" t="str">
        <x:v>https://www.topuniversities.com/universities/universite-psl</x:v>
      </x:c>
      <x:c r="J146" s="35" t="str">
        <x:v>https://www.topuniversities.com/university-subject-rankings/business-management-studies/2023?items_per_page=150</x:v>
      </x:c>
      <x:c r="K146" s="35" t="str">
        <x:v>https://dauphine.psl.eu/en/training/masters-degrees/sustainable-management-and-organizations</x:v>
      </x:c>
    </x:row>
    <x:row r="147">
      <x:c r="A147" s="31" t="n">
        <x:v>29</x:v>
      </x:c>
      <x:c r="B147" t="str">
        <x:v>Université PSL</x:v>
      </x:c>
      <x:c r="C147" s="32" t="str">
        <x:v>Master in Sustainable Management and Organizations</x:v>
      </x:c>
      <x:c r="D147" s="32" t="str">
        <x:v>Business &amp; Management Studies</x:v>
      </x:c>
      <x:c r="E147" s="31" t="n">
        <x:v>2024</x:v>
      </x:c>
      <x:c r="F147" s="31" t="str">
        <x:v>125</x:v>
      </x:c>
      <x:c r="G147" s="43" t="n">
        <x:v>71</x:v>
      </x:c>
      <x:c r="H147" s="32" t="str">
        <x:v>Ranked in collected subject table</x:v>
      </x:c>
      <x:c r="I147" s="35" t="str">
        <x:v>https://www.topuniversities.com/universities/universite-psl</x:v>
      </x:c>
      <x:c r="J147" s="35" t="str">
        <x:v>https://www.topuniversities.com/university-subject-rankings/business-management-studies/2024?items_per_page=150</x:v>
      </x:c>
      <x:c r="K147" s="35" t="str">
        <x:v>https://dauphine.psl.eu/en/training/masters-degrees/sustainable-management-and-organizations</x:v>
      </x:c>
    </x:row>
    <x:row r="148">
      <x:c r="A148" s="31" t="n">
        <x:v>29</x:v>
      </x:c>
      <x:c r="B148" t="str">
        <x:v>Université PSL</x:v>
      </x:c>
      <x:c r="C148" s="32" t="str">
        <x:v>Master in Sustainable Management and Organizations</x:v>
      </x:c>
      <x:c r="D148" s="32" t="str">
        <x:v>Business &amp; Management Studies</x:v>
      </x:c>
      <x:c r="E148" s="31" t="n">
        <x:v>2025</x:v>
      </x:c>
      <x:c r="F148" s="31" t="n">
        <x:f>137</x:f>
        <x:v>137</x:v>
      </x:c>
      <x:c r="G148" s="43" t="n">
        <x:v>68.6</x:v>
      </x:c>
      <x:c r="H148" s="32" t="str">
        <x:v>Ranked in collected subject table</x:v>
      </x:c>
      <x:c r="I148" s="35" t="str">
        <x:v>https://www.topuniversities.com/universities/universite-psl</x:v>
      </x:c>
      <x:c r="J148" s="35" t="str">
        <x:v>https://www.topuniversities.com/university-subject-rankings/business-management-studies/2025?items_per_page=150</x:v>
      </x:c>
      <x:c r="K148" s="35" t="str">
        <x:v>https://dauphine.psl.eu/en/training/masters-degrees/sustainable-management-and-organizations</x:v>
      </x:c>
    </x:row>
    <x:row r="149">
      <x:c r="A149" s="31" t="n">
        <x:v>29</x:v>
      </x:c>
      <x:c r="B149" t="str">
        <x:v>Université PSL</x:v>
      </x:c>
      <x:c r="C149" s="32" t="str">
        <x:v>Master in Sustainable Management and Organizations</x:v>
      </x:c>
      <x:c r="D149" s="32" t="str">
        <x:v>Business &amp; Management Studies</x:v>
      </x:c>
      <x:c r="E149" s="31" t="n">
        <x:v>2026</x:v>
      </x:c>
      <x:c r="F149" s="31" t="str">
        <x:v>151-200</x:v>
      </x:c>
      <x:c r="G149" s="43"/>
      <x:c r="H149" s="32" t="str">
        <x:v>Ranked in collected subject table</x:v>
      </x:c>
      <x:c r="I149" s="35" t="str">
        <x:v>https://www.topuniversities.com/universities/universite-psl</x:v>
      </x:c>
      <x:c r="J149" s="35" t="str">
        <x:v>https://www.topuniversities.com/university-subject-rankings/business-management-studies?items_per_page=150</x:v>
      </x:c>
      <x:c r="K149" s="35" t="str">
        <x:v>https://dauphine.psl.eu/en/training/masters-degrees/sustainable-management-and-organizations</x:v>
      </x:c>
    </x:row>
    <x:row r="150">
      <x:c r="A150" s="31" t="n">
        <x:v>30</x:v>
      </x:c>
      <x:c r="B150" t="str">
        <x:v>The University of Edinburgh</x:v>
      </x:c>
      <x:c r="C150" s="32" t="str">
        <x:v>MSc Global Strategy and Sustainability</x:v>
      </x:c>
      <x:c r="D150" s="32" t="str">
        <x:v>Business &amp; Management Studies</x:v>
      </x:c>
      <x:c r="E150" s="31" t="n">
        <x:v>2022</x:v>
      </x:c>
      <x:c r="F150" s="31" t="n">
        <x:f>117</x:f>
        <x:v>117</x:v>
      </x:c>
      <x:c r="G150" s="43" t="n">
        <x:v>69.7</x:v>
      </x:c>
      <x:c r="H150" s="32" t="str">
        <x:v>Ranked in collected subject table</x:v>
      </x:c>
      <x:c r="I150" s="35" t="str">
        <x:v>https://www.topuniversities.com/universities/university-edinburgh</x:v>
      </x:c>
      <x:c r="J150" s="35" t="str">
        <x:v>https://www.topuniversities.com/university-subject-rankings/business-management-studies/2022?items_per_page=150</x:v>
      </x:c>
      <x:c r="K150" s="35" t="str">
        <x:v>https://www.business-school.ed.ac.uk/msc/global-strategy-sustainability</x:v>
      </x:c>
    </x:row>
    <x:row r="151">
      <x:c r="A151" s="31" t="n">
        <x:v>30</x:v>
      </x:c>
      <x:c r="B151" t="str">
        <x:v>The University of Edinburgh</x:v>
      </x:c>
      <x:c r="C151" s="32" t="str">
        <x:v>MSc Global Strategy and Sustainability</x:v>
      </x:c>
      <x:c r="D151" s="32" t="str">
        <x:v>Business &amp; Management Studies</x:v>
      </x:c>
      <x:c r="E151" s="31" t="n">
        <x:v>2023</x:v>
      </x:c>
      <x:c r="F151" s="31" t="str">
        <x:v>117</x:v>
      </x:c>
      <x:c r="G151" s="43" t="n">
        <x:v>69.6</x:v>
      </x:c>
      <x:c r="H151" s="32" t="str">
        <x:v>Ranked in collected subject table</x:v>
      </x:c>
      <x:c r="I151" s="35" t="str">
        <x:v>https://www.topuniversities.com/universities/university-edinburgh</x:v>
      </x:c>
      <x:c r="J151" s="35" t="str">
        <x:v>https://www.topuniversities.com/university-subject-rankings/business-management-studies/2023?items_per_page=150</x:v>
      </x:c>
      <x:c r="K151" s="35" t="str">
        <x:v>https://www.business-school.ed.ac.uk/msc/global-strategy-sustainability</x:v>
      </x:c>
    </x:row>
    <x:row r="152">
      <x:c r="A152" s="31" t="n">
        <x:v>30</x:v>
      </x:c>
      <x:c r="B152" t="str">
        <x:v>The University of Edinburgh</x:v>
      </x:c>
      <x:c r="C152" s="32" t="str">
        <x:v>MSc Global Strategy and Sustainability</x:v>
      </x:c>
      <x:c r="D152" s="32" t="str">
        <x:v>Business &amp; Management Studies</x:v>
      </x:c>
      <x:c r="E152" s="31" t="n">
        <x:v>2024</x:v>
      </x:c>
      <x:c r="F152" s="31" t="n">
        <x:f>120</x:f>
        <x:v>120</x:v>
      </x:c>
      <x:c r="G152" s="43" t="n">
        <x:v>71.4</x:v>
      </x:c>
      <x:c r="H152" s="32" t="str">
        <x:v>Ranked in collected subject table</x:v>
      </x:c>
      <x:c r="I152" s="35" t="str">
        <x:v>https://www.topuniversities.com/universities/university-edinburgh</x:v>
      </x:c>
      <x:c r="J152" s="35" t="str">
        <x:v>https://www.topuniversities.com/university-subject-rankings/business-management-studies/2024?items_per_page=150</x:v>
      </x:c>
      <x:c r="K152" s="35" t="str">
        <x:v>https://www.business-school.ed.ac.uk/msc/global-strategy-sustainability</x:v>
      </x:c>
    </x:row>
    <x:row r="153">
      <x:c r="A153" s="31" t="n">
        <x:v>30</x:v>
      </x:c>
      <x:c r="B153" t="str">
        <x:v>The University of Edinburgh</x:v>
      </x:c>
      <x:c r="C153" s="32" t="str">
        <x:v>MSc Global Strategy and Sustainability</x:v>
      </x:c>
      <x:c r="D153" s="32" t="str">
        <x:v>Business &amp; Management Studies</x:v>
      </x:c>
      <x:c r="E153" s="31" t="n">
        <x:v>2025</x:v>
      </x:c>
      <x:c r="F153" s="31" t="n">
        <x:f>121</x:f>
        <x:v>121</x:v>
      </x:c>
      <x:c r="G153" s="43" t="n">
        <x:v>70.6</x:v>
      </x:c>
      <x:c r="H153" s="32" t="str">
        <x:v>Ranked in collected subject table</x:v>
      </x:c>
      <x:c r="I153" s="35" t="str">
        <x:v>https://www.topuniversities.com/universities/university-edinburgh</x:v>
      </x:c>
      <x:c r="J153" s="35" t="str">
        <x:v>https://www.topuniversities.com/university-subject-rankings/business-management-studies/2025?items_per_page=150</x:v>
      </x:c>
      <x:c r="K153" s="35" t="str">
        <x:v>https://www.business-school.ed.ac.uk/msc/global-strategy-sustainability</x:v>
      </x:c>
    </x:row>
    <x:row r="154">
      <x:c r="A154" s="31" t="n">
        <x:v>30</x:v>
      </x:c>
      <x:c r="B154" t="str">
        <x:v>The University of Edinburgh</x:v>
      </x:c>
      <x:c r="C154" s="32" t="str">
        <x:v>MSc Global Strategy and Sustainability</x:v>
      </x:c>
      <x:c r="D154" s="32" t="str">
        <x:v>Business &amp; Management Studies</x:v>
      </x:c>
      <x:c r="E154" s="31" t="n">
        <x:v>2026</x:v>
      </x:c>
      <x:c r="F154" s="31" t="n">
        <x:f>109</x:f>
        <x:v>109</x:v>
      </x:c>
      <x:c r="G154" s="43" t="n">
        <x:v>68.9</x:v>
      </x:c>
      <x:c r="H154" s="32" t="str">
        <x:v>Ranked in collected subject table</x:v>
      </x:c>
      <x:c r="I154" s="35" t="str">
        <x:v>https://www.topuniversities.com/universities/university-edinburgh</x:v>
      </x:c>
      <x:c r="J154" s="35" t="str">
        <x:v>https://www.topuniversities.com/university-subject-rankings/business-management-studies?items_per_page=150</x:v>
      </x:c>
      <x:c r="K154" s="35" t="str">
        <x:v>https://www.business-school.ed.ac.uk/msc/global-strategy-sustainability</x:v>
      </x:c>
    </x:row>
    <x:row r="155">
      <x:c r="A155" s="31" t="n">
        <x:v>31</x:v>
      </x:c>
      <x:c r="B155" t="str">
        <x:v>Shanghai Jiao Tong University</x:v>
      </x:c>
      <x:c r="C155" s="32" t="str">
        <x:v>Graduate program in Environmental Science and Engineering</x:v>
      </x:c>
      <x:c r="D155" s="32" t="str">
        <x:v>Environmental Sciences</x:v>
      </x:c>
      <x:c r="E155" s="31" t="n">
        <x:v>2022</x:v>
      </x:c>
      <x:c r="F155" s="31" t="str">
        <x:v>57</x:v>
      </x:c>
      <x:c r="G155" s="43" t="n">
        <x:v>82.4</x:v>
      </x:c>
      <x:c r="H155" s="32" t="str">
        <x:v>Ranked in collected subject table</x:v>
      </x:c>
      <x:c r="I155" s="35" t="str">
        <x:v>https://www.topuniversities.com/universities/shanghai-jiao-tong-university</x:v>
      </x:c>
      <x:c r="J155" s="35" t="str">
        <x:v>https://www.topuniversities.com/university-subject-rankings/environmental-sciences/2022?items_per_page=150</x:v>
      </x:c>
      <x:c r="K155" s="35" t="str">
        <x:v>https://en.sjtu.edu.cn/academics/schools/School%20of%20Environmental%20Science%20and%20Engineering</x:v>
      </x:c>
    </x:row>
    <x:row r="156">
      <x:c r="A156" s="31" t="n">
        <x:v>31</x:v>
      </x:c>
      <x:c r="B156" t="str">
        <x:v>Shanghai Jiao Tong University</x:v>
      </x:c>
      <x:c r="C156" s="32" t="str">
        <x:v>Graduate program in Environmental Science and Engineering</x:v>
      </x:c>
      <x:c r="D156" s="32" t="str">
        <x:v>Environmental Sciences</x:v>
      </x:c>
      <x:c r="E156" s="31" t="n">
        <x:v>2023</x:v>
      </x:c>
      <x:c r="F156" s="31" t="str">
        <x:v>58</x:v>
      </x:c>
      <x:c r="G156" s="43" t="n">
        <x:v>82.2</x:v>
      </x:c>
      <x:c r="H156" s="32" t="str">
        <x:v>Ranked in collected subject table</x:v>
      </x:c>
      <x:c r="I156" s="35" t="str">
        <x:v>https://www.topuniversities.com/universities/shanghai-jiao-tong-university</x:v>
      </x:c>
      <x:c r="J156" s="35" t="str">
        <x:v>https://www.topuniversities.com/university-subject-rankings/environmental-sciences/2023?items_per_page=150</x:v>
      </x:c>
      <x:c r="K156" s="35" t="str">
        <x:v>https://en.sjtu.edu.cn/academics/schools/School%20of%20Environmental%20Science%20and%20Engineering</x:v>
      </x:c>
    </x:row>
    <x:row r="157">
      <x:c r="A157" s="31" t="n">
        <x:v>31</x:v>
      </x:c>
      <x:c r="B157" t="str">
        <x:v>Shanghai Jiao Tong University</x:v>
      </x:c>
      <x:c r="C157" s="32" t="str">
        <x:v>Graduate program in Environmental Science and Engineering</x:v>
      </x:c>
      <x:c r="D157" s="32" t="str">
        <x:v>Environmental Sciences</x:v>
      </x:c>
      <x:c r="E157" s="31" t="n">
        <x:v>2024</x:v>
      </x:c>
      <x:c r="F157" s="31" t="n">
        <x:f>61</x:f>
        <x:v>61</x:v>
      </x:c>
      <x:c r="G157" s="43" t="n">
        <x:v>81.2</x:v>
      </x:c>
      <x:c r="H157" s="32" t="str">
        <x:v>Ranked in collected subject table</x:v>
      </x:c>
      <x:c r="I157" s="35" t="str">
        <x:v>https://www.topuniversities.com/universities/shanghai-jiao-tong-university</x:v>
      </x:c>
      <x:c r="J157" s="35" t="str">
        <x:v>https://www.topuniversities.com/university-subject-rankings/environmental-sciences/2024?items_per_page=150</x:v>
      </x:c>
      <x:c r="K157" s="35" t="str">
        <x:v>https://en.sjtu.edu.cn/academics/schools/School%20of%20Environmental%20Science%20and%20Engineering</x:v>
      </x:c>
    </x:row>
    <x:row r="158">
      <x:c r="A158" s="31" t="n">
        <x:v>31</x:v>
      </x:c>
      <x:c r="B158" t="str">
        <x:v>Shanghai Jiao Tong University</x:v>
      </x:c>
      <x:c r="C158" s="32" t="str">
        <x:v>Graduate program in Environmental Science and Engineering</x:v>
      </x:c>
      <x:c r="D158" s="32" t="str">
        <x:v>Environmental Sciences</x:v>
      </x:c>
      <x:c r="E158" s="31" t="n">
        <x:v>2025</x:v>
      </x:c>
      <x:c r="F158" s="31" t="str">
        <x:v>31</x:v>
      </x:c>
      <x:c r="G158" s="43" t="n">
        <x:v>83.5</x:v>
      </x:c>
      <x:c r="H158" s="32" t="str">
        <x:v>Ranked in collected subject table</x:v>
      </x:c>
      <x:c r="I158" s="35" t="str">
        <x:v>https://www.topuniversities.com/universities/shanghai-jiao-tong-university</x:v>
      </x:c>
      <x:c r="J158" s="35" t="str">
        <x:v>https://www.topuniversities.com/university-subject-rankings/environmental-sciences/2025?items_per_page=150</x:v>
      </x:c>
      <x:c r="K158" s="35" t="str">
        <x:v>https://en.sjtu.edu.cn/academics/schools/School%20of%20Environmental%20Science%20and%20Engineering</x:v>
      </x:c>
    </x:row>
    <x:row r="159">
      <x:c r="A159" s="31" t="n">
        <x:v>31</x:v>
      </x:c>
      <x:c r="B159" t="str">
        <x:v>Shanghai Jiao Tong University</x:v>
      </x:c>
      <x:c r="C159" s="32" t="str">
        <x:v>Graduate program in Environmental Science and Engineering</x:v>
      </x:c>
      <x:c r="D159" s="32" t="str">
        <x:v>Environmental Sciences</x:v>
      </x:c>
      <x:c r="E159" s="31" t="n">
        <x:v>2026</x:v>
      </x:c>
      <x:c r="F159" s="31" t="n">
        <x:f>71</x:f>
        <x:v>71</x:v>
      </x:c>
      <x:c r="G159" s="43" t="n">
        <x:v>78.6</x:v>
      </x:c>
      <x:c r="H159" s="32" t="str">
        <x:v>Ranked in collected subject table</x:v>
      </x:c>
      <x:c r="I159" s="35" t="str">
        <x:v>https://www.topuniversities.com/universities/shanghai-jiao-tong-university</x:v>
      </x:c>
      <x:c r="J159" s="35" t="str">
        <x:v>https://www.topuniversities.com/university-subject-rankings/environmental-sciences?items_per_page=150</x:v>
      </x:c>
      <x:c r="K159" s="35" t="str">
        <x:v>https://en.sjtu.edu.cn/academics/schools/School%20of%20Environmental%20Science%20and%20Engineering</x:v>
      </x:c>
    </x:row>
    <x:row r="160">
      <x:c r="A160" s="31" t="n">
        <x:v>32</x:v>
      </x:c>
      <x:c r="B160" t="str">
        <x:v>King's College London</x:v>
      </x:c>
      <x:c r="C160" s="32" t="str">
        <x:v>Environment, Politics and Development MSc</x:v>
      </x:c>
      <x:c r="D160" s="32" t="str">
        <x:v>Development Studies</x:v>
      </x:c>
      <x:c r="E160" s="31" t="n">
        <x:v>2022</x:v>
      </x:c>
      <x:c r="F160" s="31" t="n">
        <x:f>46</x:f>
        <x:v>46</x:v>
      </x:c>
      <x:c r="G160" s="43" t="n">
        <x:v>69.5</x:v>
      </x:c>
      <x:c r="H160" s="32" t="str">
        <x:v>Ranked in collected subject table</x:v>
      </x:c>
      <x:c r="I160" s="35" t="str">
        <x:v>https://www.topuniversities.com/universities/kings-college-london</x:v>
      </x:c>
      <x:c r="J160" s="35" t="str">
        <x:v>https://www.topuniversities.com/university-subject-rankings/development-studies/2022?items_per_page=150</x:v>
      </x:c>
      <x:c r="K160" s="35" t="str">
        <x:v>https://www.kcl.ac.uk/study/postgraduate-taught/courses/environment-politics-and-development-msc</x:v>
      </x:c>
    </x:row>
    <x:row r="161">
      <x:c r="A161" s="31" t="n">
        <x:v>32</x:v>
      </x:c>
      <x:c r="B161" t="str">
        <x:v>King's College London</x:v>
      </x:c>
      <x:c r="C161" s="32" t="str">
        <x:v>Environment, Politics and Development MSc</x:v>
      </x:c>
      <x:c r="D161" s="32" t="str">
        <x:v>Development Studies</x:v>
      </x:c>
      <x:c r="E161" s="31" t="n">
        <x:v>2023</x:v>
      </x:c>
      <x:c r="F161" s="31" t="str">
        <x:v>50</x:v>
      </x:c>
      <x:c r="G161" s="43" t="n">
        <x:v>73.4</x:v>
      </x:c>
      <x:c r="H161" s="32" t="str">
        <x:v>Ranked in collected subject table</x:v>
      </x:c>
      <x:c r="I161" s="35" t="str">
        <x:v>https://www.topuniversities.com/universities/kings-college-london</x:v>
      </x:c>
      <x:c r="J161" s="35" t="str">
        <x:v>https://www.topuniversities.com/university-subject-rankings/development-studies/2023?items_per_page=150</x:v>
      </x:c>
      <x:c r="K161" s="35" t="str">
        <x:v>https://www.kcl.ac.uk/study/postgraduate-taught/courses/environment-politics-and-development-msc</x:v>
      </x:c>
    </x:row>
    <x:row r="162">
      <x:c r="A162" s="31" t="n">
        <x:v>32</x:v>
      </x:c>
      <x:c r="B162" t="str">
        <x:v>King's College London</x:v>
      </x:c>
      <x:c r="C162" s="32" t="str">
        <x:v>Environment, Politics and Development MSc</x:v>
      </x:c>
      <x:c r="D162" s="32" t="str">
        <x:v>Development Studies</x:v>
      </x:c>
      <x:c r="E162" s="31" t="n">
        <x:v>2024</x:v>
      </x:c>
      <x:c r="F162" s="31" t="n">
        <x:f>30</x:f>
        <x:v>30</x:v>
      </x:c>
      <x:c r="G162" s="43" t="n">
        <x:v>78.7</x:v>
      </x:c>
      <x:c r="H162" s="32" t="str">
        <x:v>Ranked in collected subject table</x:v>
      </x:c>
      <x:c r="I162" s="35" t="str">
        <x:v>https://www.topuniversities.com/universities/kings-college-london</x:v>
      </x:c>
      <x:c r="J162" s="35" t="str">
        <x:v>https://www.topuniversities.com/university-subject-rankings/development-studies/2024?items_per_page=150</x:v>
      </x:c>
      <x:c r="K162" s="35" t="str">
        <x:v>https://www.kcl.ac.uk/study/postgraduate-taught/courses/environment-politics-and-development-msc</x:v>
      </x:c>
    </x:row>
    <x:row r="163">
      <x:c r="A163" s="31" t="n">
        <x:v>32</x:v>
      </x:c>
      <x:c r="B163" t="str">
        <x:v>King's College London</x:v>
      </x:c>
      <x:c r="C163" s="32" t="str">
        <x:v>Environment, Politics and Development MSc</x:v>
      </x:c>
      <x:c r="D163" s="32" t="str">
        <x:v>Development Studies</x:v>
      </x:c>
      <x:c r="E163" s="31" t="n">
        <x:v>2025</x:v>
      </x:c>
      <x:c r="F163" s="31" t="str">
        <x:v>31</x:v>
      </x:c>
      <x:c r="G163" s="43" t="n">
        <x:v>77.3</x:v>
      </x:c>
      <x:c r="H163" s="32" t="str">
        <x:v>Ranked in collected subject table</x:v>
      </x:c>
      <x:c r="I163" s="35" t="str">
        <x:v>https://www.topuniversities.com/universities/kings-college-london</x:v>
      </x:c>
      <x:c r="J163" s="35" t="str">
        <x:v>https://www.topuniversities.com/university-subject-rankings/development-studies/2025?items_per_page=150</x:v>
      </x:c>
      <x:c r="K163" s="35" t="str">
        <x:v>https://www.kcl.ac.uk/study/postgraduate-taught/courses/environment-politics-and-development-msc</x:v>
      </x:c>
    </x:row>
    <x:row r="164">
      <x:c r="A164" s="31" t="n">
        <x:v>32</x:v>
      </x:c>
      <x:c r="B164" t="str">
        <x:v>King's College London</x:v>
      </x:c>
      <x:c r="C164" s="32" t="str">
        <x:v>Environment, Politics and Development MSc</x:v>
      </x:c>
      <x:c r="D164" s="32" t="str">
        <x:v>Development Studies</x:v>
      </x:c>
      <x:c r="E164" s="31" t="n">
        <x:v>2026</x:v>
      </x:c>
      <x:c r="F164" s="31" t="str">
        <x:v>21</x:v>
      </x:c>
      <x:c r="G164" s="43" t="n">
        <x:v>74.6</x:v>
      </x:c>
      <x:c r="H164" s="32" t="str">
        <x:v>Ranked in collected subject table</x:v>
      </x:c>
      <x:c r="I164" s="35" t="str">
        <x:v>https://www.topuniversities.com/universities/kings-college-london</x:v>
      </x:c>
      <x:c r="J164" s="35" t="str">
        <x:v>https://www.topuniversities.com/university-subject-rankings/development-studies?items_per_page=150</x:v>
      </x:c>
      <x:c r="K164" s="35" t="str">
        <x:v>https://www.kcl.ac.uk/study/postgraduate-taught/courses/environment-politics-and-development-msc</x:v>
      </x:c>
    </x:row>
    <x:row r="165">
      <x:c r="A165" s="31" t="n">
        <x:v>33</x:v>
      </x:c>
      <x:c r="B165" t="str">
        <x:v>The University of Tokyo</x:v>
      </x:c>
      <x:c r="C165" s="32" t="str">
        <x:v>Graduate Program in Sustainability Science - Global Leadership Initiative</x:v>
      </x:c>
      <x:c r="D165" s="32" t="str">
        <x:v>Environmental Sciences</x:v>
      </x:c>
      <x:c r="E165" s="31" t="n">
        <x:v>2022</x:v>
      </x:c>
      <x:c r="F165" s="31" t="str">
        <x:v>33</x:v>
      </x:c>
      <x:c r="G165" s="43" t="n">
        <x:v>86.1</x:v>
      </x:c>
      <x:c r="H165" s="32" t="str">
        <x:v>Ranked in collected subject table</x:v>
      </x:c>
      <x:c r="I165" s="35" t="str">
        <x:v>https://www.topuniversities.com/universities/university-tokyo</x:v>
      </x:c>
      <x:c r="J165" s="35" t="str">
        <x:v>https://www.topuniversities.com/university-subject-rankings/environmental-sciences/2022?items_per_page=150</x:v>
      </x:c>
      <x:c r="K165" s="35" t="str">
        <x:v>https://www.sustainability.k.u-tokyo.ac.jp/</x:v>
      </x:c>
    </x:row>
    <x:row r="166">
      <x:c r="A166" s="31" t="n">
        <x:v>33</x:v>
      </x:c>
      <x:c r="B166" t="str">
        <x:v>The University of Tokyo</x:v>
      </x:c>
      <x:c r="C166" s="32" t="str">
        <x:v>Graduate Program in Sustainability Science - Global Leadership Initiative</x:v>
      </x:c>
      <x:c r="D166" s="32" t="str">
        <x:v>Environmental Sciences</x:v>
      </x:c>
      <x:c r="E166" s="31" t="n">
        <x:v>2023</x:v>
      </x:c>
      <x:c r="F166" s="31" t="str">
        <x:v>33</x:v>
      </x:c>
      <x:c r="G166" s="43" t="n">
        <x:v>84.7</x:v>
      </x:c>
      <x:c r="H166" s="32" t="str">
        <x:v>Ranked in collected subject table</x:v>
      </x:c>
      <x:c r="I166" s="35" t="str">
        <x:v>https://www.topuniversities.com/universities/university-tokyo</x:v>
      </x:c>
      <x:c r="J166" s="35" t="str">
        <x:v>https://www.topuniversities.com/university-subject-rankings/environmental-sciences/2023?items_per_page=150</x:v>
      </x:c>
      <x:c r="K166" s="35" t="str">
        <x:v>https://www.sustainability.k.u-tokyo.ac.jp/</x:v>
      </x:c>
    </x:row>
    <x:row r="167">
      <x:c r="A167" s="31" t="n">
        <x:v>33</x:v>
      </x:c>
      <x:c r="B167" t="str">
        <x:v>The University of Tokyo</x:v>
      </x:c>
      <x:c r="C167" s="32" t="str">
        <x:v>Graduate Program in Sustainability Science - Global Leadership Initiative</x:v>
      </x:c>
      <x:c r="D167" s="32" t="str">
        <x:v>Environmental Sciences</x:v>
      </x:c>
      <x:c r="E167" s="31" t="n">
        <x:v>2024</x:v>
      </x:c>
      <x:c r="F167" s="31" t="n">
        <x:f>31</x:f>
        <x:v>31</x:v>
      </x:c>
      <x:c r="G167" s="43" t="n">
        <x:v>84.2</x:v>
      </x:c>
      <x:c r="H167" s="32" t="str">
        <x:v>Ranked in collected subject table</x:v>
      </x:c>
      <x:c r="I167" s="35" t="str">
        <x:v>https://www.topuniversities.com/universities/university-tokyo</x:v>
      </x:c>
      <x:c r="J167" s="35" t="str">
        <x:v>https://www.topuniversities.com/university-subject-rankings/environmental-sciences/2024?items_per_page=150</x:v>
      </x:c>
      <x:c r="K167" s="35" t="str">
        <x:v>https://www.sustainability.k.u-tokyo.ac.jp/</x:v>
      </x:c>
    </x:row>
    <x:row r="168">
      <x:c r="A168" s="31" t="n">
        <x:v>33</x:v>
      </x:c>
      <x:c r="B168" t="str">
        <x:v>The University of Tokyo</x:v>
      </x:c>
      <x:c r="C168" s="32" t="str">
        <x:v>Graduate Program in Sustainability Science - Global Leadership Initiative</x:v>
      </x:c>
      <x:c r="D168" s="32" t="str">
        <x:v>Environmental Sciences</x:v>
      </x:c>
      <x:c r="E168" s="31" t="n">
        <x:v>2025</x:v>
      </x:c>
      <x:c r="F168" s="31" t="n">
        <x:f>32</x:f>
        <x:v>32</x:v>
      </x:c>
      <x:c r="G168" s="43" t="n">
        <x:v>83.3</x:v>
      </x:c>
      <x:c r="H168" s="32" t="str">
        <x:v>Ranked in collected subject table</x:v>
      </x:c>
      <x:c r="I168" s="35" t="str">
        <x:v>https://www.topuniversities.com/universities/university-tokyo</x:v>
      </x:c>
      <x:c r="J168" s="35" t="str">
        <x:v>https://www.topuniversities.com/university-subject-rankings/environmental-sciences/2025?items_per_page=150</x:v>
      </x:c>
      <x:c r="K168" s="35" t="str">
        <x:v>https://www.sustainability.k.u-tokyo.ac.jp/</x:v>
      </x:c>
    </x:row>
    <x:row r="169">
      <x:c r="A169" s="31" t="n">
        <x:v>33</x:v>
      </x:c>
      <x:c r="B169" t="str">
        <x:v>The University of Tokyo</x:v>
      </x:c>
      <x:c r="C169" s="32" t="str">
        <x:v>Graduate Program in Sustainability Science - Global Leadership Initiative</x:v>
      </x:c>
      <x:c r="D169" s="32" t="str">
        <x:v>Environmental Sciences</x:v>
      </x:c>
      <x:c r="E169" s="31" t="n">
        <x:v>2026</x:v>
      </x:c>
      <x:c r="F169" s="31" t="n">
        <x:f>36</x:f>
        <x:v>36</x:v>
      </x:c>
      <x:c r="G169" s="43" t="n">
        <x:v>81.6</x:v>
      </x:c>
      <x:c r="H169" s="32" t="str">
        <x:v>Ranked in collected subject table</x:v>
      </x:c>
      <x:c r="I169" s="35" t="str">
        <x:v>https://www.topuniversities.com/universities/university-tokyo</x:v>
      </x:c>
      <x:c r="J169" s="35" t="str">
        <x:v>https://www.topuniversities.com/university-subject-rankings/environmental-sciences?items_per_page=150</x:v>
      </x:c>
      <x:c r="K169" s="35" t="str">
        <x:v>https://www.sustainability.k.u-tokyo.ac.jp/</x:v>
      </x:c>
    </x:row>
    <x:row r="170">
      <x:c r="A170" s="31" t="n">
        <x:v>34</x:v>
      </x:c>
      <x:c r="B170" t="str">
        <x:v>Columbia University</x:v>
      </x:c>
      <x:c r="C170" s="32" t="str">
        <x:v>MS in Sustainability Management</x:v>
      </x:c>
      <x:c r="D170" s="32" t="str">
        <x:v>Business &amp; Management Studies</x:v>
      </x:c>
      <x:c r="E170" s="31" t="n">
        <x:v>2022</x:v>
      </x:c>
      <x:c r="F170" s="31" t="str">
        <x:v>22</x:v>
      </x:c>
      <x:c r="G170" s="43" t="n">
        <x:v>82.7</x:v>
      </x:c>
      <x:c r="H170" s="32" t="str">
        <x:v>Ranked in collected subject table</x:v>
      </x:c>
      <x:c r="I170" s="35" t="str">
        <x:v>https://www.topuniversities.com/universities/columbia-university</x:v>
      </x:c>
      <x:c r="J170" s="35" t="str">
        <x:v>https://www.topuniversities.com/university-subject-rankings/business-management-studies/2022?items_per_page=150</x:v>
      </x:c>
      <x:c r="K170" s="35" t="str">
        <x:v>https://www.sustainability.ei.columbia.edu/sustainability-management</x:v>
      </x:c>
    </x:row>
    <x:row r="171">
      <x:c r="A171" s="31" t="n">
        <x:v>34</x:v>
      </x:c>
      <x:c r="B171" t="str">
        <x:v>Columbia University</x:v>
      </x:c>
      <x:c r="C171" s="32" t="str">
        <x:v>MS in Sustainability Management</x:v>
      </x:c>
      <x:c r="D171" s="32" t="str">
        <x:v>Business &amp; Management Studies</x:v>
      </x:c>
      <x:c r="E171" s="31" t="n">
        <x:v>2023</x:v>
      </x:c>
      <x:c r="F171" s="31" t="str">
        <x:v>20</x:v>
      </x:c>
      <x:c r="G171" s="43" t="n">
        <x:v>82.8</x:v>
      </x:c>
      <x:c r="H171" s="32" t="str">
        <x:v>Ranked in collected subject table</x:v>
      </x:c>
      <x:c r="I171" s="35" t="str">
        <x:v>https://www.topuniversities.com/universities/columbia-university</x:v>
      </x:c>
      <x:c r="J171" s="35" t="str">
        <x:v>https://www.topuniversities.com/university-subject-rankings/business-management-studies/2023?items_per_page=150</x:v>
      </x:c>
      <x:c r="K171" s="35" t="str">
        <x:v>https://www.sustainability.ei.columbia.edu/sustainability-management</x:v>
      </x:c>
    </x:row>
    <x:row r="172">
      <x:c r="A172" s="31" t="n">
        <x:v>34</x:v>
      </x:c>
      <x:c r="B172" t="str">
        <x:v>Columbia University</x:v>
      </x:c>
      <x:c r="C172" s="32" t="str">
        <x:v>MS in Sustainability Management</x:v>
      </x:c>
      <x:c r="D172" s="32" t="str">
        <x:v>Business &amp; Management Studies</x:v>
      </x:c>
      <x:c r="E172" s="31" t="n">
        <x:v>2024</x:v>
      </x:c>
      <x:c r="F172" s="31" t="str">
        <x:v>20</x:v>
      </x:c>
      <x:c r="G172" s="43" t="n">
        <x:v>83.6</x:v>
      </x:c>
      <x:c r="H172" s="32" t="str">
        <x:v>Ranked in collected subject table</x:v>
      </x:c>
      <x:c r="I172" s="35" t="str">
        <x:v>https://www.topuniversities.com/universities/columbia-university</x:v>
      </x:c>
      <x:c r="J172" s="35" t="str">
        <x:v>https://www.topuniversities.com/university-subject-rankings/business-management-studies/2024?items_per_page=150</x:v>
      </x:c>
      <x:c r="K172" s="35" t="str">
        <x:v>https://www.sustainability.ei.columbia.edu/sustainability-management</x:v>
      </x:c>
    </x:row>
    <x:row r="173">
      <x:c r="A173" s="31" t="n">
        <x:v>34</x:v>
      </x:c>
      <x:c r="B173" t="str">
        <x:v>Columbia University</x:v>
      </x:c>
      <x:c r="C173" s="32" t="str">
        <x:v>MS in Sustainability Management</x:v>
      </x:c>
      <x:c r="D173" s="32" t="str">
        <x:v>Business &amp; Management Studies</x:v>
      </x:c>
      <x:c r="E173" s="31" t="n">
        <x:v>2025</x:v>
      </x:c>
      <x:c r="F173" s="31" t="str">
        <x:v>20</x:v>
      </x:c>
      <x:c r="G173" s="43" t="n">
        <x:v>83.9</x:v>
      </x:c>
      <x:c r="H173" s="32" t="str">
        <x:v>Ranked in collected subject table</x:v>
      </x:c>
      <x:c r="I173" s="35" t="str">
        <x:v>https://www.topuniversities.com/universities/columbia-university</x:v>
      </x:c>
      <x:c r="J173" s="35" t="str">
        <x:v>https://www.topuniversities.com/university-subject-rankings/business-management-studies/2025?items_per_page=150</x:v>
      </x:c>
      <x:c r="K173" s="35" t="str">
        <x:v>https://www.sustainability.ei.columbia.edu/sustainability-management</x:v>
      </x:c>
    </x:row>
    <x:row r="174">
      <x:c r="A174" s="31" t="n">
        <x:v>34</x:v>
      </x:c>
      <x:c r="B174" t="str">
        <x:v>Columbia University</x:v>
      </x:c>
      <x:c r="C174" s="32" t="str">
        <x:v>MS in Sustainability Management</x:v>
      </x:c>
      <x:c r="D174" s="32" t="str">
        <x:v>Business &amp; Management Studies</x:v>
      </x:c>
      <x:c r="E174" s="31" t="n">
        <x:v>2026</x:v>
      </x:c>
      <x:c r="F174" s="31" t="str">
        <x:v>15</x:v>
      </x:c>
      <x:c r="G174" s="43" t="n">
        <x:v>82.7</x:v>
      </x:c>
      <x:c r="H174" s="32" t="str">
        <x:v>Ranked in collected subject table</x:v>
      </x:c>
      <x:c r="I174" s="35" t="str">
        <x:v>https://www.topuniversities.com/universities/columbia-university</x:v>
      </x:c>
      <x:c r="J174" s="35" t="str">
        <x:v>https://www.topuniversities.com/university-subject-rankings/business-management-studies?items_per_page=150</x:v>
      </x:c>
      <x:c r="K174" s="35" t="str">
        <x:v>https://www.sustainability.ei.columbia.edu/sustainability-management</x:v>
      </x:c>
    </x:row>
    <x:row r="175">
      <x:c r="A175" s="31" t="n">
        <x:v>35</x:v>
      </x:c>
      <x:c r="B175" t="str">
        <x:v>Northwestern University</x:v>
      </x:c>
      <x:c r="C175" s="32" t="str">
        <x:v>Master of Science in Energy and Sustainability</x:v>
      </x:c>
      <x:c r="D175" s="32" t="str">
        <x:v>Environmental Sciences</x:v>
      </x:c>
      <x:c r="E175" s="31" t="n">
        <x:v>2022</x:v>
      </x:c>
      <x:c r="F175" s="31" t="str">
        <x:v>151-200</x:v>
      </x:c>
      <x:c r="G175" s="43"/>
      <x:c r="H175" s="32" t="str">
        <x:v>Ranked in collected subject table</x:v>
      </x:c>
      <x:c r="I175" s="35" t="str">
        <x:v>https://www.topuniversities.com/universities/northwestern-university</x:v>
      </x:c>
      <x:c r="J175" s="35" t="str">
        <x:v>https://www.topuniversities.com/university-subject-rankings/environmental-sciences/2022?items_per_page=150</x:v>
      </x:c>
      <x:c r="K175" s="35" t="str">
        <x:v>https://www.mccormick.northwestern.edu/energy-sustainability/</x:v>
      </x:c>
    </x:row>
    <x:row r="176">
      <x:c r="A176" s="31" t="n">
        <x:v>35</x:v>
      </x:c>
      <x:c r="B176" t="str">
        <x:v>Northwestern University</x:v>
      </x:c>
      <x:c r="C176" s="32" t="str">
        <x:v>Master of Science in Energy and Sustainability</x:v>
      </x:c>
      <x:c r="D176" s="32" t="str">
        <x:v>Environmental Sciences</x:v>
      </x:c>
      <x:c r="E176" s="31" t="n">
        <x:v>2023</x:v>
      </x:c>
      <x:c r="F176" s="31" t="str">
        <x:v>201-250</x:v>
      </x:c>
      <x:c r="G176" s="43"/>
      <x:c r="H176" s="32" t="str">
        <x:v>Ranked in collected subject table</x:v>
      </x:c>
      <x:c r="I176" s="35" t="str">
        <x:v>https://www.topuniversities.com/universities/northwestern-university</x:v>
      </x:c>
      <x:c r="J176" s="35" t="str">
        <x:v>https://www.topuniversities.com/university-subject-rankings/environmental-sciences/2023?items_per_page=150</x:v>
      </x:c>
      <x:c r="K176" s="35" t="str">
        <x:v>https://www.mccormick.northwestern.edu/energy-sustainability/</x:v>
      </x:c>
    </x:row>
    <x:row r="177">
      <x:c r="A177" s="31" t="n">
        <x:v>35</x:v>
      </x:c>
      <x:c r="B177" t="str">
        <x:v>Northwestern University</x:v>
      </x:c>
      <x:c r="C177" s="32" t="str">
        <x:v>Master of Science in Energy and Sustainability</x:v>
      </x:c>
      <x:c r="D177" s="32" t="str">
        <x:v>Environmental Sciences</x:v>
      </x:c>
      <x:c r="E177" s="31" t="n">
        <x:v>2024</x:v>
      </x:c>
      <x:c r="F177" s="31" t="str">
        <x:v>201-250</x:v>
      </x:c>
      <x:c r="G177" s="43"/>
      <x:c r="H177" s="32" t="str">
        <x:v>Ranked in collected subject table</x:v>
      </x:c>
      <x:c r="I177" s="35" t="str">
        <x:v>https://www.topuniversities.com/universities/northwestern-university</x:v>
      </x:c>
      <x:c r="J177" s="35" t="str">
        <x:v>https://www.topuniversities.com/university-subject-rankings/environmental-sciences/2024?items_per_page=150</x:v>
      </x:c>
      <x:c r="K177" s="35" t="str">
        <x:v>https://www.mccormick.northwestern.edu/energy-sustainability/</x:v>
      </x:c>
    </x:row>
    <x:row r="178">
      <x:c r="A178" s="31" t="n">
        <x:v>35</x:v>
      </x:c>
      <x:c r="B178" t="str">
        <x:v>Northwestern University</x:v>
      </x:c>
      <x:c r="C178" s="32" t="str">
        <x:v>Master of Science in Energy and Sustainability</x:v>
      </x:c>
      <x:c r="D178" s="32" t="str">
        <x:v>Environmental Sciences</x:v>
      </x:c>
      <x:c r="E178" s="31" t="n">
        <x:v>2025</x:v>
      </x:c>
      <x:c r="F178" s="31" t="str">
        <x:v>151-200</x:v>
      </x:c>
      <x:c r="G178" s="43"/>
      <x:c r="H178" s="32" t="str">
        <x:v>Ranked in collected subject table</x:v>
      </x:c>
      <x:c r="I178" s="35" t="str">
        <x:v>https://www.topuniversities.com/universities/northwestern-university</x:v>
      </x:c>
      <x:c r="J178" s="35" t="str">
        <x:v>https://www.topuniversities.com/university-subject-rankings/environmental-sciences/2025?items_per_page=150</x:v>
      </x:c>
      <x:c r="K178" s="35" t="str">
        <x:v>https://www.mccormick.northwestern.edu/energy-sustainability/</x:v>
      </x:c>
    </x:row>
    <x:row r="179">
      <x:c r="A179" s="31" t="n">
        <x:v>35</x:v>
      </x:c>
      <x:c r="B179" t="str">
        <x:v>Northwestern University</x:v>
      </x:c>
      <x:c r="C179" s="32" t="str">
        <x:v>Master of Science in Energy and Sustainability</x:v>
      </x:c>
      <x:c r="D179" s="32" t="str">
        <x:v>Environmental Sciences</x:v>
      </x:c>
      <x:c r="E179" s="31" t="n">
        <x:v>2026</x:v>
      </x:c>
      <x:c r="F179" s="31" t="str">
        <x:v>251-300</x:v>
      </x:c>
      <x:c r="G179" s="43"/>
      <x:c r="H179" s="32" t="str">
        <x:v>Ranked in collected subject table</x:v>
      </x:c>
      <x:c r="I179" s="35" t="str">
        <x:v>https://www.topuniversities.com/universities/northwestern-university</x:v>
      </x:c>
      <x:c r="J179" s="35" t="str">
        <x:v>https://www.topuniversities.com/university-subject-rankings/environmental-sciences?items_per_page=150</x:v>
      </x:c>
      <x:c r="K179" s="35" t="str">
        <x:v>https://www.mccormick.northwestern.edu/energy-sustainability/</x:v>
      </x:c>
    </x:row>
    <x:row r="180">
      <x:c r="A180" s="31" t="n">
        <x:v>36</x:v>
      </x:c>
      <x:c r="B180" t="str">
        <x:v>University of British Columbia</x:v>
      </x:c>
      <x:c r="C180" s="32" t="str">
        <x:v>Master of Engineering Leadership in Sustainable Process Engineering</x:v>
      </x:c>
      <x:c r="D180" s="32" t="str">
        <x:v>Environmental Sciences</x:v>
      </x:c>
      <x:c r="E180" s="31" t="n">
        <x:v>2022</x:v>
      </x:c>
      <x:c r="F180" s="31" t="str">
        <x:v>13</x:v>
      </x:c>
      <x:c r="G180" s="43" t="n">
        <x:v>91.1</x:v>
      </x:c>
      <x:c r="H180" s="32" t="str">
        <x:v>Ranked in collected subject table</x:v>
      </x:c>
      <x:c r="I180" s="35" t="str">
        <x:v>https://www.topuniversities.com/universities/university-british-columbia</x:v>
      </x:c>
      <x:c r="J180" s="35" t="str">
        <x:v>https://www.topuniversities.com/university-subject-rankings/environmental-sciences/2022?items_per_page=150</x:v>
      </x:c>
      <x:c r="K180" s="35" t="str">
        <x:v>https://mel.ubc.ca/sustainable-process-engineering</x:v>
      </x:c>
    </x:row>
    <x:row r="181">
      <x:c r="A181" s="31" t="n">
        <x:v>36</x:v>
      </x:c>
      <x:c r="B181" t="str">
        <x:v>University of British Columbia</x:v>
      </x:c>
      <x:c r="C181" s="32" t="str">
        <x:v>Master of Engineering Leadership in Sustainable Process Engineering</x:v>
      </x:c>
      <x:c r="D181" s="32" t="str">
        <x:v>Environmental Sciences</x:v>
      </x:c>
      <x:c r="E181" s="31" t="n">
        <x:v>2023</x:v>
      </x:c>
      <x:c r="F181" s="31" t="str">
        <x:v>12</x:v>
      </x:c>
      <x:c r="G181" s="43" t="n">
        <x:v>90.3</x:v>
      </x:c>
      <x:c r="H181" s="32" t="str">
        <x:v>Ranked in collected subject table</x:v>
      </x:c>
      <x:c r="I181" s="35" t="str">
        <x:v>https://www.topuniversities.com/universities/university-british-columbia</x:v>
      </x:c>
      <x:c r="J181" s="35" t="str">
        <x:v>https://www.topuniversities.com/university-subject-rankings/environmental-sciences/2023?items_per_page=150</x:v>
      </x:c>
      <x:c r="K181" s="35" t="str">
        <x:v>https://mel.ubc.ca/sustainable-process-engineering</x:v>
      </x:c>
    </x:row>
    <x:row r="182">
      <x:c r="A182" s="31" t="n">
        <x:v>36</x:v>
      </x:c>
      <x:c r="B182" t="str">
        <x:v>University of British Columbia</x:v>
      </x:c>
      <x:c r="C182" s="32" t="str">
        <x:v>Master of Engineering Leadership in Sustainable Process Engineering</x:v>
      </x:c>
      <x:c r="D182" s="32" t="str">
        <x:v>Environmental Sciences</x:v>
      </x:c>
      <x:c r="E182" s="31" t="n">
        <x:v>2024</x:v>
      </x:c>
      <x:c r="F182" s="31" t="str">
        <x:v>12</x:v>
      </x:c>
      <x:c r="G182" s="43" t="n">
        <x:v>90.2</x:v>
      </x:c>
      <x:c r="H182" s="32" t="str">
        <x:v>Ranked in collected subject table</x:v>
      </x:c>
      <x:c r="I182" s="35" t="str">
        <x:v>https://www.topuniversities.com/universities/university-british-columbia</x:v>
      </x:c>
      <x:c r="J182" s="35" t="str">
        <x:v>https://www.topuniversities.com/university-subject-rankings/environmental-sciences/2024?items_per_page=150</x:v>
      </x:c>
      <x:c r="K182" s="35" t="str">
        <x:v>https://mel.ubc.ca/sustainable-process-engineering</x:v>
      </x:c>
    </x:row>
    <x:row r="183">
      <x:c r="A183" s="31" t="n">
        <x:v>36</x:v>
      </x:c>
      <x:c r="B183" t="str">
        <x:v>University of British Columbia</x:v>
      </x:c>
      <x:c r="C183" s="32" t="str">
        <x:v>Master of Engineering Leadership in Sustainable Process Engineering</x:v>
      </x:c>
      <x:c r="D183" s="32" t="str">
        <x:v>Environmental Sciences</x:v>
      </x:c>
      <x:c r="E183" s="31" t="n">
        <x:v>2025</x:v>
      </x:c>
      <x:c r="F183" s="31" t="str">
        <x:v>17</x:v>
      </x:c>
      <x:c r="G183" s="43" t="n">
        <x:v>85.7</x:v>
      </x:c>
      <x:c r="H183" s="32" t="str">
        <x:v>Ranked in collected subject table</x:v>
      </x:c>
      <x:c r="I183" s="35" t="str">
        <x:v>https://www.topuniversities.com/universities/university-british-columbia</x:v>
      </x:c>
      <x:c r="J183" s="35" t="str">
        <x:v>https://www.topuniversities.com/university-subject-rankings/environmental-sciences/2025?items_per_page=150</x:v>
      </x:c>
      <x:c r="K183" s="35" t="str">
        <x:v>https://mel.ubc.ca/sustainable-process-engineering</x:v>
      </x:c>
    </x:row>
    <x:row r="184">
      <x:c r="A184" s="31" t="n">
        <x:v>36</x:v>
      </x:c>
      <x:c r="B184" t="str">
        <x:v>University of British Columbia</x:v>
      </x:c>
      <x:c r="C184" s="32" t="str">
        <x:v>Master of Engineering Leadership in Sustainable Process Engineering</x:v>
      </x:c>
      <x:c r="D184" s="32" t="str">
        <x:v>Environmental Sciences</x:v>
      </x:c>
      <x:c r="E184" s="31" t="n">
        <x:v>2026</x:v>
      </x:c>
      <x:c r="F184" s="31" t="str">
        <x:v>15</x:v>
      </x:c>
      <x:c r="G184" s="43" t="n">
        <x:v>85.7</x:v>
      </x:c>
      <x:c r="H184" s="32" t="str">
        <x:v>Ranked in collected subject table</x:v>
      </x:c>
      <x:c r="I184" s="35" t="str">
        <x:v>https://www.topuniversities.com/universities/university-british-columbia</x:v>
      </x:c>
      <x:c r="J184" s="35" t="str">
        <x:v>https://www.topuniversities.com/university-subject-rankings/environmental-sciences?items_per_page=150</x:v>
      </x:c>
      <x:c r="K184" s="35" t="str">
        <x:v>https://mel.ubc.ca/sustainable-process-engineering</x:v>
      </x:c>
    </x:row>
    <x:row r="185">
      <x:c r="A185" s="31" t="n">
        <x:v>37</x:v>
      </x:c>
      <x:c r="B185" t="str">
        <x:v>Zhejiang University</x:v>
      </x:c>
      <x:c r="C185" s="32" t="str">
        <x:v>Graduate program in Environmental Science and Engineering</x:v>
      </x:c>
      <x:c r="D185" s="32" t="str">
        <x:v>Environmental Sciences</x:v>
      </x:c>
      <x:c r="E185" s="31" t="n">
        <x:v>2022</x:v>
      </x:c>
      <x:c r="F185" s="31" t="str">
        <x:v>40</x:v>
      </x:c>
      <x:c r="G185" s="43" t="n">
        <x:v>84.8</x:v>
      </x:c>
      <x:c r="H185" s="32" t="str">
        <x:v>Ranked in collected subject table</x:v>
      </x:c>
      <x:c r="I185" s="35" t="str">
        <x:v>https://www.topuniversities.com/universities/zhejiang-university</x:v>
      </x:c>
      <x:c r="J185" s="35" t="str">
        <x:v>https://www.topuniversities.com/university-subject-rankings/environmental-sciences/2022?items_per_page=150</x:v>
      </x:c>
      <x:c r="K185" s="35" t="str">
        <x:v>http://www.cers.zju.edu.cn/cersen/</x:v>
      </x:c>
    </x:row>
    <x:row r="186">
      <x:c r="A186" s="31" t="n">
        <x:v>37</x:v>
      </x:c>
      <x:c r="B186" t="str">
        <x:v>Zhejiang University</x:v>
      </x:c>
      <x:c r="C186" s="32" t="str">
        <x:v>Graduate program in Environmental Science and Engineering</x:v>
      </x:c>
      <x:c r="D186" s="32" t="str">
        <x:v>Environmental Sciences</x:v>
      </x:c>
      <x:c r="E186" s="31" t="n">
        <x:v>2023</x:v>
      </x:c>
      <x:c r="F186" s="31" t="str">
        <x:v>48</x:v>
      </x:c>
      <x:c r="G186" s="43" t="n">
        <x:v>82.9</x:v>
      </x:c>
      <x:c r="H186" s="32" t="str">
        <x:v>Ranked in collected subject table</x:v>
      </x:c>
      <x:c r="I186" s="35" t="str">
        <x:v>https://www.topuniversities.com/universities/zhejiang-university</x:v>
      </x:c>
      <x:c r="J186" s="35" t="str">
        <x:v>https://www.topuniversities.com/university-subject-rankings/environmental-sciences/2023?items_per_page=150</x:v>
      </x:c>
      <x:c r="K186" s="35" t="str">
        <x:v>http://www.cers.zju.edu.cn/cersen/</x:v>
      </x:c>
    </x:row>
    <x:row r="187">
      <x:c r="A187" s="31" t="n">
        <x:v>37</x:v>
      </x:c>
      <x:c r="B187" t="str">
        <x:v>Zhejiang University</x:v>
      </x:c>
      <x:c r="C187" s="32" t="str">
        <x:v>Graduate program in Environmental Science and Engineering</x:v>
      </x:c>
      <x:c r="D187" s="32" t="str">
        <x:v>Environmental Sciences</x:v>
      </x:c>
      <x:c r="E187" s="31" t="n">
        <x:v>2024</x:v>
      </x:c>
      <x:c r="F187" s="31" t="n">
        <x:f>61</x:f>
        <x:v>61</x:v>
      </x:c>
      <x:c r="G187" s="43" t="n">
        <x:v>81.2</x:v>
      </x:c>
      <x:c r="H187" s="32" t="str">
        <x:v>Ranked in collected subject table</x:v>
      </x:c>
      <x:c r="I187" s="35" t="str">
        <x:v>https://www.topuniversities.com/universities/zhejiang-university</x:v>
      </x:c>
      <x:c r="J187" s="35" t="str">
        <x:v>https://www.topuniversities.com/university-subject-rankings/environmental-sciences/2024?items_per_page=150</x:v>
      </x:c>
      <x:c r="K187" s="35" t="str">
        <x:v>http://www.cers.zju.edu.cn/cersen/</x:v>
      </x:c>
    </x:row>
    <x:row r="188">
      <x:c r="A188" s="31" t="n">
        <x:v>37</x:v>
      </x:c>
      <x:c r="B188" t="str">
        <x:v>Zhejiang University</x:v>
      </x:c>
      <x:c r="C188" s="32" t="str">
        <x:v>Graduate program in Environmental Science and Engineering</x:v>
      </x:c>
      <x:c r="D188" s="32" t="str">
        <x:v>Environmental Sciences</x:v>
      </x:c>
      <x:c r="E188" s="31" t="n">
        <x:v>2025</x:v>
      </x:c>
      <x:c r="F188" s="31" t="str">
        <x:v>23</x:v>
      </x:c>
      <x:c r="G188" s="43" t="n">
        <x:v>84.8</x:v>
      </x:c>
      <x:c r="H188" s="32" t="str">
        <x:v>Ranked in collected subject table</x:v>
      </x:c>
      <x:c r="I188" s="35" t="str">
        <x:v>https://www.topuniversities.com/universities/zhejiang-university</x:v>
      </x:c>
      <x:c r="J188" s="35" t="str">
        <x:v>https://www.topuniversities.com/university-subject-rankings/environmental-sciences/2025?items_per_page=150</x:v>
      </x:c>
      <x:c r="K188" s="35" t="str">
        <x:v>http://www.cers.zju.edu.cn/cersen/</x:v>
      </x:c>
    </x:row>
    <x:row r="189">
      <x:c r="A189" s="31" t="n">
        <x:v>37</x:v>
      </x:c>
      <x:c r="B189" t="str">
        <x:v>Zhejiang University</x:v>
      </x:c>
      <x:c r="C189" s="32" t="str">
        <x:v>Graduate program in Environmental Science and Engineering</x:v>
      </x:c>
      <x:c r="D189" s="32" t="str">
        <x:v>Environmental Sciences</x:v>
      </x:c>
      <x:c r="E189" s="31" t="n">
        <x:v>2026</x:v>
      </x:c>
      <x:c r="F189" s="31" t="n">
        <x:f>52</x:f>
        <x:v>52</x:v>
      </x:c>
      <x:c r="G189" s="43" t="n">
        <x:v>80</x:v>
      </x:c>
      <x:c r="H189" s="32" t="str">
        <x:v>Ranked in collected subject table</x:v>
      </x:c>
      <x:c r="I189" s="35" t="str">
        <x:v>https://www.topuniversities.com/universities/zhejiang-university</x:v>
      </x:c>
      <x:c r="J189" s="35" t="str">
        <x:v>https://www.topuniversities.com/university-subject-rankings/environmental-sciences?items_per_page=150</x:v>
      </x:c>
      <x:c r="K189" s="35" t="str">
        <x:v>http://www.cers.zju.edu.cn/cersen/</x:v>
      </x:c>
    </x:row>
    <x:row r="190">
      <x:c r="A190" s="31" t="n">
        <x:v>38</x:v>
      </x:c>
      <x:c r="B190" t="str">
        <x:v>University of California, Los Angeles (UCLA)</x:v>
      </x:c>
      <x:c r="C190" s="32" t="str">
        <x:v>Urban Planning MA - Environmental Analysis and Policy / sustainability focus</x:v>
      </x:c>
      <x:c r="D190" s="32" t="str">
        <x:v>Architecture &amp; Built Environment</x:v>
      </x:c>
      <x:c r="E190" s="31" t="n">
        <x:v>2022</x:v>
      </x:c>
      <x:c r="F190" s="31" t="str">
        <x:v>18</x:v>
      </x:c>
      <x:c r="G190" s="43" t="n">
        <x:v>80.4</x:v>
      </x:c>
      <x:c r="H190" s="32" t="str">
        <x:v>Ranked in collected subject table</x:v>
      </x:c>
      <x:c r="I190" s="35" t="str">
        <x:v>https://www.topuniversities.com/universities/university-california-los-angeles-ucla</x:v>
      </x:c>
      <x:c r="J190" s="35" t="str">
        <x:v>https://www.topuniversities.com/university-subject-rankings/architecture-built-environment/2022?items_per_page=150</x:v>
      </x:c>
      <x:c r="K190" s="35" t="str">
        <x:v>https://luskin.ucla.edu/urban-planning</x:v>
      </x:c>
    </x:row>
    <x:row r="191">
      <x:c r="A191" s="31" t="n">
        <x:v>38</x:v>
      </x:c>
      <x:c r="B191" t="str">
        <x:v>University of California, Los Angeles (UCLA)</x:v>
      </x:c>
      <x:c r="C191" s="32" t="str">
        <x:v>Urban Planning MA - Environmental Analysis and Policy / sustainability focus</x:v>
      </x:c>
      <x:c r="D191" s="32" t="str">
        <x:v>Architecture &amp; Built Environment</x:v>
      </x:c>
      <x:c r="E191" s="31" t="n">
        <x:v>2023</x:v>
      </x:c>
      <x:c r="F191" s="31" t="str">
        <x:v>18</x:v>
      </x:c>
      <x:c r="G191" s="43" t="n">
        <x:v>77.8</x:v>
      </x:c>
      <x:c r="H191" s="32" t="str">
        <x:v>Ranked in collected subject table</x:v>
      </x:c>
      <x:c r="I191" s="35" t="str">
        <x:v>https://www.topuniversities.com/universities/university-california-los-angeles-ucla</x:v>
      </x:c>
      <x:c r="J191" s="35" t="str">
        <x:v>https://www.topuniversities.com/university-subject-rankings/architecture-built-environment/2023?items_per_page=150</x:v>
      </x:c>
      <x:c r="K191" s="35" t="str">
        <x:v>https://luskin.ucla.edu/urban-planning</x:v>
      </x:c>
    </x:row>
    <x:row r="192">
      <x:c r="A192" s="31" t="n">
        <x:v>38</x:v>
      </x:c>
      <x:c r="B192" t="str">
        <x:v>University of California, Los Angeles (UCLA)</x:v>
      </x:c>
      <x:c r="C192" s="32" t="str">
        <x:v>Urban Planning MA - Environmental Analysis and Policy / sustainability focus</x:v>
      </x:c>
      <x:c r="D192" s="32" t="str">
        <x:v>Architecture &amp; Built Environment</x:v>
      </x:c>
      <x:c r="E192" s="31" t="n">
        <x:v>2024</x:v>
      </x:c>
      <x:c r="F192" s="31" t="str">
        <x:v>17</x:v>
      </x:c>
      <x:c r="G192" s="43" t="n">
        <x:v>79.2</x:v>
      </x:c>
      <x:c r="H192" s="32" t="str">
        <x:v>Ranked in collected subject table</x:v>
      </x:c>
      <x:c r="I192" s="35" t="str">
        <x:v>https://www.topuniversities.com/universities/university-california-los-angeles-ucla</x:v>
      </x:c>
      <x:c r="J192" s="35" t="str">
        <x:v>https://www.topuniversities.com/university-subject-rankings/architecture-built-environment/2024?items_per_page=150</x:v>
      </x:c>
      <x:c r="K192" s="35" t="str">
        <x:v>https://luskin.ucla.edu/urban-planning</x:v>
      </x:c>
    </x:row>
    <x:row r="193">
      <x:c r="A193" s="31" t="n">
        <x:v>38</x:v>
      </x:c>
      <x:c r="B193" t="str">
        <x:v>University of California, Los Angeles (UCLA)</x:v>
      </x:c>
      <x:c r="C193" s="32" t="str">
        <x:v>Urban Planning MA - Environmental Analysis and Policy / sustainability focus</x:v>
      </x:c>
      <x:c r="D193" s="32" t="str">
        <x:v>Architecture &amp; Built Environment</x:v>
      </x:c>
      <x:c r="E193" s="31" t="n">
        <x:v>2025</x:v>
      </x:c>
      <x:c r="F193" s="31" t="n">
        <x:f>27</x:f>
        <x:v>27</x:v>
      </x:c>
      <x:c r="G193" s="43" t="n">
        <x:v>77.2</x:v>
      </x:c>
      <x:c r="H193" s="32" t="str">
        <x:v>Ranked in collected subject table</x:v>
      </x:c>
      <x:c r="I193" s="35" t="str">
        <x:v>https://www.topuniversities.com/universities/university-california-los-angeles-ucla</x:v>
      </x:c>
      <x:c r="J193" s="35" t="str">
        <x:v>https://www.topuniversities.com/university-subject-rankings/architecture-built-environment/2025?items_per_page=150</x:v>
      </x:c>
      <x:c r="K193" s="35" t="str">
        <x:v>https://luskin.ucla.edu/urban-planning</x:v>
      </x:c>
    </x:row>
    <x:row r="194">
      <x:c r="A194" s="31" t="n">
        <x:v>38</x:v>
      </x:c>
      <x:c r="B194" t="str">
        <x:v>University of California, Los Angeles (UCLA)</x:v>
      </x:c>
      <x:c r="C194" s="32" t="str">
        <x:v>Urban Planning MA - Environmental Analysis and Policy / sustainability focus</x:v>
      </x:c>
      <x:c r="D194" s="32" t="str">
        <x:v>Architecture &amp; Built Environment</x:v>
      </x:c>
      <x:c r="E194" s="31" t="n">
        <x:v>2026</x:v>
      </x:c>
      <x:c r="F194" s="31" t="str">
        <x:v>32</x:v>
      </x:c>
      <x:c r="G194" s="43" t="n">
        <x:v>74.1</x:v>
      </x:c>
      <x:c r="H194" s="32" t="str">
        <x:v>Ranked in collected subject table</x:v>
      </x:c>
      <x:c r="I194" s="35" t="str">
        <x:v>https://www.topuniversities.com/universities/university-california-los-angeles-ucla</x:v>
      </x:c>
      <x:c r="J194" s="35" t="str">
        <x:v>https://www.topuniversities.com/university-subject-rankings/architecture-built-environment?items_per_page=150</x:v>
      </x:c>
      <x:c r="K194" s="35" t="str">
        <x:v>https://luskin.ucla.edu/urban-planning</x:v>
      </x:c>
    </x:row>
    <x:row r="195">
      <x:c r="A195" s="31" t="n">
        <x:v>39</x:v>
      </x:c>
      <x:c r="B195" t="str">
        <x:v>The University of New South Wales (UNSW Sydney)</x:v>
      </x:c>
      <x:c r="C195" s="32" t="str">
        <x:v>Master of Environmental Management</x:v>
      </x:c>
      <x:c r="D195" s="32" t="str">
        <x:v>Environmental Sciences</x:v>
      </x:c>
      <x:c r="E195" s="31" t="n">
        <x:v>2022</x:v>
      </x:c>
      <x:c r="F195" s="31" t="str">
        <x:v>22</x:v>
      </x:c>
      <x:c r="G195" s="43" t="n">
        <x:v>87.6</x:v>
      </x:c>
      <x:c r="H195" s="32" t="str">
        <x:v>Ranked in collected subject table</x:v>
      </x:c>
      <x:c r="I195" s="35" t="str">
        <x:v>https://www.topuniversities.com/universities/university-new-south-wales-unsw-sydney</x:v>
      </x:c>
      <x:c r="J195" s="35" t="str">
        <x:v>https://www.topuniversities.com/university-subject-rankings/environmental-sciences/2022?items_per_page=150</x:v>
      </x:c>
      <x:c r="K195" s="35" t="str">
        <x:v>https://www.unsw.edu.au/study/postgraduate/master-of-environmental-management</x:v>
      </x:c>
    </x:row>
    <x:row r="196">
      <x:c r="A196" s="31" t="n">
        <x:v>39</x:v>
      </x:c>
      <x:c r="B196" t="str">
        <x:v>The University of New South Wales (UNSW Sydney)</x:v>
      </x:c>
      <x:c r="C196" s="32" t="str">
        <x:v>Master of Environmental Management</x:v>
      </x:c>
      <x:c r="D196" s="32" t="str">
        <x:v>Environmental Sciences</x:v>
      </x:c>
      <x:c r="E196" s="31" t="n">
        <x:v>2023</x:v>
      </x:c>
      <x:c r="F196" s="31" t="str">
        <x:v>31</x:v>
      </x:c>
      <x:c r="G196" s="43" t="n">
        <x:v>85</x:v>
      </x:c>
      <x:c r="H196" s="32" t="str">
        <x:v>Ranked in collected subject table</x:v>
      </x:c>
      <x:c r="I196" s="35" t="str">
        <x:v>https://www.topuniversities.com/universities/university-new-south-wales-unsw-sydney</x:v>
      </x:c>
      <x:c r="J196" s="35" t="str">
        <x:v>https://www.topuniversities.com/university-subject-rankings/environmental-sciences/2023?items_per_page=150</x:v>
      </x:c>
      <x:c r="K196" s="35" t="str">
        <x:v>https://www.unsw.edu.au/study/postgraduate/master-of-environmental-management</x:v>
      </x:c>
    </x:row>
    <x:row r="197">
      <x:c r="A197" s="31" t="n">
        <x:v>39</x:v>
      </x:c>
      <x:c r="B197" t="str">
        <x:v>The University of New South Wales (UNSW Sydney)</x:v>
      </x:c>
      <x:c r="C197" s="32" t="str">
        <x:v>Master of Environmental Management</x:v>
      </x:c>
      <x:c r="D197" s="32" t="str">
        <x:v>Environmental Sciences</x:v>
      </x:c>
      <x:c r="E197" s="31" t="n">
        <x:v>2024</x:v>
      </x:c>
      <x:c r="F197" s="31" t="str">
        <x:v>33</x:v>
      </x:c>
      <x:c r="G197" s="43" t="n">
        <x:v>84.1</x:v>
      </x:c>
      <x:c r="H197" s="32" t="str">
        <x:v>Ranked in collected subject table</x:v>
      </x:c>
      <x:c r="I197" s="35" t="str">
        <x:v>https://www.topuniversities.com/universities/university-new-south-wales-unsw-sydney</x:v>
      </x:c>
      <x:c r="J197" s="35" t="str">
        <x:v>https://www.topuniversities.com/university-subject-rankings/environmental-sciences/2024?items_per_page=150</x:v>
      </x:c>
      <x:c r="K197" s="35" t="str">
        <x:v>https://www.unsw.edu.au/study/postgraduate/master-of-environmental-management</x:v>
      </x:c>
    </x:row>
    <x:row r="198">
      <x:c r="A198" s="31" t="n">
        <x:v>39</x:v>
      </x:c>
      <x:c r="B198" t="str">
        <x:v>The University of New South Wales (UNSW Sydney)</x:v>
      </x:c>
      <x:c r="C198" s="32" t="str">
        <x:v>Master of Environmental Management</x:v>
      </x:c>
      <x:c r="D198" s="32" t="str">
        <x:v>Environmental Sciences</x:v>
      </x:c>
      <x:c r="E198" s="31" t="n">
        <x:v>2025</x:v>
      </x:c>
      <x:c r="F198" s="31" t="str">
        <x:v>38</x:v>
      </x:c>
      <x:c r="G198" s="43" t="n">
        <x:v>83.1</x:v>
      </x:c>
      <x:c r="H198" s="32" t="str">
        <x:v>Ranked in collected subject table</x:v>
      </x:c>
      <x:c r="I198" s="35" t="str">
        <x:v>https://www.topuniversities.com/universities/university-new-south-wales-unsw-sydney</x:v>
      </x:c>
      <x:c r="J198" s="35" t="str">
        <x:v>https://www.topuniversities.com/university-subject-rankings/environmental-sciences/2025?items_per_page=150</x:v>
      </x:c>
      <x:c r="K198" s="35" t="str">
        <x:v>https://www.unsw.edu.au/study/postgraduate/master-of-environmental-management</x:v>
      </x:c>
    </x:row>
    <x:row r="199">
      <x:c r="A199" s="31" t="n">
        <x:v>39</x:v>
      </x:c>
      <x:c r="B199" t="str">
        <x:v>The University of New South Wales (UNSW Sydney)</x:v>
      </x:c>
      <x:c r="C199" s="32" t="str">
        <x:v>Master of Environmental Management</x:v>
      </x:c>
      <x:c r="D199" s="32" t="str">
        <x:v>Environmental Sciences</x:v>
      </x:c>
      <x:c r="E199" s="31" t="n">
        <x:v>2026</x:v>
      </x:c>
      <x:c r="F199" s="31" t="n">
        <x:f>25</x:f>
        <x:v>25</x:v>
      </x:c>
      <x:c r="G199" s="43" t="n">
        <x:v>82.6</x:v>
      </x:c>
      <x:c r="H199" s="32" t="str">
        <x:v>Ranked in collected subject table</x:v>
      </x:c>
      <x:c r="I199" s="35" t="str">
        <x:v>https://www.topuniversities.com/universities/university-new-south-wales-unsw-sydney</x:v>
      </x:c>
      <x:c r="J199" s="35" t="str">
        <x:v>https://www.topuniversities.com/university-subject-rankings/environmental-sciences?items_per_page=150</x:v>
      </x:c>
      <x:c r="K199" s="35" t="str">
        <x:v>https://www.unsw.edu.au/study/postgraduate/master-of-environmental-management</x:v>
      </x:c>
    </x:row>
    <x:row r="200">
      <x:c r="A200" s="31" t="n">
        <x:v>40</x:v>
      </x:c>
      <x:c r="B200" t="str">
        <x:v>The University of Sydney</x:v>
      </x:c>
      <x:c r="C200" s="32" t="str">
        <x:v>Master of Sustainability</x:v>
      </x:c>
      <x:c r="D200" s="32" t="str">
        <x:v>Environmental Sciences</x:v>
      </x:c>
      <x:c r="E200" s="31" t="n">
        <x:v>2022</x:v>
      </x:c>
      <x:c r="F200" s="31" t="str">
        <x:v>48</x:v>
      </x:c>
      <x:c r="G200" s="43" t="n">
        <x:v>83.9</x:v>
      </x:c>
      <x:c r="H200" s="32" t="str">
        <x:v>Ranked in collected subject table</x:v>
      </x:c>
      <x:c r="I200" s="35" t="str">
        <x:v>https://www.topuniversities.com/universities/university-sydney</x:v>
      </x:c>
      <x:c r="J200" s="35" t="str">
        <x:v>https://www.topuniversities.com/university-subject-rankings/environmental-sciences/2022?items_per_page=150</x:v>
      </x:c>
      <x:c r="K200" s="35" t="str">
        <x:v>https://www.sydney.edu.au/courses/courses/pc/master-of-sustainability.html</x:v>
      </x:c>
    </x:row>
    <x:row r="201">
      <x:c r="A201" s="31" t="n">
        <x:v>40</x:v>
      </x:c>
      <x:c r="B201" t="str">
        <x:v>The University of Sydney</x:v>
      </x:c>
      <x:c r="C201" s="32" t="str">
        <x:v>Master of Sustainability</x:v>
      </x:c>
      <x:c r="D201" s="32" t="str">
        <x:v>Environmental Sciences</x:v>
      </x:c>
      <x:c r="E201" s="31" t="n">
        <x:v>2023</x:v>
      </x:c>
      <x:c r="F201" s="31" t="str">
        <x:v>62</x:v>
      </x:c>
      <x:c r="G201" s="43" t="n">
        <x:v>81.8</x:v>
      </x:c>
      <x:c r="H201" s="32" t="str">
        <x:v>Ranked in collected subject table</x:v>
      </x:c>
      <x:c r="I201" s="35" t="str">
        <x:v>https://www.topuniversities.com/universities/university-sydney</x:v>
      </x:c>
      <x:c r="J201" s="35" t="str">
        <x:v>https://www.topuniversities.com/university-subject-rankings/environmental-sciences/2023?items_per_page=150</x:v>
      </x:c>
      <x:c r="K201" s="35" t="str">
        <x:v>https://www.sydney.edu.au/courses/courses/pc/master-of-sustainability.html</x:v>
      </x:c>
    </x:row>
    <x:row r="202">
      <x:c r="A202" s="31" t="n">
        <x:v>40</x:v>
      </x:c>
      <x:c r="B202" t="str">
        <x:v>The University of Sydney</x:v>
      </x:c>
      <x:c r="C202" s="32" t="str">
        <x:v>Master of Sustainability</x:v>
      </x:c>
      <x:c r="D202" s="32" t="str">
        <x:v>Environmental Sciences</x:v>
      </x:c>
      <x:c r="E202" s="31" t="n">
        <x:v>2024</x:v>
      </x:c>
      <x:c r="F202" s="31" t="str">
        <x:v>58</x:v>
      </x:c>
      <x:c r="G202" s="43" t="n">
        <x:v>81.5</x:v>
      </x:c>
      <x:c r="H202" s="32" t="str">
        <x:v>Ranked in collected subject table</x:v>
      </x:c>
      <x:c r="I202" s="35" t="str">
        <x:v>https://www.topuniversities.com/universities/university-sydney</x:v>
      </x:c>
      <x:c r="J202" s="35" t="str">
        <x:v>https://www.topuniversities.com/university-subject-rankings/environmental-sciences/2024?items_per_page=150</x:v>
      </x:c>
      <x:c r="K202" s="35" t="str">
        <x:v>https://www.sydney.edu.au/courses/courses/pc/master-of-sustainability.html</x:v>
      </x:c>
    </x:row>
    <x:row r="203">
      <x:c r="A203" s="31" t="n">
        <x:v>40</x:v>
      </x:c>
      <x:c r="B203" t="str">
        <x:v>The University of Sydney</x:v>
      </x:c>
      <x:c r="C203" s="32" t="str">
        <x:v>Master of Sustainability</x:v>
      </x:c>
      <x:c r="D203" s="32" t="str">
        <x:v>Environmental Sciences</x:v>
      </x:c>
      <x:c r="E203" s="31" t="n">
        <x:v>2025</x:v>
      </x:c>
      <x:c r="F203" s="31" t="n">
        <x:f>66</x:f>
        <x:v>66</x:v>
      </x:c>
      <x:c r="G203" s="43" t="n">
        <x:v>80.1</x:v>
      </x:c>
      <x:c r="H203" s="32" t="str">
        <x:v>Ranked in collected subject table</x:v>
      </x:c>
      <x:c r="I203" s="35" t="str">
        <x:v>https://www.topuniversities.com/universities/university-sydney</x:v>
      </x:c>
      <x:c r="J203" s="35" t="str">
        <x:v>https://www.topuniversities.com/university-subject-rankings/environmental-sciences/2025?items_per_page=150</x:v>
      </x:c>
      <x:c r="K203" s="35" t="str">
        <x:v>https://www.sydney.edu.au/courses/courses/pc/master-of-sustainability.html</x:v>
      </x:c>
    </x:row>
    <x:row r="204">
      <x:c r="A204" s="31" t="n">
        <x:v>40</x:v>
      </x:c>
      <x:c r="B204" t="str">
        <x:v>The University of Sydney</x:v>
      </x:c>
      <x:c r="C204" s="32" t="str">
        <x:v>Master of Sustainability</x:v>
      </x:c>
      <x:c r="D204" s="32" t="str">
        <x:v>Environmental Sciences</x:v>
      </x:c>
      <x:c r="E204" s="31" t="n">
        <x:v>2026</x:v>
      </x:c>
      <x:c r="F204" s="31" t="n">
        <x:f>64</x:f>
        <x:v>64</x:v>
      </x:c>
      <x:c r="G204" s="43" t="n">
        <x:v>79.1</x:v>
      </x:c>
      <x:c r="H204" s="32" t="str">
        <x:v>Ranked in collected subject table</x:v>
      </x:c>
      <x:c r="I204" s="35" t="str">
        <x:v>https://www.topuniversities.com/universities/university-sydney</x:v>
      </x:c>
      <x:c r="J204" s="35" t="str">
        <x:v>https://www.topuniversities.com/university-subject-rankings/environmental-sciences?items_per_page=150</x:v>
      </x:c>
      <x:c r="K204" s="35" t="str">
        <x:v>https://www.sydney.edu.au/courses/courses/pc/master-of-sustainability.html</x:v>
      </x:c>
    </x:row>
    <x:row r="205">
      <x:c r="A205" s="31" t="n">
        <x:v>41</x:v>
      </x:c>
      <x:c r="B205" t="str">
        <x:v>Australian National University (ANU)</x:v>
      </x:c>
      <x:c r="C205" s="32" t="str">
        <x:v>Master of Climate Change</x:v>
      </x:c>
      <x:c r="D205" s="32" t="str">
        <x:v>Environmental Sciences</x:v>
      </x:c>
      <x:c r="E205" s="31" t="n">
        <x:v>2022</x:v>
      </x:c>
      <x:c r="F205" s="31" t="n">
        <x:f>29</x:f>
        <x:v>29</x:v>
      </x:c>
      <x:c r="G205" s="43" t="n">
        <x:v>86.6</x:v>
      </x:c>
      <x:c r="H205" s="32" t="str">
        <x:v>Ranked in collected subject table</x:v>
      </x:c>
      <x:c r="I205" s="35" t="str">
        <x:v>https://www.topuniversities.com/universities/australian-national-university-anu</x:v>
      </x:c>
      <x:c r="J205" s="35" t="str">
        <x:v>https://www.topuniversities.com/university-subject-rankings/environmental-sciences/2022?items_per_page=150</x:v>
      </x:c>
      <x:c r="K205" s="35" t="str">
        <x:v>https://programsandcourses.anu.edu.au/program/MCLCH</x:v>
      </x:c>
    </x:row>
    <x:row r="206">
      <x:c r="A206" s="31" t="n">
        <x:v>41</x:v>
      </x:c>
      <x:c r="B206" t="str">
        <x:v>Australian National University (ANU)</x:v>
      </x:c>
      <x:c r="C206" s="32" t="str">
        <x:v>Master of Climate Change</x:v>
      </x:c>
      <x:c r="D206" s="32" t="str">
        <x:v>Environmental Sciences</x:v>
      </x:c>
      <x:c r="E206" s="31" t="n">
        <x:v>2023</x:v>
      </x:c>
      <x:c r="F206" s="31" t="str">
        <x:v>29</x:v>
      </x:c>
      <x:c r="G206" s="43" t="n">
        <x:v>85.8</x:v>
      </x:c>
      <x:c r="H206" s="32" t="str">
        <x:v>Ranked in collected subject table</x:v>
      </x:c>
      <x:c r="I206" s="35" t="str">
        <x:v>https://www.topuniversities.com/universities/australian-national-university-anu</x:v>
      </x:c>
      <x:c r="J206" s="35" t="str">
        <x:v>https://www.topuniversities.com/university-subject-rankings/environmental-sciences/2023?items_per_page=150</x:v>
      </x:c>
      <x:c r="K206" s="35" t="str">
        <x:v>https://programsandcourses.anu.edu.au/program/MCLCH</x:v>
      </x:c>
    </x:row>
    <x:row r="207">
      <x:c r="A207" s="31" t="n">
        <x:v>41</x:v>
      </x:c>
      <x:c r="B207" t="str">
        <x:v>Australian National University (ANU)</x:v>
      </x:c>
      <x:c r="C207" s="32" t="str">
        <x:v>Master of Climate Change</x:v>
      </x:c>
      <x:c r="D207" s="32" t="str">
        <x:v>Environmental Sciences</x:v>
      </x:c>
      <x:c r="E207" s="31" t="n">
        <x:v>2024</x:v>
      </x:c>
      <x:c r="F207" s="31" t="n">
        <x:f>44</x:f>
        <x:v>44</x:v>
      </x:c>
      <x:c r="G207" s="43" t="n">
        <x:v>82.9</x:v>
      </x:c>
      <x:c r="H207" s="32" t="str">
        <x:v>Ranked in collected subject table</x:v>
      </x:c>
      <x:c r="I207" s="35" t="str">
        <x:v>https://www.topuniversities.com/universities/australian-national-university-anu</x:v>
      </x:c>
      <x:c r="J207" s="35" t="str">
        <x:v>https://www.topuniversities.com/university-subject-rankings/environmental-sciences/2024?items_per_page=150</x:v>
      </x:c>
      <x:c r="K207" s="35" t="str">
        <x:v>https://programsandcourses.anu.edu.au/program/MCLCH</x:v>
      </x:c>
    </x:row>
    <x:row r="208">
      <x:c r="A208" s="31" t="n">
        <x:v>41</x:v>
      </x:c>
      <x:c r="B208" t="str">
        <x:v>Australian National University (ANU)</x:v>
      </x:c>
      <x:c r="C208" s="32" t="str">
        <x:v>Master of Climate Change</x:v>
      </x:c>
      <x:c r="D208" s="32" t="str">
        <x:v>Environmental Sciences</x:v>
      </x:c>
      <x:c r="E208" s="31" t="n">
        <x:v>2025</x:v>
      </x:c>
      <x:c r="F208" s="31" t="str">
        <x:v>52</x:v>
      </x:c>
      <x:c r="G208" s="43" t="n">
        <x:v>81.8</x:v>
      </x:c>
      <x:c r="H208" s="32" t="str">
        <x:v>Ranked in collected subject table</x:v>
      </x:c>
      <x:c r="I208" s="35" t="str">
        <x:v>https://www.topuniversities.com/universities/australian-national-university-anu</x:v>
      </x:c>
      <x:c r="J208" s="35" t="str">
        <x:v>https://www.topuniversities.com/university-subject-rankings/environmental-sciences/2025?items_per_page=150</x:v>
      </x:c>
      <x:c r="K208" s="35" t="str">
        <x:v>https://programsandcourses.anu.edu.au/program/MCLCH</x:v>
      </x:c>
    </x:row>
    <x:row r="209">
      <x:c r="A209" s="31" t="n">
        <x:v>41</x:v>
      </x:c>
      <x:c r="B209" t="str">
        <x:v>Australian National University (ANU)</x:v>
      </x:c>
      <x:c r="C209" s="32" t="str">
        <x:v>Master of Climate Change</x:v>
      </x:c>
      <x:c r="D209" s="32" t="str">
        <x:v>Environmental Sciences</x:v>
      </x:c>
      <x:c r="E209" s="31" t="n">
        <x:v>2026</x:v>
      </x:c>
      <x:c r="F209" s="31" t="n">
        <x:f>59</x:f>
        <x:v>59</x:v>
      </x:c>
      <x:c r="G209" s="43" t="n">
        <x:v>79.6</x:v>
      </x:c>
      <x:c r="H209" s="32" t="str">
        <x:v>Ranked in collected subject table</x:v>
      </x:c>
      <x:c r="I209" s="35" t="str">
        <x:v>https://www.topuniversities.com/universities/australian-national-university-anu</x:v>
      </x:c>
      <x:c r="J209" s="35" t="str">
        <x:v>https://www.topuniversities.com/university-subject-rankings/environmental-sciences?items_per_page=150</x:v>
      </x:c>
      <x:c r="K209" s="35" t="str">
        <x:v>https://programsandcourses.anu.edu.au/program/MCLCH</x:v>
      </x:c>
    </x:row>
    <x:row r="210">
      <x:c r="A210" s="31" t="n">
        <x:v>42</x:v>
      </x:c>
      <x:c r="B210" t="str">
        <x:v>Monash University</x:v>
      </x:c>
      <x:c r="C210" s="32" t="str">
        <x:v>Master of Environment and Sustainability</x:v>
      </x:c>
      <x:c r="D210" s="32" t="str">
        <x:v>Environmental Sciences</x:v>
      </x:c>
      <x:c r="E210" s="31" t="n">
        <x:v>2022</x:v>
      </x:c>
      <x:c r="F210" s="31" t="str">
        <x:v>85</x:v>
      </x:c>
      <x:c r="G210" s="43" t="n">
        <x:v>80.2</x:v>
      </x:c>
      <x:c r="H210" s="32" t="str">
        <x:v>Ranked in collected subject table</x:v>
      </x:c>
      <x:c r="I210" s="35" t="str">
        <x:v>https://www.topuniversities.com/universities/monash-university</x:v>
      </x:c>
      <x:c r="J210" s="35" t="str">
        <x:v>https://www.topuniversities.com/university-subject-rankings/environmental-sciences/2022?items_per_page=150</x:v>
      </x:c>
      <x:c r="K210" s="35" t="str">
        <x:v>https://www.monash.edu/study/courses/find-a-course/environment-and-sustainability-s6002</x:v>
      </x:c>
    </x:row>
    <x:row r="211">
      <x:c r="A211" s="31" t="n">
        <x:v>42</x:v>
      </x:c>
      <x:c r="B211" t="str">
        <x:v>Monash University</x:v>
      </x:c>
      <x:c r="C211" s="32" t="str">
        <x:v>Master of Environment and Sustainability</x:v>
      </x:c>
      <x:c r="D211" s="32" t="str">
        <x:v>Environmental Sciences</x:v>
      </x:c>
      <x:c r="E211" s="31" t="n">
        <x:v>2023</x:v>
      </x:c>
      <x:c r="F211" s="31" t="str">
        <x:v>68</x:v>
      </x:c>
      <x:c r="G211" s="43" t="n">
        <x:v>81.2</x:v>
      </x:c>
      <x:c r="H211" s="32" t="str">
        <x:v>Ranked in collected subject table</x:v>
      </x:c>
      <x:c r="I211" s="35" t="str">
        <x:v>https://www.topuniversities.com/universities/monash-university</x:v>
      </x:c>
      <x:c r="J211" s="35" t="str">
        <x:v>https://www.topuniversities.com/university-subject-rankings/environmental-sciences/2023?items_per_page=150</x:v>
      </x:c>
      <x:c r="K211" s="35" t="str">
        <x:v>https://www.monash.edu/study/courses/find-a-course/environment-and-sustainability-s6002</x:v>
      </x:c>
    </x:row>
    <x:row r="212">
      <x:c r="A212" s="31" t="n">
        <x:v>42</x:v>
      </x:c>
      <x:c r="B212" t="str">
        <x:v>Monash University</x:v>
      </x:c>
      <x:c r="C212" s="32" t="str">
        <x:v>Master of Environment and Sustainability</x:v>
      </x:c>
      <x:c r="D212" s="32" t="str">
        <x:v>Environmental Sciences</x:v>
      </x:c>
      <x:c r="E212" s="31" t="n">
        <x:v>2024</x:v>
      </x:c>
      <x:c r="F212" s="31" t="n">
        <x:f>66</x:f>
        <x:v>66</x:v>
      </x:c>
      <x:c r="G212" s="43" t="n">
        <x:v>80.6</x:v>
      </x:c>
      <x:c r="H212" s="32" t="str">
        <x:v>Ranked in collected subject table</x:v>
      </x:c>
      <x:c r="I212" s="35" t="str">
        <x:v>https://www.topuniversities.com/universities/monash-university</x:v>
      </x:c>
      <x:c r="J212" s="35" t="str">
        <x:v>https://www.topuniversities.com/university-subject-rankings/environmental-sciences/2024?items_per_page=150</x:v>
      </x:c>
      <x:c r="K212" s="35" t="str">
        <x:v>https://www.monash.edu/study/courses/find-a-course/environment-and-sustainability-s6002</x:v>
      </x:c>
    </x:row>
    <x:row r="213">
      <x:c r="A213" s="31" t="n">
        <x:v>42</x:v>
      </x:c>
      <x:c r="B213" t="str">
        <x:v>Monash University</x:v>
      </x:c>
      <x:c r="C213" s="32" t="str">
        <x:v>Master of Environment and Sustainability</x:v>
      </x:c>
      <x:c r="D213" s="32" t="str">
        <x:v>Environmental Sciences</x:v>
      </x:c>
      <x:c r="E213" s="31" t="n">
        <x:v>2025</x:v>
      </x:c>
      <x:c r="F213" s="31" t="n">
        <x:f>69</x:f>
        <x:v>69</x:v>
      </x:c>
      <x:c r="G213" s="43" t="n">
        <x:v>80</x:v>
      </x:c>
      <x:c r="H213" s="32" t="str">
        <x:v>Ranked in collected subject table</x:v>
      </x:c>
      <x:c r="I213" s="35" t="str">
        <x:v>https://www.topuniversities.com/universities/monash-university</x:v>
      </x:c>
      <x:c r="J213" s="35" t="str">
        <x:v>https://www.topuniversities.com/university-subject-rankings/environmental-sciences/2025?items_per_page=150</x:v>
      </x:c>
      <x:c r="K213" s="35" t="str">
        <x:v>https://www.monash.edu/study/courses/find-a-course/environment-and-sustainability-s6002</x:v>
      </x:c>
    </x:row>
    <x:row r="214">
      <x:c r="A214" s="31" t="n">
        <x:v>42</x:v>
      </x:c>
      <x:c r="B214" t="str">
        <x:v>Monash University</x:v>
      </x:c>
      <x:c r="C214" s="32" t="str">
        <x:v>Master of Environment and Sustainability</x:v>
      </x:c>
      <x:c r="D214" s="32" t="str">
        <x:v>Environmental Sciences</x:v>
      </x:c>
      <x:c r="E214" s="31" t="n">
        <x:v>2026</x:v>
      </x:c>
      <x:c r="F214" s="31" t="n">
        <x:f>52</x:f>
        <x:v>52</x:v>
      </x:c>
      <x:c r="G214" s="43" t="n">
        <x:v>80</x:v>
      </x:c>
      <x:c r="H214" s="32" t="str">
        <x:v>Ranked in collected subject table</x:v>
      </x:c>
      <x:c r="I214" s="35" t="str">
        <x:v>https://www.topuniversities.com/universities/monash-university</x:v>
      </x:c>
      <x:c r="J214" s="35" t="str">
        <x:v>https://www.topuniversities.com/university-subject-rankings/environmental-sciences?items_per_page=150</x:v>
      </x:c>
      <x:c r="K214" s="35" t="str">
        <x:v>https://www.monash.edu/study/courses/find-a-course/environment-and-sustainability-s6002</x:v>
      </x:c>
    </x:row>
    <x:row r="215">
      <x:c r="A215" s="31" t="n">
        <x:v>43</x:v>
      </x:c>
      <x:c r="B215" t="str">
        <x:v>The Hong Kong University of Science and Technology</x:v>
      </x:c>
      <x:c r="C215" s="32" t="str">
        <x:v>MSc in Environmental Engineering and Management</x:v>
      </x:c>
      <x:c r="D215" s="32" t="str">
        <x:v>Environmental Sciences</x:v>
      </x:c>
      <x:c r="E215" s="31" t="n">
        <x:v>2022</x:v>
      </x:c>
      <x:c r="F215" s="31" t="n">
        <x:f>35</x:f>
        <x:v>35</x:v>
      </x:c>
      <x:c r="G215" s="43" t="n">
        <x:v>85.5</x:v>
      </x:c>
      <x:c r="H215" s="32" t="str">
        <x:v>Ranked in collected subject table</x:v>
      </x:c>
      <x:c r="I215" s="35" t="str">
        <x:v>https://www.topuniversities.com/universities/hong-kong-university-science-technology</x:v>
      </x:c>
      <x:c r="J215" s="35" t="str">
        <x:v>https://www.topuniversities.com/university-subject-rankings/environmental-sciences/2022?items_per_page=150</x:v>
      </x:c>
      <x:c r="K215" s="35" t="str">
        <x:v>https://cee.hkust.edu.hk/msc-environmental-engineering-and-management</x:v>
      </x:c>
    </x:row>
    <x:row r="216">
      <x:c r="A216" s="31" t="n">
        <x:v>43</x:v>
      </x:c>
      <x:c r="B216" t="str">
        <x:v>The Hong Kong University of Science and Technology</x:v>
      </x:c>
      <x:c r="C216" s="32" t="str">
        <x:v>MSc in Environmental Engineering and Management</x:v>
      </x:c>
      <x:c r="D216" s="32" t="str">
        <x:v>Environmental Sciences</x:v>
      </x:c>
      <x:c r="E216" s="31" t="n">
        <x:v>2023</x:v>
      </x:c>
      <x:c r="F216" s="31" t="str">
        <x:v>50</x:v>
      </x:c>
      <x:c r="G216" s="43" t="n">
        <x:v>82.7</x:v>
      </x:c>
      <x:c r="H216" s="32" t="str">
        <x:v>Ranked in collected subject table</x:v>
      </x:c>
      <x:c r="I216" s="35" t="str">
        <x:v>https://www.topuniversities.com/universities/hong-kong-university-science-technology</x:v>
      </x:c>
      <x:c r="J216" s="35" t="str">
        <x:v>https://www.topuniversities.com/university-subject-rankings/environmental-sciences/2023?items_per_page=150</x:v>
      </x:c>
      <x:c r="K216" s="35" t="str">
        <x:v>https://cee.hkust.edu.hk/msc-environmental-engineering-and-management</x:v>
      </x:c>
    </x:row>
    <x:row r="217">
      <x:c r="A217" s="31" t="n">
        <x:v>43</x:v>
      </x:c>
      <x:c r="B217" t="str">
        <x:v>The Hong Kong University of Science and Technology</x:v>
      </x:c>
      <x:c r="C217" s="32" t="str">
        <x:v>MSc in Environmental Engineering and Management</x:v>
      </x:c>
      <x:c r="D217" s="32" t="str">
        <x:v>Environmental Sciences</x:v>
      </x:c>
      <x:c r="E217" s="31" t="n">
        <x:v>2024</x:v>
      </x:c>
      <x:c r="F217" s="31" t="n">
        <x:f>59</x:f>
        <x:v>59</x:v>
      </x:c>
      <x:c r="G217" s="43" t="n">
        <x:v>81.4</x:v>
      </x:c>
      <x:c r="H217" s="32" t="str">
        <x:v>Ranked in collected subject table</x:v>
      </x:c>
      <x:c r="I217" s="35" t="str">
        <x:v>https://www.topuniversities.com/universities/hong-kong-university-science-technology</x:v>
      </x:c>
      <x:c r="J217" s="35" t="str">
        <x:v>https://www.topuniversities.com/university-subject-rankings/environmental-sciences/2024?items_per_page=150</x:v>
      </x:c>
      <x:c r="K217" s="35" t="str">
        <x:v>https://cee.hkust.edu.hk/msc-environmental-engineering-and-management</x:v>
      </x:c>
    </x:row>
    <x:row r="218">
      <x:c r="A218" s="31" t="n">
        <x:v>43</x:v>
      </x:c>
      <x:c r="B218" t="str">
        <x:v>The Hong Kong University of Science and Technology</x:v>
      </x:c>
      <x:c r="C218" s="32" t="str">
        <x:v>MSc in Environmental Engineering and Management</x:v>
      </x:c>
      <x:c r="D218" s="32" t="str">
        <x:v>Environmental Sciences</x:v>
      </x:c>
      <x:c r="E218" s="31" t="n">
        <x:v>2025</x:v>
      </x:c>
      <x:c r="F218" s="31" t="n">
        <x:f>56</x:f>
        <x:v>56</x:v>
      </x:c>
      <x:c r="G218" s="43" t="n">
        <x:v>81.1</x:v>
      </x:c>
      <x:c r="H218" s="32" t="str">
        <x:v>Ranked in collected subject table</x:v>
      </x:c>
      <x:c r="I218" s="35" t="str">
        <x:v>https://www.topuniversities.com/universities/hong-kong-university-science-technology</x:v>
      </x:c>
      <x:c r="J218" s="35" t="str">
        <x:v>https://www.topuniversities.com/university-subject-rankings/environmental-sciences/2025?items_per_page=150</x:v>
      </x:c>
      <x:c r="K218" s="35" t="str">
        <x:v>https://cee.hkust.edu.hk/msc-environmental-engineering-and-management</x:v>
      </x:c>
    </x:row>
    <x:row r="219">
      <x:c r="A219" s="31" t="n">
        <x:v>43</x:v>
      </x:c>
      <x:c r="B219" t="str">
        <x:v>The Hong Kong University of Science and Technology</x:v>
      </x:c>
      <x:c r="C219" s="32" t="str">
        <x:v>MSc in Environmental Engineering and Management</x:v>
      </x:c>
      <x:c r="D219" s="32" t="str">
        <x:v>Environmental Sciences</x:v>
      </x:c>
      <x:c r="E219" s="31" t="n">
        <x:v>2026</x:v>
      </x:c>
      <x:c r="F219" s="31" t="str">
        <x:v>80</x:v>
      </x:c>
      <x:c r="G219" s="43" t="n">
        <x:v>77.6</x:v>
      </x:c>
      <x:c r="H219" s="32" t="str">
        <x:v>Ranked in collected subject table</x:v>
      </x:c>
      <x:c r="I219" s="35" t="str">
        <x:v>https://www.topuniversities.com/universities/hong-kong-university-science-technology</x:v>
      </x:c>
      <x:c r="J219" s="35" t="str">
        <x:v>https://www.topuniversities.com/university-subject-rankings/environmental-sciences?items_per_page=150</x:v>
      </x:c>
      <x:c r="K219" s="35" t="str">
        <x:v>https://cee.hkust.edu.hk/msc-environmental-engineering-and-management</x:v>
      </x:c>
    </x:row>
    <x:row r="220">
      <x:c r="A220" s="31" t="n">
        <x:v>44</x:v>
      </x:c>
      <x:c r="B220" t="str">
        <x:v>Seoul National University</x:v>
      </x:c>
      <x:c r="C220" s="32" t="str">
        <x:v>Graduate School of Environmental Studies - Environmental Management</x:v>
      </x:c>
      <x:c r="D220" s="32" t="str">
        <x:v>Environmental Sciences</x:v>
      </x:c>
      <x:c r="E220" s="31" t="n">
        <x:v>2022</x:v>
      </x:c>
      <x:c r="F220" s="31" t="n">
        <x:f>44</x:f>
        <x:v>44</x:v>
      </x:c>
      <x:c r="G220" s="43" t="n">
        <x:v>84.4</x:v>
      </x:c>
      <x:c r="H220" s="32" t="str">
        <x:v>Ranked in collected subject table</x:v>
      </x:c>
      <x:c r="I220" s="35" t="str">
        <x:v>https://www.topuniversities.com/universities/seoul-national-university</x:v>
      </x:c>
      <x:c r="J220" s="35" t="str">
        <x:v>https://www.topuniversities.com/university-subject-rankings/environmental-sciences/2022?items_per_page=150</x:v>
      </x:c>
      <x:c r="K220" s="35" t="str">
        <x:v>https://gses.snu.ac.kr/</x:v>
      </x:c>
    </x:row>
    <x:row r="221">
      <x:c r="A221" s="31" t="n">
        <x:v>44</x:v>
      </x:c>
      <x:c r="B221" t="str">
        <x:v>Seoul National University</x:v>
      </x:c>
      <x:c r="C221" s="32" t="str">
        <x:v>Graduate School of Environmental Studies - Environmental Management</x:v>
      </x:c>
      <x:c r="D221" s="32" t="str">
        <x:v>Environmental Sciences</x:v>
      </x:c>
      <x:c r="E221" s="31" t="n">
        <x:v>2023</x:v>
      </x:c>
      <x:c r="F221" s="31" t="str">
        <x:v>32</x:v>
      </x:c>
      <x:c r="G221" s="43" t="n">
        <x:v>84.8</x:v>
      </x:c>
      <x:c r="H221" s="32" t="str">
        <x:v>Ranked in collected subject table</x:v>
      </x:c>
      <x:c r="I221" s="35" t="str">
        <x:v>https://www.topuniversities.com/universities/seoul-national-university</x:v>
      </x:c>
      <x:c r="J221" s="35" t="str">
        <x:v>https://www.topuniversities.com/university-subject-rankings/environmental-sciences/2023?items_per_page=150</x:v>
      </x:c>
      <x:c r="K221" s="35" t="str">
        <x:v>https://gses.snu.ac.kr/</x:v>
      </x:c>
    </x:row>
    <x:row r="222">
      <x:c r="A222" s="31" t="n">
        <x:v>44</x:v>
      </x:c>
      <x:c r="B222" t="str">
        <x:v>Seoul National University</x:v>
      </x:c>
      <x:c r="C222" s="32" t="str">
        <x:v>Graduate School of Environmental Studies - Environmental Management</x:v>
      </x:c>
      <x:c r="D222" s="32" t="str">
        <x:v>Environmental Sciences</x:v>
      </x:c>
      <x:c r="E222" s="31" t="n">
        <x:v>2024</x:v>
      </x:c>
      <x:c r="F222" s="31" t="str">
        <x:v>54</x:v>
      </x:c>
      <x:c r="G222" s="43" t="n">
        <x:v>82</x:v>
      </x:c>
      <x:c r="H222" s="32" t="str">
        <x:v>Ranked in collected subject table</x:v>
      </x:c>
      <x:c r="I222" s="35" t="str">
        <x:v>https://www.topuniversities.com/universities/seoul-national-university</x:v>
      </x:c>
      <x:c r="J222" s="35" t="str">
        <x:v>https://www.topuniversities.com/university-subject-rankings/environmental-sciences/2024?items_per_page=150</x:v>
      </x:c>
      <x:c r="K222" s="35" t="str">
        <x:v>https://gses.snu.ac.kr/</x:v>
      </x:c>
    </x:row>
    <x:row r="223">
      <x:c r="A223" s="31" t="n">
        <x:v>44</x:v>
      </x:c>
      <x:c r="B223" t="str">
        <x:v>Seoul National University</x:v>
      </x:c>
      <x:c r="C223" s="32" t="str">
        <x:v>Graduate School of Environmental Studies - Environmental Management</x:v>
      </x:c>
      <x:c r="D223" s="32" t="str">
        <x:v>Environmental Sciences</x:v>
      </x:c>
      <x:c r="E223" s="31" t="n">
        <x:v>2025</x:v>
      </x:c>
      <x:c r="F223" s="31" t="n">
        <x:f>32</x:f>
        <x:v>32</x:v>
      </x:c>
      <x:c r="G223" s="43" t="n">
        <x:v>83.3</x:v>
      </x:c>
      <x:c r="H223" s="32" t="str">
        <x:v>Ranked in collected subject table</x:v>
      </x:c>
      <x:c r="I223" s="35" t="str">
        <x:v>https://www.topuniversities.com/universities/seoul-national-university</x:v>
      </x:c>
      <x:c r="J223" s="35" t="str">
        <x:v>https://www.topuniversities.com/university-subject-rankings/environmental-sciences/2025?items_per_page=150</x:v>
      </x:c>
      <x:c r="K223" s="35" t="str">
        <x:v>https://gses.snu.ac.kr/</x:v>
      </x:c>
    </x:row>
    <x:row r="224">
      <x:c r="A224" s="31" t="n">
        <x:v>44</x:v>
      </x:c>
      <x:c r="B224" t="str">
        <x:v>Seoul National University</x:v>
      </x:c>
      <x:c r="C224" s="32" t="str">
        <x:v>Graduate School of Environmental Studies - Environmental Management</x:v>
      </x:c>
      <x:c r="D224" s="32" t="str">
        <x:v>Environmental Sciences</x:v>
      </x:c>
      <x:c r="E224" s="31" t="n">
        <x:v>2026</x:v>
      </x:c>
      <x:c r="F224" s="31" t="n">
        <x:f>43</x:f>
        <x:v>43</x:v>
      </x:c>
      <x:c r="G224" s="43" t="n">
        <x:v>81</x:v>
      </x:c>
      <x:c r="H224" s="32" t="str">
        <x:v>Ranked in collected subject table</x:v>
      </x:c>
      <x:c r="I224" s="35" t="str">
        <x:v>https://www.topuniversities.com/universities/seoul-national-university</x:v>
      </x:c>
      <x:c r="J224" s="35" t="str">
        <x:v>https://www.topuniversities.com/university-subject-rankings/environmental-sciences?items_per_page=150</x:v>
      </x:c>
      <x:c r="K224" s="35" t="str">
        <x:v>https://gses.snu.ac.kr/</x:v>
      </x:c>
    </x:row>
    <x:row r="225">
      <x:c r="A225" s="31" t="n">
        <x:v>45</x:v>
      </x:c>
      <x:c r="B225" t="str">
        <x:v>The University of Manchester</x:v>
      </x:c>
      <x:c r="C225" s="32" t="str">
        <x:v>MSc Environmental Governance</x:v>
      </x:c>
      <x:c r="D225" s="32" t="str">
        <x:v>Development Studies</x:v>
      </x:c>
      <x:c r="E225" s="31" t="n">
        <x:v>2022</x:v>
      </x:c>
      <x:c r="F225" s="31" t="str">
        <x:v>7</x:v>
      </x:c>
      <x:c r="G225" s="43" t="n">
        <x:v>85.5</x:v>
      </x:c>
      <x:c r="H225" s="32" t="str">
        <x:v>Ranked in collected subject table</x:v>
      </x:c>
      <x:c r="I225" s="35" t="str">
        <x:v>https://www.topuniversities.com/universities/university-manchester</x:v>
      </x:c>
      <x:c r="J225" s="35" t="str">
        <x:v>https://www.topuniversities.com/university-subject-rankings/development-studies/2022?items_per_page=150</x:v>
      </x:c>
      <x:c r="K225" s="35" t="str">
        <x:v>https://www.manchester.ac.uk/study/masters/courses/list/10380/msc-environmental-governance/</x:v>
      </x:c>
    </x:row>
    <x:row r="226">
      <x:c r="A226" s="31" t="n">
        <x:v>45</x:v>
      </x:c>
      <x:c r="B226" t="str">
        <x:v>The University of Manchester</x:v>
      </x:c>
      <x:c r="C226" s="32" t="str">
        <x:v>MSc Environmental Governance</x:v>
      </x:c>
      <x:c r="D226" s="32" t="str">
        <x:v>Development Studies</x:v>
      </x:c>
      <x:c r="E226" s="31" t="n">
        <x:v>2023</x:v>
      </x:c>
      <x:c r="F226" s="31" t="str">
        <x:v>7</x:v>
      </x:c>
      <x:c r="G226" s="43" t="n">
        <x:v>87.7</x:v>
      </x:c>
      <x:c r="H226" s="32" t="str">
        <x:v>Ranked in collected subject table</x:v>
      </x:c>
      <x:c r="I226" s="35" t="str">
        <x:v>https://www.topuniversities.com/universities/university-manchester</x:v>
      </x:c>
      <x:c r="J226" s="35" t="str">
        <x:v>https://www.topuniversities.com/university-subject-rankings/development-studies/2023?items_per_page=150</x:v>
      </x:c>
      <x:c r="K226" s="35" t="str">
        <x:v>https://www.manchester.ac.uk/study/masters/courses/list/10380/msc-environmental-governance/</x:v>
      </x:c>
    </x:row>
    <x:row r="227">
      <x:c r="A227" s="31" t="n">
        <x:v>45</x:v>
      </x:c>
      <x:c r="B227" t="str">
        <x:v>The University of Manchester</x:v>
      </x:c>
      <x:c r="C227" s="32" t="str">
        <x:v>MSc Environmental Governance</x:v>
      </x:c>
      <x:c r="D227" s="32" t="str">
        <x:v>Development Studies</x:v>
      </x:c>
      <x:c r="E227" s="31" t="n">
        <x:v>2024</x:v>
      </x:c>
      <x:c r="F227" s="31" t="n">
        <x:f>10</x:f>
        <x:v>10</x:v>
      </x:c>
      <x:c r="G227" s="43" t="n">
        <x:v>87.2</x:v>
      </x:c>
      <x:c r="H227" s="32" t="str">
        <x:v>Ranked in collected subject table</x:v>
      </x:c>
      <x:c r="I227" s="35" t="str">
        <x:v>https://www.topuniversities.com/universities/university-manchester</x:v>
      </x:c>
      <x:c r="J227" s="35" t="str">
        <x:v>https://www.topuniversities.com/university-subject-rankings/development-studies/2024?items_per_page=150</x:v>
      </x:c>
      <x:c r="K227" s="35" t="str">
        <x:v>https://www.manchester.ac.uk/study/masters/courses/list/10380/msc-environmental-governance/</x:v>
      </x:c>
    </x:row>
    <x:row r="228">
      <x:c r="A228" s="31" t="n">
        <x:v>45</x:v>
      </x:c>
      <x:c r="B228" t="str">
        <x:v>The University of Manchester</x:v>
      </x:c>
      <x:c r="C228" s="32" t="str">
        <x:v>MSc Environmental Governance</x:v>
      </x:c>
      <x:c r="D228" s="32" t="str">
        <x:v>Development Studies</x:v>
      </x:c>
      <x:c r="E228" s="31" t="n">
        <x:v>2025</x:v>
      </x:c>
      <x:c r="F228" s="31" t="str">
        <x:v>11</x:v>
      </x:c>
      <x:c r="G228" s="43" t="n">
        <x:v>85.4</x:v>
      </x:c>
      <x:c r="H228" s="32" t="str">
        <x:v>Ranked in collected subject table</x:v>
      </x:c>
      <x:c r="I228" s="35" t="str">
        <x:v>https://www.topuniversities.com/universities/university-manchester</x:v>
      </x:c>
      <x:c r="J228" s="35" t="str">
        <x:v>https://www.topuniversities.com/university-subject-rankings/development-studies/2025?items_per_page=150</x:v>
      </x:c>
      <x:c r="K228" s="35" t="str">
        <x:v>https://www.manchester.ac.uk/study/masters/courses/list/10380/msc-environmental-governance/</x:v>
      </x:c>
    </x:row>
    <x:row r="229">
      <x:c r="A229" s="31" t="n">
        <x:v>45</x:v>
      </x:c>
      <x:c r="B229" t="str">
        <x:v>The University of Manchester</x:v>
      </x:c>
      <x:c r="C229" s="32" t="str">
        <x:v>MSc Environmental Governance</x:v>
      </x:c>
      <x:c r="D229" s="32" t="str">
        <x:v>Development Studies</x:v>
      </x:c>
      <x:c r="E229" s="31" t="n">
        <x:v>2026</x:v>
      </x:c>
      <x:c r="F229" s="31" t="str">
        <x:v>5</x:v>
      </x:c>
      <x:c r="G229" s="43" t="n">
        <x:v>85.7</x:v>
      </x:c>
      <x:c r="H229" s="32" t="str">
        <x:v>Ranked in collected subject table</x:v>
      </x:c>
      <x:c r="I229" s="35" t="str">
        <x:v>https://www.topuniversities.com/universities/university-manchester</x:v>
      </x:c>
      <x:c r="J229" s="35" t="str">
        <x:v>https://www.topuniversities.com/university-subject-rankings/development-studies?items_per_page=150</x:v>
      </x:c>
      <x:c r="K229" s="35" t="str">
        <x:v>https://www.manchester.ac.uk/study/masters/courses/list/10380/msc-environmental-governance/</x:v>
      </x:c>
    </x:row>
    <x:row r="230">
      <x:c r="A230" s="31" t="n">
        <x:v>46</x:v>
      </x:c>
      <x:c r="B230" t="str">
        <x:v>The University of Queensland</x:v>
      </x:c>
      <x:c r="C230" s="32" t="str">
        <x:v>Master of Environmental Management</x:v>
      </x:c>
      <x:c r="D230" s="32" t="str">
        <x:v>Environmental Sciences</x:v>
      </x:c>
      <x:c r="E230" s="31" t="n">
        <x:v>2022</x:v>
      </x:c>
      <x:c r="F230" s="31" t="str">
        <x:v>19</x:v>
      </x:c>
      <x:c r="G230" s="43" t="n">
        <x:v>88.5</x:v>
      </x:c>
      <x:c r="H230" s="32" t="str">
        <x:v>Ranked in collected subject table</x:v>
      </x:c>
      <x:c r="I230" s="35" t="str">
        <x:v>https://www.topuniversities.com/universities/university-queensland</x:v>
      </x:c>
      <x:c r="J230" s="35" t="str">
        <x:v>https://www.topuniversities.com/university-subject-rankings/environmental-sciences/2022?items_per_page=150</x:v>
      </x:c>
      <x:c r="K230" s="35" t="str">
        <x:v>https://study.uq.edu.au/study-options/programs/master-environmental-management-5609</x:v>
      </x:c>
    </x:row>
    <x:row r="231">
      <x:c r="A231" s="31" t="n">
        <x:v>46</x:v>
      </x:c>
      <x:c r="B231" t="str">
        <x:v>The University of Queensland</x:v>
      </x:c>
      <x:c r="C231" s="32" t="str">
        <x:v>Master of Environmental Management</x:v>
      </x:c>
      <x:c r="D231" s="32" t="str">
        <x:v>Environmental Sciences</x:v>
      </x:c>
      <x:c r="E231" s="31" t="n">
        <x:v>2023</x:v>
      </x:c>
      <x:c r="F231" s="31" t="str">
        <x:v>20</x:v>
      </x:c>
      <x:c r="G231" s="43" t="n">
        <x:v>87.2</x:v>
      </x:c>
      <x:c r="H231" s="32" t="str">
        <x:v>Ranked in collected subject table</x:v>
      </x:c>
      <x:c r="I231" s="35" t="str">
        <x:v>https://www.topuniversities.com/universities/university-queensland</x:v>
      </x:c>
      <x:c r="J231" s="35" t="str">
        <x:v>https://www.topuniversities.com/university-subject-rankings/environmental-sciences/2023?items_per_page=150</x:v>
      </x:c>
      <x:c r="K231" s="35" t="str">
        <x:v>https://study.uq.edu.au/study-options/programs/master-environmental-management-5609</x:v>
      </x:c>
    </x:row>
    <x:row r="232">
      <x:c r="A232" s="31" t="n">
        <x:v>46</x:v>
      </x:c>
      <x:c r="B232" t="str">
        <x:v>The University of Queensland</x:v>
      </x:c>
      <x:c r="C232" s="32" t="str">
        <x:v>Master of Environmental Management</x:v>
      </x:c>
      <x:c r="D232" s="32" t="str">
        <x:v>Environmental Sciences</x:v>
      </x:c>
      <x:c r="E232" s="31" t="n">
        <x:v>2024</x:v>
      </x:c>
      <x:c r="F232" s="31" t="n">
        <x:f>18</x:f>
        <x:v>18</x:v>
      </x:c>
      <x:c r="G232" s="43" t="n">
        <x:v>86.8</x:v>
      </x:c>
      <x:c r="H232" s="32" t="str">
        <x:v>Ranked in collected subject table</x:v>
      </x:c>
      <x:c r="I232" s="35" t="str">
        <x:v>https://www.topuniversities.com/universities/university-queensland</x:v>
      </x:c>
      <x:c r="J232" s="35" t="str">
        <x:v>https://www.topuniversities.com/university-subject-rankings/environmental-sciences/2024?items_per_page=150</x:v>
      </x:c>
      <x:c r="K232" s="35" t="str">
        <x:v>https://study.uq.edu.au/study-options/programs/master-environmental-management-5609</x:v>
      </x:c>
    </x:row>
    <x:row r="233">
      <x:c r="A233" s="31" t="n">
        <x:v>46</x:v>
      </x:c>
      <x:c r="B233" t="str">
        <x:v>The University of Queensland</x:v>
      </x:c>
      <x:c r="C233" s="32" t="str">
        <x:v>Master of Environmental Management</x:v>
      </x:c>
      <x:c r="D233" s="32" t="str">
        <x:v>Environmental Sciences</x:v>
      </x:c>
      <x:c r="E233" s="31" t="n">
        <x:v>2025</x:v>
      </x:c>
      <x:c r="F233" s="31" t="str">
        <x:v>15</x:v>
      </x:c>
      <x:c r="G233" s="43" t="n">
        <x:v>86.5</x:v>
      </x:c>
      <x:c r="H233" s="32" t="str">
        <x:v>Ranked in collected subject table</x:v>
      </x:c>
      <x:c r="I233" s="35" t="str">
        <x:v>https://www.topuniversities.com/universities/university-queensland</x:v>
      </x:c>
      <x:c r="J233" s="35" t="str">
        <x:v>https://www.topuniversities.com/university-subject-rankings/environmental-sciences/2025?items_per_page=150</x:v>
      </x:c>
      <x:c r="K233" s="35" t="str">
        <x:v>https://study.uq.edu.au/study-options/programs/master-environmental-management-5609</x:v>
      </x:c>
    </x:row>
    <x:row r="234">
      <x:c r="A234" s="31" t="n">
        <x:v>46</x:v>
      </x:c>
      <x:c r="B234" t="str">
        <x:v>The University of Queensland</x:v>
      </x:c>
      <x:c r="C234" s="32" t="str">
        <x:v>Master of Environmental Management</x:v>
      </x:c>
      <x:c r="D234" s="32" t="str">
        <x:v>Environmental Sciences</x:v>
      </x:c>
      <x:c r="E234" s="31" t="n">
        <x:v>2026</x:v>
      </x:c>
      <x:c r="F234" s="31" t="n">
        <x:f>18</x:f>
        <x:v>18</x:v>
      </x:c>
      <x:c r="G234" s="43" t="n">
        <x:v>84.3</x:v>
      </x:c>
      <x:c r="H234" s="32" t="str">
        <x:v>Ranked in collected subject table</x:v>
      </x:c>
      <x:c r="I234" s="35" t="str">
        <x:v>https://www.topuniversities.com/universities/university-queensland</x:v>
      </x:c>
      <x:c r="J234" s="35" t="str">
        <x:v>https://www.topuniversities.com/university-subject-rankings/environmental-sciences?items_per_page=150</x:v>
      </x:c>
      <x:c r="K234" s="35" t="str">
        <x:v>https://study.uq.edu.au/study-options/programs/master-environmental-management-5609</x:v>
      </x:c>
    </x:row>
    <x:row r="235">
      <x:c r="A235" s="31" t="n">
        <x:v>47</x:v>
      </x:c>
      <x:c r="B235" t="str">
        <x:v>Yonsei University</x:v>
      </x:c>
      <x:c r="C235" s="32" t="str">
        <x:v>Global Sustainable Development Cooperation major</x:v>
      </x:c>
      <x:c r="D235" s="32" t="str">
        <x:v>Development Studies</x:v>
      </x:c>
      <x:c r="E235" s="31" t="n">
        <x:v>2022</x:v>
      </x:c>
      <x:c r="F235" s="31" t="str">
        <x:v>48</x:v>
      </x:c>
      <x:c r="G235" s="43" t="n">
        <x:v>69.3</x:v>
      </x:c>
      <x:c r="H235" s="32" t="str">
        <x:v>Ranked in collected subject table</x:v>
      </x:c>
      <x:c r="I235" s="35" t="str">
        <x:v>https://www.topuniversities.com/universities/yonsei-university</x:v>
      </x:c>
      <x:c r="J235" s="35" t="str">
        <x:v>https://www.topuniversities.com/university-subject-rankings/development-studies/2022?items_per_page=150</x:v>
      </x:c>
      <x:c r="K235" s="35" t="str">
        <x:v>https://gsis.yonsei.ac.kr/gsis/academics/gsdc.do</x:v>
      </x:c>
    </x:row>
    <x:row r="236">
      <x:c r="A236" s="31" t="n">
        <x:v>47</x:v>
      </x:c>
      <x:c r="B236" t="str">
        <x:v>Yonsei University</x:v>
      </x:c>
      <x:c r="C236" s="32" t="str">
        <x:v>Global Sustainable Development Cooperation major</x:v>
      </x:c>
      <x:c r="D236" s="32" t="str">
        <x:v>Development Studies</x:v>
      </x:c>
      <x:c r="E236" s="31" t="n">
        <x:v>2023</x:v>
      </x:c>
      <x:c r="F236" s="31" t="str">
        <x:v>45</x:v>
      </x:c>
      <x:c r="G236" s="43" t="n">
        <x:v>74.5</x:v>
      </x:c>
      <x:c r="H236" s="32" t="str">
        <x:v>Ranked in collected subject table</x:v>
      </x:c>
      <x:c r="I236" s="35" t="str">
        <x:v>https://www.topuniversities.com/universities/yonsei-university</x:v>
      </x:c>
      <x:c r="J236" s="35" t="str">
        <x:v>https://www.topuniversities.com/university-subject-rankings/development-studies/2023?items_per_page=150</x:v>
      </x:c>
      <x:c r="K236" s="35" t="str">
        <x:v>https://gsis.yonsei.ac.kr/gsis/academics/gsdc.do</x:v>
      </x:c>
    </x:row>
    <x:row r="237">
      <x:c r="A237" s="31" t="n">
        <x:v>47</x:v>
      </x:c>
      <x:c r="B237" t="str">
        <x:v>Yonsei University</x:v>
      </x:c>
      <x:c r="C237" s="32" t="str">
        <x:v>Global Sustainable Development Cooperation major</x:v>
      </x:c>
      <x:c r="D237" s="32" t="str">
        <x:v>Development Studies</x:v>
      </x:c>
      <x:c r="E237" s="31" t="n">
        <x:v>2024</x:v>
      </x:c>
      <x:c r="F237" s="31" t="str">
        <x:v>38</x:v>
      </x:c>
      <x:c r="G237" s="43" t="n">
        <x:v>77.1</x:v>
      </x:c>
      <x:c r="H237" s="32" t="str">
        <x:v>Ranked in collected subject table</x:v>
      </x:c>
      <x:c r="I237" s="35" t="str">
        <x:v>https://www.topuniversities.com/universities/yonsei-university</x:v>
      </x:c>
      <x:c r="J237" s="35" t="str">
        <x:v>https://www.topuniversities.com/university-subject-rankings/development-studies/2024?items_per_page=150</x:v>
      </x:c>
      <x:c r="K237" s="35" t="str">
        <x:v>https://gsis.yonsei.ac.kr/gsis/academics/gsdc.do</x:v>
      </x:c>
    </x:row>
    <x:row r="238">
      <x:c r="A238" s="31" t="n">
        <x:v>47</x:v>
      </x:c>
      <x:c r="B238" t="str">
        <x:v>Yonsei University</x:v>
      </x:c>
      <x:c r="C238" s="32" t="str">
        <x:v>Global Sustainable Development Cooperation major</x:v>
      </x:c>
      <x:c r="D238" s="32" t="str">
        <x:v>Development Studies</x:v>
      </x:c>
      <x:c r="E238" s="31" t="n">
        <x:v>2025</x:v>
      </x:c>
      <x:c r="F238" s="31" t="n">
        <x:f>37</x:f>
        <x:v>37</x:v>
      </x:c>
      <x:c r="G238" s="43" t="n">
        <x:v>75.7</x:v>
      </x:c>
      <x:c r="H238" s="32" t="str">
        <x:v>Ranked in collected subject table</x:v>
      </x:c>
      <x:c r="I238" s="35" t="str">
        <x:v>https://www.topuniversities.com/universities/yonsei-university</x:v>
      </x:c>
      <x:c r="J238" s="35" t="str">
        <x:v>https://www.topuniversities.com/university-subject-rankings/development-studies/2025?items_per_page=150</x:v>
      </x:c>
      <x:c r="K238" s="35" t="str">
        <x:v>https://gsis.yonsei.ac.kr/gsis/academics/gsdc.do</x:v>
      </x:c>
    </x:row>
    <x:row r="239">
      <x:c r="A239" s="31" t="n">
        <x:v>47</x:v>
      </x:c>
      <x:c r="B239" t="str">
        <x:v>Yonsei University</x:v>
      </x:c>
      <x:c r="C239" s="32" t="str">
        <x:v>Global Sustainable Development Cooperation major</x:v>
      </x:c>
      <x:c r="D239" s="32" t="str">
        <x:v>Development Studies</x:v>
      </x:c>
      <x:c r="E239" s="31" t="n">
        <x:v>2026</x:v>
      </x:c>
      <x:c r="F239" s="31" t="str">
        <x:v>NR</x:v>
      </x:c>
      <x:c r="G239" s="43"/>
      <x:c r="H239" s="32" t="str">
        <x:v>Not ranked in complete subject table</x:v>
      </x:c>
      <x:c r="I239" s="35" t="str">
        <x:v>https://www.topuniversities.com/universities/yonsei-university</x:v>
      </x:c>
      <x:c r="J239" s="35" t="str">
        <x:v>https://www.topuniversities.com/university-subject-rankings/development-studies?items_per_page=150</x:v>
      </x:c>
      <x:c r="K239" s="35" t="str">
        <x:v>https://gsis.yonsei.ac.kr/gsis/academics/gsdc.do</x:v>
      </x:c>
    </x:row>
    <x:row r="240">
      <x:c r="A240" s="31" t="n">
        <x:v>48</x:v>
      </x:c>
      <x:c r="B240" t="str">
        <x:v>Institut Polytechnique de Paris</x:v>
      </x:c>
      <x:c r="C240" s="32" t="str">
        <x:v>MSc&amp;T Energy Environment: Science Technology and Management</x:v>
      </x:c>
      <x:c r="D240" s="32" t="str">
        <x:v>Environmental Sciences</x:v>
      </x:c>
      <x:c r="E240" s="31" t="n">
        <x:v>2022</x:v>
      </x:c>
      <x:c r="F240" s="31" t="str">
        <x:v>151-200</x:v>
      </x:c>
      <x:c r="G240" s="43"/>
      <x:c r="H240" s="32" t="str">
        <x:v>Ranked in collected subject table</x:v>
      </x:c>
      <x:c r="I240" s="35" t="str">
        <x:v>https://www.topuniversities.com/universities/institut-polytechnique-de-paris</x:v>
      </x:c>
      <x:c r="J240" s="35" t="str">
        <x:v>https://www.topuniversities.com/university-subject-rankings/environmental-sciences/2022?items_per_page=150</x:v>
      </x:c>
      <x:c r="K240" s="35" t="str">
        <x:v>https://www.ip-paris.fr/en/education/masters/msc-t-programs/energy-environment-science-technology-and-management</x:v>
      </x:c>
    </x:row>
    <x:row r="241">
      <x:c r="A241" s="31" t="n">
        <x:v>48</x:v>
      </x:c>
      <x:c r="B241" t="str">
        <x:v>Institut Polytechnique de Paris</x:v>
      </x:c>
      <x:c r="C241" s="32" t="str">
        <x:v>MSc&amp;T Energy Environment: Science Technology and Management</x:v>
      </x:c>
      <x:c r="D241" s="32" t="str">
        <x:v>Environmental Sciences</x:v>
      </x:c>
      <x:c r="E241" s="31" t="n">
        <x:v>2023</x:v>
      </x:c>
      <x:c r="F241" s="31" t="str">
        <x:v>101-150</x:v>
      </x:c>
      <x:c r="G241" s="43"/>
      <x:c r="H241" s="32" t="str">
        <x:v>Ranked in collected subject table</x:v>
      </x:c>
      <x:c r="I241" s="35" t="str">
        <x:v>https://www.topuniversities.com/universities/institut-polytechnique-de-paris</x:v>
      </x:c>
      <x:c r="J241" s="35" t="str">
        <x:v>https://www.topuniversities.com/university-subject-rankings/environmental-sciences/2023?items_per_page=150</x:v>
      </x:c>
      <x:c r="K241" s="35" t="str">
        <x:v>https://www.ip-paris.fr/en/education/masters/msc-t-programs/energy-environment-science-technology-and-management</x:v>
      </x:c>
    </x:row>
    <x:row r="242">
      <x:c r="A242" s="31" t="n">
        <x:v>48</x:v>
      </x:c>
      <x:c r="B242" t="str">
        <x:v>Institut Polytechnique de Paris</x:v>
      </x:c>
      <x:c r="C242" s="32" t="str">
        <x:v>MSc&amp;T Energy Environment: Science Technology and Management</x:v>
      </x:c>
      <x:c r="D242" s="32" t="str">
        <x:v>Environmental Sciences</x:v>
      </x:c>
      <x:c r="E242" s="31" t="n">
        <x:v>2024</x:v>
      </x:c>
      <x:c r="F242" s="31" t="str">
        <x:v>151-200</x:v>
      </x:c>
      <x:c r="G242" s="43"/>
      <x:c r="H242" s="32" t="str">
        <x:v>Ranked in collected subject table</x:v>
      </x:c>
      <x:c r="I242" s="35" t="str">
        <x:v>https://www.topuniversities.com/universities/institut-polytechnique-de-paris</x:v>
      </x:c>
      <x:c r="J242" s="35" t="str">
        <x:v>https://www.topuniversities.com/university-subject-rankings/environmental-sciences/2024?items_per_page=150</x:v>
      </x:c>
      <x:c r="K242" s="35" t="str">
        <x:v>https://www.ip-paris.fr/en/education/masters/msc-t-programs/energy-environment-science-technology-and-management</x:v>
      </x:c>
    </x:row>
    <x:row r="243">
      <x:c r="A243" s="31" t="n">
        <x:v>48</x:v>
      </x:c>
      <x:c r="B243" t="str">
        <x:v>Institut Polytechnique de Paris</x:v>
      </x:c>
      <x:c r="C243" s="32" t="str">
        <x:v>MSc&amp;T Energy Environment: Science Technology and Management</x:v>
      </x:c>
      <x:c r="D243" s="32" t="str">
        <x:v>Environmental Sciences</x:v>
      </x:c>
      <x:c r="E243" s="31" t="n">
        <x:v>2025</x:v>
      </x:c>
      <x:c r="F243" s="31" t="str">
        <x:v>151-200</x:v>
      </x:c>
      <x:c r="G243" s="43"/>
      <x:c r="H243" s="32" t="str">
        <x:v>Ranked in collected subject table</x:v>
      </x:c>
      <x:c r="I243" s="35" t="str">
        <x:v>https://www.topuniversities.com/universities/institut-polytechnique-de-paris</x:v>
      </x:c>
      <x:c r="J243" s="35" t="str">
        <x:v>https://www.topuniversities.com/university-subject-rankings/environmental-sciences/2025?items_per_page=150</x:v>
      </x:c>
      <x:c r="K243" s="35" t="str">
        <x:v>https://www.ip-paris.fr/en/education/masters/msc-t-programs/energy-environment-science-technology-and-management</x:v>
      </x:c>
    </x:row>
    <x:row r="244">
      <x:c r="A244" s="31" t="n">
        <x:v>48</x:v>
      </x:c>
      <x:c r="B244" t="str">
        <x:v>Institut Polytechnique de Paris</x:v>
      </x:c>
      <x:c r="C244" s="32" t="str">
        <x:v>MSc&amp;T Energy Environment: Science Technology and Management</x:v>
      </x:c>
      <x:c r="D244" s="32" t="str">
        <x:v>Environmental Sciences</x:v>
      </x:c>
      <x:c r="E244" s="31" t="n">
        <x:v>2026</x:v>
      </x:c>
      <x:c r="F244" s="31" t="n">
        <x:f>108</x:f>
        <x:v>108</x:v>
      </x:c>
      <x:c r="G244" s="43" t="n">
        <x:v>75.6</x:v>
      </x:c>
      <x:c r="H244" s="32" t="str">
        <x:v>Ranked in collected subject table</x:v>
      </x:c>
      <x:c r="I244" s="35" t="str">
        <x:v>https://www.topuniversities.com/universities/institut-polytechnique-de-paris</x:v>
      </x:c>
      <x:c r="J244" s="35" t="str">
        <x:v>https://www.topuniversities.com/university-subject-rankings/environmental-sciences?items_per_page=150</x:v>
      </x:c>
      <x:c r="K244" s="35" t="str">
        <x:v>https://www.ip-paris.fr/en/education/masters/msc-t-programs/energy-environment-science-technology-and-management</x:v>
      </x:c>
    </x:row>
    <x:row r="245">
      <x:c r="A245" s="31" t="n">
        <x:v>49</x:v>
      </x:c>
      <x:c r="B245" t="str">
        <x:v>Delft University of Technology</x:v>
      </x:c>
      <x:c r="C245" s="32" t="str">
        <x:v>MSc Industrial Ecology</x:v>
      </x:c>
      <x:c r="D245" s="32" t="str">
        <x:v>Environmental Sciences</x:v>
      </x:c>
      <x:c r="E245" s="31" t="n">
        <x:v>2022</x:v>
      </x:c>
      <x:c r="F245" s="31" t="str">
        <x:v>12</x:v>
      </x:c>
      <x:c r="G245" s="43" t="n">
        <x:v>91.3</x:v>
      </x:c>
      <x:c r="H245" s="32" t="str">
        <x:v>Ranked in collected subject table</x:v>
      </x:c>
      <x:c r="I245" s="35" t="str">
        <x:v>https://www.topuniversities.com/universities/delft-university-technology</x:v>
      </x:c>
      <x:c r="J245" s="35" t="str">
        <x:v>https://www.topuniversities.com/university-subject-rankings/environmental-sciences/2022?items_per_page=150</x:v>
      </x:c>
      <x:c r="K245" s="35" t="str">
        <x:v>https://www.tudelft.nl/en/education/programmes/masters/industrial-ecology/msc-industrial-ecology</x:v>
      </x:c>
    </x:row>
    <x:row r="246">
      <x:c r="A246" s="31" t="n">
        <x:v>49</x:v>
      </x:c>
      <x:c r="B246" t="str">
        <x:v>Delft University of Technology</x:v>
      </x:c>
      <x:c r="C246" s="32" t="str">
        <x:v>MSc Industrial Ecology</x:v>
      </x:c>
      <x:c r="D246" s="32" t="str">
        <x:v>Environmental Sciences</x:v>
      </x:c>
      <x:c r="E246" s="31" t="n">
        <x:v>2023</x:v>
      </x:c>
      <x:c r="F246" s="31" t="str">
        <x:v>13</x:v>
      </x:c>
      <x:c r="G246" s="43" t="n">
        <x:v>89.9</x:v>
      </x:c>
      <x:c r="H246" s="32" t="str">
        <x:v>Ranked in collected subject table</x:v>
      </x:c>
      <x:c r="I246" s="35" t="str">
        <x:v>https://www.topuniversities.com/universities/delft-university-technology</x:v>
      </x:c>
      <x:c r="J246" s="35" t="str">
        <x:v>https://www.topuniversities.com/university-subject-rankings/environmental-sciences/2023?items_per_page=150</x:v>
      </x:c>
      <x:c r="K246" s="35" t="str">
        <x:v>https://www.tudelft.nl/en/education/programmes/masters/industrial-ecology/msc-industrial-ecology</x:v>
      </x:c>
    </x:row>
    <x:row r="247">
      <x:c r="A247" s="31" t="n">
        <x:v>49</x:v>
      </x:c>
      <x:c r="B247" t="str">
        <x:v>Delft University of Technology</x:v>
      </x:c>
      <x:c r="C247" s="32" t="str">
        <x:v>MSc Industrial Ecology</x:v>
      </x:c>
      <x:c r="D247" s="32" t="str">
        <x:v>Environmental Sciences</x:v>
      </x:c>
      <x:c r="E247" s="31" t="n">
        <x:v>2024</x:v>
      </x:c>
      <x:c r="F247" s="31" t="str">
        <x:v>13</x:v>
      </x:c>
      <x:c r="G247" s="43" t="n">
        <x:v>88.8</x:v>
      </x:c>
      <x:c r="H247" s="32" t="str">
        <x:v>Ranked in collected subject table</x:v>
      </x:c>
      <x:c r="I247" s="35" t="str">
        <x:v>https://www.topuniversities.com/universities/delft-university-technology</x:v>
      </x:c>
      <x:c r="J247" s="35" t="str">
        <x:v>https://www.topuniversities.com/university-subject-rankings/environmental-sciences/2024?items_per_page=150</x:v>
      </x:c>
      <x:c r="K247" s="35" t="str">
        <x:v>https://www.tudelft.nl/en/education/programmes/masters/industrial-ecology/msc-industrial-ecology</x:v>
      </x:c>
    </x:row>
    <x:row r="248">
      <x:c r="A248" s="31" t="n">
        <x:v>49</x:v>
      </x:c>
      <x:c r="B248" t="str">
        <x:v>Delft University of Technology</x:v>
      </x:c>
      <x:c r="C248" s="32" t="str">
        <x:v>MSc Industrial Ecology</x:v>
      </x:c>
      <x:c r="D248" s="32" t="str">
        <x:v>Environmental Sciences</x:v>
      </x:c>
      <x:c r="E248" s="31" t="n">
        <x:v>2025</x:v>
      </x:c>
      <x:c r="F248" s="31" t="str">
        <x:v>16</x:v>
      </x:c>
      <x:c r="G248" s="43" t="n">
        <x:v>86.4</x:v>
      </x:c>
      <x:c r="H248" s="32" t="str">
        <x:v>Ranked in collected subject table</x:v>
      </x:c>
      <x:c r="I248" s="35" t="str">
        <x:v>https://www.topuniversities.com/universities/delft-university-technology</x:v>
      </x:c>
      <x:c r="J248" s="35" t="str">
        <x:v>https://www.topuniversities.com/university-subject-rankings/environmental-sciences/2025?items_per_page=150</x:v>
      </x:c>
      <x:c r="K248" s="35" t="str">
        <x:v>https://www.tudelft.nl/en/education/programmes/masters/industrial-ecology/msc-industrial-ecology</x:v>
      </x:c>
    </x:row>
    <x:row r="249">
      <x:c r="A249" s="31" t="n">
        <x:v>49</x:v>
      </x:c>
      <x:c r="B249" t="str">
        <x:v>Delft University of Technology</x:v>
      </x:c>
      <x:c r="C249" s="32" t="str">
        <x:v>MSc Industrial Ecology</x:v>
      </x:c>
      <x:c r="D249" s="32" t="str">
        <x:v>Environmental Sciences</x:v>
      </x:c>
      <x:c r="E249" s="31" t="n">
        <x:v>2026</x:v>
      </x:c>
      <x:c r="F249" s="31" t="n">
        <x:f>12</x:f>
        <x:v>12</x:v>
      </x:c>
      <x:c r="G249" s="43" t="n">
        <x:v>87.3</x:v>
      </x:c>
      <x:c r="H249" s="32" t="str">
        <x:v>Ranked in collected subject table</x:v>
      </x:c>
      <x:c r="I249" s="35" t="str">
        <x:v>https://www.topuniversities.com/universities/delft-university-technology</x:v>
      </x:c>
      <x:c r="J249" s="35" t="str">
        <x:v>https://www.topuniversities.com/university-subject-rankings/environmental-sciences?items_per_page=150</x:v>
      </x:c>
      <x:c r="K249" s="35" t="str">
        <x:v>https://www.tudelft.nl/en/education/programmes/masters/industrial-ecology/msc-industrial-ecology</x:v>
      </x:c>
    </x:row>
    <x:row r="250">
      <x:c r="A250" s="31" t="n">
        <x:v>50</x:v>
      </x:c>
      <x:c r="B250" t="str">
        <x:v>The Hong Kong Polytechnic University</x:v>
      </x:c>
      <x:c r="C250" s="32" t="str">
        <x:v>MSc in Sustainable Urban Development</x:v>
      </x:c>
      <x:c r="D250" s="32" t="str">
        <x:v>Architecture &amp; Built Environment</x:v>
      </x:c>
      <x:c r="E250" s="31" t="n">
        <x:v>2022</x:v>
      </x:c>
      <x:c r="F250" s="31" t="str">
        <x:v>15</x:v>
      </x:c>
      <x:c r="G250" s="43" t="n">
        <x:v>81.3</x:v>
      </x:c>
      <x:c r="H250" s="32" t="str">
        <x:v>Ranked in collected subject table</x:v>
      </x:c>
      <x:c r="I250" s="35" t="str">
        <x:v>https://www.topuniversities.com/universities/hong-kong-polytechnic-university</x:v>
      </x:c>
      <x:c r="J250" s="35" t="str">
        <x:v>https://www.topuniversities.com/university-subject-rankings/architecture-built-environment/2022?items_per_page=150</x:v>
      </x:c>
      <x:c r="K250" s="35" t="str">
        <x:v>https://www.polyu.edu.hk/bre/study/taught-postgraduate-programmes/msc-in-sustainable-urban-development/</x:v>
      </x:c>
    </x:row>
    <x:row r="251">
      <x:c r="A251" s="31" t="n">
        <x:v>50</x:v>
      </x:c>
      <x:c r="B251" t="str">
        <x:v>The Hong Kong Polytechnic University</x:v>
      </x:c>
      <x:c r="C251" s="32" t="str">
        <x:v>MSc in Sustainable Urban Development</x:v>
      </x:c>
      <x:c r="D251" s="32" t="str">
        <x:v>Architecture &amp; Built Environment</x:v>
      </x:c>
      <x:c r="E251" s="31" t="n">
        <x:v>2023</x:v>
      </x:c>
      <x:c r="F251" s="31" t="str">
        <x:v>16</x:v>
      </x:c>
      <x:c r="G251" s="43" t="n">
        <x:v>79.9</x:v>
      </x:c>
      <x:c r="H251" s="32" t="str">
        <x:v>Ranked in collected subject table</x:v>
      </x:c>
      <x:c r="I251" s="35" t="str">
        <x:v>https://www.topuniversities.com/universities/hong-kong-polytechnic-university</x:v>
      </x:c>
      <x:c r="J251" s="35" t="str">
        <x:v>https://www.topuniversities.com/university-subject-rankings/architecture-built-environment/2023?items_per_page=150</x:v>
      </x:c>
      <x:c r="K251" s="35" t="str">
        <x:v>https://www.polyu.edu.hk/bre/study/taught-postgraduate-programmes/msc-in-sustainable-urban-development/</x:v>
      </x:c>
    </x:row>
    <x:row r="252">
      <x:c r="A252" s="31" t="n">
        <x:v>50</x:v>
      </x:c>
      <x:c r="B252" t="str">
        <x:v>The Hong Kong Polytechnic University</x:v>
      </x:c>
      <x:c r="C252" s="32" t="str">
        <x:v>MSc in Sustainable Urban Development</x:v>
      </x:c>
      <x:c r="D252" s="32" t="str">
        <x:v>Architecture &amp; Built Environment</x:v>
      </x:c>
      <x:c r="E252" s="31" t="n">
        <x:v>2024</x:v>
      </x:c>
      <x:c r="F252" s="31" t="str">
        <x:v>14</x:v>
      </x:c>
      <x:c r="G252" s="43" t="n">
        <x:v>81.3</x:v>
      </x:c>
      <x:c r="H252" s="32" t="str">
        <x:v>Ranked in collected subject table</x:v>
      </x:c>
      <x:c r="I252" s="35" t="str">
        <x:v>https://www.topuniversities.com/universities/hong-kong-polytechnic-university</x:v>
      </x:c>
      <x:c r="J252" s="35" t="str">
        <x:v>https://www.topuniversities.com/university-subject-rankings/architecture-built-environment/2024?items_per_page=150</x:v>
      </x:c>
      <x:c r="K252" s="35" t="str">
        <x:v>https://www.polyu.edu.hk/bre/study/taught-postgraduate-programmes/msc-in-sustainable-urban-development/</x:v>
      </x:c>
    </x:row>
    <x:row r="253">
      <x:c r="A253" s="31" t="n">
        <x:v>50</x:v>
      </x:c>
      <x:c r="B253" t="str">
        <x:v>The Hong Kong Polytechnic University</x:v>
      </x:c>
      <x:c r="C253" s="32" t="str">
        <x:v>MSc in Sustainable Urban Development</x:v>
      </x:c>
      <x:c r="D253" s="32" t="str">
        <x:v>Architecture &amp; Built Environment</x:v>
      </x:c>
      <x:c r="E253" s="31" t="n">
        <x:v>2025</x:v>
      </x:c>
      <x:c r="F253" s="31" t="str">
        <x:v>17</x:v>
      </x:c>
      <x:c r="G253" s="43" t="n">
        <x:v>79.7</x:v>
      </x:c>
      <x:c r="H253" s="32" t="str">
        <x:v>Ranked in collected subject table</x:v>
      </x:c>
      <x:c r="I253" s="35" t="str">
        <x:v>https://www.topuniversities.com/universities/hong-kong-polytechnic-university</x:v>
      </x:c>
      <x:c r="J253" s="35" t="str">
        <x:v>https://www.topuniversities.com/university-subject-rankings/architecture-built-environment/2025?items_per_page=150</x:v>
      </x:c>
      <x:c r="K253" s="35" t="str">
        <x:v>https://www.polyu.edu.hk/bre/study/taught-postgraduate-programmes/msc-in-sustainable-urban-development/</x:v>
      </x:c>
    </x:row>
    <x:row r="254">
      <x:c r="A254" s="31" t="n">
        <x:v>50</x:v>
      </x:c>
      <x:c r="B254" t="str">
        <x:v>The Hong Kong Polytechnic University</x:v>
      </x:c>
      <x:c r="C254" s="32" t="str">
        <x:v>MSc in Sustainable Urban Development</x:v>
      </x:c>
      <x:c r="D254" s="32" t="str">
        <x:v>Architecture &amp; Built Environment</x:v>
      </x:c>
      <x:c r="E254" s="31" t="n">
        <x:v>2026</x:v>
      </x:c>
      <x:c r="F254" s="31" t="n">
        <x:f>21</x:f>
        <x:v>21</x:v>
      </x:c>
      <x:c r="G254" s="43" t="n">
        <x:v>76.7</x:v>
      </x:c>
      <x:c r="H254" s="32" t="str">
        <x:v>Ranked in collected subject table</x:v>
      </x:c>
      <x:c r="I254" s="35" t="str">
        <x:v>https://www.topuniversities.com/universities/hong-kong-polytechnic-university</x:v>
      </x:c>
      <x:c r="J254" s="35" t="str">
        <x:v>https://www.topuniversities.com/university-subject-rankings/architecture-built-environment?items_per_page=150</x:v>
      </x:c>
      <x:c r="K254" s="35" t="str">
        <x:v>https://www.polyu.edu.hk/bre/study/taught-postgraduate-programmes/msc-in-sustainable-urban-development/</x:v>
      </x:c>
    </x:row>
    <x:row r="255">
      <x:c r="A255" s="31" t="n">
        <x:v>51</x:v>
      </x:c>
      <x:c r="B255" t="str">
        <x:v>University of Michigan-Ann Arbor</x:v>
      </x:c>
      <x:c r="C255" s="32" t="str">
        <x:v>MS in Sustainable Systems</x:v>
      </x:c>
      <x:c r="D255" s="32" t="str">
        <x:v>Environmental Sciences</x:v>
      </x:c>
      <x:c r="E255" s="31" t="n">
        <x:v>2022</x:v>
      </x:c>
      <x:c r="F255" s="31" t="str">
        <x:v>27</x:v>
      </x:c>
      <x:c r="G255" s="43" t="n">
        <x:v>86.9</x:v>
      </x:c>
      <x:c r="H255" s="32" t="str">
        <x:v>Ranked in collected subject table</x:v>
      </x:c>
      <x:c r="I255" s="35" t="str">
        <x:v>https://www.topuniversities.com/universities/university-michigan-ann-arbor</x:v>
      </x:c>
      <x:c r="J255" s="35" t="str">
        <x:v>https://www.topuniversities.com/university-subject-rankings/environmental-sciences/2022?items_per_page=150</x:v>
      </x:c>
      <x:c r="K255" s="35" t="str">
        <x:v>https://seas.umich.edu/academics/master-science/sustainable-systems</x:v>
      </x:c>
    </x:row>
    <x:row r="256">
      <x:c r="A256" s="31" t="n">
        <x:v>51</x:v>
      </x:c>
      <x:c r="B256" t="str">
        <x:v>University of Michigan-Ann Arbor</x:v>
      </x:c>
      <x:c r="C256" s="32" t="str">
        <x:v>MS in Sustainable Systems</x:v>
      </x:c>
      <x:c r="D256" s="32" t="str">
        <x:v>Environmental Sciences</x:v>
      </x:c>
      <x:c r="E256" s="31" t="n">
        <x:v>2023</x:v>
      </x:c>
      <x:c r="F256" s="31" t="str">
        <x:v>21</x:v>
      </x:c>
      <x:c r="G256" s="43" t="n">
        <x:v>87</x:v>
      </x:c>
      <x:c r="H256" s="32" t="str">
        <x:v>Ranked in collected subject table</x:v>
      </x:c>
      <x:c r="I256" s="35" t="str">
        <x:v>https://www.topuniversities.com/universities/university-michigan-ann-arbor</x:v>
      </x:c>
      <x:c r="J256" s="35" t="str">
        <x:v>https://www.topuniversities.com/university-subject-rankings/environmental-sciences/2023?items_per_page=150</x:v>
      </x:c>
      <x:c r="K256" s="35" t="str">
        <x:v>https://seas.umich.edu/academics/master-science/sustainable-systems</x:v>
      </x:c>
    </x:row>
    <x:row r="257">
      <x:c r="A257" s="31" t="n">
        <x:v>51</x:v>
      </x:c>
      <x:c r="B257" t="str">
        <x:v>University of Michigan-Ann Arbor</x:v>
      </x:c>
      <x:c r="C257" s="32" t="str">
        <x:v>MS in Sustainable Systems</x:v>
      </x:c>
      <x:c r="D257" s="32" t="str">
        <x:v>Environmental Sciences</x:v>
      </x:c>
      <x:c r="E257" s="31" t="n">
        <x:v>2024</x:v>
      </x:c>
      <x:c r="F257" s="31" t="str">
        <x:v>24</x:v>
      </x:c>
      <x:c r="G257" s="43" t="n">
        <x:v>85.4</x:v>
      </x:c>
      <x:c r="H257" s="32" t="str">
        <x:v>Ranked in collected subject table</x:v>
      </x:c>
      <x:c r="I257" s="35" t="str">
        <x:v>https://www.topuniversities.com/universities/university-michigan-ann-arbor</x:v>
      </x:c>
      <x:c r="J257" s="35" t="str">
        <x:v>https://www.topuniversities.com/university-subject-rankings/environmental-sciences/2024?items_per_page=150</x:v>
      </x:c>
      <x:c r="K257" s="35" t="str">
        <x:v>https://seas.umich.edu/academics/master-science/sustainable-systems</x:v>
      </x:c>
    </x:row>
    <x:row r="258">
      <x:c r="A258" s="31" t="n">
        <x:v>51</x:v>
      </x:c>
      <x:c r="B258" t="str">
        <x:v>University of Michigan-Ann Arbor</x:v>
      </x:c>
      <x:c r="C258" s="32" t="str">
        <x:v>MS in Sustainable Systems</x:v>
      </x:c>
      <x:c r="D258" s="32" t="str">
        <x:v>Environmental Sciences</x:v>
      </x:c>
      <x:c r="E258" s="31" t="n">
        <x:v>2025</x:v>
      </x:c>
      <x:c r="F258" s="31" t="n">
        <x:f>18</x:f>
        <x:v>18</x:v>
      </x:c>
      <x:c r="G258" s="43" t="n">
        <x:v>85.5</x:v>
      </x:c>
      <x:c r="H258" s="32" t="str">
        <x:v>Ranked in collected subject table</x:v>
      </x:c>
      <x:c r="I258" s="35" t="str">
        <x:v>https://www.topuniversities.com/universities/university-michigan-ann-arbor</x:v>
      </x:c>
      <x:c r="J258" s="35" t="str">
        <x:v>https://www.topuniversities.com/university-subject-rankings/environmental-sciences/2025?items_per_page=150</x:v>
      </x:c>
      <x:c r="K258" s="35" t="str">
        <x:v>https://seas.umich.edu/academics/master-science/sustainable-systems</x:v>
      </x:c>
    </x:row>
    <x:row r="259">
      <x:c r="A259" s="31" t="n">
        <x:v>51</x:v>
      </x:c>
      <x:c r="B259" t="str">
        <x:v>University of Michigan-Ann Arbor</x:v>
      </x:c>
      <x:c r="C259" s="32" t="str">
        <x:v>MS in Sustainable Systems</x:v>
      </x:c>
      <x:c r="D259" s="32" t="str">
        <x:v>Environmental Sciences</x:v>
      </x:c>
      <x:c r="E259" s="31" t="n">
        <x:v>2026</x:v>
      </x:c>
      <x:c r="F259" s="31" t="n">
        <x:f>28</x:f>
        <x:v>28</x:v>
      </x:c>
      <x:c r="G259" s="43" t="n">
        <x:v>82.5</x:v>
      </x:c>
      <x:c r="H259" s="32" t="str">
        <x:v>Ranked in collected subject table</x:v>
      </x:c>
      <x:c r="I259" s="35" t="str">
        <x:v>https://www.topuniversities.com/universities/university-michigan-ann-arbor</x:v>
      </x:c>
      <x:c r="J259" s="35" t="str">
        <x:v>https://www.topuniversities.com/university-subject-rankings/environmental-sciences?items_per_page=150</x:v>
      </x:c>
      <x:c r="K259" s="35" t="str">
        <x:v>https://seas.umich.edu/academics/master-science/sustainable-systems</x:v>
      </x:c>
    </x:row>
    <x:row r="260">
      <x:c r="A260" s="31" t="n">
        <x:v>52</x:v>
      </x:c>
      <x:c r="B260" t="str">
        <x:v>Carnegie Mellon University</x:v>
      </x:c>
      <x:c r="C260" s="32" t="str">
        <x:v>MS in Sustainable Design</x:v>
      </x:c>
      <x:c r="D260" s="32" t="str">
        <x:v>Architecture &amp; Built Environment</x:v>
      </x:c>
      <x:c r="E260" s="31" t="n">
        <x:v>2022</x:v>
      </x:c>
      <x:c r="F260" s="31" t="str">
        <x:v>51-100</x:v>
      </x:c>
      <x:c r="G260" s="43"/>
      <x:c r="H260" s="32" t="str">
        <x:v>Ranked in collected subject table</x:v>
      </x:c>
      <x:c r="I260" s="35" t="str">
        <x:v>https://www.topuniversities.com/universities/carnegie-mellon-university</x:v>
      </x:c>
      <x:c r="J260" s="35" t="str">
        <x:v>https://www.topuniversities.com/university-subject-rankings/architecture-built-environment/2022?items_per_page=150</x:v>
      </x:c>
      <x:c r="K260" s="35" t="str">
        <x:v>https://soa.cmu.edu/ms-sustainable-design</x:v>
      </x:c>
    </x:row>
    <x:row r="261">
      <x:c r="A261" s="31" t="n">
        <x:v>52</x:v>
      </x:c>
      <x:c r="B261" t="str">
        <x:v>Carnegie Mellon University</x:v>
      </x:c>
      <x:c r="C261" s="32" t="str">
        <x:v>MS in Sustainable Design</x:v>
      </x:c>
      <x:c r="D261" s="32" t="str">
        <x:v>Architecture &amp; Built Environment</x:v>
      </x:c>
      <x:c r="E261" s="31" t="n">
        <x:v>2023</x:v>
      </x:c>
      <x:c r="F261" s="31" t="str">
        <x:v>51-100</x:v>
      </x:c>
      <x:c r="G261" s="43"/>
      <x:c r="H261" s="32" t="str">
        <x:v>Ranked in collected subject table</x:v>
      </x:c>
      <x:c r="I261" s="35" t="str">
        <x:v>https://www.topuniversities.com/universities/carnegie-mellon-university</x:v>
      </x:c>
      <x:c r="J261" s="35" t="str">
        <x:v>https://www.topuniversities.com/university-subject-rankings/architecture-built-environment/2023?items_per_page=150</x:v>
      </x:c>
      <x:c r="K261" s="35" t="str">
        <x:v>https://soa.cmu.edu/ms-sustainable-design</x:v>
      </x:c>
    </x:row>
    <x:row r="262">
      <x:c r="A262" s="31" t="n">
        <x:v>52</x:v>
      </x:c>
      <x:c r="B262" t="str">
        <x:v>Carnegie Mellon University</x:v>
      </x:c>
      <x:c r="C262" s="32" t="str">
        <x:v>MS in Sustainable Design</x:v>
      </x:c>
      <x:c r="D262" s="32" t="str">
        <x:v>Architecture &amp; Built Environment</x:v>
      </x:c>
      <x:c r="E262" s="31" t="n">
        <x:v>2024</x:v>
      </x:c>
      <x:c r="F262" s="31" t="str">
        <x:v>51-100</x:v>
      </x:c>
      <x:c r="G262" s="43"/>
      <x:c r="H262" s="32" t="str">
        <x:v>Ranked in collected subject table</x:v>
      </x:c>
      <x:c r="I262" s="35" t="str">
        <x:v>https://www.topuniversities.com/universities/carnegie-mellon-university</x:v>
      </x:c>
      <x:c r="J262" s="35" t="str">
        <x:v>https://www.topuniversities.com/university-subject-rankings/architecture-built-environment/2024?items_per_page=150</x:v>
      </x:c>
      <x:c r="K262" s="35" t="str">
        <x:v>https://soa.cmu.edu/ms-sustainable-design</x:v>
      </x:c>
    </x:row>
    <x:row r="263">
      <x:c r="A263" s="31" t="n">
        <x:v>52</x:v>
      </x:c>
      <x:c r="B263" t="str">
        <x:v>Carnegie Mellon University</x:v>
      </x:c>
      <x:c r="C263" s="32" t="str">
        <x:v>MS in Sustainable Design</x:v>
      </x:c>
      <x:c r="D263" s="32" t="str">
        <x:v>Architecture &amp; Built Environment</x:v>
      </x:c>
      <x:c r="E263" s="31" t="n">
        <x:v>2025</x:v>
      </x:c>
      <x:c r="F263" s="31" t="str">
        <x:v>51-100</x:v>
      </x:c>
      <x:c r="G263" s="43"/>
      <x:c r="H263" s="32" t="str">
        <x:v>Ranked in collected subject table</x:v>
      </x:c>
      <x:c r="I263" s="35" t="str">
        <x:v>https://www.topuniversities.com/universities/carnegie-mellon-university</x:v>
      </x:c>
      <x:c r="J263" s="35" t="str">
        <x:v>https://www.topuniversities.com/university-subject-rankings/architecture-built-environment/2025?items_per_page=150</x:v>
      </x:c>
      <x:c r="K263" s="35" t="str">
        <x:v>https://soa.cmu.edu/ms-sustainable-design</x:v>
      </x:c>
    </x:row>
    <x:row r="264">
      <x:c r="A264" s="31" t="n">
        <x:v>52</x:v>
      </x:c>
      <x:c r="B264" t="str">
        <x:v>Carnegie Mellon University</x:v>
      </x:c>
      <x:c r="C264" s="32" t="str">
        <x:v>MS in Sustainable Design</x:v>
      </x:c>
      <x:c r="D264" s="32" t="str">
        <x:v>Architecture &amp; Built Environment</x:v>
      </x:c>
      <x:c r="E264" s="31" t="n">
        <x:v>2026</x:v>
      </x:c>
      <x:c r="F264" s="31" t="str">
        <x:v>51-100</x:v>
      </x:c>
      <x:c r="G264" s="43"/>
      <x:c r="H264" s="32" t="str">
        <x:v>Ranked in collected subject table</x:v>
      </x:c>
      <x:c r="I264" s="35" t="str">
        <x:v>https://www.topuniversities.com/universities/carnegie-mellon-university</x:v>
      </x:c>
      <x:c r="J264" s="35" t="str">
        <x:v>https://www.topuniversities.com/university-subject-rankings/architecture-built-environment?items_per_page=150</x:v>
      </x:c>
      <x:c r="K264" s="35" t="str">
        <x:v>https://soa.cmu.edu/ms-sustainable-design</x:v>
      </x:c>
    </x:row>
    <x:row r="265">
      <x:c r="A265" s="31" t="n">
        <x:v>53</x:v>
      </x:c>
      <x:c r="B265" t="str">
        <x:v>University of Washington</x:v>
      </x:c>
      <x:c r="C265" s="32" t="str">
        <x:v>MPA Environmental Policy specialization / sustainability pathway</x:v>
      </x:c>
      <x:c r="D265" s="32" t="str">
        <x:v>Development Studies</x:v>
      </x:c>
      <x:c r="E265" s="31" t="n">
        <x:v>2022</x:v>
      </x:c>
      <x:c r="F265" s="31" t="str">
        <x:v>NR</x:v>
      </x:c>
      <x:c r="G265" s="43"/>
      <x:c r="H265" s="32" t="str">
        <x:v>Not ranked in complete subject table</x:v>
      </x:c>
      <x:c r="I265" s="35" t="str">
        <x:v>https://www.topuniversities.com/universities/university-washington</x:v>
      </x:c>
      <x:c r="J265" s="35" t="str">
        <x:v>https://www.topuniversities.com/university-subject-rankings/development-studies/2022?items_per_page=150</x:v>
      </x:c>
      <x:c r="K265" s="35" t="str">
        <x:v>https://evans.uw.edu/academic-programs/graduate-degrees/master-of-public-administration/</x:v>
      </x:c>
    </x:row>
    <x:row r="266">
      <x:c r="A266" s="31" t="n">
        <x:v>53</x:v>
      </x:c>
      <x:c r="B266" t="str">
        <x:v>University of Washington</x:v>
      </x:c>
      <x:c r="C266" s="32" t="str">
        <x:v>MPA Environmental Policy specialization / sustainability pathway</x:v>
      </x:c>
      <x:c r="D266" s="32" t="str">
        <x:v>Development Studies</x:v>
      </x:c>
      <x:c r="E266" s="31" t="n">
        <x:v>2023</x:v>
      </x:c>
      <x:c r="F266" s="31" t="str">
        <x:v>NR</x:v>
      </x:c>
      <x:c r="G266" s="43"/>
      <x:c r="H266" s="32" t="str">
        <x:v>Not ranked in complete subject table</x:v>
      </x:c>
      <x:c r="I266" s="35" t="str">
        <x:v>https://www.topuniversities.com/universities/university-washington</x:v>
      </x:c>
      <x:c r="J266" s="35" t="str">
        <x:v>https://www.topuniversities.com/university-subject-rankings/development-studies/2023?items_per_page=150</x:v>
      </x:c>
      <x:c r="K266" s="35" t="str">
        <x:v>https://evans.uw.edu/academic-programs/graduate-degrees/master-of-public-administration/</x:v>
      </x:c>
    </x:row>
    <x:row r="267">
      <x:c r="A267" s="31" t="n">
        <x:v>53</x:v>
      </x:c>
      <x:c r="B267" t="str">
        <x:v>University of Washington</x:v>
      </x:c>
      <x:c r="C267" s="32" t="str">
        <x:v>MPA Environmental Policy specialization / sustainability pathway</x:v>
      </x:c>
      <x:c r="D267" s="32" t="str">
        <x:v>Development Studies</x:v>
      </x:c>
      <x:c r="E267" s="31" t="n">
        <x:v>2024</x:v>
      </x:c>
      <x:c r="F267" s="31" t="str">
        <x:v>NR</x:v>
      </x:c>
      <x:c r="G267" s="43"/>
      <x:c r="H267" s="32" t="str">
        <x:v>Not ranked in complete subject table</x:v>
      </x:c>
      <x:c r="I267" s="35" t="str">
        <x:v>https://www.topuniversities.com/universities/university-washington</x:v>
      </x:c>
      <x:c r="J267" s="35" t="str">
        <x:v>https://www.topuniversities.com/university-subject-rankings/development-studies/2024?items_per_page=150</x:v>
      </x:c>
      <x:c r="K267" s="35" t="str">
        <x:v>https://evans.uw.edu/academic-programs/graduate-degrees/master-of-public-administration/</x:v>
      </x:c>
    </x:row>
    <x:row r="268">
      <x:c r="A268" s="31" t="n">
        <x:v>53</x:v>
      </x:c>
      <x:c r="B268" t="str">
        <x:v>University of Washington</x:v>
      </x:c>
      <x:c r="C268" s="32" t="str">
        <x:v>MPA Environmental Policy specialization / sustainability pathway</x:v>
      </x:c>
      <x:c r="D268" s="32" t="str">
        <x:v>Development Studies</x:v>
      </x:c>
      <x:c r="E268" s="31" t="n">
        <x:v>2025</x:v>
      </x:c>
      <x:c r="F268" s="31" t="str">
        <x:v>NR</x:v>
      </x:c>
      <x:c r="G268" s="43"/>
      <x:c r="H268" s="32" t="str">
        <x:v>Not ranked in complete subject table</x:v>
      </x:c>
      <x:c r="I268" s="35" t="str">
        <x:v>https://www.topuniversities.com/universities/university-washington</x:v>
      </x:c>
      <x:c r="J268" s="35" t="str">
        <x:v>https://www.topuniversities.com/university-subject-rankings/development-studies/2025?items_per_page=150</x:v>
      </x:c>
      <x:c r="K268" s="35" t="str">
        <x:v>https://evans.uw.edu/academic-programs/graduate-degrees/master-of-public-administration/</x:v>
      </x:c>
    </x:row>
    <x:row r="269">
      <x:c r="A269" s="31" t="n">
        <x:v>53</x:v>
      </x:c>
      <x:c r="B269" t="str">
        <x:v>University of Washington</x:v>
      </x:c>
      <x:c r="C269" s="32" t="str">
        <x:v>MPA Environmental Policy specialization / sustainability pathway</x:v>
      </x:c>
      <x:c r="D269" s="32" t="str">
        <x:v>Development Studies</x:v>
      </x:c>
      <x:c r="E269" s="31" t="n">
        <x:v>2026</x:v>
      </x:c>
      <x:c r="F269" s="31" t="str">
        <x:v>NR</x:v>
      </x:c>
      <x:c r="G269" s="43"/>
      <x:c r="H269" s="32" t="str">
        <x:v>Not ranked in complete subject table</x:v>
      </x:c>
      <x:c r="I269" s="35" t="str">
        <x:v>https://www.topuniversities.com/universities/university-washington</x:v>
      </x:c>
      <x:c r="J269" s="35" t="str">
        <x:v>https://www.topuniversities.com/university-subject-rankings/development-studies?items_per_page=150</x:v>
      </x:c>
      <x:c r="K269" s="35" t="str">
        <x:v>https://evans.uw.edu/academic-programs/graduate-degrees/master-of-public-administration/</x:v>
      </x:c>
    </x:row>
    <x:row r="270">
      <x:c r="A270" s="31" t="n">
        <x:v>54</x:v>
      </x:c>
      <x:c r="B270" t="str">
        <x:v>Duke University</x:v>
      </x:c>
      <x:c r="C270" s="32" t="str">
        <x:v>Master of Environmental Management</x:v>
      </x:c>
      <x:c r="D270" s="32" t="str">
        <x:v>Environmental Sciences</x:v>
      </x:c>
      <x:c r="E270" s="31" t="n">
        <x:v>2022</x:v>
      </x:c>
      <x:c r="F270" s="31" t="str">
        <x:v>38</x:v>
      </x:c>
      <x:c r="G270" s="43" t="n">
        <x:v>85.2</x:v>
      </x:c>
      <x:c r="H270" s="32" t="str">
        <x:v>Ranked in collected subject table</x:v>
      </x:c>
      <x:c r="I270" s="35" t="str">
        <x:v>https://www.topuniversities.com/universities/duke-university</x:v>
      </x:c>
      <x:c r="J270" s="35" t="str">
        <x:v>https://www.topuniversities.com/university-subject-rankings/environmental-sciences/2022?items_per_page=150</x:v>
      </x:c>
      <x:c r="K270" s="35" t="str">
        <x:v>https://nicholas.duke.edu/academics/masters-programs/master-environmental-management</x:v>
      </x:c>
    </x:row>
    <x:row r="271">
      <x:c r="A271" s="31" t="n">
        <x:v>54</x:v>
      </x:c>
      <x:c r="B271" t="str">
        <x:v>Duke University</x:v>
      </x:c>
      <x:c r="C271" s="32" t="str">
        <x:v>Master of Environmental Management</x:v>
      </x:c>
      <x:c r="D271" s="32" t="str">
        <x:v>Environmental Sciences</x:v>
      </x:c>
      <x:c r="E271" s="31" t="n">
        <x:v>2023</x:v>
      </x:c>
      <x:c r="F271" s="31" t="str">
        <x:v>42</x:v>
      </x:c>
      <x:c r="G271" s="43" t="n">
        <x:v>83.9</x:v>
      </x:c>
      <x:c r="H271" s="32" t="str">
        <x:v>Ranked in collected subject table</x:v>
      </x:c>
      <x:c r="I271" s="35" t="str">
        <x:v>https://www.topuniversities.com/universities/duke-university</x:v>
      </x:c>
      <x:c r="J271" s="35" t="str">
        <x:v>https://www.topuniversities.com/university-subject-rankings/environmental-sciences/2023?items_per_page=150</x:v>
      </x:c>
      <x:c r="K271" s="35" t="str">
        <x:v>https://nicholas.duke.edu/academics/masters-programs/master-environmental-management</x:v>
      </x:c>
    </x:row>
    <x:row r="272">
      <x:c r="A272" s="31" t="n">
        <x:v>54</x:v>
      </x:c>
      <x:c r="B272" t="str">
        <x:v>Duke University</x:v>
      </x:c>
      <x:c r="C272" s="32" t="str">
        <x:v>Master of Environmental Management</x:v>
      </x:c>
      <x:c r="D272" s="32" t="str">
        <x:v>Environmental Sciences</x:v>
      </x:c>
      <x:c r="E272" s="31" t="n">
        <x:v>2024</x:v>
      </x:c>
      <x:c r="F272" s="31" t="str">
        <x:v>43</x:v>
      </x:c>
      <x:c r="G272" s="43" t="n">
        <x:v>83.2</x:v>
      </x:c>
      <x:c r="H272" s="32" t="str">
        <x:v>Ranked in collected subject table</x:v>
      </x:c>
      <x:c r="I272" s="35" t="str">
        <x:v>https://www.topuniversities.com/universities/duke-university</x:v>
      </x:c>
      <x:c r="J272" s="35" t="str">
        <x:v>https://www.topuniversities.com/university-subject-rankings/environmental-sciences/2024?items_per_page=150</x:v>
      </x:c>
      <x:c r="K272" s="35" t="str">
        <x:v>https://nicholas.duke.edu/academics/masters-programs/master-environmental-management</x:v>
      </x:c>
    </x:row>
    <x:row r="273">
      <x:c r="A273" s="31" t="n">
        <x:v>54</x:v>
      </x:c>
      <x:c r="B273" t="str">
        <x:v>Duke University</x:v>
      </x:c>
      <x:c r="C273" s="32" t="str">
        <x:v>Master of Environmental Management</x:v>
      </x:c>
      <x:c r="D273" s="32" t="str">
        <x:v>Environmental Sciences</x:v>
      </x:c>
      <x:c r="E273" s="31" t="n">
        <x:v>2025</x:v>
      </x:c>
      <x:c r="F273" s="31" t="str">
        <x:v>46</x:v>
      </x:c>
      <x:c r="G273" s="43" t="n">
        <x:v>82.3</x:v>
      </x:c>
      <x:c r="H273" s="32" t="str">
        <x:v>Ranked in collected subject table</x:v>
      </x:c>
      <x:c r="I273" s="35" t="str">
        <x:v>https://www.topuniversities.com/universities/duke-university</x:v>
      </x:c>
      <x:c r="J273" s="35" t="str">
        <x:v>https://www.topuniversities.com/university-subject-rankings/environmental-sciences/2025?items_per_page=150</x:v>
      </x:c>
      <x:c r="K273" s="35" t="str">
        <x:v>https://nicholas.duke.edu/academics/masters-programs/master-environmental-management</x:v>
      </x:c>
    </x:row>
    <x:row r="274">
      <x:c r="A274" s="31" t="n">
        <x:v>54</x:v>
      </x:c>
      <x:c r="B274" t="str">
        <x:v>Duke University</x:v>
      </x:c>
      <x:c r="C274" s="32" t="str">
        <x:v>Master of Environmental Management</x:v>
      </x:c>
      <x:c r="D274" s="32" t="str">
        <x:v>Environmental Sciences</x:v>
      </x:c>
      <x:c r="E274" s="31" t="n">
        <x:v>2026</x:v>
      </x:c>
      <x:c r="F274" s="31" t="str">
        <x:v>42</x:v>
      </x:c>
      <x:c r="G274" s="43" t="n">
        <x:v>81.2</x:v>
      </x:c>
      <x:c r="H274" s="32" t="str">
        <x:v>Ranked in collected subject table</x:v>
      </x:c>
      <x:c r="I274" s="35" t="str">
        <x:v>https://www.topuniversities.com/universities/duke-university</x:v>
      </x:c>
      <x:c r="J274" s="35" t="str">
        <x:v>https://www.topuniversities.com/university-subject-rankings/environmental-sciences?items_per_page=150</x:v>
      </x:c>
      <x:c r="K274" s="35" t="str">
        <x:v>https://nicholas.duke.edu/academics/masters-programs/master-environmental-management</x:v>
      </x:c>
    </x:row>
    <x:row r="275">
      <x:c r="A275" s="31" t="n">
        <x:v>55</x:v>
      </x:c>
      <x:c r="B275" t="str">
        <x:v>New York University</x:v>
      </x:c>
      <x:c r="C275" s="32" t="str">
        <x:v>MS in Environmental Policy and Sustainability Management</x:v>
      </x:c>
      <x:c r="D275" s="32" t="str">
        <x:v>Business &amp; Management Studies</x:v>
      </x:c>
      <x:c r="E275" s="31" t="n">
        <x:v>2022</x:v>
      </x:c>
      <x:c r="F275" s="31" t="str">
        <x:v>18</x:v>
      </x:c>
      <x:c r="G275" s="43" t="n">
        <x:v>84.3</x:v>
      </x:c>
      <x:c r="H275" s="32" t="str">
        <x:v>Ranked in collected subject table</x:v>
      </x:c>
      <x:c r="I275" s="35" t="str">
        <x:v>https://www.topuniversities.com/universities/new-york-university-nyu</x:v>
      </x:c>
      <x:c r="J275" s="35" t="str">
        <x:v>https://www.topuniversities.com/university-subject-rankings/business-management-studies/2022?items_per_page=150</x:v>
      </x:c>
      <x:c r="K275" s="35" t="str">
        <x:v>https://www.sps.nyu.edu/homepage/academics/masters-degrees/ms-in-environmental-policy-and-sustainability-management.html</x:v>
      </x:c>
    </x:row>
    <x:row r="276">
      <x:c r="A276" s="31" t="n">
        <x:v>55</x:v>
      </x:c>
      <x:c r="B276" t="str">
        <x:v>New York University</x:v>
      </x:c>
      <x:c r="C276" s="32" t="str">
        <x:v>MS in Environmental Policy and Sustainability Management</x:v>
      </x:c>
      <x:c r="D276" s="32" t="str">
        <x:v>Business &amp; Management Studies</x:v>
      </x:c>
      <x:c r="E276" s="31" t="n">
        <x:v>2023</x:v>
      </x:c>
      <x:c r="F276" s="31" t="str">
        <x:v>16</x:v>
      </x:c>
      <x:c r="G276" s="43" t="n">
        <x:v>84.2</x:v>
      </x:c>
      <x:c r="H276" s="32" t="str">
        <x:v>Ranked in collected subject table</x:v>
      </x:c>
      <x:c r="I276" s="35" t="str">
        <x:v>https://www.topuniversities.com/universities/new-york-university-nyu</x:v>
      </x:c>
      <x:c r="J276" s="35" t="str">
        <x:v>https://www.topuniversities.com/university-subject-rankings/business-management-studies/2023?items_per_page=150</x:v>
      </x:c>
      <x:c r="K276" s="35" t="str">
        <x:v>https://www.sps.nyu.edu/homepage/academics/masters-degrees/ms-in-environmental-policy-and-sustainability-management.html</x:v>
      </x:c>
    </x:row>
    <x:row r="277">
      <x:c r="A277" s="31" t="n">
        <x:v>55</x:v>
      </x:c>
      <x:c r="B277" t="str">
        <x:v>New York University</x:v>
      </x:c>
      <x:c r="C277" s="32" t="str">
        <x:v>MS in Environmental Policy and Sustainability Management</x:v>
      </x:c>
      <x:c r="D277" s="32" t="str">
        <x:v>Business &amp; Management Studies</x:v>
      </x:c>
      <x:c r="E277" s="31" t="n">
        <x:v>2024</x:v>
      </x:c>
      <x:c r="F277" s="31" t="str">
        <x:v>15</x:v>
      </x:c>
      <x:c r="G277" s="43" t="n">
        <x:v>85.1</x:v>
      </x:c>
      <x:c r="H277" s="32" t="str">
        <x:v>Ranked in collected subject table</x:v>
      </x:c>
      <x:c r="I277" s="35" t="str">
        <x:v>https://www.topuniversities.com/universities/new-york-university-nyu</x:v>
      </x:c>
      <x:c r="J277" s="35" t="str">
        <x:v>https://www.topuniversities.com/university-subject-rankings/business-management-studies/2024?items_per_page=150</x:v>
      </x:c>
      <x:c r="K277" s="35" t="str">
        <x:v>https://www.sps.nyu.edu/homepage/academics/masters-degrees/ms-in-environmental-policy-and-sustainability-management.html</x:v>
      </x:c>
    </x:row>
    <x:row r="278">
      <x:c r="A278" s="31" t="n">
        <x:v>55</x:v>
      </x:c>
      <x:c r="B278" t="str">
        <x:v>New York University</x:v>
      </x:c>
      <x:c r="C278" s="32" t="str">
        <x:v>MS in Environmental Policy and Sustainability Management</x:v>
      </x:c>
      <x:c r="D278" s="32" t="str">
        <x:v>Business &amp; Management Studies</x:v>
      </x:c>
      <x:c r="E278" s="31" t="n">
        <x:v>2025</x:v>
      </x:c>
      <x:c r="F278" s="31" t="n">
        <x:f>17</x:f>
        <x:v>17</x:v>
      </x:c>
      <x:c r="G278" s="43" t="n">
        <x:v>84.2</x:v>
      </x:c>
      <x:c r="H278" s="32" t="str">
        <x:v>Ranked in collected subject table</x:v>
      </x:c>
      <x:c r="I278" s="35" t="str">
        <x:v>https://www.topuniversities.com/universities/new-york-university-nyu</x:v>
      </x:c>
      <x:c r="J278" s="35" t="str">
        <x:v>https://www.topuniversities.com/university-subject-rankings/business-management-studies/2025?items_per_page=150</x:v>
      </x:c>
      <x:c r="K278" s="35" t="str">
        <x:v>https://www.sps.nyu.edu/homepage/academics/masters-degrees/ms-in-environmental-policy-and-sustainability-management.html</x:v>
      </x:c>
    </x:row>
    <x:row r="279">
      <x:c r="A279" s="31" t="n">
        <x:v>55</x:v>
      </x:c>
      <x:c r="B279" t="str">
        <x:v>New York University</x:v>
      </x:c>
      <x:c r="C279" s="32" t="str">
        <x:v>MS in Environmental Policy and Sustainability Management</x:v>
      </x:c>
      <x:c r="D279" s="32" t="str">
        <x:v>Business &amp; Management Studies</x:v>
      </x:c>
      <x:c r="E279" s="31" t="n">
        <x:v>2026</x:v>
      </x:c>
      <x:c r="F279" s="31" t="str">
        <x:v>16</x:v>
      </x:c>
      <x:c r="G279" s="43" t="n">
        <x:v>82.2</x:v>
      </x:c>
      <x:c r="H279" s="32" t="str">
        <x:v>Ranked in collected subject table</x:v>
      </x:c>
      <x:c r="I279" s="35" t="str">
        <x:v>https://www.topuniversities.com/universities/new-york-university-nyu</x:v>
      </x:c>
      <x:c r="J279" s="35" t="str">
        <x:v>https://www.topuniversities.com/university-subject-rankings/business-management-studies?items_per_page=150</x:v>
      </x:c>
      <x:c r="K279" s="35" t="str">
        <x:v>https://www.sps.nyu.edu/homepage/academics/masters-degrees/ms-in-environmental-policy-and-sustainability-management.html</x:v>
      </x:c>
    </x:row>
    <x:row r="280">
      <x:c r="A280" s="31" t="n">
        <x:v>56</x:v>
      </x:c>
      <x:c r="B280" t="str">
        <x:v>LMU Munich</x:v>
      </x:c>
      <x:c r="C280" s="32" t="str">
        <x:v>MSc Environment and Society</x:v>
      </x:c>
      <x:c r="D280" s="32" t="str">
        <x:v>Development Studies</x:v>
      </x:c>
      <x:c r="E280" s="31" t="n">
        <x:v>2022</x:v>
      </x:c>
      <x:c r="F280" s="31" t="str">
        <x:v>NR</x:v>
      </x:c>
      <x:c r="G280" s="43"/>
      <x:c r="H280" s="32" t="str">
        <x:v>Not ranked in complete subject table</x:v>
      </x:c>
      <x:c r="I280" s="35" t="str">
        <x:v>https://www.topuniversities.com/universities/ludwig-maximilians-universitat-munchen</x:v>
      </x:c>
      <x:c r="J280" s="35" t="str">
        <x:v>https://www.topuniversities.com/university-subject-rankings/development-studies/2022?items_per_page=150</x:v>
      </x:c>
      <x:c r="K280" s="35" t="str">
        <x:v>https://www.lmu.de/en/study/all-degrees-and-programs/programs-for-international-visiting-students/environment-and-society-masters-program/</x:v>
      </x:c>
    </x:row>
    <x:row r="281">
      <x:c r="A281" s="31" t="n">
        <x:v>56</x:v>
      </x:c>
      <x:c r="B281" t="str">
        <x:v>LMU Munich</x:v>
      </x:c>
      <x:c r="C281" s="32" t="str">
        <x:v>MSc Environment and Society</x:v>
      </x:c>
      <x:c r="D281" s="32" t="str">
        <x:v>Development Studies</x:v>
      </x:c>
      <x:c r="E281" s="31" t="n">
        <x:v>2023</x:v>
      </x:c>
      <x:c r="F281" s="31" t="str">
        <x:v>NR</x:v>
      </x:c>
      <x:c r="G281" s="43"/>
      <x:c r="H281" s="32" t="str">
        <x:v>Not ranked in complete subject table</x:v>
      </x:c>
      <x:c r="I281" s="35" t="str">
        <x:v>https://www.topuniversities.com/universities/ludwig-maximilians-universitat-munchen</x:v>
      </x:c>
      <x:c r="J281" s="35" t="str">
        <x:v>https://www.topuniversities.com/university-subject-rankings/development-studies/2023?items_per_page=150</x:v>
      </x:c>
      <x:c r="K281" s="35" t="str">
        <x:v>https://www.lmu.de/en/study/all-degrees-and-programs/programs-for-international-visiting-students/environment-and-society-masters-program/</x:v>
      </x:c>
    </x:row>
    <x:row r="282">
      <x:c r="A282" s="31" t="n">
        <x:v>56</x:v>
      </x:c>
      <x:c r="B282" t="str">
        <x:v>LMU Munich</x:v>
      </x:c>
      <x:c r="C282" s="32" t="str">
        <x:v>MSc Environment and Society</x:v>
      </x:c>
      <x:c r="D282" s="32" t="str">
        <x:v>Development Studies</x:v>
      </x:c>
      <x:c r="E282" s="31" t="n">
        <x:v>2024</x:v>
      </x:c>
      <x:c r="F282" s="31" t="str">
        <x:v>NR</x:v>
      </x:c>
      <x:c r="G282" s="43"/>
      <x:c r="H282" s="32" t="str">
        <x:v>Not ranked in complete subject table</x:v>
      </x:c>
      <x:c r="I282" s="35" t="str">
        <x:v>https://www.topuniversities.com/universities/ludwig-maximilians-universitat-munchen</x:v>
      </x:c>
      <x:c r="J282" s="35" t="str">
        <x:v>https://www.topuniversities.com/university-subject-rankings/development-studies/2024?items_per_page=150</x:v>
      </x:c>
      <x:c r="K282" s="35" t="str">
        <x:v>https://www.lmu.de/en/study/all-degrees-and-programs/programs-for-international-visiting-students/environment-and-society-masters-program/</x:v>
      </x:c>
    </x:row>
    <x:row r="283">
      <x:c r="A283" s="31" t="n">
        <x:v>56</x:v>
      </x:c>
      <x:c r="B283" t="str">
        <x:v>LMU Munich</x:v>
      </x:c>
      <x:c r="C283" s="32" t="str">
        <x:v>MSc Environment and Society</x:v>
      </x:c>
      <x:c r="D283" s="32" t="str">
        <x:v>Development Studies</x:v>
      </x:c>
      <x:c r="E283" s="31" t="n">
        <x:v>2025</x:v>
      </x:c>
      <x:c r="F283" s="31" t="str">
        <x:v>NR</x:v>
      </x:c>
      <x:c r="G283" s="43"/>
      <x:c r="H283" s="32" t="str">
        <x:v>Not ranked in complete subject table</x:v>
      </x:c>
      <x:c r="I283" s="35" t="str">
        <x:v>https://www.topuniversities.com/universities/ludwig-maximilians-universitat-munchen</x:v>
      </x:c>
      <x:c r="J283" s="35" t="str">
        <x:v>https://www.topuniversities.com/university-subject-rankings/development-studies/2025?items_per_page=150</x:v>
      </x:c>
      <x:c r="K283" s="35" t="str">
        <x:v>https://www.lmu.de/en/study/all-degrees-and-programs/programs-for-international-visiting-students/environment-and-society-masters-program/</x:v>
      </x:c>
    </x:row>
    <x:row r="284">
      <x:c r="A284" s="31" t="n">
        <x:v>56</x:v>
      </x:c>
      <x:c r="B284" t="str">
        <x:v>LMU Munich</x:v>
      </x:c>
      <x:c r="C284" s="32" t="str">
        <x:v>MSc Environment and Society</x:v>
      </x:c>
      <x:c r="D284" s="32" t="str">
        <x:v>Development Studies</x:v>
      </x:c>
      <x:c r="E284" s="31" t="n">
        <x:v>2026</x:v>
      </x:c>
      <x:c r="F284" s="31" t="str">
        <x:v>NR</x:v>
      </x:c>
      <x:c r="G284" s="43"/>
      <x:c r="H284" s="32" t="str">
        <x:v>Not ranked in complete subject table</x:v>
      </x:c>
      <x:c r="I284" s="35" t="str">
        <x:v>https://www.topuniversities.com/universities/ludwig-maximilians-universitat-munchen</x:v>
      </x:c>
      <x:c r="J284" s="35" t="str">
        <x:v>https://www.topuniversities.com/university-subject-rankings/development-studies?items_per_page=150</x:v>
      </x:c>
      <x:c r="K284" s="35" t="str">
        <x:v>https://www.lmu.de/en/study/all-degrees-and-programs/programs-for-international-visiting-students/environment-and-society-masters-program/</x:v>
      </x:c>
    </x:row>
    <x:row r="285">
      <x:c r="A285" s="31" t="n">
        <x:v>57</x:v>
      </x:c>
      <x:c r="B285" t="str">
        <x:v>Georgia Institute of Technology</x:v>
      </x:c>
      <x:c r="C285" s="32" t="str">
        <x:v>Master of Sustainable Energy and Environmental Management</x:v>
      </x:c>
      <x:c r="D285" s="32" t="str">
        <x:v>Environmental Sciences</x:v>
      </x:c>
      <x:c r="E285" s="31" t="n">
        <x:v>2022</x:v>
      </x:c>
      <x:c r="F285" s="31" t="n">
        <x:f>41</x:f>
        <x:v>41</x:v>
      </x:c>
      <x:c r="G285" s="43" t="n">
        <x:v>84.7</x:v>
      </x:c>
      <x:c r="H285" s="32" t="str">
        <x:v>Ranked in collected subject table</x:v>
      </x:c>
      <x:c r="I285" s="35" t="str">
        <x:v>https://www.topuniversities.com/universities/georgia-institute-technology</x:v>
      </x:c>
      <x:c r="J285" s="35" t="str">
        <x:v>https://www.topuniversities.com/university-subject-rankings/environmental-sciences/2022?items_per_page=150</x:v>
      </x:c>
      <x:c r="K285" s="35" t="str">
        <x:v>https://spp.gatech.edu/master-sustainable-energy-environmental-management</x:v>
      </x:c>
    </x:row>
    <x:row r="286">
      <x:c r="A286" s="31" t="n">
        <x:v>57</x:v>
      </x:c>
      <x:c r="B286" t="str">
        <x:v>Georgia Institute of Technology</x:v>
      </x:c>
      <x:c r="C286" s="32" t="str">
        <x:v>Master of Sustainable Energy and Environmental Management</x:v>
      </x:c>
      <x:c r="D286" s="32" t="str">
        <x:v>Environmental Sciences</x:v>
      </x:c>
      <x:c r="E286" s="31" t="n">
        <x:v>2023</x:v>
      </x:c>
      <x:c r="F286" s="31" t="str">
        <x:v>40</x:v>
      </x:c>
      <x:c r="G286" s="43" t="n">
        <x:v>84.1</x:v>
      </x:c>
      <x:c r="H286" s="32" t="str">
        <x:v>Ranked in collected subject table</x:v>
      </x:c>
      <x:c r="I286" s="35" t="str">
        <x:v>https://www.topuniversities.com/universities/georgia-institute-technology</x:v>
      </x:c>
      <x:c r="J286" s="35" t="str">
        <x:v>https://www.topuniversities.com/university-subject-rankings/environmental-sciences/2023?items_per_page=150</x:v>
      </x:c>
      <x:c r="K286" s="35" t="str">
        <x:v>https://spp.gatech.edu/master-sustainable-energy-environmental-management</x:v>
      </x:c>
    </x:row>
    <x:row r="287">
      <x:c r="A287" s="31" t="n">
        <x:v>57</x:v>
      </x:c>
      <x:c r="B287" t="str">
        <x:v>Georgia Institute of Technology</x:v>
      </x:c>
      <x:c r="C287" s="32" t="str">
        <x:v>Master of Sustainable Energy and Environmental Management</x:v>
      </x:c>
      <x:c r="D287" s="32" t="str">
        <x:v>Environmental Sciences</x:v>
      </x:c>
      <x:c r="E287" s="31" t="n">
        <x:v>2024</x:v>
      </x:c>
      <x:c r="F287" s="31" t="n">
        <x:f>39</x:f>
        <x:v>39</x:v>
      </x:c>
      <x:c r="G287" s="43" t="n">
        <x:v>83.5</x:v>
      </x:c>
      <x:c r="H287" s="32" t="str">
        <x:v>Ranked in collected subject table</x:v>
      </x:c>
      <x:c r="I287" s="35" t="str">
        <x:v>https://www.topuniversities.com/universities/georgia-institute-technology</x:v>
      </x:c>
      <x:c r="J287" s="35" t="str">
        <x:v>https://www.topuniversities.com/university-subject-rankings/environmental-sciences/2024?items_per_page=150</x:v>
      </x:c>
      <x:c r="K287" s="35" t="str">
        <x:v>https://spp.gatech.edu/master-sustainable-energy-environmental-management</x:v>
      </x:c>
    </x:row>
    <x:row r="288">
      <x:c r="A288" s="31" t="n">
        <x:v>57</x:v>
      </x:c>
      <x:c r="B288" t="str">
        <x:v>Georgia Institute of Technology</x:v>
      </x:c>
      <x:c r="C288" s="32" t="str">
        <x:v>Master of Sustainable Energy and Environmental Management</x:v>
      </x:c>
      <x:c r="D288" s="32" t="str">
        <x:v>Environmental Sciences</x:v>
      </x:c>
      <x:c r="E288" s="31" t="n">
        <x:v>2025</x:v>
      </x:c>
      <x:c r="F288" s="31" t="n">
        <x:f>36</x:f>
        <x:v>36</x:v>
      </x:c>
      <x:c r="G288" s="43" t="n">
        <x:v>83.2</x:v>
      </x:c>
      <x:c r="H288" s="32" t="str">
        <x:v>Ranked in collected subject table</x:v>
      </x:c>
      <x:c r="I288" s="35" t="str">
        <x:v>https://www.topuniversities.com/universities/georgia-institute-technology</x:v>
      </x:c>
      <x:c r="J288" s="35" t="str">
        <x:v>https://www.topuniversities.com/university-subject-rankings/environmental-sciences/2025?items_per_page=150</x:v>
      </x:c>
      <x:c r="K288" s="35" t="str">
        <x:v>https://spp.gatech.edu/master-sustainable-energy-environmental-management</x:v>
      </x:c>
    </x:row>
    <x:row r="289">
      <x:c r="A289" s="31" t="n">
        <x:v>57</x:v>
      </x:c>
      <x:c r="B289" t="str">
        <x:v>Georgia Institute of Technology</x:v>
      </x:c>
      <x:c r="C289" s="32" t="str">
        <x:v>Master of Sustainable Energy and Environmental Management</x:v>
      </x:c>
      <x:c r="D289" s="32" t="str">
        <x:v>Environmental Sciences</x:v>
      </x:c>
      <x:c r="E289" s="31" t="n">
        <x:v>2026</x:v>
      </x:c>
      <x:c r="F289" s="31" t="n">
        <x:f>39</x:f>
        <x:v>39</x:v>
      </x:c>
      <x:c r="G289" s="43" t="n">
        <x:v>81.4</x:v>
      </x:c>
      <x:c r="H289" s="32" t="str">
        <x:v>Ranked in collected subject table</x:v>
      </x:c>
      <x:c r="I289" s="35" t="str">
        <x:v>https://www.topuniversities.com/universities/georgia-institute-technology</x:v>
      </x:c>
      <x:c r="J289" s="35" t="str">
        <x:v>https://www.topuniversities.com/university-subject-rankings/environmental-sciences?items_per_page=150</x:v>
      </x:c>
      <x:c r="K289" s="35" t="str">
        <x:v>https://spp.gatech.edu/master-sustainable-energy-environmental-management</x:v>
      </x:c>
    </x:row>
    <x:row r="290">
      <x:c r="A290" s="31" t="n">
        <x:v>58</x:v>
      </x:c>
      <x:c r="B290" t="str">
        <x:v>University of Illinois at Urbana-Champaign</x:v>
      </x:c>
      <x:c r="C290" s="32" t="str">
        <x:v>MS in Sustainable Design</x:v>
      </x:c>
      <x:c r="D290" s="32" t="str">
        <x:v>Architecture &amp; Built Environment</x:v>
      </x:c>
      <x:c r="E290" s="31" t="n">
        <x:v>2022</x:v>
      </x:c>
      <x:c r="F290" s="31" t="str">
        <x:v>50</x:v>
      </x:c>
      <x:c r="G290" s="43" t="n">
        <x:v>72.1</x:v>
      </x:c>
      <x:c r="H290" s="32" t="str">
        <x:v>Ranked in collected subject table</x:v>
      </x:c>
      <x:c r="I290" s="35" t="str">
        <x:v>https://www.topuniversities.com/universities/university-illinois-urbana-champaign</x:v>
      </x:c>
      <x:c r="J290" s="35" t="str">
        <x:v>https://www.topuniversities.com/university-subject-rankings/architecture-built-environment/2022?items_per_page=150</x:v>
      </x:c>
      <x:c r="K290" s="35" t="str">
        <x:v>https://arch.illinois.edu/programs-applying/graduate-degrees/ms-sustainable-design/</x:v>
      </x:c>
    </x:row>
    <x:row r="291">
      <x:c r="A291" s="31" t="n">
        <x:v>58</x:v>
      </x:c>
      <x:c r="B291" t="str">
        <x:v>University of Illinois at Urbana-Champaign</x:v>
      </x:c>
      <x:c r="C291" s="32" t="str">
        <x:v>MS in Sustainable Design</x:v>
      </x:c>
      <x:c r="D291" s="32" t="str">
        <x:v>Architecture &amp; Built Environment</x:v>
      </x:c>
      <x:c r="E291" s="31" t="n">
        <x:v>2023</x:v>
      </x:c>
      <x:c r="F291" s="31" t="str">
        <x:v>51-100</x:v>
      </x:c>
      <x:c r="G291" s="43"/>
      <x:c r="H291" s="32" t="str">
        <x:v>Ranked in collected subject table</x:v>
      </x:c>
      <x:c r="I291" s="35" t="str">
        <x:v>https://www.topuniversities.com/universities/university-illinois-urbana-champaign</x:v>
      </x:c>
      <x:c r="J291" s="35" t="str">
        <x:v>https://www.topuniversities.com/university-subject-rankings/architecture-built-environment/2023?items_per_page=150</x:v>
      </x:c>
      <x:c r="K291" s="35" t="str">
        <x:v>https://arch.illinois.edu/programs-applying/graduate-degrees/ms-sustainable-design/</x:v>
      </x:c>
    </x:row>
    <x:row r="292">
      <x:c r="A292" s="31" t="n">
        <x:v>58</x:v>
      </x:c>
      <x:c r="B292" t="str">
        <x:v>University of Illinois at Urbana-Champaign</x:v>
      </x:c>
      <x:c r="C292" s="32" t="str">
        <x:v>MS in Sustainable Design</x:v>
      </x:c>
      <x:c r="D292" s="32" t="str">
        <x:v>Architecture &amp; Built Environment</x:v>
      </x:c>
      <x:c r="E292" s="31" t="n">
        <x:v>2024</x:v>
      </x:c>
      <x:c r="F292" s="31" t="str">
        <x:v>51-100</x:v>
      </x:c>
      <x:c r="G292" s="43"/>
      <x:c r="H292" s="32" t="str">
        <x:v>Ranked in collected subject table</x:v>
      </x:c>
      <x:c r="I292" s="35" t="str">
        <x:v>https://www.topuniversities.com/universities/university-illinois-urbana-champaign</x:v>
      </x:c>
      <x:c r="J292" s="35" t="str">
        <x:v>https://www.topuniversities.com/university-subject-rankings/architecture-built-environment/2024?items_per_page=150</x:v>
      </x:c>
      <x:c r="K292" s="35" t="str">
        <x:v>https://arch.illinois.edu/programs-applying/graduate-degrees/ms-sustainable-design/</x:v>
      </x:c>
    </x:row>
    <x:row r="293">
      <x:c r="A293" s="31" t="n">
        <x:v>58</x:v>
      </x:c>
      <x:c r="B293" t="str">
        <x:v>University of Illinois at Urbana-Champaign</x:v>
      </x:c>
      <x:c r="C293" s="32" t="str">
        <x:v>MS in Sustainable Design</x:v>
      </x:c>
      <x:c r="D293" s="32" t="str">
        <x:v>Architecture &amp; Built Environment</x:v>
      </x:c>
      <x:c r="E293" s="31" t="n">
        <x:v>2025</x:v>
      </x:c>
      <x:c r="F293" s="31" t="str">
        <x:v>51-100</x:v>
      </x:c>
      <x:c r="G293" s="43"/>
      <x:c r="H293" s="32" t="str">
        <x:v>Ranked in collected subject table</x:v>
      </x:c>
      <x:c r="I293" s="35" t="str">
        <x:v>https://www.topuniversities.com/universities/university-illinois-urbana-champaign</x:v>
      </x:c>
      <x:c r="J293" s="35" t="str">
        <x:v>https://www.topuniversities.com/university-subject-rankings/architecture-built-environment/2025?items_per_page=150</x:v>
      </x:c>
      <x:c r="K293" s="35" t="str">
        <x:v>https://arch.illinois.edu/programs-applying/graduate-degrees/ms-sustainable-design/</x:v>
      </x:c>
    </x:row>
    <x:row r="294">
      <x:c r="A294" s="31" t="n">
        <x:v>58</x:v>
      </x:c>
      <x:c r="B294" t="str">
        <x:v>University of Illinois at Urbana-Champaign</x:v>
      </x:c>
      <x:c r="C294" s="32" t="str">
        <x:v>MS in Sustainable Design</x:v>
      </x:c>
      <x:c r="D294" s="32" t="str">
        <x:v>Architecture &amp; Built Environment</x:v>
      </x:c>
      <x:c r="E294" s="31" t="n">
        <x:v>2026</x:v>
      </x:c>
      <x:c r="F294" s="31" t="str">
        <x:v>51-100</x:v>
      </x:c>
      <x:c r="G294" s="43"/>
      <x:c r="H294" s="32" t="str">
        <x:v>Ranked in collected subject table</x:v>
      </x:c>
      <x:c r="I294" s="35" t="str">
        <x:v>https://www.topuniversities.com/universities/university-illinois-urbana-champaign</x:v>
      </x:c>
      <x:c r="J294" s="35" t="str">
        <x:v>https://www.topuniversities.com/university-subject-rankings/architecture-built-environment?items_per_page=150</x:v>
      </x:c>
      <x:c r="K294" s="35" t="str">
        <x:v>https://arch.illinois.edu/programs-applying/graduate-degrees/ms-sustainable-design/</x:v>
      </x:c>
    </x:row>
    <x:row r="295">
      <x:c r="A295" s="31" t="n">
        <x:v>59</x:v>
      </x:c>
      <x:c r="B295" t="str">
        <x:v>KU Leuven</x:v>
      </x:c>
      <x:c r="C295" s="32" t="str">
        <x:v>Master of Sustainable Development</x:v>
      </x:c>
      <x:c r="D295" s="32" t="str">
        <x:v>Development Studies</x:v>
      </x:c>
      <x:c r="E295" s="31" t="n">
        <x:v>2022</x:v>
      </x:c>
      <x:c r="F295" s="31" t="str">
        <x:v>51-100</x:v>
      </x:c>
      <x:c r="G295" s="43"/>
      <x:c r="H295" s="32" t="str">
        <x:v>Ranked in collected subject table</x:v>
      </x:c>
      <x:c r="I295" s="35" t="str">
        <x:v>https://www.topuniversities.com/universities/ku-leuven</x:v>
      </x:c>
      <x:c r="J295" s="35" t="str">
        <x:v>https://www.topuniversities.com/university-subject-rankings/development-studies/2022?items_per_page=150</x:v>
      </x:c>
      <x:c r="K295" s="35" t="str">
        <x:v>https://www.kuleuven.be/programmes/master-sustainable-development</x:v>
      </x:c>
    </x:row>
    <x:row r="296">
      <x:c r="A296" s="31" t="n">
        <x:v>59</x:v>
      </x:c>
      <x:c r="B296" t="str">
        <x:v>KU Leuven</x:v>
      </x:c>
      <x:c r="C296" s="32" t="str">
        <x:v>Master of Sustainable Development</x:v>
      </x:c>
      <x:c r="D296" s="32" t="str">
        <x:v>Development Studies</x:v>
      </x:c>
      <x:c r="E296" s="31" t="n">
        <x:v>2023</x:v>
      </x:c>
      <x:c r="F296" s="31" t="str">
        <x:v>51-100</x:v>
      </x:c>
      <x:c r="G296" s="43"/>
      <x:c r="H296" s="32" t="str">
        <x:v>Ranked in collected subject table</x:v>
      </x:c>
      <x:c r="I296" s="35" t="str">
        <x:v>https://www.topuniversities.com/universities/ku-leuven</x:v>
      </x:c>
      <x:c r="J296" s="35" t="str">
        <x:v>https://www.topuniversities.com/university-subject-rankings/development-studies/2023?items_per_page=150</x:v>
      </x:c>
      <x:c r="K296" s="35" t="str">
        <x:v>https://www.kuleuven.be/programmes/master-sustainable-development</x:v>
      </x:c>
    </x:row>
    <x:row r="297">
      <x:c r="A297" s="31" t="n">
        <x:v>59</x:v>
      </x:c>
      <x:c r="B297" t="str">
        <x:v>KU Leuven</x:v>
      </x:c>
      <x:c r="C297" s="32" t="str">
        <x:v>Master of Sustainable Development</x:v>
      </x:c>
      <x:c r="D297" s="32" t="str">
        <x:v>Development Studies</x:v>
      </x:c>
      <x:c r="E297" s="31" t="n">
        <x:v>2024</x:v>
      </x:c>
      <x:c r="F297" s="31" t="str">
        <x:v>101-130</x:v>
      </x:c>
      <x:c r="G297" s="43"/>
      <x:c r="H297" s="32" t="str">
        <x:v>Ranked in collected subject table</x:v>
      </x:c>
      <x:c r="I297" s="35" t="str">
        <x:v>https://www.topuniversities.com/universities/ku-leuven</x:v>
      </x:c>
      <x:c r="J297" s="35" t="str">
        <x:v>https://www.topuniversities.com/university-subject-rankings/development-studies/2024?items_per_page=150</x:v>
      </x:c>
      <x:c r="K297" s="35" t="str">
        <x:v>https://www.kuleuven.be/programmes/master-sustainable-development</x:v>
      </x:c>
    </x:row>
    <x:row r="298">
      <x:c r="A298" s="31" t="n">
        <x:v>59</x:v>
      </x:c>
      <x:c r="B298" t="str">
        <x:v>KU Leuven</x:v>
      </x:c>
      <x:c r="C298" s="32" t="str">
        <x:v>Master of Sustainable Development</x:v>
      </x:c>
      <x:c r="D298" s="32" t="str">
        <x:v>Development Studies</x:v>
      </x:c>
      <x:c r="E298" s="31" t="n">
        <x:v>2025</x:v>
      </x:c>
      <x:c r="F298" s="31" t="str">
        <x:v>NR</x:v>
      </x:c>
      <x:c r="G298" s="43"/>
      <x:c r="H298" s="32" t="str">
        <x:v>Not ranked in complete subject table</x:v>
      </x:c>
      <x:c r="I298" s="35" t="str">
        <x:v>https://www.topuniversities.com/universities/ku-leuven</x:v>
      </x:c>
      <x:c r="J298" s="35" t="str">
        <x:v>https://www.topuniversities.com/university-subject-rankings/development-studies/2025?items_per_page=150</x:v>
      </x:c>
      <x:c r="K298" s="35" t="str">
        <x:v>https://www.kuleuven.be/programmes/master-sustainable-development</x:v>
      </x:c>
    </x:row>
    <x:row r="299">
      <x:c r="A299" s="31" t="n">
        <x:v>59</x:v>
      </x:c>
      <x:c r="B299" t="str">
        <x:v>KU Leuven</x:v>
      </x:c>
      <x:c r="C299" s="32" t="str">
        <x:v>Master of Sustainable Development</x:v>
      </x:c>
      <x:c r="D299" s="32" t="str">
        <x:v>Development Studies</x:v>
      </x:c>
      <x:c r="E299" s="31" t="n">
        <x:v>2026</x:v>
      </x:c>
      <x:c r="F299" s="31" t="str">
        <x:v>101-150</x:v>
      </x:c>
      <x:c r="G299" s="43"/>
      <x:c r="H299" s="32" t="str">
        <x:v>Ranked in collected subject table</x:v>
      </x:c>
      <x:c r="I299" s="35" t="str">
        <x:v>https://www.topuniversities.com/universities/ku-leuven</x:v>
      </x:c>
      <x:c r="J299" s="35" t="str">
        <x:v>https://www.topuniversities.com/university-subject-rankings/development-studies?items_per_page=150</x:v>
      </x:c>
      <x:c r="K299" s="35" t="str">
        <x:v>https://www.kuleuven.be/programmes/master-sustainable-development</x:v>
      </x:c>
    </x:row>
    <x:row r="300">
      <x:c r="A300" s="31" t="n">
        <x:v>60</x:v>
      </x:c>
      <x:c r="B300" t="str">
        <x:v>University of California, San Diego</x:v>
      </x:c>
      <x:c r="C300" s="32" t="str">
        <x:v>MAS in Climate Science and Policy</x:v>
      </x:c>
      <x:c r="D300" s="32" t="str">
        <x:v>Environmental Sciences</x:v>
      </x:c>
      <x:c r="E300" s="31" t="n">
        <x:v>2022</x:v>
      </x:c>
      <x:c r="F300" s="31" t="str">
        <x:v>78</x:v>
      </x:c>
      <x:c r="G300" s="43" t="n">
        <x:v>80.9</x:v>
      </x:c>
      <x:c r="H300" s="32" t="str">
        <x:v>Ranked in collected subject table</x:v>
      </x:c>
      <x:c r="I300" s="35" t="str">
        <x:v>https://www.topuniversities.com/universities/university-california-san-diego-ucsd</x:v>
      </x:c>
      <x:c r="J300" s="35" t="str">
        <x:v>https://www.topuniversities.com/university-subject-rankings/environmental-sciences/2022?items_per_page=150</x:v>
      </x:c>
      <x:c r="K300" s="35" t="str">
        <x:v>https://gps.ucsd.edu/academics/masters-programs/mas-climate-science-policy.html</x:v>
      </x:c>
    </x:row>
    <x:row r="301">
      <x:c r="A301" s="31" t="n">
        <x:v>60</x:v>
      </x:c>
      <x:c r="B301" t="str">
        <x:v>University of California, San Diego</x:v>
      </x:c>
      <x:c r="C301" s="32" t="str">
        <x:v>MAS in Climate Science and Policy</x:v>
      </x:c>
      <x:c r="D301" s="32" t="str">
        <x:v>Environmental Sciences</x:v>
      </x:c>
      <x:c r="E301" s="31" t="n">
        <x:v>2023</x:v>
      </x:c>
      <x:c r="F301" s="31" t="str">
        <x:v>83</x:v>
      </x:c>
      <x:c r="G301" s="43" t="n">
        <x:v>79.8</x:v>
      </x:c>
      <x:c r="H301" s="32" t="str">
        <x:v>Ranked in collected subject table</x:v>
      </x:c>
      <x:c r="I301" s="35" t="str">
        <x:v>https://www.topuniversities.com/universities/university-california-san-diego-ucsd</x:v>
      </x:c>
      <x:c r="J301" s="35" t="str">
        <x:v>https://www.topuniversities.com/university-subject-rankings/environmental-sciences/2023?items_per_page=150</x:v>
      </x:c>
      <x:c r="K301" s="35" t="str">
        <x:v>https://gps.ucsd.edu/academics/masters-programs/mas-climate-science-policy.html</x:v>
      </x:c>
    </x:row>
    <x:row r="302">
      <x:c r="A302" s="31" t="n">
        <x:v>60</x:v>
      </x:c>
      <x:c r="B302" t="str">
        <x:v>University of California, San Diego</x:v>
      </x:c>
      <x:c r="C302" s="32" t="str">
        <x:v>MAS in Climate Science and Policy</x:v>
      </x:c>
      <x:c r="D302" s="32" t="str">
        <x:v>Environmental Sciences</x:v>
      </x:c>
      <x:c r="E302" s="31" t="n">
        <x:v>2024</x:v>
      </x:c>
      <x:c r="F302" s="31" t="n">
        <x:f>82</x:f>
        <x:v>82</x:v>
      </x:c>
      <x:c r="G302" s="43" t="n">
        <x:v>78.5</x:v>
      </x:c>
      <x:c r="H302" s="32" t="str">
        <x:v>Ranked in collected subject table</x:v>
      </x:c>
      <x:c r="I302" s="35" t="str">
        <x:v>https://www.topuniversities.com/universities/university-california-san-diego-ucsd</x:v>
      </x:c>
      <x:c r="J302" s="35" t="str">
        <x:v>https://www.topuniversities.com/university-subject-rankings/environmental-sciences/2024?items_per_page=150</x:v>
      </x:c>
      <x:c r="K302" s="35" t="str">
        <x:v>https://gps.ucsd.edu/academics/masters-programs/mas-climate-science-policy.html</x:v>
      </x:c>
    </x:row>
    <x:row r="303">
      <x:c r="A303" s="31" t="n">
        <x:v>60</x:v>
      </x:c>
      <x:c r="B303" t="str">
        <x:v>University of California, San Diego</x:v>
      </x:c>
      <x:c r="C303" s="32" t="str">
        <x:v>MAS in Climate Science and Policy</x:v>
      </x:c>
      <x:c r="D303" s="32" t="str">
        <x:v>Environmental Sciences</x:v>
      </x:c>
      <x:c r="E303" s="31" t="n">
        <x:v>2025</x:v>
      </x:c>
      <x:c r="F303" s="31" t="str">
        <x:v>101</x:v>
      </x:c>
      <x:c r="G303" s="43" t="n">
        <x:v>77.2</x:v>
      </x:c>
      <x:c r="H303" s="32" t="str">
        <x:v>Ranked in collected subject table</x:v>
      </x:c>
      <x:c r="I303" s="35" t="str">
        <x:v>https://www.topuniversities.com/universities/university-california-san-diego-ucsd</x:v>
      </x:c>
      <x:c r="J303" s="35" t="str">
        <x:v>https://www.topuniversities.com/university-subject-rankings/environmental-sciences/2025?items_per_page=150</x:v>
      </x:c>
      <x:c r="K303" s="35" t="str">
        <x:v>https://gps.ucsd.edu/academics/masters-programs/mas-climate-science-policy.html</x:v>
      </x:c>
    </x:row>
    <x:row r="304">
      <x:c r="A304" s="31" t="n">
        <x:v>60</x:v>
      </x:c>
      <x:c r="B304" t="str">
        <x:v>University of California, San Diego</x:v>
      </x:c>
      <x:c r="C304" s="32" t="str">
        <x:v>MAS in Climate Science and Policy</x:v>
      </x:c>
      <x:c r="D304" s="32" t="str">
        <x:v>Environmental Sciences</x:v>
      </x:c>
      <x:c r="E304" s="31" t="n">
        <x:v>2026</x:v>
      </x:c>
      <x:c r="F304" s="31" t="str">
        <x:v>107</x:v>
      </x:c>
      <x:c r="G304" s="43" t="n">
        <x:v>75.7</x:v>
      </x:c>
      <x:c r="H304" s="32" t="str">
        <x:v>Ranked in collected subject table</x:v>
      </x:c>
      <x:c r="I304" s="35" t="str">
        <x:v>https://www.topuniversities.com/universities/university-california-san-diego-ucsd</x:v>
      </x:c>
      <x:c r="J304" s="35" t="str">
        <x:v>https://www.topuniversities.com/university-subject-rankings/environmental-sciences?items_per_page=150</x:v>
      </x:c>
      <x:c r="K304" s="35" t="str">
        <x:v>https://gps.ucsd.edu/academics/masters-programs/mas-climate-science-policy.html</x:v>
      </x:c>
    </x:row>
    <x:row r="305">
      <x:c r="A305" s="31" t="n">
        <x:v>61</x:v>
      </x:c>
      <x:c r="B305" t="str">
        <x:v>Universität Heidelberg</x:v>
      </x:c>
      <x:c r="C305" s="32" t="str">
        <x:v>MSc Governance of Risk and Resources</x:v>
      </x:c>
      <x:c r="D305" s="32" t="str">
        <x:v>Development Studies</x:v>
      </x:c>
      <x:c r="E305" s="31" t="n">
        <x:v>2022</x:v>
      </x:c>
      <x:c r="F305" s="31" t="str">
        <x:v>NR</x:v>
      </x:c>
      <x:c r="G305" s="43"/>
      <x:c r="H305" s="32" t="str">
        <x:v>Not ranked in complete subject table</x:v>
      </x:c>
      <x:c r="I305" s="35" t="str">
        <x:v>https://www.topuniversities.com/universities/universitat-heidelberg</x:v>
      </x:c>
      <x:c r="J305" s="35" t="str">
        <x:v>https://www.topuniversities.com/university-subject-rankings/development-studies/2022?items_per_page=150</x:v>
      </x:c>
      <x:c r="K305" s="35" t="str">
        <x:v>https://www.hce.uni-heidelberg.de/en/study-and-teaching/masters-programme-governance-of-risk-and-resources</x:v>
      </x:c>
    </x:row>
    <x:row r="306">
      <x:c r="A306" s="31" t="n">
        <x:v>61</x:v>
      </x:c>
      <x:c r="B306" t="str">
        <x:v>Universität Heidelberg</x:v>
      </x:c>
      <x:c r="C306" s="32" t="str">
        <x:v>MSc Governance of Risk and Resources</x:v>
      </x:c>
      <x:c r="D306" s="32" t="str">
        <x:v>Development Studies</x:v>
      </x:c>
      <x:c r="E306" s="31" t="n">
        <x:v>2023</x:v>
      </x:c>
      <x:c r="F306" s="31" t="str">
        <x:v>NR</x:v>
      </x:c>
      <x:c r="G306" s="43"/>
      <x:c r="H306" s="32" t="str">
        <x:v>Not ranked in complete subject table</x:v>
      </x:c>
      <x:c r="I306" s="35" t="str">
        <x:v>https://www.topuniversities.com/universities/universitat-heidelberg</x:v>
      </x:c>
      <x:c r="J306" s="35" t="str">
        <x:v>https://www.topuniversities.com/university-subject-rankings/development-studies/2023?items_per_page=150</x:v>
      </x:c>
      <x:c r="K306" s="35" t="str">
        <x:v>https://www.hce.uni-heidelberg.de/en/study-and-teaching/masters-programme-governance-of-risk-and-resources</x:v>
      </x:c>
    </x:row>
    <x:row r="307">
      <x:c r="A307" s="31" t="n">
        <x:v>61</x:v>
      </x:c>
      <x:c r="B307" t="str">
        <x:v>Universität Heidelberg</x:v>
      </x:c>
      <x:c r="C307" s="32" t="str">
        <x:v>MSc Governance of Risk and Resources</x:v>
      </x:c>
      <x:c r="D307" s="32" t="str">
        <x:v>Development Studies</x:v>
      </x:c>
      <x:c r="E307" s="31" t="n">
        <x:v>2024</x:v>
      </x:c>
      <x:c r="F307" s="31" t="str">
        <x:v>NR</x:v>
      </x:c>
      <x:c r="G307" s="43"/>
      <x:c r="H307" s="32" t="str">
        <x:v>Not ranked in complete subject table</x:v>
      </x:c>
      <x:c r="I307" s="35" t="str">
        <x:v>https://www.topuniversities.com/universities/universitat-heidelberg</x:v>
      </x:c>
      <x:c r="J307" s="35" t="str">
        <x:v>https://www.topuniversities.com/university-subject-rankings/development-studies/2024?items_per_page=150</x:v>
      </x:c>
      <x:c r="K307" s="35" t="str">
        <x:v>https://www.hce.uni-heidelberg.de/en/study-and-teaching/masters-programme-governance-of-risk-and-resources</x:v>
      </x:c>
    </x:row>
    <x:row r="308">
      <x:c r="A308" s="31" t="n">
        <x:v>61</x:v>
      </x:c>
      <x:c r="B308" t="str">
        <x:v>Universität Heidelberg</x:v>
      </x:c>
      <x:c r="C308" s="32" t="str">
        <x:v>MSc Governance of Risk and Resources</x:v>
      </x:c>
      <x:c r="D308" s="32" t="str">
        <x:v>Development Studies</x:v>
      </x:c>
      <x:c r="E308" s="31" t="n">
        <x:v>2025</x:v>
      </x:c>
      <x:c r="F308" s="31" t="str">
        <x:v>NR</x:v>
      </x:c>
      <x:c r="G308" s="43"/>
      <x:c r="H308" s="32" t="str">
        <x:v>Not ranked in complete subject table</x:v>
      </x:c>
      <x:c r="I308" s="35" t="str">
        <x:v>https://www.topuniversities.com/universities/universitat-heidelberg</x:v>
      </x:c>
      <x:c r="J308" s="35" t="str">
        <x:v>https://www.topuniversities.com/university-subject-rankings/development-studies/2025?items_per_page=150</x:v>
      </x:c>
      <x:c r="K308" s="35" t="str">
        <x:v>https://www.hce.uni-heidelberg.de/en/study-and-teaching/masters-programme-governance-of-risk-and-resources</x:v>
      </x:c>
    </x:row>
    <x:row r="309">
      <x:c r="A309" s="31" t="n">
        <x:v>61</x:v>
      </x:c>
      <x:c r="B309" t="str">
        <x:v>Universität Heidelberg</x:v>
      </x:c>
      <x:c r="C309" s="32" t="str">
        <x:v>MSc Governance of Risk and Resources</x:v>
      </x:c>
      <x:c r="D309" s="32" t="str">
        <x:v>Development Studies</x:v>
      </x:c>
      <x:c r="E309" s="31" t="n">
        <x:v>2026</x:v>
      </x:c>
      <x:c r="F309" s="31" t="str">
        <x:v>NR</x:v>
      </x:c>
      <x:c r="G309" s="43"/>
      <x:c r="H309" s="32" t="str">
        <x:v>Not ranked in complete subject table</x:v>
      </x:c>
      <x:c r="I309" s="35" t="str">
        <x:v>https://www.topuniversities.com/universities/universitat-heidelberg</x:v>
      </x:c>
      <x:c r="J309" s="35" t="str">
        <x:v>https://www.topuniversities.com/university-subject-rankings/development-studies?items_per_page=150</x:v>
      </x:c>
      <x:c r="K309" s="35" t="str">
        <x:v>https://www.hce.uni-heidelberg.de/en/study-and-teaching/masters-programme-governance-of-risk-and-resources</x:v>
      </x:c>
    </x:row>
    <x:row r="310">
      <x:c r="A310" s="31" t="n">
        <x:v>62</x:v>
      </x:c>
      <x:c r="B310" t="str">
        <x:v>University of Texas at Austin</x:v>
      </x:c>
      <x:c r="C310" s="32" t="str">
        <x:v>MS in Sustainable Design</x:v>
      </x:c>
      <x:c r="D310" s="32" t="str">
        <x:v>Architecture &amp; Built Environment</x:v>
      </x:c>
      <x:c r="E310" s="31" t="n">
        <x:v>2022</x:v>
      </x:c>
      <x:c r="F310" s="31" t="n">
        <x:f>42</x:f>
        <x:v>42</x:v>
      </x:c>
      <x:c r="G310" s="43" t="n">
        <x:v>73.6</x:v>
      </x:c>
      <x:c r="H310" s="32" t="str">
        <x:v>Ranked in collected subject table</x:v>
      </x:c>
      <x:c r="I310" s="35" t="str">
        <x:v>https://www.topuniversities.com/universities/university-texas-austin</x:v>
      </x:c>
      <x:c r="J310" s="35" t="str">
        <x:v>https://www.topuniversities.com/university-subject-rankings/architecture-built-environment/2022?items_per_page=150</x:v>
      </x:c>
      <x:c r="K310" s="35" t="str">
        <x:v>https://soa.utexas.edu/programs/sustainable-design/ms-sustainable-design</x:v>
      </x:c>
    </x:row>
    <x:row r="311">
      <x:c r="A311" s="31" t="n">
        <x:v>62</x:v>
      </x:c>
      <x:c r="B311" t="str">
        <x:v>University of Texas at Austin</x:v>
      </x:c>
      <x:c r="C311" s="32" t="str">
        <x:v>MS in Sustainable Design</x:v>
      </x:c>
      <x:c r="D311" s="32" t="str">
        <x:v>Architecture &amp; Built Environment</x:v>
      </x:c>
      <x:c r="E311" s="31" t="n">
        <x:v>2023</x:v>
      </x:c>
      <x:c r="F311" s="31" t="str">
        <x:v>49</x:v>
      </x:c>
      <x:c r="G311" s="43" t="n">
        <x:v>72.3</x:v>
      </x:c>
      <x:c r="H311" s="32" t="str">
        <x:v>Ranked in collected subject table</x:v>
      </x:c>
      <x:c r="I311" s="35" t="str">
        <x:v>https://www.topuniversities.com/universities/university-texas-austin</x:v>
      </x:c>
      <x:c r="J311" s="35" t="str">
        <x:v>https://www.topuniversities.com/university-subject-rankings/architecture-built-environment/2023?items_per_page=150</x:v>
      </x:c>
      <x:c r="K311" s="35" t="str">
        <x:v>https://soa.utexas.edu/programs/sustainable-design/ms-sustainable-design</x:v>
      </x:c>
    </x:row>
    <x:row r="312">
      <x:c r="A312" s="31" t="n">
        <x:v>62</x:v>
      </x:c>
      <x:c r="B312" t="str">
        <x:v>University of Texas at Austin</x:v>
      </x:c>
      <x:c r="C312" s="32" t="str">
        <x:v>MS in Sustainable Design</x:v>
      </x:c>
      <x:c r="D312" s="32" t="str">
        <x:v>Architecture &amp; Built Environment</x:v>
      </x:c>
      <x:c r="E312" s="31" t="n">
        <x:v>2024</x:v>
      </x:c>
      <x:c r="F312" s="31" t="str">
        <x:v>50</x:v>
      </x:c>
      <x:c r="G312" s="43" t="n">
        <x:v>72.2</x:v>
      </x:c>
      <x:c r="H312" s="32" t="str">
        <x:v>Ranked in collected subject table</x:v>
      </x:c>
      <x:c r="I312" s="35" t="str">
        <x:v>https://www.topuniversities.com/universities/university-texas-austin</x:v>
      </x:c>
      <x:c r="J312" s="35" t="str">
        <x:v>https://www.topuniversities.com/university-subject-rankings/architecture-built-environment/2024?items_per_page=150</x:v>
      </x:c>
      <x:c r="K312" s="35" t="str">
        <x:v>https://soa.utexas.edu/programs/sustainable-design/ms-sustainable-design</x:v>
      </x:c>
    </x:row>
    <x:row r="313">
      <x:c r="A313" s="31" t="n">
        <x:v>62</x:v>
      </x:c>
      <x:c r="B313" t="str">
        <x:v>University of Texas at Austin</x:v>
      </x:c>
      <x:c r="C313" s="32" t="str">
        <x:v>MS in Sustainable Design</x:v>
      </x:c>
      <x:c r="D313" s="32" t="str">
        <x:v>Architecture &amp; Built Environment</x:v>
      </x:c>
      <x:c r="E313" s="31" t="n">
        <x:v>2025</x:v>
      </x:c>
      <x:c r="F313" s="31" t="str">
        <x:v>51-100</x:v>
      </x:c>
      <x:c r="G313" s="43"/>
      <x:c r="H313" s="32" t="str">
        <x:v>Ranked in collected subject table</x:v>
      </x:c>
      <x:c r="I313" s="35" t="str">
        <x:v>https://www.topuniversities.com/universities/university-texas-austin</x:v>
      </x:c>
      <x:c r="J313" s="35" t="str">
        <x:v>https://www.topuniversities.com/university-subject-rankings/architecture-built-environment/2025?items_per_page=150</x:v>
      </x:c>
      <x:c r="K313" s="35" t="str">
        <x:v>https://soa.utexas.edu/programs/sustainable-design/ms-sustainable-design</x:v>
      </x:c>
    </x:row>
    <x:row r="314">
      <x:c r="A314" s="31" t="n">
        <x:v>62</x:v>
      </x:c>
      <x:c r="B314" t="str">
        <x:v>University of Texas at Austin</x:v>
      </x:c>
      <x:c r="C314" s="32" t="str">
        <x:v>MS in Sustainable Design</x:v>
      </x:c>
      <x:c r="D314" s="32" t="str">
        <x:v>Architecture &amp; Built Environment</x:v>
      </x:c>
      <x:c r="E314" s="31" t="n">
        <x:v>2026</x:v>
      </x:c>
      <x:c r="F314" s="31" t="str">
        <x:v>51-100</x:v>
      </x:c>
      <x:c r="G314" s="43"/>
      <x:c r="H314" s="32" t="str">
        <x:v>Ranked in collected subject table</x:v>
      </x:c>
      <x:c r="I314" s="35" t="str">
        <x:v>https://www.topuniversities.com/universities/university-texas-austin</x:v>
      </x:c>
      <x:c r="J314" s="35" t="str">
        <x:v>https://www.topuniversities.com/university-subject-rankings/architecture-built-environment?items_per_page=150</x:v>
      </x:c>
      <x:c r="K314" s="35" t="str">
        <x:v>https://soa.utexas.edu/programs/sustainable-design/ms-sustainable-design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2434df2b06c43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42" hidden="0" customWidth="1"/>
    <x:col min="4" max="4" width="29" hidden="0" customWidth="1"/>
    <x:col min="5" max="5" width="10" hidden="0" customWidth="1"/>
    <x:col min="6" max="6" width="11" hidden="0" customWidth="1"/>
    <x:col min="7" max="7" width="13" hidden="0" customWidth="1"/>
    <x:col min="8" max="8" width="29" hidden="0" customWidth="1"/>
    <x:col min="9" max="9" width="46" hidden="0" customWidth="1"/>
    <x:col min="10" max="10" width="54" hidden="0" customWidth="1"/>
    <x:col min="11" max="11" width="58" hidden="0" customWidth="1"/>
    <x:col min="12" max="12" width="48" hidden="0" customWidth="1"/>
  </x:cols>
  <x:sheetData>
    <x:row r="1" ht="28" customHeight="1">
      <x:c r="A1" s="3" t="str">
        <x:v>THE Program-Related Subject Ranking Detail: 2022-2026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Long-format audit sheet using complete official THE subject-ranking tables. NR means the institution is not ranked in that subject edition.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30" t="str">
        <x:v>#</x:v>
      </x:c>
      <x:c r="B4" s="30" t="str">
        <x:v>Institution</x:v>
      </x:c>
      <x:c r="C4" s="30" t="str">
        <x:v>Selected program</x:v>
      </x:c>
      <x:c r="D4" s="30" t="str">
        <x:v>THE subject proxy</x:v>
      </x:c>
      <x:c r="E4" s="30" t="str">
        <x:v>Edition</x:v>
      </x:c>
      <x:c r="F4" s="30" t="str">
        <x:v>Rank</x:v>
      </x:c>
      <x:c r="G4" s="30" t="str">
        <x:v>Score</x:v>
      </x:c>
      <x:c r="H4" s="30" t="str">
        <x:v>Status</x:v>
      </x:c>
      <x:c r="I4" s="30" t="str">
        <x:v>Institution profile URL</x:v>
      </x:c>
      <x:c r="J4" s="30" t="str">
        <x:v>Official ranking page</x:v>
      </x:c>
      <x:c r="K4" s="30" t="str">
        <x:v>Official data endpoint</x:v>
      </x:c>
      <x:c r="L4" s="30" t="str">
        <x:v>Program URL</x:v>
      </x:c>
    </x:row>
    <x:row r="5">
      <x:c r="A5" s="31" t="n">
        <x:v>1</x:v>
      </x:c>
      <x:c r="B5" t="str">
        <x:v>Massachusetts Institute of Technology (MIT)</x:v>
      </x:c>
      <x:c r="C5" s="32" t="str">
        <x:v>Master in City Planning - Environmental Policy and Planning focus</x:v>
      </x:c>
      <x:c r="D5" s="32" t="str">
        <x:v>Social Sciences</x:v>
      </x:c>
      <x:c r="E5" s="31" t="n">
        <x:v>2022</x:v>
      </x:c>
      <x:c r="F5" s="31" t="str">
        <x:v>2</x:v>
      </x:c>
      <x:c r="G5" s="31" t="str">
        <x:v>91.9</x:v>
      </x:c>
      <x:c r="H5" s="32" t="str">
        <x:v>Ranked in subject table</x:v>
      </x:c>
      <x:c r="I5" s="35" t="str">
        <x:v>https://www.timeshighereducation.com/world-university-rankings/massachusetts-institute-technology</x:v>
      </x:c>
      <x:c r="J5" s="35" t="str">
        <x:v>https://www.timeshighereducation.com/world-university-rankings/2022/subject-ranking/social-sciences</x:v>
      </x:c>
      <x:c r="K5" s="35" t="str">
        <x:v>https://www.timeshighereducation.com/json/ranking_tables/social_sciences_rankings/2022</x:v>
      </x:c>
      <x:c r="L5" s="35" t="str">
        <x:v>https://dusp.mit.edu/masters/city-planning</x:v>
      </x:c>
    </x:row>
    <x:row r="6">
      <x:c r="A6" s="31" t="n">
        <x:v>1</x:v>
      </x:c>
      <x:c r="B6" t="str">
        <x:v>Massachusetts Institute of Technology (MIT)</x:v>
      </x:c>
      <x:c r="C6" s="32" t="str">
        <x:v>Master in City Planning - Environmental Policy and Planning focus</x:v>
      </x:c>
      <x:c r="D6" s="32" t="str">
        <x:v>Social Sciences</x:v>
      </x:c>
      <x:c r="E6" s="31" t="n">
        <x:v>2023</x:v>
      </x:c>
      <x:c r="F6" s="31" t="str">
        <x:v>1</x:v>
      </x:c>
      <x:c r="G6" s="31" t="str">
        <x:v>94.3</x:v>
      </x:c>
      <x:c r="H6" s="32" t="str">
        <x:v>Ranked in subject table</x:v>
      </x:c>
      <x:c r="I6" s="35" t="str">
        <x:v>https://www.timeshighereducation.com/world-university-rankings/massachusetts-institute-technology</x:v>
      </x:c>
      <x:c r="J6" s="35" t="str">
        <x:v>https://www.timeshighereducation.com/world-university-rankings/2023/subject-ranking/social-sciences</x:v>
      </x:c>
      <x:c r="K6" s="35" t="str">
        <x:v>https://www.timeshighereducation.com/json/ranking_tables/social_sciences_rankings/2023</x:v>
      </x:c>
      <x:c r="L6" s="35" t="str">
        <x:v>https://dusp.mit.edu/masters/city-planning</x:v>
      </x:c>
    </x:row>
    <x:row r="7">
      <x:c r="A7" s="31" t="n">
        <x:v>1</x:v>
      </x:c>
      <x:c r="B7" t="str">
        <x:v>Massachusetts Institute of Technology (MIT)</x:v>
      </x:c>
      <x:c r="C7" s="32" t="str">
        <x:v>Master in City Planning - Environmental Policy and Planning focus</x:v>
      </x:c>
      <x:c r="D7" s="32" t="str">
        <x:v>Social Sciences</x:v>
      </x:c>
      <x:c r="E7" s="31" t="n">
        <x:v>2024</x:v>
      </x:c>
      <x:c r="F7" s="31" t="n">
        <x:f>1</x:f>
        <x:v>1</x:v>
      </x:c>
      <x:c r="G7" s="31" t="str">
        <x:v>96.3</x:v>
      </x:c>
      <x:c r="H7" s="32" t="str">
        <x:v>Ranked in subject table</x:v>
      </x:c>
      <x:c r="I7" s="35" t="str">
        <x:v>https://www.timeshighereducation.com/world-university-rankings/massachusetts-institute-technology</x:v>
      </x:c>
      <x:c r="J7" s="35" t="str">
        <x:v>https://www.timeshighereducation.com/world-university-rankings/2024/subject-ranking/social-sciences</x:v>
      </x:c>
      <x:c r="K7" s="35" t="str">
        <x:v>https://www.timeshighereducation.com/json/ranking_tables/social_sciences_rankings/2024</x:v>
      </x:c>
      <x:c r="L7" s="35" t="str">
        <x:v>https://dusp.mit.edu/masters/city-planning</x:v>
      </x:c>
    </x:row>
    <x:row r="8">
      <x:c r="A8" s="31" t="n">
        <x:v>1</x:v>
      </x:c>
      <x:c r="B8" t="str">
        <x:v>Massachusetts Institute of Technology (MIT)</x:v>
      </x:c>
      <x:c r="C8" s="32" t="str">
        <x:v>Master in City Planning - Environmental Policy and Planning focus</x:v>
      </x:c>
      <x:c r="D8" s="32" t="str">
        <x:v>Social Sciences</x:v>
      </x:c>
      <x:c r="E8" s="31" t="n">
        <x:v>2025</x:v>
      </x:c>
      <x:c r="F8" s="31" t="str">
        <x:v>1</x:v>
      </x:c>
      <x:c r="G8" s="31" t="str">
        <x:v>94.0</x:v>
      </x:c>
      <x:c r="H8" s="32" t="str">
        <x:v>Ranked in subject table</x:v>
      </x:c>
      <x:c r="I8" s="35" t="str">
        <x:v>https://www.timeshighereducation.com/world-university-rankings/massachusetts-institute-technology</x:v>
      </x:c>
      <x:c r="J8" s="35" t="str">
        <x:v>https://www.timeshighereducation.com/world-university-rankings/2025/subject-ranking/social-sciences</x:v>
      </x:c>
      <x:c r="K8" s="35" t="str">
        <x:v>https://www.timeshighereducation.com/json/ranking_tables/social_sciences_rankings/2025</x:v>
      </x:c>
      <x:c r="L8" s="35" t="str">
        <x:v>https://dusp.mit.edu/masters/city-planning</x:v>
      </x:c>
    </x:row>
    <x:row r="9">
      <x:c r="A9" s="31" t="n">
        <x:v>1</x:v>
      </x:c>
      <x:c r="B9" t="str">
        <x:v>Massachusetts Institute of Technology (MIT)</x:v>
      </x:c>
      <x:c r="C9" s="32" t="str">
        <x:v>Master in City Planning - Environmental Policy and Planning focus</x:v>
      </x:c>
      <x:c r="D9" s="32" t="str">
        <x:v>Social Sciences</x:v>
      </x:c>
      <x:c r="E9" s="31" t="n">
        <x:v>2026</x:v>
      </x:c>
      <x:c r="F9" s="31" t="str">
        <x:v>1</x:v>
      </x:c>
      <x:c r="G9" s="31" t="str">
        <x:v>94.3</x:v>
      </x:c>
      <x:c r="H9" s="32" t="str">
        <x:v>Ranked in subject table</x:v>
      </x:c>
      <x:c r="I9" s="35" t="str">
        <x:v>https://www.timeshighereducation.com/world-university-rankings/massachusetts-institute-technology</x:v>
      </x:c>
      <x:c r="J9" s="35" t="str">
        <x:v>https://www.timeshighereducation.com/world-university-rankings/2026/subject-ranking/social-sciences</x:v>
      </x:c>
      <x:c r="K9" s="35" t="str">
        <x:v>https://www.timeshighereducation.com/json/ranking_tables/social_sciences_rankings/2026</x:v>
      </x:c>
      <x:c r="L9" s="35" t="str">
        <x:v>https://dusp.mit.edu/masters/city-planning</x:v>
      </x:c>
    </x:row>
    <x:row r="10">
      <x:c r="A10" s="31" t="n">
        <x:v>2</x:v>
      </x:c>
      <x:c r="B10" t="str">
        <x:v>Imperial College London</x:v>
      </x:c>
      <x:c r="C10" s="32" t="str">
        <x:v>MSc Climate Change, Management &amp; Finance</x:v>
      </x:c>
      <x:c r="D10" s="32" t="str">
        <x:v>Business and Economics</x:v>
      </x:c>
      <x:c r="E10" s="31" t="n">
        <x:v>2022</x:v>
      </x:c>
      <x:c r="F10" s="31" t="str">
        <x:v>NR</x:v>
      </x:c>
      <x:c r="G10" s="31"/>
      <x:c r="H10" s="32" t="str">
        <x:v>Not ranked in subject table</x:v>
      </x:c>
      <x:c r="I10" s="35" t="str">
        <x:v>https://www.timeshighereducation.com/world-university-rankings/imperial-college-london</x:v>
      </x:c>
      <x:c r="J10" s="35" t="str">
        <x:v>https://www.timeshighereducation.com/world-university-rankings/2022/subject-ranking/business-and-economics</x:v>
      </x:c>
      <x:c r="K10" s="35" t="str">
        <x:v>https://www.timeshighereducation.com/json/ranking_tables/business_economics_rankings/2022</x:v>
      </x:c>
      <x:c r="L10" s="35" t="str">
        <x:v>https://www.imperial.ac.uk/business-school/masters/climate-change-management-finance/</x:v>
      </x:c>
    </x:row>
    <x:row r="11">
      <x:c r="A11" s="31" t="n">
        <x:v>2</x:v>
      </x:c>
      <x:c r="B11" t="str">
        <x:v>Imperial College London</x:v>
      </x:c>
      <x:c r="C11" s="32" t="str">
        <x:v>MSc Climate Change, Management &amp; Finance</x:v>
      </x:c>
      <x:c r="D11" s="32" t="str">
        <x:v>Business and Economics</x:v>
      </x:c>
      <x:c r="E11" s="31" t="n">
        <x:v>2023</x:v>
      </x:c>
      <x:c r="F11" s="31" t="str">
        <x:v>NR</x:v>
      </x:c>
      <x:c r="G11" s="31"/>
      <x:c r="H11" s="32" t="str">
        <x:v>Not ranked in subject table</x:v>
      </x:c>
      <x:c r="I11" s="35" t="str">
        <x:v>https://www.timeshighereducation.com/world-university-rankings/imperial-college-london</x:v>
      </x:c>
      <x:c r="J11" s="35" t="str">
        <x:v>https://www.timeshighereducation.com/world-university-rankings/2023/subject-ranking/business-and-economics</x:v>
      </x:c>
      <x:c r="K11" s="35" t="str">
        <x:v>https://www.timeshighereducation.com/json/ranking_tables/business_economics_rankings/2023</x:v>
      </x:c>
      <x:c r="L11" s="35" t="str">
        <x:v>https://www.imperial.ac.uk/business-school/masters/climate-change-management-finance/</x:v>
      </x:c>
    </x:row>
    <x:row r="12">
      <x:c r="A12" s="31" t="n">
        <x:v>2</x:v>
      </x:c>
      <x:c r="B12" t="str">
        <x:v>Imperial College London</x:v>
      </x:c>
      <x:c r="C12" s="32" t="str">
        <x:v>MSc Climate Change, Management &amp; Finance</x:v>
      </x:c>
      <x:c r="D12" s="32" t="str">
        <x:v>Business and Economics</x:v>
      </x:c>
      <x:c r="E12" s="31" t="n">
        <x:v>2024</x:v>
      </x:c>
      <x:c r="F12" s="31" t="str">
        <x:v>NR</x:v>
      </x:c>
      <x:c r="G12" s="31"/>
      <x:c r="H12" s="32" t="str">
        <x:v>Not ranked in subject table</x:v>
      </x:c>
      <x:c r="I12" s="35" t="str">
        <x:v>https://www.timeshighereducation.com/world-university-rankings/imperial-college-london</x:v>
      </x:c>
      <x:c r="J12" s="35" t="str">
        <x:v>https://www.timeshighereducation.com/world-university-rankings/2024/subject-ranking/business-and-economics</x:v>
      </x:c>
      <x:c r="K12" s="35" t="str">
        <x:v>https://www.timeshighereducation.com/json/ranking_tables/business_economics_rankings/2024</x:v>
      </x:c>
      <x:c r="L12" s="35" t="str">
        <x:v>https://www.imperial.ac.uk/business-school/masters/climate-change-management-finance/</x:v>
      </x:c>
    </x:row>
    <x:row r="13">
      <x:c r="A13" s="31" t="n">
        <x:v>2</x:v>
      </x:c>
      <x:c r="B13" t="str">
        <x:v>Imperial College London</x:v>
      </x:c>
      <x:c r="C13" s="32" t="str">
        <x:v>MSc Climate Change, Management &amp; Finance</x:v>
      </x:c>
      <x:c r="D13" s="32" t="str">
        <x:v>Business and Economics</x:v>
      </x:c>
      <x:c r="E13" s="31" t="n">
        <x:v>2025</x:v>
      </x:c>
      <x:c r="F13" s="31" t="str">
        <x:v>NR</x:v>
      </x:c>
      <x:c r="G13" s="31"/>
      <x:c r="H13" s="32" t="str">
        <x:v>Not ranked in subject table</x:v>
      </x:c>
      <x:c r="I13" s="35" t="str">
        <x:v>https://www.timeshighereducation.com/world-university-rankings/imperial-college-london</x:v>
      </x:c>
      <x:c r="J13" s="35" t="str">
        <x:v>https://www.timeshighereducation.com/world-university-rankings/2025/subject-ranking/business-and-economics</x:v>
      </x:c>
      <x:c r="K13" s="35" t="str">
        <x:v>https://www.timeshighereducation.com/json/ranking_tables/business_economics_rankings/2025</x:v>
      </x:c>
      <x:c r="L13" s="35" t="str">
        <x:v>https://www.imperial.ac.uk/business-school/masters/climate-change-management-finance/</x:v>
      </x:c>
    </x:row>
    <x:row r="14">
      <x:c r="A14" s="31" t="n">
        <x:v>2</x:v>
      </x:c>
      <x:c r="B14" t="str">
        <x:v>Imperial College London</x:v>
      </x:c>
      <x:c r="C14" s="32" t="str">
        <x:v>MSc Climate Change, Management &amp; Finance</x:v>
      </x:c>
      <x:c r="D14" s="32" t="str">
        <x:v>Business and Economics</x:v>
      </x:c>
      <x:c r="E14" s="31" t="n">
        <x:v>2026</x:v>
      </x:c>
      <x:c r="F14" s="31" t="str">
        <x:v>NR</x:v>
      </x:c>
      <x:c r="G14" s="31"/>
      <x:c r="H14" s="32" t="str">
        <x:v>Not ranked in subject table</x:v>
      </x:c>
      <x:c r="I14" s="35" t="str">
        <x:v>https://www.timeshighereducation.com/world-university-rankings/imperial-college-london</x:v>
      </x:c>
      <x:c r="J14" s="35" t="str">
        <x:v>https://www.timeshighereducation.com/world-university-rankings/2026/subject-ranking/business-and-economics</x:v>
      </x:c>
      <x:c r="K14" s="35" t="str">
        <x:v>https://www.timeshighereducation.com/json/ranking_tables/business_economics_rankings/2026</x:v>
      </x:c>
      <x:c r="L14" s="35" t="str">
        <x:v>https://www.imperial.ac.uk/business-school/masters/climate-change-management-finance/</x:v>
      </x:c>
    </x:row>
    <x:row r="15">
      <x:c r="A15" s="31" t="n">
        <x:v>3</x:v>
      </x:c>
      <x:c r="B15" t="str">
        <x:v>Stanford University</x:v>
      </x:c>
      <x:c r="C15" s="32" t="str">
        <x:v>Joint MS in Environment and Resources</x:v>
      </x:c>
      <x:c r="D15" s="32" t="str">
        <x:v>Physical Sciences</x:v>
      </x:c>
      <x:c r="E15" s="31" t="n">
        <x:v>2022</x:v>
      </x:c>
      <x:c r="F15" s="31" t="n">
        <x:f>4</x:f>
        <x:v>4</x:v>
      </x:c>
      <x:c r="G15" s="31" t="str">
        <x:v>94.9</x:v>
      </x:c>
      <x:c r="H15" s="32" t="str">
        <x:v>Ranked in subject table</x:v>
      </x:c>
      <x:c r="I15" s="35" t="str">
        <x:v>https://www.timeshighereducation.com/world-university-rankings/stanford-university</x:v>
      </x:c>
      <x:c r="J15" s="35" t="str">
        <x:v>https://www.timeshighereducation.com/world-university-rankings/2022/subject-ranking/physical-sciences</x:v>
      </x:c>
      <x:c r="K15" s="35" t="str">
        <x:v>https://www.timeshighereducation.com/json/ranking_tables/physical_sciences_rankings/2022</x:v>
      </x:c>
      <x:c r="L15" s="35" t="str">
        <x:v>https://eiper.stanford.edu/academics/joint-ms</x:v>
      </x:c>
    </x:row>
    <x:row r="16">
      <x:c r="A16" s="31" t="n">
        <x:v>3</x:v>
      </x:c>
      <x:c r="B16" t="str">
        <x:v>Stanford University</x:v>
      </x:c>
      <x:c r="C16" s="32" t="str">
        <x:v>Joint MS in Environment and Resources</x:v>
      </x:c>
      <x:c r="D16" s="32" t="str">
        <x:v>Physical Sciences</x:v>
      </x:c>
      <x:c r="E16" s="31" t="n">
        <x:v>2023</x:v>
      </x:c>
      <x:c r="F16" s="31" t="str">
        <x:v>5</x:v>
      </x:c>
      <x:c r="G16" s="31" t="str">
        <x:v>94.6</x:v>
      </x:c>
      <x:c r="H16" s="32" t="str">
        <x:v>Ranked in subject table</x:v>
      </x:c>
      <x:c r="I16" s="35" t="str">
        <x:v>https://www.timeshighereducation.com/world-university-rankings/stanford-university</x:v>
      </x:c>
      <x:c r="J16" s="35" t="str">
        <x:v>https://www.timeshighereducation.com/world-university-rankings/2023/subject-ranking/physical-sciences</x:v>
      </x:c>
      <x:c r="K16" s="35" t="str">
        <x:v>https://www.timeshighereducation.com/json/ranking_tables/physical_sciences_rankings/2023</x:v>
      </x:c>
      <x:c r="L16" s="35" t="str">
        <x:v>https://eiper.stanford.edu/academics/joint-ms</x:v>
      </x:c>
    </x:row>
    <x:row r="17">
      <x:c r="A17" s="31" t="n">
        <x:v>3</x:v>
      </x:c>
      <x:c r="B17" t="str">
        <x:v>Stanford University</x:v>
      </x:c>
      <x:c r="C17" s="32" t="str">
        <x:v>Joint MS in Environment and Resources</x:v>
      </x:c>
      <x:c r="D17" s="32" t="str">
        <x:v>Physical Sciences</x:v>
      </x:c>
      <x:c r="E17" s="31" t="n">
        <x:v>2024</x:v>
      </x:c>
      <x:c r="F17" s="31" t="str">
        <x:v>3</x:v>
      </x:c>
      <x:c r="G17" s="31" t="str">
        <x:v>96.6</x:v>
      </x:c>
      <x:c r="H17" s="32" t="str">
        <x:v>Ranked in subject table</x:v>
      </x:c>
      <x:c r="I17" s="35" t="str">
        <x:v>https://www.timeshighereducation.com/world-university-rankings/stanford-university</x:v>
      </x:c>
      <x:c r="J17" s="35" t="str">
        <x:v>https://www.timeshighereducation.com/world-university-rankings/2024/subject-ranking/physical-sciences</x:v>
      </x:c>
      <x:c r="K17" s="35" t="str">
        <x:v>https://www.timeshighereducation.com/json/ranking_tables/physical_sciences_rankings/2024</x:v>
      </x:c>
      <x:c r="L17" s="35" t="str">
        <x:v>https://eiper.stanford.edu/academics/joint-ms</x:v>
      </x:c>
    </x:row>
    <x:row r="18">
      <x:c r="A18" s="31" t="n">
        <x:v>3</x:v>
      </x:c>
      <x:c r="B18" t="str">
        <x:v>Stanford University</x:v>
      </x:c>
      <x:c r="C18" s="32" t="str">
        <x:v>Joint MS in Environment and Resources</x:v>
      </x:c>
      <x:c r="D18" s="32" t="str">
        <x:v>Physical Sciences</x:v>
      </x:c>
      <x:c r="E18" s="31" t="n">
        <x:v>2025</x:v>
      </x:c>
      <x:c r="F18" s="31" t="n">
        <x:f>2</x:f>
        <x:v>2</x:v>
      </x:c>
      <x:c r="G18" s="31" t="str">
        <x:v>96.5</x:v>
      </x:c>
      <x:c r="H18" s="32" t="str">
        <x:v>Ranked in subject table</x:v>
      </x:c>
      <x:c r="I18" s="35" t="str">
        <x:v>https://www.timeshighereducation.com/world-university-rankings/stanford-university</x:v>
      </x:c>
      <x:c r="J18" s="35" t="str">
        <x:v>https://www.timeshighereducation.com/world-university-rankings/2025/subject-ranking/physical-sciences</x:v>
      </x:c>
      <x:c r="K18" s="35" t="str">
        <x:v>https://www.timeshighereducation.com/json/ranking_tables/physical_sciences_rankings/2025</x:v>
      </x:c>
      <x:c r="L18" s="35" t="str">
        <x:v>https://eiper.stanford.edu/academics/joint-ms</x:v>
      </x:c>
    </x:row>
    <x:row r="19">
      <x:c r="A19" s="31" t="n">
        <x:v>3</x:v>
      </x:c>
      <x:c r="B19" t="str">
        <x:v>Stanford University</x:v>
      </x:c>
      <x:c r="C19" s="32" t="str">
        <x:v>Joint MS in Environment and Resources</x:v>
      </x:c>
      <x:c r="D19" s="32" t="str">
        <x:v>Physical Sciences</x:v>
      </x:c>
      <x:c r="E19" s="31" t="n">
        <x:v>2026</x:v>
      </x:c>
      <x:c r="F19" s="31" t="n">
        <x:f>2</x:f>
        <x:v>2</x:v>
      </x:c>
      <x:c r="G19" s="31" t="str">
        <x:v>96.3</x:v>
      </x:c>
      <x:c r="H19" s="32" t="str">
        <x:v>Ranked in subject table</x:v>
      </x:c>
      <x:c r="I19" s="35" t="str">
        <x:v>https://www.timeshighereducation.com/world-university-rankings/stanford-university</x:v>
      </x:c>
      <x:c r="J19" s="35" t="str">
        <x:v>https://www.timeshighereducation.com/world-university-rankings/2026/subject-ranking/physical-sciences</x:v>
      </x:c>
      <x:c r="K19" s="35" t="str">
        <x:v>https://www.timeshighereducation.com/json/ranking_tables/physical_sciences_rankings/2026</x:v>
      </x:c>
      <x:c r="L19" s="35" t="str">
        <x:v>https://eiper.stanford.edu/academics/joint-ms</x:v>
      </x:c>
    </x:row>
    <x:row r="20">
      <x:c r="A20" s="31" t="n">
        <x:v>4</x:v>
      </x:c>
      <x:c r="B20" t="str">
        <x:v>University of Oxford</x:v>
      </x:c>
      <x:c r="C20" s="32" t="str">
        <x:v>MSc in Sustainability, Enterprise and the Environment</x:v>
      </x:c>
      <x:c r="D20" s="32" t="str">
        <x:v>Business and Economics</x:v>
      </x:c>
      <x:c r="E20" s="31" t="n">
        <x:v>2022</x:v>
      </x:c>
      <x:c r="F20" s="31" t="str">
        <x:v>4</x:v>
      </x:c>
      <x:c r="G20" s="31" t="str">
        <x:v>88.2</x:v>
      </x:c>
      <x:c r="H20" s="32" t="str">
        <x:v>Ranked in subject table</x:v>
      </x:c>
      <x:c r="I20" s="35" t="str">
        <x:v>https://www.timeshighereducation.com/world-university-rankings/university-oxford</x:v>
      </x:c>
      <x:c r="J20" s="35" t="str">
        <x:v>https://www.timeshighereducation.com/world-university-rankings/2022/subject-ranking/business-and-economics</x:v>
      </x:c>
      <x:c r="K20" s="35" t="str">
        <x:v>https://www.timeshighereducation.com/json/ranking_tables/business_economics_rankings/2022</x:v>
      </x:c>
      <x:c r="L20" s="35" t="str">
        <x:v>https://www.smithschool.ox.ac.uk/course/msc-sustainability-enterprise-and-environment</x:v>
      </x:c>
    </x:row>
    <x:row r="21">
      <x:c r="A21" s="31" t="n">
        <x:v>4</x:v>
      </x:c>
      <x:c r="B21" t="str">
        <x:v>University of Oxford</x:v>
      </x:c>
      <x:c r="C21" s="32" t="str">
        <x:v>MSc in Sustainability, Enterprise and the Environment</x:v>
      </x:c>
      <x:c r="D21" s="32" t="str">
        <x:v>Business and Economics</x:v>
      </x:c>
      <x:c r="E21" s="31" t="n">
        <x:v>2023</x:v>
      </x:c>
      <x:c r="F21" s="31" t="str">
        <x:v>3</x:v>
      </x:c>
      <x:c r="G21" s="31" t="str">
        <x:v>88.4</x:v>
      </x:c>
      <x:c r="H21" s="32" t="str">
        <x:v>Ranked in subject table</x:v>
      </x:c>
      <x:c r="I21" s="35" t="str">
        <x:v>https://www.timeshighereducation.com/world-university-rankings/university-oxford</x:v>
      </x:c>
      <x:c r="J21" s="35" t="str">
        <x:v>https://www.timeshighereducation.com/world-university-rankings/2023/subject-ranking/business-and-economics</x:v>
      </x:c>
      <x:c r="K21" s="35" t="str">
        <x:v>https://www.timeshighereducation.com/json/ranking_tables/business_economics_rankings/2023</x:v>
      </x:c>
      <x:c r="L21" s="35" t="str">
        <x:v>https://www.smithschool.ox.ac.uk/course/msc-sustainability-enterprise-and-environment</x:v>
      </x:c>
    </x:row>
    <x:row r="22">
      <x:c r="A22" s="31" t="n">
        <x:v>4</x:v>
      </x:c>
      <x:c r="B22" t="str">
        <x:v>University of Oxford</x:v>
      </x:c>
      <x:c r="C22" s="32" t="str">
        <x:v>MSc in Sustainability, Enterprise and the Environment</x:v>
      </x:c>
      <x:c r="D22" s="32" t="str">
        <x:v>Business and Economics</x:v>
      </x:c>
      <x:c r="E22" s="31" t="n">
        <x:v>2024</x:v>
      </x:c>
      <x:c r="F22" s="31" t="n">
        <x:f>5</x:f>
        <x:v>5</x:v>
      </x:c>
      <x:c r="G22" s="31" t="str">
        <x:v>91.7</x:v>
      </x:c>
      <x:c r="H22" s="32" t="str">
        <x:v>Ranked in subject table</x:v>
      </x:c>
      <x:c r="I22" s="35" t="str">
        <x:v>https://www.timeshighereducation.com/world-university-rankings/university-oxford</x:v>
      </x:c>
      <x:c r="J22" s="35" t="str">
        <x:v>https://www.timeshighereducation.com/world-university-rankings/2024/subject-ranking/business-and-economics</x:v>
      </x:c>
      <x:c r="K22" s="35" t="str">
        <x:v>https://www.timeshighereducation.com/json/ranking_tables/business_economics_rankings/2024</x:v>
      </x:c>
      <x:c r="L22" s="35" t="str">
        <x:v>https://www.smithschool.ox.ac.uk/course/msc-sustainability-enterprise-and-environment</x:v>
      </x:c>
    </x:row>
    <x:row r="23">
      <x:c r="A23" s="31" t="n">
        <x:v>4</x:v>
      </x:c>
      <x:c r="B23" t="str">
        <x:v>University of Oxford</x:v>
      </x:c>
      <x:c r="C23" s="32" t="str">
        <x:v>MSc in Sustainability, Enterprise and the Environment</x:v>
      </x:c>
      <x:c r="D23" s="32" t="str">
        <x:v>Business and Economics</x:v>
      </x:c>
      <x:c r="E23" s="31" t="n">
        <x:v>2025</x:v>
      </x:c>
      <x:c r="F23" s="31" t="str">
        <x:v>2</x:v>
      </x:c>
      <x:c r="G23" s="31" t="str">
        <x:v>91.1</x:v>
      </x:c>
      <x:c r="H23" s="32" t="str">
        <x:v>Ranked in subject table</x:v>
      </x:c>
      <x:c r="I23" s="35" t="str">
        <x:v>https://www.timeshighereducation.com/world-university-rankings/university-oxford</x:v>
      </x:c>
      <x:c r="J23" s="35" t="str">
        <x:v>https://www.timeshighereducation.com/world-university-rankings/2025/subject-ranking/business-and-economics</x:v>
      </x:c>
      <x:c r="K23" s="35" t="str">
        <x:v>https://www.timeshighereducation.com/json/ranking_tables/business_economics_rankings/2025</x:v>
      </x:c>
      <x:c r="L23" s="35" t="str">
        <x:v>https://www.smithschool.ox.ac.uk/course/msc-sustainability-enterprise-and-environment</x:v>
      </x:c>
    </x:row>
    <x:row r="24">
      <x:c r="A24" s="31" t="n">
        <x:v>4</x:v>
      </x:c>
      <x:c r="B24" t="str">
        <x:v>University of Oxford</x:v>
      </x:c>
      <x:c r="C24" s="32" t="str">
        <x:v>MSc in Sustainability, Enterprise and the Environment</x:v>
      </x:c>
      <x:c r="D24" s="32" t="str">
        <x:v>Business and Economics</x:v>
      </x:c>
      <x:c r="E24" s="31" t="n">
        <x:v>2026</x:v>
      </x:c>
      <x:c r="F24" s="31" t="str">
        <x:v>4</x:v>
      </x:c>
      <x:c r="G24" s="31" t="str">
        <x:v>91.0</x:v>
      </x:c>
      <x:c r="H24" s="32" t="str">
        <x:v>Ranked in subject table</x:v>
      </x:c>
      <x:c r="I24" s="35" t="str">
        <x:v>https://www.timeshighereducation.com/world-university-rankings/university-oxford</x:v>
      </x:c>
      <x:c r="J24" s="35" t="str">
        <x:v>https://www.timeshighereducation.com/world-university-rankings/2026/subject-ranking/business-and-economics</x:v>
      </x:c>
      <x:c r="K24" s="35" t="str">
        <x:v>https://www.timeshighereducation.com/json/ranking_tables/business_economics_rankings/2026</x:v>
      </x:c>
      <x:c r="L24" s="35" t="str">
        <x:v>https://www.smithschool.ox.ac.uk/course/msc-sustainability-enterprise-and-environment</x:v>
      </x:c>
    </x:row>
    <x:row r="25">
      <x:c r="A25" s="31" t="n">
        <x:v>5</x:v>
      </x:c>
      <x:c r="B25" t="str">
        <x:v>Harvard University</x:v>
      </x:c>
      <x:c r="C25" s="32" t="str">
        <x:v>Sustainability Master's Degree Program</x:v>
      </x:c>
      <x:c r="D25" s="32" t="str">
        <x:v>Physical Sciences</x:v>
      </x:c>
      <x:c r="E25" s="31" t="n">
        <x:v>2022</x:v>
      </x:c>
      <x:c r="F25" s="31" t="str">
        <x:v>6</x:v>
      </x:c>
      <x:c r="G25" s="31" t="str">
        <x:v>94.6</x:v>
      </x:c>
      <x:c r="H25" s="32" t="str">
        <x:v>Ranked in subject table</x:v>
      </x:c>
      <x:c r="I25" s="35" t="str">
        <x:v>https://www.timeshighereducation.com/world-university-rankings/harvard-university</x:v>
      </x:c>
      <x:c r="J25" s="35" t="str">
        <x:v>https://www.timeshighereducation.com/world-university-rankings/2022/subject-ranking/physical-sciences</x:v>
      </x:c>
      <x:c r="K25" s="35" t="str">
        <x:v>https://www.timeshighereducation.com/json/ranking_tables/physical_sciences_rankings/2022</x:v>
      </x:c>
      <x:c r="L25" s="35" t="str">
        <x:v>https://extension.harvard.edu/academics/programs/sustainability-graduate-program/</x:v>
      </x:c>
    </x:row>
    <x:row r="26">
      <x:c r="A26" s="31" t="n">
        <x:v>5</x:v>
      </x:c>
      <x:c r="B26" t="str">
        <x:v>Harvard University</x:v>
      </x:c>
      <x:c r="C26" s="32" t="str">
        <x:v>Sustainability Master's Degree Program</x:v>
      </x:c>
      <x:c r="D26" s="32" t="str">
        <x:v>Physical Sciences</x:v>
      </x:c>
      <x:c r="E26" s="31" t="n">
        <x:v>2023</x:v>
      </x:c>
      <x:c r="F26" s="31" t="str">
        <x:v>6</x:v>
      </x:c>
      <x:c r="G26" s="31" t="str">
        <x:v>94.2</x:v>
      </x:c>
      <x:c r="H26" s="32" t="str">
        <x:v>Ranked in subject table</x:v>
      </x:c>
      <x:c r="I26" s="35" t="str">
        <x:v>https://www.timeshighereducation.com/world-university-rankings/harvard-university</x:v>
      </x:c>
      <x:c r="J26" s="35" t="str">
        <x:v>https://www.timeshighereducation.com/world-university-rankings/2023/subject-ranking/physical-sciences</x:v>
      </x:c>
      <x:c r="K26" s="35" t="str">
        <x:v>https://www.timeshighereducation.com/json/ranking_tables/physical_sciences_rankings/2023</x:v>
      </x:c>
      <x:c r="L26" s="35" t="str">
        <x:v>https://extension.harvard.edu/academics/programs/sustainability-graduate-program/</x:v>
      </x:c>
    </x:row>
    <x:row r="27">
      <x:c r="A27" s="31" t="n">
        <x:v>5</x:v>
      </x:c>
      <x:c r="B27" t="str">
        <x:v>Harvard University</x:v>
      </x:c>
      <x:c r="C27" s="32" t="str">
        <x:v>Sustainability Master's Degree Program</x:v>
      </x:c>
      <x:c r="D27" s="32" t="str">
        <x:v>Physical Sciences</x:v>
      </x:c>
      <x:c r="E27" s="31" t="n">
        <x:v>2024</x:v>
      </x:c>
      <x:c r="F27" s="31" t="str">
        <x:v>2</x:v>
      </x:c>
      <x:c r="G27" s="31" t="str">
        <x:v>96.8</x:v>
      </x:c>
      <x:c r="H27" s="32" t="str">
        <x:v>Ranked in subject table</x:v>
      </x:c>
      <x:c r="I27" s="35" t="str">
        <x:v>https://www.timeshighereducation.com/world-university-rankings/harvard-university</x:v>
      </x:c>
      <x:c r="J27" s="35" t="str">
        <x:v>https://www.timeshighereducation.com/world-university-rankings/2024/subject-ranking/physical-sciences</x:v>
      </x:c>
      <x:c r="K27" s="35" t="str">
        <x:v>https://www.timeshighereducation.com/json/ranking_tables/physical_sciences_rankings/2024</x:v>
      </x:c>
      <x:c r="L27" s="35" t="str">
        <x:v>https://extension.harvard.edu/academics/programs/sustainability-graduate-program/</x:v>
      </x:c>
    </x:row>
    <x:row r="28">
      <x:c r="A28" s="31" t="n">
        <x:v>5</x:v>
      </x:c>
      <x:c r="B28" t="str">
        <x:v>Harvard University</x:v>
      </x:c>
      <x:c r="C28" s="32" t="str">
        <x:v>Sustainability Master's Degree Program</x:v>
      </x:c>
      <x:c r="D28" s="32" t="str">
        <x:v>Physical Sciences</x:v>
      </x:c>
      <x:c r="E28" s="31" t="n">
        <x:v>2025</x:v>
      </x:c>
      <x:c r="F28" s="31" t="n">
        <x:f>2</x:f>
        <x:v>2</x:v>
      </x:c>
      <x:c r="G28" s="31" t="str">
        <x:v>96.5</x:v>
      </x:c>
      <x:c r="H28" s="32" t="str">
        <x:v>Ranked in subject table</x:v>
      </x:c>
      <x:c r="I28" s="35" t="str">
        <x:v>https://www.timeshighereducation.com/world-university-rankings/harvard-university</x:v>
      </x:c>
      <x:c r="J28" s="35" t="str">
        <x:v>https://www.timeshighereducation.com/world-university-rankings/2025/subject-ranking/physical-sciences</x:v>
      </x:c>
      <x:c r="K28" s="35" t="str">
        <x:v>https://www.timeshighereducation.com/json/ranking_tables/physical_sciences_rankings/2025</x:v>
      </x:c>
      <x:c r="L28" s="35" t="str">
        <x:v>https://extension.harvard.edu/academics/programs/sustainability-graduate-program/</x:v>
      </x:c>
    </x:row>
    <x:row r="29">
      <x:c r="A29" s="31" t="n">
        <x:v>5</x:v>
      </x:c>
      <x:c r="B29" t="str">
        <x:v>Harvard University</x:v>
      </x:c>
      <x:c r="C29" s="32" t="str">
        <x:v>Sustainability Master's Degree Program</x:v>
      </x:c>
      <x:c r="D29" s="32" t="str">
        <x:v>Physical Sciences</x:v>
      </x:c>
      <x:c r="E29" s="31" t="n">
        <x:v>2026</x:v>
      </x:c>
      <x:c r="F29" s="31" t="n">
        <x:f>2</x:f>
        <x:v>2</x:v>
      </x:c>
      <x:c r="G29" s="31" t="str">
        <x:v>96.3</x:v>
      </x:c>
      <x:c r="H29" s="32" t="str">
        <x:v>Ranked in subject table</x:v>
      </x:c>
      <x:c r="I29" s="35" t="str">
        <x:v>https://www.timeshighereducation.com/world-university-rankings/harvard-university</x:v>
      </x:c>
      <x:c r="J29" s="35" t="str">
        <x:v>https://www.timeshighereducation.com/world-university-rankings/2026/subject-ranking/physical-sciences</x:v>
      </x:c>
      <x:c r="K29" s="35" t="str">
        <x:v>https://www.timeshighereducation.com/json/ranking_tables/physical_sciences_rankings/2026</x:v>
      </x:c>
      <x:c r="L29" s="35" t="str">
        <x:v>https://extension.harvard.edu/academics/programs/sustainability-graduate-program/</x:v>
      </x:c>
    </x:row>
    <x:row r="30">
      <x:c r="A30" s="31" t="n">
        <x:v>6</x:v>
      </x:c>
      <x:c r="B30" t="str">
        <x:v>University of Cambridge</x:v>
      </x:c>
      <x:c r="C30" s="32" t="str">
        <x:v>MPhil in Engineering for Sustainable Development</x:v>
      </x:c>
      <x:c r="D30" s="32" t="str">
        <x:v>Engineering</x:v>
      </x:c>
      <x:c r="E30" s="31" t="n">
        <x:v>2022</x:v>
      </x:c>
      <x:c r="F30" s="31" t="str">
        <x:v>5</x:v>
      </x:c>
      <x:c r="G30" s="31" t="str">
        <x:v>93.6</x:v>
      </x:c>
      <x:c r="H30" s="32" t="str">
        <x:v>Ranked in subject table</x:v>
      </x:c>
      <x:c r="I30" s="35" t="str">
        <x:v>https://www.timeshighereducation.com/world-university-rankings/university-cambridge</x:v>
      </x:c>
      <x:c r="J30" s="35" t="str">
        <x:v>https://www.timeshighereducation.com/world-university-rankings/2022/subject-ranking/engineering</x:v>
      </x:c>
      <x:c r="K30" s="35" t="str">
        <x:v>https://www.timeshighereducation.com/json/ranking_tables/engineering_technology_rankings/2022</x:v>
      </x:c>
      <x:c r="L30" s="35" t="str">
        <x:v>https://www.postgraduate.study.cam.ac.uk/courses/directory/egegmpesd</x:v>
      </x:c>
    </x:row>
    <x:row r="31">
      <x:c r="A31" s="31" t="n">
        <x:v>6</x:v>
      </x:c>
      <x:c r="B31" t="str">
        <x:v>University of Cambridge</x:v>
      </x:c>
      <x:c r="C31" s="32" t="str">
        <x:v>MPhil in Engineering for Sustainable Development</x:v>
      </x:c>
      <x:c r="D31" s="32" t="str">
        <x:v>Engineering</x:v>
      </x:c>
      <x:c r="E31" s="31" t="n">
        <x:v>2023</x:v>
      </x:c>
      <x:c r="F31" s="31" t="str">
        <x:v>7</x:v>
      </x:c>
      <x:c r="G31" s="31" t="str">
        <x:v>92.5</x:v>
      </x:c>
      <x:c r="H31" s="32" t="str">
        <x:v>Ranked in subject table</x:v>
      </x:c>
      <x:c r="I31" s="35" t="str">
        <x:v>https://www.timeshighereducation.com/world-university-rankings/university-cambridge</x:v>
      </x:c>
      <x:c r="J31" s="35" t="str">
        <x:v>https://www.timeshighereducation.com/world-university-rankings/2023/subject-ranking/engineering</x:v>
      </x:c>
      <x:c r="K31" s="35" t="str">
        <x:v>https://www.timeshighereducation.com/json/ranking_tables/engineering_technology_rankings/2023</x:v>
      </x:c>
      <x:c r="L31" s="35" t="str">
        <x:v>https://www.postgraduate.study.cam.ac.uk/courses/directory/egegmpesd</x:v>
      </x:c>
    </x:row>
    <x:row r="32">
      <x:c r="A32" s="31" t="n">
        <x:v>6</x:v>
      </x:c>
      <x:c r="B32" t="str">
        <x:v>University of Cambridge</x:v>
      </x:c>
      <x:c r="C32" s="32" t="str">
        <x:v>MPhil in Engineering for Sustainable Development</x:v>
      </x:c>
      <x:c r="D32" s="32" t="str">
        <x:v>Engineering</x:v>
      </x:c>
      <x:c r="E32" s="31" t="n">
        <x:v>2024</x:v>
      </x:c>
      <x:c r="F32" s="31" t="str">
        <x:v>5</x:v>
      </x:c>
      <x:c r="G32" s="31" t="str">
        <x:v>96.3</x:v>
      </x:c>
      <x:c r="H32" s="32" t="str">
        <x:v>Ranked in subject table</x:v>
      </x:c>
      <x:c r="I32" s="35" t="str">
        <x:v>https://www.timeshighereducation.com/world-university-rankings/university-cambridge</x:v>
      </x:c>
      <x:c r="J32" s="35" t="str">
        <x:v>https://www.timeshighereducation.com/world-university-rankings/2024/subject-ranking/engineering</x:v>
      </x:c>
      <x:c r="K32" s="35" t="str">
        <x:v>https://www.timeshighereducation.com/json/ranking_tables/engineering_technology_rankings/2024</x:v>
      </x:c>
      <x:c r="L32" s="35" t="str">
        <x:v>https://www.postgraduate.study.cam.ac.uk/courses/directory/egegmpesd</x:v>
      </x:c>
    </x:row>
    <x:row r="33">
      <x:c r="A33" s="31" t="n">
        <x:v>6</x:v>
      </x:c>
      <x:c r="B33" t="str">
        <x:v>University of Cambridge</x:v>
      </x:c>
      <x:c r="C33" s="32" t="str">
        <x:v>MPhil in Engineering for Sustainable Development</x:v>
      </x:c>
      <x:c r="D33" s="32" t="str">
        <x:v>Engineering</x:v>
      </x:c>
      <x:c r="E33" s="31" t="n">
        <x:v>2025</x:v>
      </x:c>
      <x:c r="F33" s="31" t="str">
        <x:v>6</x:v>
      </x:c>
      <x:c r="G33" s="31" t="str">
        <x:v>95.6</x:v>
      </x:c>
      <x:c r="H33" s="32" t="str">
        <x:v>Ranked in subject table</x:v>
      </x:c>
      <x:c r="I33" s="35" t="str">
        <x:v>https://www.timeshighereducation.com/world-university-rankings/university-cambridge</x:v>
      </x:c>
      <x:c r="J33" s="35" t="str">
        <x:v>https://www.timeshighereducation.com/world-university-rankings/2025/subject-ranking/engineering</x:v>
      </x:c>
      <x:c r="K33" s="35" t="str">
        <x:v>https://www.timeshighereducation.com/json/ranking_tables/engineering_technology_rankings/2025</x:v>
      </x:c>
      <x:c r="L33" s="35" t="str">
        <x:v>https://www.postgraduate.study.cam.ac.uk/courses/directory/egegmpesd</x:v>
      </x:c>
    </x:row>
    <x:row r="34">
      <x:c r="A34" s="31" t="n">
        <x:v>6</x:v>
      </x:c>
      <x:c r="B34" t="str">
        <x:v>University of Cambridge</x:v>
      </x:c>
      <x:c r="C34" s="32" t="str">
        <x:v>MPhil in Engineering for Sustainable Development</x:v>
      </x:c>
      <x:c r="D34" s="32" t="str">
        <x:v>Engineering</x:v>
      </x:c>
      <x:c r="E34" s="31" t="n">
        <x:v>2026</x:v>
      </x:c>
      <x:c r="F34" s="31" t="str">
        <x:v>5</x:v>
      </x:c>
      <x:c r="G34" s="31" t="str">
        <x:v>95.6</x:v>
      </x:c>
      <x:c r="H34" s="32" t="str">
        <x:v>Ranked in subject table</x:v>
      </x:c>
      <x:c r="I34" s="35" t="str">
        <x:v>https://www.timeshighereducation.com/world-university-rankings/university-cambridge</x:v>
      </x:c>
      <x:c r="J34" s="35" t="str">
        <x:v>https://www.timeshighereducation.com/world-university-rankings/2026/subject-ranking/engineering</x:v>
      </x:c>
      <x:c r="K34" s="35" t="str">
        <x:v>https://www.timeshighereducation.com/json/ranking_tables/engineering_technology_rankings/2026</x:v>
      </x:c>
      <x:c r="L34" s="35" t="str">
        <x:v>https://www.postgraduate.study.cam.ac.uk/courses/directory/egegmpesd</x:v>
      </x:c>
    </x:row>
    <x:row r="35">
      <x:c r="A35" s="31" t="n">
        <x:v>7</x:v>
      </x:c>
      <x:c r="B35" t="str">
        <x:v>California Institute of Technology (Caltech)</x:v>
      </x:c>
      <x:c r="C35" s="32" t="str">
        <x:v>Environmental Science and Engineering Graduate Program</x:v>
      </x:c>
      <x:c r="D35" s="32" t="str">
        <x:v>Engineering</x:v>
      </x:c>
      <x:c r="E35" s="31" t="n">
        <x:v>2022</x:v>
      </x:c>
      <x:c r="F35" s="31" t="str">
        <x:v>8</x:v>
      </x:c>
      <x:c r="G35" s="31" t="str">
        <x:v>91.8</x:v>
      </x:c>
      <x:c r="H35" s="32" t="str">
        <x:v>Ranked in subject table</x:v>
      </x:c>
      <x:c r="I35" s="35" t="str">
        <x:v>https://www.timeshighereducation.com/world-university-rankings/california-institute-technology</x:v>
      </x:c>
      <x:c r="J35" s="35" t="str">
        <x:v>https://www.timeshighereducation.com/world-university-rankings/2022/subject-ranking/engineering</x:v>
      </x:c>
      <x:c r="K35" s="35" t="str">
        <x:v>https://www.timeshighereducation.com/json/ranking_tables/engineering_technology_rankings/2022</x:v>
      </x:c>
      <x:c r="L35" s="35" t="str">
        <x:v>https://www.ese.caltech.edu/academics/graduate-program</x:v>
      </x:c>
    </x:row>
    <x:row r="36">
      <x:c r="A36" s="31" t="n">
        <x:v>7</x:v>
      </x:c>
      <x:c r="B36" t="str">
        <x:v>California Institute of Technology (Caltech)</x:v>
      </x:c>
      <x:c r="C36" s="32" t="str">
        <x:v>Environmental Science and Engineering Graduate Program</x:v>
      </x:c>
      <x:c r="D36" s="32" t="str">
        <x:v>Engineering</x:v>
      </x:c>
      <x:c r="E36" s="31" t="n">
        <x:v>2023</x:v>
      </x:c>
      <x:c r="F36" s="31" t="str">
        <x:v>6</x:v>
      </x:c>
      <x:c r="G36" s="31" t="str">
        <x:v>92.8</x:v>
      </x:c>
      <x:c r="H36" s="32" t="str">
        <x:v>Ranked in subject table</x:v>
      </x:c>
      <x:c r="I36" s="35" t="str">
        <x:v>https://www.timeshighereducation.com/world-university-rankings/california-institute-technology</x:v>
      </x:c>
      <x:c r="J36" s="35" t="str">
        <x:v>https://www.timeshighereducation.com/world-university-rankings/2023/subject-ranking/engineering</x:v>
      </x:c>
      <x:c r="K36" s="35" t="str">
        <x:v>https://www.timeshighereducation.com/json/ranking_tables/engineering_technology_rankings/2023</x:v>
      </x:c>
      <x:c r="L36" s="35" t="str">
        <x:v>https://www.ese.caltech.edu/academics/graduate-program</x:v>
      </x:c>
    </x:row>
    <x:row r="37">
      <x:c r="A37" s="31" t="n">
        <x:v>7</x:v>
      </x:c>
      <x:c r="B37" t="str">
        <x:v>California Institute of Technology (Caltech)</x:v>
      </x:c>
      <x:c r="C37" s="32" t="str">
        <x:v>Environmental Science and Engineering Graduate Program</x:v>
      </x:c>
      <x:c r="D37" s="32" t="str">
        <x:v>Engineering</x:v>
      </x:c>
      <x:c r="E37" s="31" t="n">
        <x:v>2024</x:v>
      </x:c>
      <x:c r="F37" s="31" t="str">
        <x:v>7</x:v>
      </x:c>
      <x:c r="G37" s="31" t="str">
        <x:v>94.9</x:v>
      </x:c>
      <x:c r="H37" s="32" t="str">
        <x:v>Ranked in subject table</x:v>
      </x:c>
      <x:c r="I37" s="35" t="str">
        <x:v>https://www.timeshighereducation.com/world-university-rankings/california-institute-technology</x:v>
      </x:c>
      <x:c r="J37" s="35" t="str">
        <x:v>https://www.timeshighereducation.com/world-university-rankings/2024/subject-ranking/engineering</x:v>
      </x:c>
      <x:c r="K37" s="35" t="str">
        <x:v>https://www.timeshighereducation.com/json/ranking_tables/engineering_technology_rankings/2024</x:v>
      </x:c>
      <x:c r="L37" s="35" t="str">
        <x:v>https://www.ese.caltech.edu/academics/graduate-program</x:v>
      </x:c>
    </x:row>
    <x:row r="38">
      <x:c r="A38" s="31" t="n">
        <x:v>7</x:v>
      </x:c>
      <x:c r="B38" t="str">
        <x:v>California Institute of Technology (Caltech)</x:v>
      </x:c>
      <x:c r="C38" s="32" t="str">
        <x:v>Environmental Science and Engineering Graduate Program</x:v>
      </x:c>
      <x:c r="D38" s="32" t="str">
        <x:v>Engineering</x:v>
      </x:c>
      <x:c r="E38" s="31" t="n">
        <x:v>2025</x:v>
      </x:c>
      <x:c r="F38" s="31" t="str">
        <x:v>7</x:v>
      </x:c>
      <x:c r="G38" s="31" t="str">
        <x:v>95.5</x:v>
      </x:c>
      <x:c r="H38" s="32" t="str">
        <x:v>Ranked in subject table</x:v>
      </x:c>
      <x:c r="I38" s="35" t="str">
        <x:v>https://www.timeshighereducation.com/world-university-rankings/california-institute-technology</x:v>
      </x:c>
      <x:c r="J38" s="35" t="str">
        <x:v>https://www.timeshighereducation.com/world-university-rankings/2025/subject-ranking/engineering</x:v>
      </x:c>
      <x:c r="K38" s="35" t="str">
        <x:v>https://www.timeshighereducation.com/json/ranking_tables/engineering_technology_rankings/2025</x:v>
      </x:c>
      <x:c r="L38" s="35" t="str">
        <x:v>https://www.ese.caltech.edu/academics/graduate-program</x:v>
      </x:c>
    </x:row>
    <x:row r="39">
      <x:c r="A39" s="31" t="n">
        <x:v>7</x:v>
      </x:c>
      <x:c r="B39" t="str">
        <x:v>California Institute of Technology (Caltech)</x:v>
      </x:c>
      <x:c r="C39" s="32" t="str">
        <x:v>Environmental Science and Engineering Graduate Program</x:v>
      </x:c>
      <x:c r="D39" s="32" t="str">
        <x:v>Engineering</x:v>
      </x:c>
      <x:c r="E39" s="31" t="n">
        <x:v>2026</x:v>
      </x:c>
      <x:c r="F39" s="31" t="str">
        <x:v>7</x:v>
      </x:c>
      <x:c r="G39" s="31" t="str">
        <x:v>95.2</x:v>
      </x:c>
      <x:c r="H39" s="32" t="str">
        <x:v>Ranked in subject table</x:v>
      </x:c>
      <x:c r="I39" s="35" t="str">
        <x:v>https://www.timeshighereducation.com/world-university-rankings/california-institute-technology</x:v>
      </x:c>
      <x:c r="J39" s="35" t="str">
        <x:v>https://www.timeshighereducation.com/world-university-rankings/2026/subject-ranking/engineering</x:v>
      </x:c>
      <x:c r="K39" s="35" t="str">
        <x:v>https://www.timeshighereducation.com/json/ranking_tables/engineering_technology_rankings/2026</x:v>
      </x:c>
      <x:c r="L39" s="35" t="str">
        <x:v>https://www.ese.caltech.edu/academics/graduate-program</x:v>
      </x:c>
    </x:row>
    <x:row r="40">
      <x:c r="A40" s="31" t="n">
        <x:v>8</x:v>
      </x:c>
      <x:c r="B40" t="str">
        <x:v>ETH Zurich</x:v>
      </x:c>
      <x:c r="C40" s="32" t="str">
        <x:v>MSc Environmental Sciences</x:v>
      </x:c>
      <x:c r="D40" s="32" t="str">
        <x:v>Physical Sciences</x:v>
      </x:c>
      <x:c r="E40" s="31" t="n">
        <x:v>2022</x:v>
      </x:c>
      <x:c r="F40" s="31" t="str">
        <x:v>9</x:v>
      </x:c>
      <x:c r="G40" s="31" t="str">
        <x:v>91.9</x:v>
      </x:c>
      <x:c r="H40" s="32" t="str">
        <x:v>Ranked in subject table</x:v>
      </x:c>
      <x:c r="I40" s="35" t="str">
        <x:v>https://www.timeshighereducation.com/world-university-rankings/eth-zurich</x:v>
      </x:c>
      <x:c r="J40" s="35" t="str">
        <x:v>https://www.timeshighereducation.com/world-university-rankings/2022/subject-ranking/physical-sciences</x:v>
      </x:c>
      <x:c r="K40" s="35" t="str">
        <x:v>https://www.timeshighereducation.com/json/ranking_tables/physical_sciences_rankings/2022</x:v>
      </x:c>
      <x:c r="L40" s="35" t="str">
        <x:v>https://ethz.ch/en/studies/master/degree-programmes/natural-sciences-and-mathematics/environmental-sciences.html</x:v>
      </x:c>
    </x:row>
    <x:row r="41">
      <x:c r="A41" s="31" t="n">
        <x:v>8</x:v>
      </x:c>
      <x:c r="B41" t="str">
        <x:v>ETH Zurich</x:v>
      </x:c>
      <x:c r="C41" s="32" t="str">
        <x:v>MSc Environmental Sciences</x:v>
      </x:c>
      <x:c r="D41" s="32" t="str">
        <x:v>Physical Sciences</x:v>
      </x:c>
      <x:c r="E41" s="31" t="n">
        <x:v>2023</x:v>
      </x:c>
      <x:c r="F41" s="31" t="str">
        <x:v>9</x:v>
      </x:c>
      <x:c r="G41" s="31" t="str">
        <x:v>91.8</x:v>
      </x:c>
      <x:c r="H41" s="32" t="str">
        <x:v>Ranked in subject table</x:v>
      </x:c>
      <x:c r="I41" s="35" t="str">
        <x:v>https://www.timeshighereducation.com/world-university-rankings/eth-zurich</x:v>
      </x:c>
      <x:c r="J41" s="35" t="str">
        <x:v>https://www.timeshighereducation.com/world-university-rankings/2023/subject-ranking/physical-sciences</x:v>
      </x:c>
      <x:c r="K41" s="35" t="str">
        <x:v>https://www.timeshighereducation.com/json/ranking_tables/physical_sciences_rankings/2023</x:v>
      </x:c>
      <x:c r="L41" s="35" t="str">
        <x:v>https://ethz.ch/en/studies/master/degree-programmes/natural-sciences-and-mathematics/environmental-sciences.html</x:v>
      </x:c>
    </x:row>
    <x:row r="42">
      <x:c r="A42" s="31" t="n">
        <x:v>8</x:v>
      </x:c>
      <x:c r="B42" t="str">
        <x:v>ETH Zurich</x:v>
      </x:c>
      <x:c r="C42" s="32" t="str">
        <x:v>MSc Environmental Sciences</x:v>
      </x:c>
      <x:c r="D42" s="32" t="str">
        <x:v>Physical Sciences</x:v>
      </x:c>
      <x:c r="E42" s="31" t="n">
        <x:v>2024</x:v>
      </x:c>
      <x:c r="F42" s="31" t="str">
        <x:v>9</x:v>
      </x:c>
      <x:c r="G42" s="31" t="str">
        <x:v>93.1</x:v>
      </x:c>
      <x:c r="H42" s="32" t="str">
        <x:v>Ranked in subject table</x:v>
      </x:c>
      <x:c r="I42" s="35" t="str">
        <x:v>https://www.timeshighereducation.com/world-university-rankings/eth-zurich</x:v>
      </x:c>
      <x:c r="J42" s="35" t="str">
        <x:v>https://www.timeshighereducation.com/world-university-rankings/2024/subject-ranking/physical-sciences</x:v>
      </x:c>
      <x:c r="K42" s="35" t="str">
        <x:v>https://www.timeshighereducation.com/json/ranking_tables/physical_sciences_rankings/2024</x:v>
      </x:c>
      <x:c r="L42" s="35" t="str">
        <x:v>https://ethz.ch/en/studies/master/degree-programmes/natural-sciences-and-mathematics/environmental-sciences.html</x:v>
      </x:c>
    </x:row>
    <x:row r="43">
      <x:c r="A43" s="31" t="n">
        <x:v>8</x:v>
      </x:c>
      <x:c r="B43" t="str">
        <x:v>ETH Zurich</x:v>
      </x:c>
      <x:c r="C43" s="32" t="str">
        <x:v>MSc Environmental Sciences</x:v>
      </x:c>
      <x:c r="D43" s="32" t="str">
        <x:v>Physical Sciences</x:v>
      </x:c>
      <x:c r="E43" s="31" t="n">
        <x:v>2025</x:v>
      </x:c>
      <x:c r="F43" s="31" t="str">
        <x:v>9</x:v>
      </x:c>
      <x:c r="G43" s="31" t="str">
        <x:v>92.8</x:v>
      </x:c>
      <x:c r="H43" s="32" t="str">
        <x:v>Ranked in subject table</x:v>
      </x:c>
      <x:c r="I43" s="35" t="str">
        <x:v>https://www.timeshighereducation.com/world-university-rankings/eth-zurich</x:v>
      </x:c>
      <x:c r="J43" s="35" t="str">
        <x:v>https://www.timeshighereducation.com/world-university-rankings/2025/subject-ranking/physical-sciences</x:v>
      </x:c>
      <x:c r="K43" s="35" t="str">
        <x:v>https://www.timeshighereducation.com/json/ranking_tables/physical_sciences_rankings/2025</x:v>
      </x:c>
      <x:c r="L43" s="35" t="str">
        <x:v>https://ethz.ch/en/studies/master/degree-programmes/natural-sciences-and-mathematics/environmental-sciences.html</x:v>
      </x:c>
    </x:row>
    <x:row r="44">
      <x:c r="A44" s="31" t="n">
        <x:v>8</x:v>
      </x:c>
      <x:c r="B44" t="str">
        <x:v>ETH Zurich</x:v>
      </x:c>
      <x:c r="C44" s="32" t="str">
        <x:v>MSc Environmental Sciences</x:v>
      </x:c>
      <x:c r="D44" s="32" t="str">
        <x:v>Physical Sciences</x:v>
      </x:c>
      <x:c r="E44" s="31" t="n">
        <x:v>2026</x:v>
      </x:c>
      <x:c r="F44" s="31" t="str">
        <x:v>9</x:v>
      </x:c>
      <x:c r="G44" s="31" t="str">
        <x:v>93.1</x:v>
      </x:c>
      <x:c r="H44" s="32" t="str">
        <x:v>Ranked in subject table</x:v>
      </x:c>
      <x:c r="I44" s="35" t="str">
        <x:v>https://www.timeshighereducation.com/world-university-rankings/eth-zurich</x:v>
      </x:c>
      <x:c r="J44" s="35" t="str">
        <x:v>https://www.timeshighereducation.com/world-university-rankings/2026/subject-ranking/physical-sciences</x:v>
      </x:c>
      <x:c r="K44" s="35" t="str">
        <x:v>https://www.timeshighereducation.com/json/ranking_tables/physical_sciences_rankings/2026</x:v>
      </x:c>
      <x:c r="L44" s="35" t="str">
        <x:v>https://ethz.ch/en/studies/master/degree-programmes/natural-sciences-and-mathematics/environmental-sciences.html</x:v>
      </x:c>
    </x:row>
    <x:row r="45">
      <x:c r="A45" s="31" t="n">
        <x:v>9</x:v>
      </x:c>
      <x:c r="B45" t="str">
        <x:v>UCL</x:v>
      </x:c>
      <x:c r="C45" s="32" t="str">
        <x:v>Sustainable Resources: Economics, Policy and Transitions MSc</x:v>
      </x:c>
      <x:c r="D45" s="32" t="str">
        <x:v>Social Sciences</x:v>
      </x:c>
      <x:c r="E45" s="31" t="n">
        <x:v>2022</x:v>
      </x:c>
      <x:c r="F45" s="31" t="str">
        <x:v>13</x:v>
      </x:c>
      <x:c r="G45" s="31" t="str">
        <x:v>80.6</x:v>
      </x:c>
      <x:c r="H45" s="32" t="str">
        <x:v>Ranked in subject table</x:v>
      </x:c>
      <x:c r="I45" s="35" t="str">
        <x:v>https://www.timeshighereducation.com/world-university-rankings/ucl</x:v>
      </x:c>
      <x:c r="J45" s="35" t="str">
        <x:v>https://www.timeshighereducation.com/world-university-rankings/2022/subject-ranking/social-sciences</x:v>
      </x:c>
      <x:c r="K45" s="35" t="str">
        <x:v>https://www.timeshighereducation.com/json/ranking_tables/social_sciences_rankings/2022</x:v>
      </x:c>
      <x:c r="L45" s="35" t="str">
        <x:v>https://www.ucl.ac.uk/prospective-students/graduate/taught-degrees/sustainable-resources-economics-policy-and-transitions-msc</x:v>
      </x:c>
    </x:row>
    <x:row r="46">
      <x:c r="A46" s="31" t="n">
        <x:v>9</x:v>
      </x:c>
      <x:c r="B46" t="str">
        <x:v>UCL</x:v>
      </x:c>
      <x:c r="C46" s="32" t="str">
        <x:v>Sustainable Resources: Economics, Policy and Transitions MSc</x:v>
      </x:c>
      <x:c r="D46" s="32" t="str">
        <x:v>Social Sciences</x:v>
      </x:c>
      <x:c r="E46" s="31" t="n">
        <x:v>2023</x:v>
      </x:c>
      <x:c r="F46" s="31" t="str">
        <x:v>14</x:v>
      </x:c>
      <x:c r="G46" s="31" t="str">
        <x:v>80.6</x:v>
      </x:c>
      <x:c r="H46" s="32" t="str">
        <x:v>Ranked in subject table</x:v>
      </x:c>
      <x:c r="I46" s="35" t="str">
        <x:v>https://www.timeshighereducation.com/world-university-rankings/ucl</x:v>
      </x:c>
      <x:c r="J46" s="35" t="str">
        <x:v>https://www.timeshighereducation.com/world-university-rankings/2023/subject-ranking/social-sciences</x:v>
      </x:c>
      <x:c r="K46" s="35" t="str">
        <x:v>https://www.timeshighereducation.com/json/ranking_tables/social_sciences_rankings/2023</x:v>
      </x:c>
      <x:c r="L46" s="35" t="str">
        <x:v>https://www.ucl.ac.uk/prospective-students/graduate/taught-degrees/sustainable-resources-economics-policy-and-transitions-msc</x:v>
      </x:c>
    </x:row>
    <x:row r="47">
      <x:c r="A47" s="31" t="n">
        <x:v>9</x:v>
      </x:c>
      <x:c r="B47" t="str">
        <x:v>UCL</x:v>
      </x:c>
      <x:c r="C47" s="32" t="str">
        <x:v>Sustainable Resources: Economics, Policy and Transitions MSc</x:v>
      </x:c>
      <x:c r="D47" s="32" t="str">
        <x:v>Social Sciences</x:v>
      </x:c>
      <x:c r="E47" s="31" t="n">
        <x:v>2024</x:v>
      </x:c>
      <x:c r="F47" s="31" t="str">
        <x:v>14</x:v>
      </x:c>
      <x:c r="G47" s="31" t="str">
        <x:v>85.0</x:v>
      </x:c>
      <x:c r="H47" s="32" t="str">
        <x:v>Ranked in subject table</x:v>
      </x:c>
      <x:c r="I47" s="35" t="str">
        <x:v>https://www.timeshighereducation.com/world-university-rankings/ucl</x:v>
      </x:c>
      <x:c r="J47" s="35" t="str">
        <x:v>https://www.timeshighereducation.com/world-university-rankings/2024/subject-ranking/social-sciences</x:v>
      </x:c>
      <x:c r="K47" s="35" t="str">
        <x:v>https://www.timeshighereducation.com/json/ranking_tables/social_sciences_rankings/2024</x:v>
      </x:c>
      <x:c r="L47" s="35" t="str">
        <x:v>https://www.ucl.ac.uk/prospective-students/graduate/taught-degrees/sustainable-resources-economics-policy-and-transitions-msc</x:v>
      </x:c>
    </x:row>
    <x:row r="48">
      <x:c r="A48" s="31" t="n">
        <x:v>9</x:v>
      </x:c>
      <x:c r="B48" t="str">
        <x:v>UCL</x:v>
      </x:c>
      <x:c r="C48" s="32" t="str">
        <x:v>Sustainable Resources: Economics, Policy and Transitions MSc</x:v>
      </x:c>
      <x:c r="D48" s="32" t="str">
        <x:v>Social Sciences</x:v>
      </x:c>
      <x:c r="E48" s="31" t="n">
        <x:v>2025</x:v>
      </x:c>
      <x:c r="F48" s="31" t="str">
        <x:v>14</x:v>
      </x:c>
      <x:c r="G48" s="31" t="str">
        <x:v>83.8</x:v>
      </x:c>
      <x:c r="H48" s="32" t="str">
        <x:v>Ranked in subject table</x:v>
      </x:c>
      <x:c r="I48" s="35" t="str">
        <x:v>https://www.timeshighereducation.com/world-university-rankings/ucl</x:v>
      </x:c>
      <x:c r="J48" s="35" t="str">
        <x:v>https://www.timeshighereducation.com/world-university-rankings/2025/subject-ranking/social-sciences</x:v>
      </x:c>
      <x:c r="K48" s="35" t="str">
        <x:v>https://www.timeshighereducation.com/json/ranking_tables/social_sciences_rankings/2025</x:v>
      </x:c>
      <x:c r="L48" s="35" t="str">
        <x:v>https://www.ucl.ac.uk/prospective-students/graduate/taught-degrees/sustainable-resources-economics-policy-and-transitions-msc</x:v>
      </x:c>
    </x:row>
    <x:row r="49">
      <x:c r="A49" s="31" t="n">
        <x:v>9</x:v>
      </x:c>
      <x:c r="B49" t="str">
        <x:v>UCL</x:v>
      </x:c>
      <x:c r="C49" s="32" t="str">
        <x:v>Sustainable Resources: Economics, Policy and Transitions MSc</x:v>
      </x:c>
      <x:c r="D49" s="32" t="str">
        <x:v>Social Sciences</x:v>
      </x:c>
      <x:c r="E49" s="31" t="n">
        <x:v>2026</x:v>
      </x:c>
      <x:c r="F49" s="31" t="n">
        <x:f>16</x:f>
        <x:v>16</x:v>
      </x:c>
      <x:c r="G49" s="31" t="str">
        <x:v>82.7</x:v>
      </x:c>
      <x:c r="H49" s="32" t="str">
        <x:v>Ranked in subject table</x:v>
      </x:c>
      <x:c r="I49" s="35" t="str">
        <x:v>https://www.timeshighereducation.com/world-university-rankings/ucl</x:v>
      </x:c>
      <x:c r="J49" s="35" t="str">
        <x:v>https://www.timeshighereducation.com/world-university-rankings/2026/subject-ranking/social-sciences</x:v>
      </x:c>
      <x:c r="K49" s="35" t="str">
        <x:v>https://www.timeshighereducation.com/json/ranking_tables/social_sciences_rankings/2026</x:v>
      </x:c>
      <x:c r="L49" s="35" t="str">
        <x:v>https://www.ucl.ac.uk/prospective-students/graduate/taught-degrees/sustainable-resources-economics-policy-and-transitions-msc</x:v>
      </x:c>
    </x:row>
    <x:row r="50">
      <x:c r="A50" s="31" t="n">
        <x:v>10</x:v>
      </x:c>
      <x:c r="B50" t="str">
        <x:v>National University of Singapore (NUS)</x:v>
      </x:c>
      <x:c r="C50" s="32" t="str">
        <x:v>MSc in Sustainable and Green Finance</x:v>
      </x:c>
      <x:c r="D50" s="32" t="str">
        <x:v>Business and Economics</x:v>
      </x:c>
      <x:c r="E50" s="31" t="n">
        <x:v>2022</x:v>
      </x:c>
      <x:c r="F50" s="31" t="str">
        <x:v>15</x:v>
      </x:c>
      <x:c r="G50" s="31" t="str">
        <x:v>81.6</x:v>
      </x:c>
      <x:c r="H50" s="32" t="str">
        <x:v>Ranked in subject table</x:v>
      </x:c>
      <x:c r="I50" s="35" t="str">
        <x:v>https://www.timeshighereducation.com/world-university-rankings/national-university-singapore</x:v>
      </x:c>
      <x:c r="J50" s="35" t="str">
        <x:v>https://www.timeshighereducation.com/world-university-rankings/2022/subject-ranking/business-and-economics</x:v>
      </x:c>
      <x:c r="K50" s="35" t="str">
        <x:v>https://www.timeshighereducation.com/json/ranking_tables/business_economics_rankings/2022</x:v>
      </x:c>
      <x:c r="L50" s="35" t="str">
        <x:v>https://msgfin.nus.edu.sg/academics/</x:v>
      </x:c>
    </x:row>
    <x:row r="51">
      <x:c r="A51" s="31" t="n">
        <x:v>10</x:v>
      </x:c>
      <x:c r="B51" t="str">
        <x:v>National University of Singapore (NUS)</x:v>
      </x:c>
      <x:c r="C51" s="32" t="str">
        <x:v>MSc in Sustainable and Green Finance</x:v>
      </x:c>
      <x:c r="D51" s="32" t="str">
        <x:v>Business and Economics</x:v>
      </x:c>
      <x:c r="E51" s="31" t="n">
        <x:v>2023</x:v>
      </x:c>
      <x:c r="F51" s="31" t="n">
        <x:f>11</x:f>
        <x:v>11</x:v>
      </x:c>
      <x:c r="G51" s="31" t="str">
        <x:v>82.6</x:v>
      </x:c>
      <x:c r="H51" s="32" t="str">
        <x:v>Ranked in subject table</x:v>
      </x:c>
      <x:c r="I51" s="35" t="str">
        <x:v>https://www.timeshighereducation.com/world-university-rankings/national-university-singapore</x:v>
      </x:c>
      <x:c r="J51" s="35" t="str">
        <x:v>https://www.timeshighereducation.com/world-university-rankings/2023/subject-ranking/business-and-economics</x:v>
      </x:c>
      <x:c r="K51" s="35" t="str">
        <x:v>https://www.timeshighereducation.com/json/ranking_tables/business_economics_rankings/2023</x:v>
      </x:c>
      <x:c r="L51" s="35" t="str">
        <x:v>https://msgfin.nus.edu.sg/academics/</x:v>
      </x:c>
    </x:row>
    <x:row r="52">
      <x:c r="A52" s="31" t="n">
        <x:v>10</x:v>
      </x:c>
      <x:c r="B52" t="str">
        <x:v>National University of Singapore (NUS)</x:v>
      </x:c>
      <x:c r="C52" s="32" t="str">
        <x:v>MSc in Sustainable and Green Finance</x:v>
      </x:c>
      <x:c r="D52" s="32" t="str">
        <x:v>Business and Economics</x:v>
      </x:c>
      <x:c r="E52" s="31" t="n">
        <x:v>2024</x:v>
      </x:c>
      <x:c r="F52" s="31" t="str">
        <x:v>15</x:v>
      </x:c>
      <x:c r="G52" s="31" t="str">
        <x:v>85.7</x:v>
      </x:c>
      <x:c r="H52" s="32" t="str">
        <x:v>Ranked in subject table</x:v>
      </x:c>
      <x:c r="I52" s="35" t="str">
        <x:v>https://www.timeshighereducation.com/world-university-rankings/national-university-singapore</x:v>
      </x:c>
      <x:c r="J52" s="35" t="str">
        <x:v>https://www.timeshighereducation.com/world-university-rankings/2024/subject-ranking/business-and-economics</x:v>
      </x:c>
      <x:c r="K52" s="35" t="str">
        <x:v>https://www.timeshighereducation.com/json/ranking_tables/business_economics_rankings/2024</x:v>
      </x:c>
      <x:c r="L52" s="35" t="str">
        <x:v>https://msgfin.nus.edu.sg/academics/</x:v>
      </x:c>
    </x:row>
    <x:row r="53">
      <x:c r="A53" s="31" t="n">
        <x:v>10</x:v>
      </x:c>
      <x:c r="B53" t="str">
        <x:v>National University of Singapore (NUS)</x:v>
      </x:c>
      <x:c r="C53" s="32" t="str">
        <x:v>MSc in Sustainable and Green Finance</x:v>
      </x:c>
      <x:c r="D53" s="32" t="str">
        <x:v>Business and Economics</x:v>
      </x:c>
      <x:c r="E53" s="31" t="n">
        <x:v>2025</x:v>
      </x:c>
      <x:c r="F53" s="31" t="str">
        <x:v>12</x:v>
      </x:c>
      <x:c r="G53" s="31" t="str">
        <x:v>85.9</x:v>
      </x:c>
      <x:c r="H53" s="32" t="str">
        <x:v>Ranked in subject table</x:v>
      </x:c>
      <x:c r="I53" s="35" t="str">
        <x:v>https://www.timeshighereducation.com/world-university-rankings/national-university-singapore</x:v>
      </x:c>
      <x:c r="J53" s="35" t="str">
        <x:v>https://www.timeshighereducation.com/world-university-rankings/2025/subject-ranking/business-and-economics</x:v>
      </x:c>
      <x:c r="K53" s="35" t="str">
        <x:v>https://www.timeshighereducation.com/json/ranking_tables/business_economics_rankings/2025</x:v>
      </x:c>
      <x:c r="L53" s="35" t="str">
        <x:v>https://msgfin.nus.edu.sg/academics/</x:v>
      </x:c>
    </x:row>
    <x:row r="54">
      <x:c r="A54" s="31" t="n">
        <x:v>10</x:v>
      </x:c>
      <x:c r="B54" t="str">
        <x:v>National University of Singapore (NUS)</x:v>
      </x:c>
      <x:c r="C54" s="32" t="str">
        <x:v>MSc in Sustainable and Green Finance</x:v>
      </x:c>
      <x:c r="D54" s="32" t="str">
        <x:v>Business and Economics</x:v>
      </x:c>
      <x:c r="E54" s="31" t="n">
        <x:v>2026</x:v>
      </x:c>
      <x:c r="F54" s="31" t="n">
        <x:f>10</x:f>
        <x:v>10</x:v>
      </x:c>
      <x:c r="G54" s="31" t="str">
        <x:v>87.4</x:v>
      </x:c>
      <x:c r="H54" s="32" t="str">
        <x:v>Ranked in subject table</x:v>
      </x:c>
      <x:c r="I54" s="35" t="str">
        <x:v>https://www.timeshighereducation.com/world-university-rankings/national-university-singapore</x:v>
      </x:c>
      <x:c r="J54" s="35" t="str">
        <x:v>https://www.timeshighereducation.com/world-university-rankings/2026/subject-ranking/business-and-economics</x:v>
      </x:c>
      <x:c r="K54" s="35" t="str">
        <x:v>https://www.timeshighereducation.com/json/ranking_tables/business_economics_rankings/2026</x:v>
      </x:c>
      <x:c r="L54" s="35" t="str">
        <x:v>https://msgfin.nus.edu.sg/academics/</x:v>
      </x:c>
    </x:row>
    <x:row r="55">
      <x:c r="A55" s="31" t="n">
        <x:v>11</x:v>
      </x:c>
      <x:c r="B55" t="str">
        <x:v>The University of Hong Kong</x:v>
      </x:c>
      <x:c r="C55" s="32" t="str">
        <x:v>Master of Science in Environmental Management</x:v>
      </x:c>
      <x:c r="D55" s="32" t="str">
        <x:v>Physical Sciences</x:v>
      </x:c>
      <x:c r="E55" s="31" t="n">
        <x:v>2022</x:v>
      </x:c>
      <x:c r="F55" s="31" t="str">
        <x:v>53</x:v>
      </x:c>
      <x:c r="G55" s="31" t="str">
        <x:v>69.1</x:v>
      </x:c>
      <x:c r="H55" s="32" t="str">
        <x:v>Ranked in subject table</x:v>
      </x:c>
      <x:c r="I55" s="35" t="str">
        <x:v>https://www.timeshighereducation.com/world-university-rankings/university-hong-kong</x:v>
      </x:c>
      <x:c r="J55" s="35" t="str">
        <x:v>https://www.timeshighereducation.com/world-university-rankings/2022/subject-ranking/physical-sciences</x:v>
      </x:c>
      <x:c r="K55" s="35" t="str">
        <x:v>https://www.timeshighereducation.com/json/ranking_tables/physical_sciences_rankings/2022</x:v>
      </x:c>
      <x:c r="L55" s="35" t="str">
        <x:v>https://admissions.hku.hk/tpg/programme/master-science-environmental-management</x:v>
      </x:c>
    </x:row>
    <x:row r="56">
      <x:c r="A56" s="31" t="n">
        <x:v>11</x:v>
      </x:c>
      <x:c r="B56" t="str">
        <x:v>The University of Hong Kong</x:v>
      </x:c>
      <x:c r="C56" s="32" t="str">
        <x:v>Master of Science in Environmental Management</x:v>
      </x:c>
      <x:c r="D56" s="32" t="str">
        <x:v>Physical Sciences</x:v>
      </x:c>
      <x:c r="E56" s="31" t="n">
        <x:v>2023</x:v>
      </x:c>
      <x:c r="F56" s="31" t="str">
        <x:v>44</x:v>
      </x:c>
      <x:c r="G56" s="31" t="str">
        <x:v>71.4</x:v>
      </x:c>
      <x:c r="H56" s="32" t="str">
        <x:v>Ranked in subject table</x:v>
      </x:c>
      <x:c r="I56" s="35" t="str">
        <x:v>https://www.timeshighereducation.com/world-university-rankings/university-hong-kong</x:v>
      </x:c>
      <x:c r="J56" s="35" t="str">
        <x:v>https://www.timeshighereducation.com/world-university-rankings/2023/subject-ranking/physical-sciences</x:v>
      </x:c>
      <x:c r="K56" s="35" t="str">
        <x:v>https://www.timeshighereducation.com/json/ranking_tables/physical_sciences_rankings/2023</x:v>
      </x:c>
      <x:c r="L56" s="35" t="str">
        <x:v>https://admissions.hku.hk/tpg/programme/master-science-environmental-management</x:v>
      </x:c>
    </x:row>
    <x:row r="57">
      <x:c r="A57" s="31" t="n">
        <x:v>11</x:v>
      </x:c>
      <x:c r="B57" t="str">
        <x:v>The University of Hong Kong</x:v>
      </x:c>
      <x:c r="C57" s="32" t="str">
        <x:v>Master of Science in Environmental Management</x:v>
      </x:c>
      <x:c r="D57" s="32" t="str">
        <x:v>Physical Sciences</x:v>
      </x:c>
      <x:c r="E57" s="31" t="n">
        <x:v>2024</x:v>
      </x:c>
      <x:c r="F57" s="31" t="str">
        <x:v>47</x:v>
      </x:c>
      <x:c r="G57" s="31" t="str">
        <x:v>73.3</x:v>
      </x:c>
      <x:c r="H57" s="32" t="str">
        <x:v>Ranked in subject table</x:v>
      </x:c>
      <x:c r="I57" s="35" t="str">
        <x:v>https://www.timeshighereducation.com/world-university-rankings/university-hong-kong</x:v>
      </x:c>
      <x:c r="J57" s="35" t="str">
        <x:v>https://www.timeshighereducation.com/world-university-rankings/2024/subject-ranking/physical-sciences</x:v>
      </x:c>
      <x:c r="K57" s="35" t="str">
        <x:v>https://www.timeshighereducation.com/json/ranking_tables/physical_sciences_rankings/2024</x:v>
      </x:c>
      <x:c r="L57" s="35" t="str">
        <x:v>https://admissions.hku.hk/tpg/programme/master-science-environmental-management</x:v>
      </x:c>
    </x:row>
    <x:row r="58">
      <x:c r="A58" s="31" t="n">
        <x:v>11</x:v>
      </x:c>
      <x:c r="B58" t="str">
        <x:v>The University of Hong Kong</x:v>
      </x:c>
      <x:c r="C58" s="32" t="str">
        <x:v>Master of Science in Environmental Management</x:v>
      </x:c>
      <x:c r="D58" s="32" t="str">
        <x:v>Physical Sciences</x:v>
      </x:c>
      <x:c r="E58" s="31" t="n">
        <x:v>2025</x:v>
      </x:c>
      <x:c r="F58" s="31" t="n">
        <x:f>41</x:f>
        <x:v>41</x:v>
      </x:c>
      <x:c r="G58" s="31" t="str">
        <x:v>74.0</x:v>
      </x:c>
      <x:c r="H58" s="32" t="str">
        <x:v>Ranked in subject table</x:v>
      </x:c>
      <x:c r="I58" s="35" t="str">
        <x:v>https://www.timeshighereducation.com/world-university-rankings/university-hong-kong</x:v>
      </x:c>
      <x:c r="J58" s="35" t="str">
        <x:v>https://www.timeshighereducation.com/world-university-rankings/2025/subject-ranking/physical-sciences</x:v>
      </x:c>
      <x:c r="K58" s="35" t="str">
        <x:v>https://www.timeshighereducation.com/json/ranking_tables/physical_sciences_rankings/2025</x:v>
      </x:c>
      <x:c r="L58" s="35" t="str">
        <x:v>https://admissions.hku.hk/tpg/programme/master-science-environmental-management</x:v>
      </x:c>
    </x:row>
    <x:row r="59">
      <x:c r="A59" s="31" t="n">
        <x:v>11</x:v>
      </x:c>
      <x:c r="B59" t="str">
        <x:v>The University of Hong Kong</x:v>
      </x:c>
      <x:c r="C59" s="32" t="str">
        <x:v>Master of Science in Environmental Management</x:v>
      </x:c>
      <x:c r="D59" s="32" t="str">
        <x:v>Physical Sciences</x:v>
      </x:c>
      <x:c r="E59" s="31" t="n">
        <x:v>2026</x:v>
      </x:c>
      <x:c r="F59" s="31" t="str">
        <x:v>37</x:v>
      </x:c>
      <x:c r="G59" s="31" t="str">
        <x:v>77.6</x:v>
      </x:c>
      <x:c r="H59" s="32" t="str">
        <x:v>Ranked in subject table</x:v>
      </x:c>
      <x:c r="I59" s="35" t="str">
        <x:v>https://www.timeshighereducation.com/world-university-rankings/university-hong-kong</x:v>
      </x:c>
      <x:c r="J59" s="35" t="str">
        <x:v>https://www.timeshighereducation.com/world-university-rankings/2026/subject-ranking/physical-sciences</x:v>
      </x:c>
      <x:c r="K59" s="35" t="str">
        <x:v>https://www.timeshighereducation.com/json/ranking_tables/physical_sciences_rankings/2026</x:v>
      </x:c>
      <x:c r="L59" s="35" t="str">
        <x:v>https://admissions.hku.hk/tpg/programme/master-science-environmental-management</x:v>
      </x:c>
    </x:row>
    <x:row r="60">
      <x:c r="A60" s="31" t="n">
        <x:v>12</x:v>
      </x:c>
      <x:c r="B60" t="str">
        <x:v>Nanyang Technological University, Singapore (NTU Singapore)</x:v>
      </x:c>
      <x:c r="C60" s="32" t="str">
        <x:v>MSc Sustainability Management</x:v>
      </x:c>
      <x:c r="D60" s="32" t="str">
        <x:v>Business and Economics</x:v>
      </x:c>
      <x:c r="E60" s="31" t="n">
        <x:v>2022</x:v>
      </x:c>
      <x:c r="F60" s="31" t="str">
        <x:v>49</x:v>
      </x:c>
      <x:c r="G60" s="31" t="str">
        <x:v>60.8</x:v>
      </x:c>
      <x:c r="H60" s="32" t="str">
        <x:v>Ranked in subject table</x:v>
      </x:c>
      <x:c r="I60" s="35" t="str">
        <x:v>https://www.timeshighereducation.com/world-university-rankings/nanyang-technological-university-singapore</x:v>
      </x:c>
      <x:c r="J60" s="35" t="str">
        <x:v>https://www.timeshighereducation.com/world-university-rankings/2022/subject-ranking/business-and-economics</x:v>
      </x:c>
      <x:c r="K60" s="35" t="str">
        <x:v>https://www.timeshighereducation.com/json/ranking_tables/business_economics_rankings/2022</x:v>
      </x:c>
      <x:c r="L60" s="35" t="str">
        <x:v>https://www.ntu.edu.sg/business/admissions/graduate-studies/msc-sustainability-management</x:v>
      </x:c>
    </x:row>
    <x:row r="61">
      <x:c r="A61" s="31" t="n">
        <x:v>12</x:v>
      </x:c>
      <x:c r="B61" t="str">
        <x:v>Nanyang Technological University, Singapore (NTU Singapore)</x:v>
      </x:c>
      <x:c r="C61" s="32" t="str">
        <x:v>MSc Sustainability Management</x:v>
      </x:c>
      <x:c r="D61" s="32" t="str">
        <x:v>Business and Economics</x:v>
      </x:c>
      <x:c r="E61" s="31" t="n">
        <x:v>2023</x:v>
      </x:c>
      <x:c r="F61" s="31" t="str">
        <x:v>45</x:v>
      </x:c>
      <x:c r="G61" s="31" t="str">
        <x:v>61.4</x:v>
      </x:c>
      <x:c r="H61" s="32" t="str">
        <x:v>Ranked in subject table</x:v>
      </x:c>
      <x:c r="I61" s="35" t="str">
        <x:v>https://www.timeshighereducation.com/world-university-rankings/nanyang-technological-university-singapore</x:v>
      </x:c>
      <x:c r="J61" s="35" t="str">
        <x:v>https://www.timeshighereducation.com/world-university-rankings/2023/subject-ranking/business-and-economics</x:v>
      </x:c>
      <x:c r="K61" s="35" t="str">
        <x:v>https://www.timeshighereducation.com/json/ranking_tables/business_economics_rankings/2023</x:v>
      </x:c>
      <x:c r="L61" s="35" t="str">
        <x:v>https://www.ntu.edu.sg/business/admissions/graduate-studies/msc-sustainability-management</x:v>
      </x:c>
    </x:row>
    <x:row r="62">
      <x:c r="A62" s="31" t="n">
        <x:v>12</x:v>
      </x:c>
      <x:c r="B62" t="str">
        <x:v>Nanyang Technological University, Singapore (NTU Singapore)</x:v>
      </x:c>
      <x:c r="C62" s="32" t="str">
        <x:v>MSc Sustainability Management</x:v>
      </x:c>
      <x:c r="D62" s="32" t="str">
        <x:v>Business and Economics</x:v>
      </x:c>
      <x:c r="E62" s="31" t="n">
        <x:v>2024</x:v>
      </x:c>
      <x:c r="F62" s="31" t="str">
        <x:v>38</x:v>
      </x:c>
      <x:c r="G62" s="31" t="str">
        <x:v>68.4</x:v>
      </x:c>
      <x:c r="H62" s="32" t="str">
        <x:v>Ranked in subject table</x:v>
      </x:c>
      <x:c r="I62" s="35" t="str">
        <x:v>https://www.timeshighereducation.com/world-university-rankings/nanyang-technological-university-singapore</x:v>
      </x:c>
      <x:c r="J62" s="35" t="str">
        <x:v>https://www.timeshighereducation.com/world-university-rankings/2024/subject-ranking/business-and-economics</x:v>
      </x:c>
      <x:c r="K62" s="35" t="str">
        <x:v>https://www.timeshighereducation.com/json/ranking_tables/business_economics_rankings/2024</x:v>
      </x:c>
      <x:c r="L62" s="35" t="str">
        <x:v>https://www.ntu.edu.sg/business/admissions/graduate-studies/msc-sustainability-management</x:v>
      </x:c>
    </x:row>
    <x:row r="63">
      <x:c r="A63" s="31" t="n">
        <x:v>12</x:v>
      </x:c>
      <x:c r="B63" t="str">
        <x:v>Nanyang Technological University, Singapore (NTU Singapore)</x:v>
      </x:c>
      <x:c r="C63" s="32" t="str">
        <x:v>MSc Sustainability Management</x:v>
      </x:c>
      <x:c r="D63" s="32" t="str">
        <x:v>Business and Economics</x:v>
      </x:c>
      <x:c r="E63" s="31" t="n">
        <x:v>2025</x:v>
      </x:c>
      <x:c r="F63" s="31" t="str">
        <x:v>36</x:v>
      </x:c>
      <x:c r="G63" s="31" t="str">
        <x:v>68.5</x:v>
      </x:c>
      <x:c r="H63" s="32" t="str">
        <x:v>Ranked in subject table</x:v>
      </x:c>
      <x:c r="I63" s="35" t="str">
        <x:v>https://www.timeshighereducation.com/world-university-rankings/nanyang-technological-university-singapore</x:v>
      </x:c>
      <x:c r="J63" s="35" t="str">
        <x:v>https://www.timeshighereducation.com/world-university-rankings/2025/subject-ranking/business-and-economics</x:v>
      </x:c>
      <x:c r="K63" s="35" t="str">
        <x:v>https://www.timeshighereducation.com/json/ranking_tables/business_economics_rankings/2025</x:v>
      </x:c>
      <x:c r="L63" s="35" t="str">
        <x:v>https://www.ntu.edu.sg/business/admissions/graduate-studies/msc-sustainability-management</x:v>
      </x:c>
    </x:row>
    <x:row r="64">
      <x:c r="A64" s="31" t="n">
        <x:v>12</x:v>
      </x:c>
      <x:c r="B64" t="str">
        <x:v>Nanyang Technological University, Singapore (NTU Singapore)</x:v>
      </x:c>
      <x:c r="C64" s="32" t="str">
        <x:v>MSc Sustainability Management</x:v>
      </x:c>
      <x:c r="D64" s="32" t="str">
        <x:v>Business and Economics</x:v>
      </x:c>
      <x:c r="E64" s="31" t="n">
        <x:v>2026</x:v>
      </x:c>
      <x:c r="F64" s="31" t="str">
        <x:v>34</x:v>
      </x:c>
      <x:c r="G64" s="31" t="str">
        <x:v>69.8</x:v>
      </x:c>
      <x:c r="H64" s="32" t="str">
        <x:v>Ranked in subject table</x:v>
      </x:c>
      <x:c r="I64" s="35" t="str">
        <x:v>https://www.timeshighereducation.com/world-university-rankings/nanyang-technological-university-singapore</x:v>
      </x:c>
      <x:c r="J64" s="35" t="str">
        <x:v>https://www.timeshighereducation.com/world-university-rankings/2026/subject-ranking/business-and-economics</x:v>
      </x:c>
      <x:c r="K64" s="35" t="str">
        <x:v>https://www.timeshighereducation.com/json/ranking_tables/business_economics_rankings/2026</x:v>
      </x:c>
      <x:c r="L64" s="35" t="str">
        <x:v>https://www.ntu.edu.sg/business/admissions/graduate-studies/msc-sustainability-management</x:v>
      </x:c>
    </x:row>
    <x:row r="65">
      <x:c r="A65" s="31" t="n">
        <x:v>13</x:v>
      </x:c>
      <x:c r="B65" t="str">
        <x:v>Peking University</x:v>
      </x:c>
      <x:c r="C65" s="32" t="str">
        <x:v>Master's programs in Environmental Science and Engineering / Environmental Management</x:v>
      </x:c>
      <x:c r="D65" s="32" t="str">
        <x:v>Engineering</x:v>
      </x:c>
      <x:c r="E65" s="31" t="n">
        <x:v>2022</x:v>
      </x:c>
      <x:c r="F65" s="31" t="str">
        <x:v>12</x:v>
      </x:c>
      <x:c r="G65" s="31" t="str">
        <x:v>88.9</x:v>
      </x:c>
      <x:c r="H65" s="32" t="str">
        <x:v>Ranked in subject table</x:v>
      </x:c>
      <x:c r="I65" s="35" t="str">
        <x:v>https://www.timeshighereducation.com/world-university-rankings/peking-university</x:v>
      </x:c>
      <x:c r="J65" s="35" t="str">
        <x:v>https://www.timeshighereducation.com/world-university-rankings/2022/subject-ranking/engineering</x:v>
      </x:c>
      <x:c r="K65" s="35" t="str">
        <x:v>https://www.timeshighereducation.com/json/ranking_tables/engineering_technology_rankings/2022</x:v>
      </x:c>
      <x:c r="L65" s="35" t="str">
        <x:v>https://en.coe.pku.edu.cn/education/graduate_programs.htm</x:v>
      </x:c>
    </x:row>
    <x:row r="66">
      <x:c r="A66" s="31" t="n">
        <x:v>13</x:v>
      </x:c>
      <x:c r="B66" t="str">
        <x:v>Peking University</x:v>
      </x:c>
      <x:c r="C66" s="32" t="str">
        <x:v>Master's programs in Environmental Science and Engineering / Environmental Management</x:v>
      </x:c>
      <x:c r="D66" s="32" t="str">
        <x:v>Engineering</x:v>
      </x:c>
      <x:c r="E66" s="31" t="n">
        <x:v>2023</x:v>
      </x:c>
      <x:c r="F66" s="31" t="str">
        <x:v>12</x:v>
      </x:c>
      <x:c r="G66" s="31" t="str">
        <x:v>88.9</x:v>
      </x:c>
      <x:c r="H66" s="32" t="str">
        <x:v>Ranked in subject table</x:v>
      </x:c>
      <x:c r="I66" s="35" t="str">
        <x:v>https://www.timeshighereducation.com/world-university-rankings/peking-university</x:v>
      </x:c>
      <x:c r="J66" s="35" t="str">
        <x:v>https://www.timeshighereducation.com/world-university-rankings/2023/subject-ranking/engineering</x:v>
      </x:c>
      <x:c r="K66" s="35" t="str">
        <x:v>https://www.timeshighereducation.com/json/ranking_tables/engineering_technology_rankings/2023</x:v>
      </x:c>
      <x:c r="L66" s="35" t="str">
        <x:v>https://en.coe.pku.edu.cn/education/graduate_programs.htm</x:v>
      </x:c>
    </x:row>
    <x:row r="67">
      <x:c r="A67" s="31" t="n">
        <x:v>13</x:v>
      </x:c>
      <x:c r="B67" t="str">
        <x:v>Peking University</x:v>
      </x:c>
      <x:c r="C67" s="32" t="str">
        <x:v>Master's programs in Environmental Science and Engineering / Environmental Management</x:v>
      </x:c>
      <x:c r="D67" s="32" t="str">
        <x:v>Engineering</x:v>
      </x:c>
      <x:c r="E67" s="31" t="n">
        <x:v>2024</x:v>
      </x:c>
      <x:c r="F67" s="31" t="str">
        <x:v>14</x:v>
      </x:c>
      <x:c r="G67" s="31" t="str">
        <x:v>90.8</x:v>
      </x:c>
      <x:c r="H67" s="32" t="str">
        <x:v>Ranked in subject table</x:v>
      </x:c>
      <x:c r="I67" s="35" t="str">
        <x:v>https://www.timeshighereducation.com/world-university-rankings/peking-university</x:v>
      </x:c>
      <x:c r="J67" s="35" t="str">
        <x:v>https://www.timeshighereducation.com/world-university-rankings/2024/subject-ranking/engineering</x:v>
      </x:c>
      <x:c r="K67" s="35" t="str">
        <x:v>https://www.timeshighereducation.com/json/ranking_tables/engineering_technology_rankings/2024</x:v>
      </x:c>
      <x:c r="L67" s="35" t="str">
        <x:v>https://en.coe.pku.edu.cn/education/graduate_programs.htm</x:v>
      </x:c>
    </x:row>
    <x:row r="68">
      <x:c r="A68" s="31" t="n">
        <x:v>13</x:v>
      </x:c>
      <x:c r="B68" t="str">
        <x:v>Peking University</x:v>
      </x:c>
      <x:c r="C68" s="32" t="str">
        <x:v>Master's programs in Environmental Science and Engineering / Environmental Management</x:v>
      </x:c>
      <x:c r="D68" s="32" t="str">
        <x:v>Engineering</x:v>
      </x:c>
      <x:c r="E68" s="31" t="n">
        <x:v>2025</x:v>
      </x:c>
      <x:c r="F68" s="31" t="str">
        <x:v>11</x:v>
      </x:c>
      <x:c r="G68" s="31" t="str">
        <x:v>92.3</x:v>
      </x:c>
      <x:c r="H68" s="32" t="str">
        <x:v>Ranked in subject table</x:v>
      </x:c>
      <x:c r="I68" s="35" t="str">
        <x:v>https://www.timeshighereducation.com/world-university-rankings/peking-university</x:v>
      </x:c>
      <x:c r="J68" s="35" t="str">
        <x:v>https://www.timeshighereducation.com/world-university-rankings/2025/subject-ranking/engineering</x:v>
      </x:c>
      <x:c r="K68" s="35" t="str">
        <x:v>https://www.timeshighereducation.com/json/ranking_tables/engineering_technology_rankings/2025</x:v>
      </x:c>
      <x:c r="L68" s="35" t="str">
        <x:v>https://en.coe.pku.edu.cn/education/graduate_programs.htm</x:v>
      </x:c>
    </x:row>
    <x:row r="69">
      <x:c r="A69" s="31" t="n">
        <x:v>13</x:v>
      </x:c>
      <x:c r="B69" t="str">
        <x:v>Peking University</x:v>
      </x:c>
      <x:c r="C69" s="32" t="str">
        <x:v>Master's programs in Environmental Science and Engineering / Environmental Management</x:v>
      </x:c>
      <x:c r="D69" s="32" t="str">
        <x:v>Engineering</x:v>
      </x:c>
      <x:c r="E69" s="31" t="n">
        <x:v>2026</x:v>
      </x:c>
      <x:c r="F69" s="31" t="str">
        <x:v>8</x:v>
      </x:c>
      <x:c r="G69" s="31" t="str">
        <x:v>94.3</x:v>
      </x:c>
      <x:c r="H69" s="32" t="str">
        <x:v>Ranked in subject table</x:v>
      </x:c>
      <x:c r="I69" s="35" t="str">
        <x:v>https://www.timeshighereducation.com/world-university-rankings/peking-university</x:v>
      </x:c>
      <x:c r="J69" s="35" t="str">
        <x:v>https://www.timeshighereducation.com/world-university-rankings/2026/subject-ranking/engineering</x:v>
      </x:c>
      <x:c r="K69" s="35" t="str">
        <x:v>https://www.timeshighereducation.com/json/ranking_tables/engineering_technology_rankings/2026</x:v>
      </x:c>
      <x:c r="L69" s="35" t="str">
        <x:v>https://en.coe.pku.edu.cn/education/graduate_programs.htm</x:v>
      </x:c>
    </x:row>
    <x:row r="70">
      <x:c r="A70" s="31" t="n">
        <x:v>14</x:v>
      </x:c>
      <x:c r="B70" t="str">
        <x:v>Tsinghua University</x:v>
      </x:c>
      <x:c r="C70" s="32" t="str">
        <x:v>Graduate program in Environmental Science and Engineering</x:v>
      </x:c>
      <x:c r="D70" s="32" t="str">
        <x:v>Engineering</x:v>
      </x:c>
      <x:c r="E70" s="31" t="n">
        <x:v>2022</x:v>
      </x:c>
      <x:c r="F70" s="31" t="str">
        <x:v>17</x:v>
      </x:c>
      <x:c r="G70" s="31" t="str">
        <x:v>85.6</x:v>
      </x:c>
      <x:c r="H70" s="32" t="str">
        <x:v>Ranked in subject table</x:v>
      </x:c>
      <x:c r="I70" s="35" t="str">
        <x:v>https://www.timeshighereducation.com/world-university-rankings/tsinghua-university</x:v>
      </x:c>
      <x:c r="J70" s="35" t="str">
        <x:v>https://www.timeshighereducation.com/world-university-rankings/2022/subject-ranking/engineering</x:v>
      </x:c>
      <x:c r="K70" s="35" t="str">
        <x:v>https://www.timeshighereducation.com/json/ranking_tables/engineering_technology_rankings/2022</x:v>
      </x:c>
      <x:c r="L70" s="35" t="str">
        <x:v>https://www.env.tsinghua.edu.cn/en/education/graduate.htm</x:v>
      </x:c>
    </x:row>
    <x:row r="71">
      <x:c r="A71" s="31" t="n">
        <x:v>14</x:v>
      </x:c>
      <x:c r="B71" t="str">
        <x:v>Tsinghua University</x:v>
      </x:c>
      <x:c r="C71" s="32" t="str">
        <x:v>Graduate program in Environmental Science and Engineering</x:v>
      </x:c>
      <x:c r="D71" s="32" t="str">
        <x:v>Engineering</x:v>
      </x:c>
      <x:c r="E71" s="31" t="n">
        <x:v>2023</x:v>
      </x:c>
      <x:c r="F71" s="31" t="str">
        <x:v>15</x:v>
      </x:c>
      <x:c r="G71" s="31" t="str">
        <x:v>86.7</x:v>
      </x:c>
      <x:c r="H71" s="32" t="str">
        <x:v>Ranked in subject table</x:v>
      </x:c>
      <x:c r="I71" s="35" t="str">
        <x:v>https://www.timeshighereducation.com/world-university-rankings/tsinghua-university</x:v>
      </x:c>
      <x:c r="J71" s="35" t="str">
        <x:v>https://www.timeshighereducation.com/world-university-rankings/2023/subject-ranking/engineering</x:v>
      </x:c>
      <x:c r="K71" s="35" t="str">
        <x:v>https://www.timeshighereducation.com/json/ranking_tables/engineering_technology_rankings/2023</x:v>
      </x:c>
      <x:c r="L71" s="35" t="str">
        <x:v>https://www.env.tsinghua.edu.cn/en/education/graduate.htm</x:v>
      </x:c>
    </x:row>
    <x:row r="72">
      <x:c r="A72" s="31" t="n">
        <x:v>14</x:v>
      </x:c>
      <x:c r="B72" t="str">
        <x:v>Tsinghua University</x:v>
      </x:c>
      <x:c r="C72" s="32" t="str">
        <x:v>Graduate program in Environmental Science and Engineering</x:v>
      </x:c>
      <x:c r="D72" s="32" t="str">
        <x:v>Engineering</x:v>
      </x:c>
      <x:c r="E72" s="31" t="n">
        <x:v>2024</x:v>
      </x:c>
      <x:c r="F72" s="31" t="str">
        <x:v>15</x:v>
      </x:c>
      <x:c r="G72" s="31" t="str">
        <x:v>90.7</x:v>
      </x:c>
      <x:c r="H72" s="32" t="str">
        <x:v>Ranked in subject table</x:v>
      </x:c>
      <x:c r="I72" s="35" t="str">
        <x:v>https://www.timeshighereducation.com/world-university-rankings/tsinghua-university</x:v>
      </x:c>
      <x:c r="J72" s="35" t="str">
        <x:v>https://www.timeshighereducation.com/world-university-rankings/2024/subject-ranking/engineering</x:v>
      </x:c>
      <x:c r="K72" s="35" t="str">
        <x:v>https://www.timeshighereducation.com/json/ranking_tables/engineering_technology_rankings/2024</x:v>
      </x:c>
      <x:c r="L72" s="35" t="str">
        <x:v>https://www.env.tsinghua.edu.cn/en/education/graduate.htm</x:v>
      </x:c>
    </x:row>
    <x:row r="73">
      <x:c r="A73" s="31" t="n">
        <x:v>14</x:v>
      </x:c>
      <x:c r="B73" t="str">
        <x:v>Tsinghua University</x:v>
      </x:c>
      <x:c r="C73" s="32" t="str">
        <x:v>Graduate program in Environmental Science and Engineering</x:v>
      </x:c>
      <x:c r="D73" s="32" t="str">
        <x:v>Engineering</x:v>
      </x:c>
      <x:c r="E73" s="31" t="n">
        <x:v>2025</x:v>
      </x:c>
      <x:c r="F73" s="31" t="str">
        <x:v>13</x:v>
      </x:c>
      <x:c r="G73" s="31" t="str">
        <x:v>91.0</x:v>
      </x:c>
      <x:c r="H73" s="32" t="str">
        <x:v>Ranked in subject table</x:v>
      </x:c>
      <x:c r="I73" s="35" t="str">
        <x:v>https://www.timeshighereducation.com/world-university-rankings/tsinghua-university</x:v>
      </x:c>
      <x:c r="J73" s="35" t="str">
        <x:v>https://www.timeshighereducation.com/world-university-rankings/2025/subject-ranking/engineering</x:v>
      </x:c>
      <x:c r="K73" s="35" t="str">
        <x:v>https://www.timeshighereducation.com/json/ranking_tables/engineering_technology_rankings/2025</x:v>
      </x:c>
      <x:c r="L73" s="35" t="str">
        <x:v>https://www.env.tsinghua.edu.cn/en/education/graduate.htm</x:v>
      </x:c>
    </x:row>
    <x:row r="74">
      <x:c r="A74" s="31" t="n">
        <x:v>14</x:v>
      </x:c>
      <x:c r="B74" t="str">
        <x:v>Tsinghua University</x:v>
      </x:c>
      <x:c r="C74" s="32" t="str">
        <x:v>Graduate program in Environmental Science and Engineering</x:v>
      </x:c>
      <x:c r="D74" s="32" t="str">
        <x:v>Engineering</x:v>
      </x:c>
      <x:c r="E74" s="31" t="n">
        <x:v>2026</x:v>
      </x:c>
      <x:c r="F74" s="31" t="str">
        <x:v>13</x:v>
      </x:c>
      <x:c r="G74" s="31" t="str">
        <x:v>91.5</x:v>
      </x:c>
      <x:c r="H74" s="32" t="str">
        <x:v>Ranked in subject table</x:v>
      </x:c>
      <x:c r="I74" s="35" t="str">
        <x:v>https://www.timeshighereducation.com/world-university-rankings/tsinghua-university</x:v>
      </x:c>
      <x:c r="J74" s="35" t="str">
        <x:v>https://www.timeshighereducation.com/world-university-rankings/2026/subject-ranking/engineering</x:v>
      </x:c>
      <x:c r="K74" s="35" t="str">
        <x:v>https://www.timeshighereducation.com/json/ranking_tables/engineering_technology_rankings/2026</x:v>
      </x:c>
      <x:c r="L74" s="35" t="str">
        <x:v>https://www.env.tsinghua.edu.cn/en/education/graduate.htm</x:v>
      </x:c>
    </x:row>
    <x:row r="75">
      <x:c r="A75" s="31" t="n">
        <x:v>15</x:v>
      </x:c>
      <x:c r="B75" t="str">
        <x:v>University of Pennsylvania</x:v>
      </x:c>
      <x:c r="C75" s="32" t="str">
        <x:v>Master of Environmental Studies</x:v>
      </x:c>
      <x:c r="D75" s="32" t="str">
        <x:v>Physical Sciences</x:v>
      </x:c>
      <x:c r="E75" s="31" t="n">
        <x:v>2022</x:v>
      </x:c>
      <x:c r="F75" s="31" t="str">
        <x:v>34</x:v>
      </x:c>
      <x:c r="G75" s="31" t="str">
        <x:v>75.0</x:v>
      </x:c>
      <x:c r="H75" s="32" t="str">
        <x:v>Ranked in subject table</x:v>
      </x:c>
      <x:c r="I75" s="35" t="str">
        <x:v>https://www.timeshighereducation.com/world-university-rankings/university-pennsylvania</x:v>
      </x:c>
      <x:c r="J75" s="35" t="str">
        <x:v>https://www.timeshighereducation.com/world-university-rankings/2022/subject-ranking/physical-sciences</x:v>
      </x:c>
      <x:c r="K75" s="35" t="str">
        <x:v>https://www.timeshighereducation.com/json/ranking_tables/physical_sciences_rankings/2022</x:v>
      </x:c>
      <x:c r="L75" s="35" t="str">
        <x:v>https://www.lps.upenn.edu/degree-programs/mes</x:v>
      </x:c>
    </x:row>
    <x:row r="76">
      <x:c r="A76" s="31" t="n">
        <x:v>15</x:v>
      </x:c>
      <x:c r="B76" t="str">
        <x:v>University of Pennsylvania</x:v>
      </x:c>
      <x:c r="C76" s="32" t="str">
        <x:v>Master of Environmental Studies</x:v>
      </x:c>
      <x:c r="D76" s="32" t="str">
        <x:v>Physical Sciences</x:v>
      </x:c>
      <x:c r="E76" s="31" t="n">
        <x:v>2023</x:v>
      </x:c>
      <x:c r="F76" s="31" t="str">
        <x:v>29</x:v>
      </x:c>
      <x:c r="G76" s="31" t="str">
        <x:v>76.2</x:v>
      </x:c>
      <x:c r="H76" s="32" t="str">
        <x:v>Ranked in subject table</x:v>
      </x:c>
      <x:c r="I76" s="35" t="str">
        <x:v>https://www.timeshighereducation.com/world-university-rankings/university-pennsylvania</x:v>
      </x:c>
      <x:c r="J76" s="35" t="str">
        <x:v>https://www.timeshighereducation.com/world-university-rankings/2023/subject-ranking/physical-sciences</x:v>
      </x:c>
      <x:c r="K76" s="35" t="str">
        <x:v>https://www.timeshighereducation.com/json/ranking_tables/physical_sciences_rankings/2023</x:v>
      </x:c>
      <x:c r="L76" s="35" t="str">
        <x:v>https://www.lps.upenn.edu/degree-programs/mes</x:v>
      </x:c>
    </x:row>
    <x:row r="77">
      <x:c r="A77" s="31" t="n">
        <x:v>15</x:v>
      </x:c>
      <x:c r="B77" t="str">
        <x:v>University of Pennsylvania</x:v>
      </x:c>
      <x:c r="C77" s="32" t="str">
        <x:v>Master of Environmental Studies</x:v>
      </x:c>
      <x:c r="D77" s="32" t="str">
        <x:v>Physical Sciences</x:v>
      </x:c>
      <x:c r="E77" s="31" t="n">
        <x:v>2024</x:v>
      </x:c>
      <x:c r="F77" s="31" t="str">
        <x:v>28</x:v>
      </x:c>
      <x:c r="G77" s="31" t="str">
        <x:v>80.5</x:v>
      </x:c>
      <x:c r="H77" s="32" t="str">
        <x:v>Ranked in subject table</x:v>
      </x:c>
      <x:c r="I77" s="35" t="str">
        <x:v>https://www.timeshighereducation.com/world-university-rankings/university-pennsylvania</x:v>
      </x:c>
      <x:c r="J77" s="35" t="str">
        <x:v>https://www.timeshighereducation.com/world-university-rankings/2024/subject-ranking/physical-sciences</x:v>
      </x:c>
      <x:c r="K77" s="35" t="str">
        <x:v>https://www.timeshighereducation.com/json/ranking_tables/physical_sciences_rankings/2024</x:v>
      </x:c>
      <x:c r="L77" s="35" t="str">
        <x:v>https://www.lps.upenn.edu/degree-programs/mes</x:v>
      </x:c>
    </x:row>
    <x:row r="78">
      <x:c r="A78" s="31" t="n">
        <x:v>15</x:v>
      </x:c>
      <x:c r="B78" t="str">
        <x:v>University of Pennsylvania</x:v>
      </x:c>
      <x:c r="C78" s="32" t="str">
        <x:v>Master of Environmental Studies</x:v>
      </x:c>
      <x:c r="D78" s="32" t="str">
        <x:v>Physical Sciences</x:v>
      </x:c>
      <x:c r="E78" s="31" t="n">
        <x:v>2025</x:v>
      </x:c>
      <x:c r="F78" s="31" t="n">
        <x:f>28</x:f>
        <x:v>28</x:v>
      </x:c>
      <x:c r="G78" s="31" t="str">
        <x:v>80.3</x:v>
      </x:c>
      <x:c r="H78" s="32" t="str">
        <x:v>Ranked in subject table</x:v>
      </x:c>
      <x:c r="I78" s="35" t="str">
        <x:v>https://www.timeshighereducation.com/world-university-rankings/university-pennsylvania</x:v>
      </x:c>
      <x:c r="J78" s="35" t="str">
        <x:v>https://www.timeshighereducation.com/world-university-rankings/2025/subject-ranking/physical-sciences</x:v>
      </x:c>
      <x:c r="K78" s="35" t="str">
        <x:v>https://www.timeshighereducation.com/json/ranking_tables/physical_sciences_rankings/2025</x:v>
      </x:c>
      <x:c r="L78" s="35" t="str">
        <x:v>https://www.lps.upenn.edu/degree-programs/mes</x:v>
      </x:c>
    </x:row>
    <x:row r="79">
      <x:c r="A79" s="31" t="n">
        <x:v>15</x:v>
      </x:c>
      <x:c r="B79" t="str">
        <x:v>University of Pennsylvania</x:v>
      </x:c>
      <x:c r="C79" s="32" t="str">
        <x:v>Master of Environmental Studies</x:v>
      </x:c>
      <x:c r="D79" s="32" t="str">
        <x:v>Physical Sciences</x:v>
      </x:c>
      <x:c r="E79" s="31" t="n">
        <x:v>2026</x:v>
      </x:c>
      <x:c r="F79" s="31" t="str">
        <x:v>31</x:v>
      </x:c>
      <x:c r="G79" s="31" t="str">
        <x:v>80.2</x:v>
      </x:c>
      <x:c r="H79" s="32" t="str">
        <x:v>Ranked in subject table</x:v>
      </x:c>
      <x:c r="I79" s="35" t="str">
        <x:v>https://www.timeshighereducation.com/world-university-rankings/university-pennsylvania</x:v>
      </x:c>
      <x:c r="J79" s="35" t="str">
        <x:v>https://www.timeshighereducation.com/world-university-rankings/2026/subject-ranking/physical-sciences</x:v>
      </x:c>
      <x:c r="K79" s="35" t="str">
        <x:v>https://www.timeshighereducation.com/json/ranking_tables/physical_sciences_rankings/2026</x:v>
      </x:c>
      <x:c r="L79" s="35" t="str">
        <x:v>https://www.lps.upenn.edu/degree-programs/mes</x:v>
      </x:c>
    </x:row>
    <x:row r="80">
      <x:c r="A80" s="31" t="n">
        <x:v>16</x:v>
      </x:c>
      <x:c r="B80" t="str">
        <x:v>Cornell University</x:v>
      </x:c>
      <x:c r="C80" s="32" t="str">
        <x:v>MPS in Global Development</x:v>
      </x:c>
      <x:c r="D80" s="32" t="str">
        <x:v>Social Sciences</x:v>
      </x:c>
      <x:c r="E80" s="31" t="n">
        <x:v>2022</x:v>
      </x:c>
      <x:c r="F80" s="31" t="str">
        <x:v>21</x:v>
      </x:c>
      <x:c r="G80" s="31" t="str">
        <x:v>75.9</x:v>
      </x:c>
      <x:c r="H80" s="32" t="str">
        <x:v>Ranked in subject table</x:v>
      </x:c>
      <x:c r="I80" s="35" t="str">
        <x:v>https://www.timeshighereducation.com/world-university-rankings/cornell-university</x:v>
      </x:c>
      <x:c r="J80" s="35" t="str">
        <x:v>https://www.timeshighereducation.com/world-university-rankings/2022/subject-ranking/social-sciences</x:v>
      </x:c>
      <x:c r="K80" s="35" t="str">
        <x:v>https://www.timeshighereducation.com/json/ranking_tables/social_sciences_rankings/2022</x:v>
      </x:c>
      <x:c r="L80" s="35" t="str">
        <x:v>https://cals.cornell.edu/global-development/degrees-programs/graduate/mps-global-development</x:v>
      </x:c>
    </x:row>
    <x:row r="81">
      <x:c r="A81" s="31" t="n">
        <x:v>16</x:v>
      </x:c>
      <x:c r="B81" t="str">
        <x:v>Cornell University</x:v>
      </x:c>
      <x:c r="C81" s="32" t="str">
        <x:v>MPS in Global Development</x:v>
      </x:c>
      <x:c r="D81" s="32" t="str">
        <x:v>Social Sciences</x:v>
      </x:c>
      <x:c r="E81" s="31" t="n">
        <x:v>2023</x:v>
      </x:c>
      <x:c r="F81" s="31" t="str">
        <x:v>20</x:v>
      </x:c>
      <x:c r="G81" s="31" t="str">
        <x:v>77.0</x:v>
      </x:c>
      <x:c r="H81" s="32" t="str">
        <x:v>Ranked in subject table</x:v>
      </x:c>
      <x:c r="I81" s="35" t="str">
        <x:v>https://www.timeshighereducation.com/world-university-rankings/cornell-university</x:v>
      </x:c>
      <x:c r="J81" s="35" t="str">
        <x:v>https://www.timeshighereducation.com/world-university-rankings/2023/subject-ranking/social-sciences</x:v>
      </x:c>
      <x:c r="K81" s="35" t="str">
        <x:v>https://www.timeshighereducation.com/json/ranking_tables/social_sciences_rankings/2023</x:v>
      </x:c>
      <x:c r="L81" s="35" t="str">
        <x:v>https://cals.cornell.edu/global-development/degrees-programs/graduate/mps-global-development</x:v>
      </x:c>
    </x:row>
    <x:row r="82">
      <x:c r="A82" s="31" t="n">
        <x:v>16</x:v>
      </x:c>
      <x:c r="B82" t="str">
        <x:v>Cornell University</x:v>
      </x:c>
      <x:c r="C82" s="32" t="str">
        <x:v>MPS in Global Development</x:v>
      </x:c>
      <x:c r="D82" s="32" t="str">
        <x:v>Social Sciences</x:v>
      </x:c>
      <x:c r="E82" s="31" t="n">
        <x:v>2024</x:v>
      </x:c>
      <x:c r="F82" s="31" t="str">
        <x:v>20</x:v>
      </x:c>
      <x:c r="G82" s="31" t="str">
        <x:v>81.1</x:v>
      </x:c>
      <x:c r="H82" s="32" t="str">
        <x:v>Ranked in subject table</x:v>
      </x:c>
      <x:c r="I82" s="35" t="str">
        <x:v>https://www.timeshighereducation.com/world-university-rankings/cornell-university</x:v>
      </x:c>
      <x:c r="J82" s="35" t="str">
        <x:v>https://www.timeshighereducation.com/world-university-rankings/2024/subject-ranking/social-sciences</x:v>
      </x:c>
      <x:c r="K82" s="35" t="str">
        <x:v>https://www.timeshighereducation.com/json/ranking_tables/social_sciences_rankings/2024</x:v>
      </x:c>
      <x:c r="L82" s="35" t="str">
        <x:v>https://cals.cornell.edu/global-development/degrees-programs/graduate/mps-global-development</x:v>
      </x:c>
    </x:row>
    <x:row r="83">
      <x:c r="A83" s="31" t="n">
        <x:v>16</x:v>
      </x:c>
      <x:c r="B83" t="str">
        <x:v>Cornell University</x:v>
      </x:c>
      <x:c r="C83" s="32" t="str">
        <x:v>MPS in Global Development</x:v>
      </x:c>
      <x:c r="D83" s="32" t="str">
        <x:v>Social Sciences</x:v>
      </x:c>
      <x:c r="E83" s="31" t="n">
        <x:v>2025</x:v>
      </x:c>
      <x:c r="F83" s="31" t="str">
        <x:v>19</x:v>
      </x:c>
      <x:c r="G83" s="31" t="str">
        <x:v>79.5</x:v>
      </x:c>
      <x:c r="H83" s="32" t="str">
        <x:v>Ranked in subject table</x:v>
      </x:c>
      <x:c r="I83" s="35" t="str">
        <x:v>https://www.timeshighereducation.com/world-university-rankings/cornell-university</x:v>
      </x:c>
      <x:c r="J83" s="35" t="str">
        <x:v>https://www.timeshighereducation.com/world-university-rankings/2025/subject-ranking/social-sciences</x:v>
      </x:c>
      <x:c r="K83" s="35" t="str">
        <x:v>https://www.timeshighereducation.com/json/ranking_tables/social_sciences_rankings/2025</x:v>
      </x:c>
      <x:c r="L83" s="35" t="str">
        <x:v>https://cals.cornell.edu/global-development/degrees-programs/graduate/mps-global-development</x:v>
      </x:c>
    </x:row>
    <x:row r="84">
      <x:c r="A84" s="31" t="n">
        <x:v>16</x:v>
      </x:c>
      <x:c r="B84" t="str">
        <x:v>Cornell University</x:v>
      </x:c>
      <x:c r="C84" s="32" t="str">
        <x:v>MPS in Global Development</x:v>
      </x:c>
      <x:c r="D84" s="32" t="str">
        <x:v>Social Sciences</x:v>
      </x:c>
      <x:c r="E84" s="31" t="n">
        <x:v>2026</x:v>
      </x:c>
      <x:c r="F84" s="31" t="str">
        <x:v>19</x:v>
      </x:c>
      <x:c r="G84" s="31" t="str">
        <x:v>80.6</x:v>
      </x:c>
      <x:c r="H84" s="32" t="str">
        <x:v>Ranked in subject table</x:v>
      </x:c>
      <x:c r="I84" s="35" t="str">
        <x:v>https://www.timeshighereducation.com/world-university-rankings/cornell-university</x:v>
      </x:c>
      <x:c r="J84" s="35" t="str">
        <x:v>https://www.timeshighereducation.com/world-university-rankings/2026/subject-ranking/social-sciences</x:v>
      </x:c>
      <x:c r="K84" s="35" t="str">
        <x:v>https://www.timeshighereducation.com/json/ranking_tables/social_sciences_rankings/2026</x:v>
      </x:c>
      <x:c r="L84" s="35" t="str">
        <x:v>https://cals.cornell.edu/global-development/degrees-programs/graduate/mps-global-development</x:v>
      </x:c>
    </x:row>
    <x:row r="85">
      <x:c r="A85" s="31" t="n">
        <x:v>17</x:v>
      </x:c>
      <x:c r="B85" t="str">
        <x:v>Yale University</x:v>
      </x:c>
      <x:c r="C85" s="32" t="str">
        <x:v>Master of Environmental Management</x:v>
      </x:c>
      <x:c r="D85" s="32" t="str">
        <x:v>Physical Sciences</x:v>
      </x:c>
      <x:c r="E85" s="31" t="n">
        <x:v>2022</x:v>
      </x:c>
      <x:c r="F85" s="31" t="str">
        <x:v>10</x:v>
      </x:c>
      <x:c r="G85" s="31" t="str">
        <x:v>89.1</x:v>
      </x:c>
      <x:c r="H85" s="32" t="str">
        <x:v>Ranked in subject table</x:v>
      </x:c>
      <x:c r="I85" s="35" t="str">
        <x:v>https://www.timeshighereducation.com/world-university-rankings/yale-university</x:v>
      </x:c>
      <x:c r="J85" s="35" t="str">
        <x:v>https://www.timeshighereducation.com/world-university-rankings/2022/subject-ranking/physical-sciences</x:v>
      </x:c>
      <x:c r="K85" s="35" t="str">
        <x:v>https://www.timeshighereducation.com/json/ranking_tables/physical_sciences_rankings/2022</x:v>
      </x:c>
      <x:c r="L85" s="35" t="str">
        <x:v>https://environment.yale.edu/academics/masters/mem</x:v>
      </x:c>
    </x:row>
    <x:row r="86">
      <x:c r="A86" s="31" t="n">
        <x:v>17</x:v>
      </x:c>
      <x:c r="B86" t="str">
        <x:v>Yale University</x:v>
      </x:c>
      <x:c r="C86" s="32" t="str">
        <x:v>Master of Environmental Management</x:v>
      </x:c>
      <x:c r="D86" s="32" t="str">
        <x:v>Physical Sciences</x:v>
      </x:c>
      <x:c r="E86" s="31" t="n">
        <x:v>2023</x:v>
      </x:c>
      <x:c r="F86" s="31" t="str">
        <x:v>12</x:v>
      </x:c>
      <x:c r="G86" s="31" t="str">
        <x:v>88.4</x:v>
      </x:c>
      <x:c r="H86" s="32" t="str">
        <x:v>Ranked in subject table</x:v>
      </x:c>
      <x:c r="I86" s="35" t="str">
        <x:v>https://www.timeshighereducation.com/world-university-rankings/yale-university</x:v>
      </x:c>
      <x:c r="J86" s="35" t="str">
        <x:v>https://www.timeshighereducation.com/world-university-rankings/2023/subject-ranking/physical-sciences</x:v>
      </x:c>
      <x:c r="K86" s="35" t="str">
        <x:v>https://www.timeshighereducation.com/json/ranking_tables/physical_sciences_rankings/2023</x:v>
      </x:c>
      <x:c r="L86" s="35" t="str">
        <x:v>https://environment.yale.edu/academics/masters/mem</x:v>
      </x:c>
    </x:row>
    <x:row r="87">
      <x:c r="A87" s="31" t="n">
        <x:v>17</x:v>
      </x:c>
      <x:c r="B87" t="str">
        <x:v>Yale University</x:v>
      </x:c>
      <x:c r="C87" s="32" t="str">
        <x:v>Master of Environmental Management</x:v>
      </x:c>
      <x:c r="D87" s="32" t="str">
        <x:v>Physical Sciences</x:v>
      </x:c>
      <x:c r="E87" s="31" t="n">
        <x:v>2024</x:v>
      </x:c>
      <x:c r="F87" s="31" t="str">
        <x:v>10</x:v>
      </x:c>
      <x:c r="G87" s="31" t="str">
        <x:v>91.4</x:v>
      </x:c>
      <x:c r="H87" s="32" t="str">
        <x:v>Ranked in subject table</x:v>
      </x:c>
      <x:c r="I87" s="35" t="str">
        <x:v>https://www.timeshighereducation.com/world-university-rankings/yale-university</x:v>
      </x:c>
      <x:c r="J87" s="35" t="str">
        <x:v>https://www.timeshighereducation.com/world-university-rankings/2024/subject-ranking/physical-sciences</x:v>
      </x:c>
      <x:c r="K87" s="35" t="str">
        <x:v>https://www.timeshighereducation.com/json/ranking_tables/physical_sciences_rankings/2024</x:v>
      </x:c>
      <x:c r="L87" s="35" t="str">
        <x:v>https://environment.yale.edu/academics/masters/mem</x:v>
      </x:c>
    </x:row>
    <x:row r="88">
      <x:c r="A88" s="31" t="n">
        <x:v>17</x:v>
      </x:c>
      <x:c r="B88" t="str">
        <x:v>Yale University</x:v>
      </x:c>
      <x:c r="C88" s="32" t="str">
        <x:v>Master of Environmental Management</x:v>
      </x:c>
      <x:c r="D88" s="32" t="str">
        <x:v>Physical Sciences</x:v>
      </x:c>
      <x:c r="E88" s="31" t="n">
        <x:v>2025</x:v>
      </x:c>
      <x:c r="F88" s="31" t="n">
        <x:f>12</x:f>
        <x:v>12</x:v>
      </x:c>
      <x:c r="G88" s="31" t="str">
        <x:v>90.2</x:v>
      </x:c>
      <x:c r="H88" s="32" t="str">
        <x:v>Ranked in subject table</x:v>
      </x:c>
      <x:c r="I88" s="35" t="str">
        <x:v>https://www.timeshighereducation.com/world-university-rankings/yale-university</x:v>
      </x:c>
      <x:c r="J88" s="35" t="str">
        <x:v>https://www.timeshighereducation.com/world-university-rankings/2025/subject-ranking/physical-sciences</x:v>
      </x:c>
      <x:c r="K88" s="35" t="str">
        <x:v>https://www.timeshighereducation.com/json/ranking_tables/physical_sciences_rankings/2025</x:v>
      </x:c>
      <x:c r="L88" s="35" t="str">
        <x:v>https://environment.yale.edu/academics/masters/mem</x:v>
      </x:c>
    </x:row>
    <x:row r="89">
      <x:c r="A89" s="31" t="n">
        <x:v>17</x:v>
      </x:c>
      <x:c r="B89" t="str">
        <x:v>Yale University</x:v>
      </x:c>
      <x:c r="C89" s="32" t="str">
        <x:v>Master of Environmental Management</x:v>
      </x:c>
      <x:c r="D89" s="32" t="str">
        <x:v>Physical Sciences</x:v>
      </x:c>
      <x:c r="E89" s="31" t="n">
        <x:v>2026</x:v>
      </x:c>
      <x:c r="F89" s="31" t="str">
        <x:v>14</x:v>
      </x:c>
      <x:c r="G89" s="31" t="str">
        <x:v>90.3</x:v>
      </x:c>
      <x:c r="H89" s="32" t="str">
        <x:v>Ranked in subject table</x:v>
      </x:c>
      <x:c r="I89" s="35" t="str">
        <x:v>https://www.timeshighereducation.com/world-university-rankings/yale-university</x:v>
      </x:c>
      <x:c r="J89" s="35" t="str">
        <x:v>https://www.timeshighereducation.com/world-university-rankings/2026/subject-ranking/physical-sciences</x:v>
      </x:c>
      <x:c r="K89" s="35" t="str">
        <x:v>https://www.timeshighereducation.com/json/ranking_tables/physical_sciences_rankings/2026</x:v>
      </x:c>
      <x:c r="L89" s="35" t="str">
        <x:v>https://environment.yale.edu/academics/masters/mem</x:v>
      </x:c>
    </x:row>
    <x:row r="90">
      <x:c r="A90" s="31" t="n">
        <x:v>18</x:v>
      </x:c>
      <x:c r="B90" t="str">
        <x:v>The Chinese University of Hong Kong (CUHK)</x:v>
      </x:c>
      <x:c r="C90" s="32" t="str">
        <x:v>MSc in Sustainable Global Business</x:v>
      </x:c>
      <x:c r="D90" s="32" t="str">
        <x:v>Business and Economics</x:v>
      </x:c>
      <x:c r="E90" s="31" t="n">
        <x:v>2022</x:v>
      </x:c>
      <x:c r="F90" s="31" t="str">
        <x:v>58</x:v>
      </x:c>
      <x:c r="G90" s="31" t="str">
        <x:v>59.1</x:v>
      </x:c>
      <x:c r="H90" s="32" t="str">
        <x:v>Ranked in subject table</x:v>
      </x:c>
      <x:c r="I90" s="35" t="str">
        <x:v>https://www.timeshighereducation.com/world-university-rankings/chinese-university-hong-kong</x:v>
      </x:c>
      <x:c r="J90" s="35" t="str">
        <x:v>https://www.timeshighereducation.com/world-university-rankings/2022/subject-ranking/business-and-economics</x:v>
      </x:c>
      <x:c r="K90" s="35" t="str">
        <x:v>https://www.timeshighereducation.com/json/ranking_tables/business_economics_rankings/2022</x:v>
      </x:c>
      <x:c r="L90" s="35" t="str">
        <x:v>https://masters.bschool.cuhk.edu.hk/programmes/msc-in-sustainable-global-business/</x:v>
      </x:c>
    </x:row>
    <x:row r="91">
      <x:c r="A91" s="31" t="n">
        <x:v>18</x:v>
      </x:c>
      <x:c r="B91" t="str">
        <x:v>The Chinese University of Hong Kong (CUHK)</x:v>
      </x:c>
      <x:c r="C91" s="32" t="str">
        <x:v>MSc in Sustainable Global Business</x:v>
      </x:c>
      <x:c r="D91" s="32" t="str">
        <x:v>Business and Economics</x:v>
      </x:c>
      <x:c r="E91" s="31" t="n">
        <x:v>2023</x:v>
      </x:c>
      <x:c r="F91" s="31" t="str">
        <x:v>60</x:v>
      </x:c>
      <x:c r="G91" s="31" t="str">
        <x:v>58.2</x:v>
      </x:c>
      <x:c r="H91" s="32" t="str">
        <x:v>Ranked in subject table</x:v>
      </x:c>
      <x:c r="I91" s="35" t="str">
        <x:v>https://www.timeshighereducation.com/world-university-rankings/chinese-university-hong-kong</x:v>
      </x:c>
      <x:c r="J91" s="35" t="str">
        <x:v>https://www.timeshighereducation.com/world-university-rankings/2023/subject-ranking/business-and-economics</x:v>
      </x:c>
      <x:c r="K91" s="35" t="str">
        <x:v>https://www.timeshighereducation.com/json/ranking_tables/business_economics_rankings/2023</x:v>
      </x:c>
      <x:c r="L91" s="35" t="str">
        <x:v>https://masters.bschool.cuhk.edu.hk/programmes/msc-in-sustainable-global-business/</x:v>
      </x:c>
    </x:row>
    <x:row r="92">
      <x:c r="A92" s="31" t="n">
        <x:v>18</x:v>
      </x:c>
      <x:c r="B92" t="str">
        <x:v>The Chinese University of Hong Kong (CUHK)</x:v>
      </x:c>
      <x:c r="C92" s="32" t="str">
        <x:v>MSc in Sustainable Global Business</x:v>
      </x:c>
      <x:c r="D92" s="32" t="str">
        <x:v>Business and Economics</x:v>
      </x:c>
      <x:c r="E92" s="31" t="n">
        <x:v>2024</x:v>
      </x:c>
      <x:c r="F92" s="31" t="n">
        <x:f>57</x:f>
        <x:v>57</x:v>
      </x:c>
      <x:c r="G92" s="31" t="str">
        <x:v>62.6</x:v>
      </x:c>
      <x:c r="H92" s="32" t="str">
        <x:v>Ranked in subject table</x:v>
      </x:c>
      <x:c r="I92" s="35" t="str">
        <x:v>https://www.timeshighereducation.com/world-university-rankings/chinese-university-hong-kong</x:v>
      </x:c>
      <x:c r="J92" s="35" t="str">
        <x:v>https://www.timeshighereducation.com/world-university-rankings/2024/subject-ranking/business-and-economics</x:v>
      </x:c>
      <x:c r="K92" s="35" t="str">
        <x:v>https://www.timeshighereducation.com/json/ranking_tables/business_economics_rankings/2024</x:v>
      </x:c>
      <x:c r="L92" s="35" t="str">
        <x:v>https://masters.bschool.cuhk.edu.hk/programmes/msc-in-sustainable-global-business/</x:v>
      </x:c>
    </x:row>
    <x:row r="93">
      <x:c r="A93" s="31" t="n">
        <x:v>18</x:v>
      </x:c>
      <x:c r="B93" t="str">
        <x:v>The Chinese University of Hong Kong (CUHK)</x:v>
      </x:c>
      <x:c r="C93" s="32" t="str">
        <x:v>MSc in Sustainable Global Business</x:v>
      </x:c>
      <x:c r="D93" s="32" t="str">
        <x:v>Business and Economics</x:v>
      </x:c>
      <x:c r="E93" s="31" t="n">
        <x:v>2025</x:v>
      </x:c>
      <x:c r="F93" s="31" t="str">
        <x:v>47</x:v>
      </x:c>
      <x:c r="G93" s="31" t="str">
        <x:v>64.7</x:v>
      </x:c>
      <x:c r="H93" s="32" t="str">
        <x:v>Ranked in subject table</x:v>
      </x:c>
      <x:c r="I93" s="35" t="str">
        <x:v>https://www.timeshighereducation.com/world-university-rankings/chinese-university-hong-kong</x:v>
      </x:c>
      <x:c r="J93" s="35" t="str">
        <x:v>https://www.timeshighereducation.com/world-university-rankings/2025/subject-ranking/business-and-economics</x:v>
      </x:c>
      <x:c r="K93" s="35" t="str">
        <x:v>https://www.timeshighereducation.com/json/ranking_tables/business_economics_rankings/2025</x:v>
      </x:c>
      <x:c r="L93" s="35" t="str">
        <x:v>https://masters.bschool.cuhk.edu.hk/programmes/msc-in-sustainable-global-business/</x:v>
      </x:c>
    </x:row>
    <x:row r="94">
      <x:c r="A94" s="31" t="n">
        <x:v>18</x:v>
      </x:c>
      <x:c r="B94" t="str">
        <x:v>The Chinese University of Hong Kong (CUHK)</x:v>
      </x:c>
      <x:c r="C94" s="32" t="str">
        <x:v>MSc in Sustainable Global Business</x:v>
      </x:c>
      <x:c r="D94" s="32" t="str">
        <x:v>Business and Economics</x:v>
      </x:c>
      <x:c r="E94" s="31" t="n">
        <x:v>2026</x:v>
      </x:c>
      <x:c r="F94" s="31" t="str">
        <x:v>42</x:v>
      </x:c>
      <x:c r="G94" s="31" t="str">
        <x:v>67.8</x:v>
      </x:c>
      <x:c r="H94" s="32" t="str">
        <x:v>Ranked in subject table</x:v>
      </x:c>
      <x:c r="I94" s="35" t="str">
        <x:v>https://www.timeshighereducation.com/world-university-rankings/chinese-university-hong-kong</x:v>
      </x:c>
      <x:c r="J94" s="35" t="str">
        <x:v>https://www.timeshighereducation.com/world-university-rankings/2026/subject-ranking/business-and-economics</x:v>
      </x:c>
      <x:c r="K94" s="35" t="str">
        <x:v>https://www.timeshighereducation.com/json/ranking_tables/business_economics_rankings/2026</x:v>
      </x:c>
      <x:c r="L94" s="35" t="str">
        <x:v>https://masters.bschool.cuhk.edu.hk/programmes/msc-in-sustainable-global-business/</x:v>
      </x:c>
    </x:row>
    <x:row r="95">
      <x:c r="A95" s="31" t="n">
        <x:v>19</x:v>
      </x:c>
      <x:c r="B95" t="str">
        <x:v>Johns Hopkins University</x:v>
      </x:c>
      <x:c r="C95" s="32" t="str">
        <x:v>MS in Energy Policy and Climate</x:v>
      </x:c>
      <x:c r="D95" s="32" t="str">
        <x:v>Social Sciences</x:v>
      </x:c>
      <x:c r="E95" s="31" t="n">
        <x:v>2022</x:v>
      </x:c>
      <x:c r="F95" s="31" t="str">
        <x:v>29</x:v>
      </x:c>
      <x:c r="G95" s="31" t="str">
        <x:v>72.3</x:v>
      </x:c>
      <x:c r="H95" s="32" t="str">
        <x:v>Ranked in subject table</x:v>
      </x:c>
      <x:c r="I95" s="35" t="str">
        <x:v>https://www.timeshighereducation.com/world-university-rankings/johns-hopkins-university</x:v>
      </x:c>
      <x:c r="J95" s="35" t="str">
        <x:v>https://www.timeshighereducation.com/world-university-rankings/2022/subject-ranking/social-sciences</x:v>
      </x:c>
      <x:c r="K95" s="35" t="str">
        <x:v>https://www.timeshighereducation.com/json/ranking_tables/social_sciences_rankings/2022</x:v>
      </x:c>
      <x:c r="L95" s="35" t="str">
        <x:v>https://advanced.jhu.edu/academics/graduate/ms-energy-policy-climate/</x:v>
      </x:c>
    </x:row>
    <x:row r="96">
      <x:c r="A96" s="31" t="n">
        <x:v>19</x:v>
      </x:c>
      <x:c r="B96" t="str">
        <x:v>Johns Hopkins University</x:v>
      </x:c>
      <x:c r="C96" s="32" t="str">
        <x:v>MS in Energy Policy and Climate</x:v>
      </x:c>
      <x:c r="D96" s="32" t="str">
        <x:v>Social Sciences</x:v>
      </x:c>
      <x:c r="E96" s="31" t="n">
        <x:v>2023</x:v>
      </x:c>
      <x:c r="F96" s="31" t="n">
        <x:f>23</x:f>
        <x:v>23</x:v>
      </x:c>
      <x:c r="G96" s="31" t="str">
        <x:v>75.8</x:v>
      </x:c>
      <x:c r="H96" s="32" t="str">
        <x:v>Ranked in subject table</x:v>
      </x:c>
      <x:c r="I96" s="35" t="str">
        <x:v>https://www.timeshighereducation.com/world-university-rankings/johns-hopkins-university</x:v>
      </x:c>
      <x:c r="J96" s="35" t="str">
        <x:v>https://www.timeshighereducation.com/world-university-rankings/2023/subject-ranking/social-sciences</x:v>
      </x:c>
      <x:c r="K96" s="35" t="str">
        <x:v>https://www.timeshighereducation.com/json/ranking_tables/social_sciences_rankings/2023</x:v>
      </x:c>
      <x:c r="L96" s="35" t="str">
        <x:v>https://advanced.jhu.edu/academics/graduate/ms-energy-policy-climate/</x:v>
      </x:c>
    </x:row>
    <x:row r="97">
      <x:c r="A97" s="31" t="n">
        <x:v>19</x:v>
      </x:c>
      <x:c r="B97" t="str">
        <x:v>Johns Hopkins University</x:v>
      </x:c>
      <x:c r="C97" s="32" t="str">
        <x:v>MS in Energy Policy and Climate</x:v>
      </x:c>
      <x:c r="D97" s="32" t="str">
        <x:v>Social Sciences</x:v>
      </x:c>
      <x:c r="E97" s="31" t="n">
        <x:v>2024</x:v>
      </x:c>
      <x:c r="F97" s="31" t="n">
        <x:f>18</x:f>
        <x:v>18</x:v>
      </x:c>
      <x:c r="G97" s="31" t="str">
        <x:v>81.4</x:v>
      </x:c>
      <x:c r="H97" s="32" t="str">
        <x:v>Ranked in subject table</x:v>
      </x:c>
      <x:c r="I97" s="35" t="str">
        <x:v>https://www.timeshighereducation.com/world-university-rankings/johns-hopkins-university</x:v>
      </x:c>
      <x:c r="J97" s="35" t="str">
        <x:v>https://www.timeshighereducation.com/world-university-rankings/2024/subject-ranking/social-sciences</x:v>
      </x:c>
      <x:c r="K97" s="35" t="str">
        <x:v>https://www.timeshighereducation.com/json/ranking_tables/social_sciences_rankings/2024</x:v>
      </x:c>
      <x:c r="L97" s="35" t="str">
        <x:v>https://advanced.jhu.edu/academics/graduate/ms-energy-policy-climate/</x:v>
      </x:c>
    </x:row>
    <x:row r="98">
      <x:c r="A98" s="31" t="n">
        <x:v>19</x:v>
      </x:c>
      <x:c r="B98" t="str">
        <x:v>Johns Hopkins University</x:v>
      </x:c>
      <x:c r="C98" s="32" t="str">
        <x:v>MS in Energy Policy and Climate</x:v>
      </x:c>
      <x:c r="D98" s="32" t="str">
        <x:v>Social Sciences</x:v>
      </x:c>
      <x:c r="E98" s="31" t="n">
        <x:v>2025</x:v>
      </x:c>
      <x:c r="F98" s="31" t="n">
        <x:f>25</x:f>
        <x:v>25</x:v>
      </x:c>
      <x:c r="G98" s="31" t="str">
        <x:v>76.4</x:v>
      </x:c>
      <x:c r="H98" s="32" t="str">
        <x:v>Ranked in subject table</x:v>
      </x:c>
      <x:c r="I98" s="35" t="str">
        <x:v>https://www.timeshighereducation.com/world-university-rankings/johns-hopkins-university</x:v>
      </x:c>
      <x:c r="J98" s="35" t="str">
        <x:v>https://www.timeshighereducation.com/world-university-rankings/2025/subject-ranking/social-sciences</x:v>
      </x:c>
      <x:c r="K98" s="35" t="str">
        <x:v>https://www.timeshighereducation.com/json/ranking_tables/social_sciences_rankings/2025</x:v>
      </x:c>
      <x:c r="L98" s="35" t="str">
        <x:v>https://advanced.jhu.edu/academics/graduate/ms-energy-policy-climate/</x:v>
      </x:c>
    </x:row>
    <x:row r="99">
      <x:c r="A99" s="31" t="n">
        <x:v>19</x:v>
      </x:c>
      <x:c r="B99" t="str">
        <x:v>Johns Hopkins University</x:v>
      </x:c>
      <x:c r="C99" s="32" t="str">
        <x:v>MS in Energy Policy and Climate</x:v>
      </x:c>
      <x:c r="D99" s="32" t="str">
        <x:v>Social Sciences</x:v>
      </x:c>
      <x:c r="E99" s="31" t="n">
        <x:v>2026</x:v>
      </x:c>
      <x:c r="F99" s="31" t="str">
        <x:v>23</x:v>
      </x:c>
      <x:c r="G99" s="31" t="str">
        <x:v>78.2</x:v>
      </x:c>
      <x:c r="H99" s="32" t="str">
        <x:v>Ranked in subject table</x:v>
      </x:c>
      <x:c r="I99" s="35" t="str">
        <x:v>https://www.timeshighereducation.com/world-university-rankings/johns-hopkins-university</x:v>
      </x:c>
      <x:c r="J99" s="35" t="str">
        <x:v>https://www.timeshighereducation.com/world-university-rankings/2026/subject-ranking/social-sciences</x:v>
      </x:c>
      <x:c r="K99" s="35" t="str">
        <x:v>https://www.timeshighereducation.com/json/ranking_tables/social_sciences_rankings/2026</x:v>
      </x:c>
      <x:c r="L99" s="35" t="str">
        <x:v>https://advanced.jhu.edu/academics/graduate/ms-energy-policy-climate/</x:v>
      </x:c>
    </x:row>
    <x:row r="100">
      <x:c r="A100" s="31" t="n">
        <x:v>20</x:v>
      </x:c>
      <x:c r="B100" t="str">
        <x:v>University of California, Berkeley (UCB)</x:v>
      </x:c>
      <x:c r="C100" s="32" t="str">
        <x:v>Master of Climate Solutions</x:v>
      </x:c>
      <x:c r="D100" s="32" t="str">
        <x:v>Physical Sciences</x:v>
      </x:c>
      <x:c r="E100" s="31" t="n">
        <x:v>2022</x:v>
      </x:c>
      <x:c r="F100" s="31" t="str">
        <x:v>1</x:v>
      </x:c>
      <x:c r="G100" s="31" t="str">
        <x:v>95.4</x:v>
      </x:c>
      <x:c r="H100" s="32" t="str">
        <x:v>Ranked in subject table</x:v>
      </x:c>
      <x:c r="I100" s="35" t="str">
        <x:v>https://www.timeshighereducation.com/world-university-rankings/university-california-berkeley</x:v>
      </x:c>
      <x:c r="J100" s="35" t="str">
        <x:v>https://www.timeshighereducation.com/world-university-rankings/2022/subject-ranking/physical-sciences</x:v>
      </x:c>
      <x:c r="K100" s="35" t="str">
        <x:v>https://www.timeshighereducation.com/json/ranking_tables/physical_sciences_rankings/2022</x:v>
      </x:c>
      <x:c r="L100" s="35" t="str">
        <x:v>https://climatesolutions.berkeley.edu/</x:v>
      </x:c>
    </x:row>
    <x:row r="101">
      <x:c r="A101" s="31" t="n">
        <x:v>20</x:v>
      </x:c>
      <x:c r="B101" t="str">
        <x:v>University of California, Berkeley (UCB)</x:v>
      </x:c>
      <x:c r="C101" s="32" t="str">
        <x:v>Master of Climate Solutions</x:v>
      </x:c>
      <x:c r="D101" s="32" t="str">
        <x:v>Physical Sciences</x:v>
      </x:c>
      <x:c r="E101" s="31" t="n">
        <x:v>2023</x:v>
      </x:c>
      <x:c r="F101" s="31" t="n">
        <x:f>2</x:f>
        <x:v>2</x:v>
      </x:c>
      <x:c r="G101" s="31" t="str">
        <x:v>94.8</x:v>
      </x:c>
      <x:c r="H101" s="32" t="str">
        <x:v>Ranked in subject table</x:v>
      </x:c>
      <x:c r="I101" s="35" t="str">
        <x:v>https://www.timeshighereducation.com/world-university-rankings/university-california-berkeley</x:v>
      </x:c>
      <x:c r="J101" s="35" t="str">
        <x:v>https://www.timeshighereducation.com/world-university-rankings/2023/subject-ranking/physical-sciences</x:v>
      </x:c>
      <x:c r="K101" s="35" t="str">
        <x:v>https://www.timeshighereducation.com/json/ranking_tables/physical_sciences_rankings/2023</x:v>
      </x:c>
      <x:c r="L101" s="35" t="str">
        <x:v>https://climatesolutions.berkeley.edu/</x:v>
      </x:c>
    </x:row>
    <x:row r="102">
      <x:c r="A102" s="31" t="n">
        <x:v>20</x:v>
      </x:c>
      <x:c r="B102" t="str">
        <x:v>University of California, Berkeley (UCB)</x:v>
      </x:c>
      <x:c r="C102" s="32" t="str">
        <x:v>Master of Climate Solutions</x:v>
      </x:c>
      <x:c r="D102" s="32" t="str">
        <x:v>Physical Sciences</x:v>
      </x:c>
      <x:c r="E102" s="31" t="n">
        <x:v>2024</x:v>
      </x:c>
      <x:c r="F102" s="31" t="n">
        <x:f>6</x:f>
        <x:v>6</x:v>
      </x:c>
      <x:c r="G102" s="31" t="str">
        <x:v>95.7</x:v>
      </x:c>
      <x:c r="H102" s="32" t="str">
        <x:v>Ranked in subject table</x:v>
      </x:c>
      <x:c r="I102" s="35" t="str">
        <x:v>https://www.timeshighereducation.com/world-university-rankings/university-california-berkeley</x:v>
      </x:c>
      <x:c r="J102" s="35" t="str">
        <x:v>https://www.timeshighereducation.com/world-university-rankings/2024/subject-ranking/physical-sciences</x:v>
      </x:c>
      <x:c r="K102" s="35" t="str">
        <x:v>https://www.timeshighereducation.com/json/ranking_tables/physical_sciences_rankings/2024</x:v>
      </x:c>
      <x:c r="L102" s="35" t="str">
        <x:v>https://climatesolutions.berkeley.edu/</x:v>
      </x:c>
    </x:row>
    <x:row r="103">
      <x:c r="A103" s="31" t="n">
        <x:v>20</x:v>
      </x:c>
      <x:c r="B103" t="str">
        <x:v>University of California, Berkeley (UCB)</x:v>
      </x:c>
      <x:c r="C103" s="32" t="str">
        <x:v>Master of Climate Solutions</x:v>
      </x:c>
      <x:c r="D103" s="32" t="str">
        <x:v>Physical Sciences</x:v>
      </x:c>
      <x:c r="E103" s="31" t="n">
        <x:v>2025</x:v>
      </x:c>
      <x:c r="F103" s="31" t="str">
        <x:v>6</x:v>
      </x:c>
      <x:c r="G103" s="31" t="str">
        <x:v>95.5</x:v>
      </x:c>
      <x:c r="H103" s="32" t="str">
        <x:v>Ranked in subject table</x:v>
      </x:c>
      <x:c r="I103" s="35" t="str">
        <x:v>https://www.timeshighereducation.com/world-university-rankings/university-california-berkeley</x:v>
      </x:c>
      <x:c r="J103" s="35" t="str">
        <x:v>https://www.timeshighereducation.com/world-university-rankings/2025/subject-ranking/physical-sciences</x:v>
      </x:c>
      <x:c r="K103" s="35" t="str">
        <x:v>https://www.timeshighereducation.com/json/ranking_tables/physical_sciences_rankings/2025</x:v>
      </x:c>
      <x:c r="L103" s="35" t="str">
        <x:v>https://climatesolutions.berkeley.edu/</x:v>
      </x:c>
    </x:row>
    <x:row r="104">
      <x:c r="A104" s="31" t="n">
        <x:v>20</x:v>
      </x:c>
      <x:c r="B104" t="str">
        <x:v>University of California, Berkeley (UCB)</x:v>
      </x:c>
      <x:c r="C104" s="32" t="str">
        <x:v>Master of Climate Solutions</x:v>
      </x:c>
      <x:c r="D104" s="32" t="str">
        <x:v>Physical Sciences</x:v>
      </x:c>
      <x:c r="E104" s="31" t="n">
        <x:v>2026</x:v>
      </x:c>
      <x:c r="F104" s="31" t="str">
        <x:v>7</x:v>
      </x:c>
      <x:c r="G104" s="31" t="str">
        <x:v>95.3</x:v>
      </x:c>
      <x:c r="H104" s="32" t="str">
        <x:v>Ranked in subject table</x:v>
      </x:c>
      <x:c r="I104" s="35" t="str">
        <x:v>https://www.timeshighereducation.com/world-university-rankings/university-california-berkeley</x:v>
      </x:c>
      <x:c r="J104" s="35" t="str">
        <x:v>https://www.timeshighereducation.com/world-university-rankings/2026/subject-ranking/physical-sciences</x:v>
      </x:c>
      <x:c r="K104" s="35" t="str">
        <x:v>https://www.timeshighereducation.com/json/ranking_tables/physical_sciences_rankings/2026</x:v>
      </x:c>
      <x:c r="L104" s="35" t="str">
        <x:v>https://climatesolutions.berkeley.edu/</x:v>
      </x:c>
    </x:row>
    <x:row r="105">
      <x:c r="A105" s="31" t="n">
        <x:v>21</x:v>
      </x:c>
      <x:c r="B105" t="str">
        <x:v>EPFL – École polytechnique fédérale de Lausanne</x:v>
      </x:c>
      <x:c r="C105" s="32" t="str">
        <x:v>MSc Sustainable Management and Technology</x:v>
      </x:c>
      <x:c r="D105" s="32" t="str">
        <x:v>Business and Economics</x:v>
      </x:c>
      <x:c r="E105" s="31" t="n">
        <x:v>2022</x:v>
      </x:c>
      <x:c r="F105" s="31" t="str">
        <x:v>NR</x:v>
      </x:c>
      <x:c r="G105" s="31"/>
      <x:c r="H105" s="32" t="str">
        <x:v>Not ranked in subject table</x:v>
      </x:c>
      <x:c r="I105" s="35" t="str">
        <x:v>https://www.timeshighereducation.com/world-university-rankings/ecole-polytechnique-federale-de-lausanne</x:v>
      </x:c>
      <x:c r="J105" s="35" t="str">
        <x:v>https://www.timeshighereducation.com/world-university-rankings/2022/subject-ranking/business-and-economics</x:v>
      </x:c>
      <x:c r="K105" s="35" t="str">
        <x:v>https://www.timeshighereducation.com/json/ranking_tables/business_economics_rankings/2022</x:v>
      </x:c>
      <x:c r="L105" s="35" t="str">
        <x:v>https://www.epfl.ch/education/master/programs/sustainable-management-and-technology/</x:v>
      </x:c>
    </x:row>
    <x:row r="106">
      <x:c r="A106" s="31" t="n">
        <x:v>21</x:v>
      </x:c>
      <x:c r="B106" t="str">
        <x:v>EPFL – École polytechnique fédérale de Lausanne</x:v>
      </x:c>
      <x:c r="C106" s="32" t="str">
        <x:v>MSc Sustainable Management and Technology</x:v>
      </x:c>
      <x:c r="D106" s="32" t="str">
        <x:v>Business and Economics</x:v>
      </x:c>
      <x:c r="E106" s="31" t="n">
        <x:v>2023</x:v>
      </x:c>
      <x:c r="F106" s="31" t="str">
        <x:v>NR</x:v>
      </x:c>
      <x:c r="G106" s="31"/>
      <x:c r="H106" s="32" t="str">
        <x:v>Not ranked in subject table</x:v>
      </x:c>
      <x:c r="I106" s="35" t="str">
        <x:v>https://www.timeshighereducation.com/world-university-rankings/ecole-polytechnique-federale-de-lausanne</x:v>
      </x:c>
      <x:c r="J106" s="35" t="str">
        <x:v>https://www.timeshighereducation.com/world-university-rankings/2023/subject-ranking/business-and-economics</x:v>
      </x:c>
      <x:c r="K106" s="35" t="str">
        <x:v>https://www.timeshighereducation.com/json/ranking_tables/business_economics_rankings/2023</x:v>
      </x:c>
      <x:c r="L106" s="35" t="str">
        <x:v>https://www.epfl.ch/education/master/programs/sustainable-management-and-technology/</x:v>
      </x:c>
    </x:row>
    <x:row r="107">
      <x:c r="A107" s="31" t="n">
        <x:v>21</x:v>
      </x:c>
      <x:c r="B107" t="str">
        <x:v>EPFL – École polytechnique fédérale de Lausanne</x:v>
      </x:c>
      <x:c r="C107" s="32" t="str">
        <x:v>MSc Sustainable Management and Technology</x:v>
      </x:c>
      <x:c r="D107" s="32" t="str">
        <x:v>Business and Economics</x:v>
      </x:c>
      <x:c r="E107" s="31" t="n">
        <x:v>2024</x:v>
      </x:c>
      <x:c r="F107" s="31" t="str">
        <x:v>NR</x:v>
      </x:c>
      <x:c r="G107" s="31"/>
      <x:c r="H107" s="32" t="str">
        <x:v>Not ranked in subject table</x:v>
      </x:c>
      <x:c r="I107" s="35" t="str">
        <x:v>https://www.timeshighereducation.com/world-university-rankings/ecole-polytechnique-federale-de-lausanne</x:v>
      </x:c>
      <x:c r="J107" s="35" t="str">
        <x:v>https://www.timeshighereducation.com/world-university-rankings/2024/subject-ranking/business-and-economics</x:v>
      </x:c>
      <x:c r="K107" s="35" t="str">
        <x:v>https://www.timeshighereducation.com/json/ranking_tables/business_economics_rankings/2024</x:v>
      </x:c>
      <x:c r="L107" s="35" t="str">
        <x:v>https://www.epfl.ch/education/master/programs/sustainable-management-and-technology/</x:v>
      </x:c>
    </x:row>
    <x:row r="108">
      <x:c r="A108" s="31" t="n">
        <x:v>21</x:v>
      </x:c>
      <x:c r="B108" t="str">
        <x:v>EPFL – École polytechnique fédérale de Lausanne</x:v>
      </x:c>
      <x:c r="C108" s="32" t="str">
        <x:v>MSc Sustainable Management and Technology</x:v>
      </x:c>
      <x:c r="D108" s="32" t="str">
        <x:v>Business and Economics</x:v>
      </x:c>
      <x:c r="E108" s="31" t="n">
        <x:v>2025</x:v>
      </x:c>
      <x:c r="F108" s="31" t="str">
        <x:v>NR</x:v>
      </x:c>
      <x:c r="G108" s="31"/>
      <x:c r="H108" s="32" t="str">
        <x:v>Not ranked in subject table</x:v>
      </x:c>
      <x:c r="I108" s="35" t="str">
        <x:v>https://www.timeshighereducation.com/world-university-rankings/ecole-polytechnique-federale-de-lausanne</x:v>
      </x:c>
      <x:c r="J108" s="35" t="str">
        <x:v>https://www.timeshighereducation.com/world-university-rankings/2025/subject-ranking/business-and-economics</x:v>
      </x:c>
      <x:c r="K108" s="35" t="str">
        <x:v>https://www.timeshighereducation.com/json/ranking_tables/business_economics_rankings/2025</x:v>
      </x:c>
      <x:c r="L108" s="35" t="str">
        <x:v>https://www.epfl.ch/education/master/programs/sustainable-management-and-technology/</x:v>
      </x:c>
    </x:row>
    <x:row r="109">
      <x:c r="A109" s="31" t="n">
        <x:v>21</x:v>
      </x:c>
      <x:c r="B109" t="str">
        <x:v>EPFL – École polytechnique fédérale de Lausanne</x:v>
      </x:c>
      <x:c r="C109" s="32" t="str">
        <x:v>MSc Sustainable Management and Technology</x:v>
      </x:c>
      <x:c r="D109" s="32" t="str">
        <x:v>Business and Economics</x:v>
      </x:c>
      <x:c r="E109" s="31" t="n">
        <x:v>2026</x:v>
      </x:c>
      <x:c r="F109" s="31" t="str">
        <x:v>NR</x:v>
      </x:c>
      <x:c r="G109" s="31"/>
      <x:c r="H109" s="32" t="str">
        <x:v>Not ranked in subject table</x:v>
      </x:c>
      <x:c r="I109" s="35" t="str">
        <x:v>https://www.timeshighereducation.com/world-university-rankings/ecole-polytechnique-federale-de-lausanne</x:v>
      </x:c>
      <x:c r="J109" s="35" t="str">
        <x:v>https://www.timeshighereducation.com/world-university-rankings/2026/subject-ranking/business-and-economics</x:v>
      </x:c>
      <x:c r="K109" s="35" t="str">
        <x:v>https://www.timeshighereducation.com/json/ranking_tables/business_economics_rankings/2026</x:v>
      </x:c>
      <x:c r="L109" s="35" t="str">
        <x:v>https://www.epfl.ch/education/master/programs/sustainable-management-and-technology/</x:v>
      </x:c>
    </x:row>
    <x:row r="110">
      <x:c r="A110" s="31" t="n">
        <x:v>22</x:v>
      </x:c>
      <x:c r="B110" t="str">
        <x:v>The University of Melbourne</x:v>
      </x:c>
      <x:c r="C110" s="32" t="str">
        <x:v>Master of Environment</x:v>
      </x:c>
      <x:c r="D110" s="32" t="str">
        <x:v>Physical Sciences</x:v>
      </x:c>
      <x:c r="E110" s="31" t="n">
        <x:v>2022</x:v>
      </x:c>
      <x:c r="F110" s="31" t="str">
        <x:v>57</x:v>
      </x:c>
      <x:c r="G110" s="31" t="str">
        <x:v>66.4</x:v>
      </x:c>
      <x:c r="H110" s="32" t="str">
        <x:v>Ranked in subject table</x:v>
      </x:c>
      <x:c r="I110" s="35" t="str">
        <x:v>https://www.timeshighereducation.com/world-university-rankings/university-melbourne</x:v>
      </x:c>
      <x:c r="J110" s="35" t="str">
        <x:v>https://www.timeshighereducation.com/world-university-rankings/2022/subject-ranking/physical-sciences</x:v>
      </x:c>
      <x:c r="K110" s="35" t="str">
        <x:v>https://www.timeshighereducation.com/json/ranking_tables/physical_sciences_rankings/2022</x:v>
      </x:c>
      <x:c r="L110" s="35" t="str">
        <x:v>https://study.unimelb.edu.au/find/courses/graduate/master-of-environment/</x:v>
      </x:c>
    </x:row>
    <x:row r="111">
      <x:c r="A111" s="31" t="n">
        <x:v>22</x:v>
      </x:c>
      <x:c r="B111" t="str">
        <x:v>The University of Melbourne</x:v>
      </x:c>
      <x:c r="C111" s="32" t="str">
        <x:v>Master of Environment</x:v>
      </x:c>
      <x:c r="D111" s="32" t="str">
        <x:v>Physical Sciences</x:v>
      </x:c>
      <x:c r="E111" s="31" t="n">
        <x:v>2023</x:v>
      </x:c>
      <x:c r="F111" s="31" t="n">
        <x:f>68</x:f>
        <x:v>68</x:v>
      </x:c>
      <x:c r="G111" s="31" t="str">
        <x:v>63.8</x:v>
      </x:c>
      <x:c r="H111" s="32" t="str">
        <x:v>Ranked in subject table</x:v>
      </x:c>
      <x:c r="I111" s="35" t="str">
        <x:v>https://www.timeshighereducation.com/world-university-rankings/university-melbourne</x:v>
      </x:c>
      <x:c r="J111" s="35" t="str">
        <x:v>https://www.timeshighereducation.com/world-university-rankings/2023/subject-ranking/physical-sciences</x:v>
      </x:c>
      <x:c r="K111" s="35" t="str">
        <x:v>https://www.timeshighereducation.com/json/ranking_tables/physical_sciences_rankings/2023</x:v>
      </x:c>
      <x:c r="L111" s="35" t="str">
        <x:v>https://study.unimelb.edu.au/find/courses/graduate/master-of-environment/</x:v>
      </x:c>
    </x:row>
    <x:row r="112">
      <x:c r="A112" s="31" t="n">
        <x:v>22</x:v>
      </x:c>
      <x:c r="B112" t="str">
        <x:v>The University of Melbourne</x:v>
      </x:c>
      <x:c r="C112" s="32" t="str">
        <x:v>Master of Environment</x:v>
      </x:c>
      <x:c r="D112" s="32" t="str">
        <x:v>Physical Sciences</x:v>
      </x:c>
      <x:c r="E112" s="31" t="n">
        <x:v>2024</x:v>
      </x:c>
      <x:c r="F112" s="31" t="n">
        <x:f>72</x:f>
        <x:v>72</x:v>
      </x:c>
      <x:c r="G112" s="31" t="str">
        <x:v>65.9</x:v>
      </x:c>
      <x:c r="H112" s="32" t="str">
        <x:v>Ranked in subject table</x:v>
      </x:c>
      <x:c r="I112" s="35" t="str">
        <x:v>https://www.timeshighereducation.com/world-university-rankings/university-melbourne</x:v>
      </x:c>
      <x:c r="J112" s="35" t="str">
        <x:v>https://www.timeshighereducation.com/world-university-rankings/2024/subject-ranking/physical-sciences</x:v>
      </x:c>
      <x:c r="K112" s="35" t="str">
        <x:v>https://www.timeshighereducation.com/json/ranking_tables/physical_sciences_rankings/2024</x:v>
      </x:c>
      <x:c r="L112" s="35" t="str">
        <x:v>https://study.unimelb.edu.au/find/courses/graduate/master-of-environment/</x:v>
      </x:c>
    </x:row>
    <x:row r="113">
      <x:c r="A113" s="31" t="n">
        <x:v>22</x:v>
      </x:c>
      <x:c r="B113" t="str">
        <x:v>The University of Melbourne</x:v>
      </x:c>
      <x:c r="C113" s="32" t="str">
        <x:v>Master of Environment</x:v>
      </x:c>
      <x:c r="D113" s="32" t="str">
        <x:v>Physical Sciences</x:v>
      </x:c>
      <x:c r="E113" s="31" t="n">
        <x:v>2025</x:v>
      </x:c>
      <x:c r="F113" s="31" t="str">
        <x:v>79</x:v>
      </x:c>
      <x:c r="G113" s="31" t="str">
        <x:v>64.3</x:v>
      </x:c>
      <x:c r="H113" s="32" t="str">
        <x:v>Ranked in subject table</x:v>
      </x:c>
      <x:c r="I113" s="35" t="str">
        <x:v>https://www.timeshighereducation.com/world-university-rankings/university-melbourne</x:v>
      </x:c>
      <x:c r="J113" s="35" t="str">
        <x:v>https://www.timeshighereducation.com/world-university-rankings/2025/subject-ranking/physical-sciences</x:v>
      </x:c>
      <x:c r="K113" s="35" t="str">
        <x:v>https://www.timeshighereducation.com/json/ranking_tables/physical_sciences_rankings/2025</x:v>
      </x:c>
      <x:c r="L113" s="35" t="str">
        <x:v>https://study.unimelb.edu.au/find/courses/graduate/master-of-environment/</x:v>
      </x:c>
    </x:row>
    <x:row r="114">
      <x:c r="A114" s="31" t="n">
        <x:v>22</x:v>
      </x:c>
      <x:c r="B114" t="str">
        <x:v>The University of Melbourne</x:v>
      </x:c>
      <x:c r="C114" s="32" t="str">
        <x:v>Master of Environment</x:v>
      </x:c>
      <x:c r="D114" s="32" t="str">
        <x:v>Physical Sciences</x:v>
      </x:c>
      <x:c r="E114" s="31" t="n">
        <x:v>2026</x:v>
      </x:c>
      <x:c r="F114" s="31" t="n">
        <x:f>75</x:f>
        <x:v>75</x:v>
      </x:c>
      <x:c r="G114" s="31" t="str">
        <x:v>65.9</x:v>
      </x:c>
      <x:c r="H114" s="32" t="str">
        <x:v>Ranked in subject table</x:v>
      </x:c>
      <x:c r="I114" s="35" t="str">
        <x:v>https://www.timeshighereducation.com/world-university-rankings/university-melbourne</x:v>
      </x:c>
      <x:c r="J114" s="35" t="str">
        <x:v>https://www.timeshighereducation.com/world-university-rankings/2026/subject-ranking/physical-sciences</x:v>
      </x:c>
      <x:c r="K114" s="35" t="str">
        <x:v>https://www.timeshighereducation.com/json/ranking_tables/physical_sciences_rankings/2026</x:v>
      </x:c>
      <x:c r="L114" s="35" t="str">
        <x:v>https://study.unimelb.edu.au/find/courses/graduate/master-of-environment/</x:v>
      </x:c>
    </x:row>
    <x:row r="115">
      <x:c r="A115" s="31" t="n">
        <x:v>23</x:v>
      </x:c>
      <x:c r="B115" t="str">
        <x:v>University of Chicago</x:v>
      </x:c>
      <x:c r="C115" s="32" t="str">
        <x:v>MS in Environmental Science and Policy</x:v>
      </x:c>
      <x:c r="D115" s="32" t="str">
        <x:v>Physical Sciences</x:v>
      </x:c>
      <x:c r="E115" s="31" t="n">
        <x:v>2022</x:v>
      </x:c>
      <x:c r="F115" s="31" t="n">
        <x:f>11</x:f>
        <x:v>11</x:v>
      </x:c>
      <x:c r="G115" s="31" t="str">
        <x:v>88.8</x:v>
      </x:c>
      <x:c r="H115" s="32" t="str">
        <x:v>Ranked in subject table</x:v>
      </x:c>
      <x:c r="I115" s="35" t="str">
        <x:v>https://www.timeshighereducation.com/world-university-rankings/university-chicago</x:v>
      </x:c>
      <x:c r="J115" s="35" t="str">
        <x:v>https://www.timeshighereducation.com/world-university-rankings/2022/subject-ranking/physical-sciences</x:v>
      </x:c>
      <x:c r="K115" s="35" t="str">
        <x:v>https://www.timeshighereducation.com/json/ranking_tables/physical_sciences_rankings/2022</x:v>
      </x:c>
      <x:c r="L115" s="35" t="str">
        <x:v>https://professional.uchicago.edu/find-your-fit/masters/master-science-environmental-science-policy</x:v>
      </x:c>
    </x:row>
    <x:row r="116">
      <x:c r="A116" s="31" t="n">
        <x:v>23</x:v>
      </x:c>
      <x:c r="B116" t="str">
        <x:v>University of Chicago</x:v>
      </x:c>
      <x:c r="C116" s="32" t="str">
        <x:v>MS in Environmental Science and Policy</x:v>
      </x:c>
      <x:c r="D116" s="32" t="str">
        <x:v>Physical Sciences</x:v>
      </x:c>
      <x:c r="E116" s="31" t="n">
        <x:v>2023</x:v>
      </x:c>
      <x:c r="F116" s="31" t="str">
        <x:v>11</x:v>
      </x:c>
      <x:c r="G116" s="31" t="str">
        <x:v>89.1</x:v>
      </x:c>
      <x:c r="H116" s="32" t="str">
        <x:v>Ranked in subject table</x:v>
      </x:c>
      <x:c r="I116" s="35" t="str">
        <x:v>https://www.timeshighereducation.com/world-university-rankings/university-chicago</x:v>
      </x:c>
      <x:c r="J116" s="35" t="str">
        <x:v>https://www.timeshighereducation.com/world-university-rankings/2023/subject-ranking/physical-sciences</x:v>
      </x:c>
      <x:c r="K116" s="35" t="str">
        <x:v>https://www.timeshighereducation.com/json/ranking_tables/physical_sciences_rankings/2023</x:v>
      </x:c>
      <x:c r="L116" s="35" t="str">
        <x:v>https://professional.uchicago.edu/find-your-fit/masters/master-science-environmental-science-policy</x:v>
      </x:c>
    </x:row>
    <x:row r="117">
      <x:c r="A117" s="31" t="n">
        <x:v>23</x:v>
      </x:c>
      <x:c r="B117" t="str">
        <x:v>University of Chicago</x:v>
      </x:c>
      <x:c r="C117" s="32" t="str">
        <x:v>MS in Environmental Science and Policy</x:v>
      </x:c>
      <x:c r="D117" s="32" t="str">
        <x:v>Physical Sciences</x:v>
      </x:c>
      <x:c r="E117" s="31" t="n">
        <x:v>2024</x:v>
      </x:c>
      <x:c r="F117" s="31" t="str">
        <x:v>16</x:v>
      </x:c>
      <x:c r="G117" s="31" t="str">
        <x:v>89.3</x:v>
      </x:c>
      <x:c r="H117" s="32" t="str">
        <x:v>Ranked in subject table</x:v>
      </x:c>
      <x:c r="I117" s="35" t="str">
        <x:v>https://www.timeshighereducation.com/world-university-rankings/university-chicago</x:v>
      </x:c>
      <x:c r="J117" s="35" t="str">
        <x:v>https://www.timeshighereducation.com/world-university-rankings/2024/subject-ranking/physical-sciences</x:v>
      </x:c>
      <x:c r="K117" s="35" t="str">
        <x:v>https://www.timeshighereducation.com/json/ranking_tables/physical_sciences_rankings/2024</x:v>
      </x:c>
      <x:c r="L117" s="35" t="str">
        <x:v>https://professional.uchicago.edu/find-your-fit/masters/master-science-environmental-science-policy</x:v>
      </x:c>
    </x:row>
    <x:row r="118">
      <x:c r="A118" s="31" t="n">
        <x:v>23</x:v>
      </x:c>
      <x:c r="B118" t="str">
        <x:v>University of Chicago</x:v>
      </x:c>
      <x:c r="C118" s="32" t="str">
        <x:v>MS in Environmental Science and Policy</x:v>
      </x:c>
      <x:c r="D118" s="32" t="str">
        <x:v>Physical Sciences</x:v>
      </x:c>
      <x:c r="E118" s="31" t="n">
        <x:v>2025</x:v>
      </x:c>
      <x:c r="F118" s="31" t="str">
        <x:v>16</x:v>
      </x:c>
      <x:c r="G118" s="31" t="str">
        <x:v>89.0</x:v>
      </x:c>
      <x:c r="H118" s="32" t="str">
        <x:v>Ranked in subject table</x:v>
      </x:c>
      <x:c r="I118" s="35" t="str">
        <x:v>https://www.timeshighereducation.com/world-university-rankings/university-chicago</x:v>
      </x:c>
      <x:c r="J118" s="35" t="str">
        <x:v>https://www.timeshighereducation.com/world-university-rankings/2025/subject-ranking/physical-sciences</x:v>
      </x:c>
      <x:c r="K118" s="35" t="str">
        <x:v>https://www.timeshighereducation.com/json/ranking_tables/physical_sciences_rankings/2025</x:v>
      </x:c>
      <x:c r="L118" s="35" t="str">
        <x:v>https://professional.uchicago.edu/find-your-fit/masters/master-science-environmental-science-policy</x:v>
      </x:c>
    </x:row>
    <x:row r="119">
      <x:c r="A119" s="31" t="n">
        <x:v>23</x:v>
      </x:c>
      <x:c r="B119" t="str">
        <x:v>University of Chicago</x:v>
      </x:c>
      <x:c r="C119" s="32" t="str">
        <x:v>MS in Environmental Science and Policy</x:v>
      </x:c>
      <x:c r="D119" s="32" t="str">
        <x:v>Physical Sciences</x:v>
      </x:c>
      <x:c r="E119" s="31" t="n">
        <x:v>2026</x:v>
      </x:c>
      <x:c r="F119" s="31" t="str">
        <x:v>15</x:v>
      </x:c>
      <x:c r="G119" s="31" t="str">
        <x:v>89.5</x:v>
      </x:c>
      <x:c r="H119" s="32" t="str">
        <x:v>Ranked in subject table</x:v>
      </x:c>
      <x:c r="I119" s="35" t="str">
        <x:v>https://www.timeshighereducation.com/world-university-rankings/university-chicago</x:v>
      </x:c>
      <x:c r="J119" s="35" t="str">
        <x:v>https://www.timeshighereducation.com/world-university-rankings/2026/subject-ranking/physical-sciences</x:v>
      </x:c>
      <x:c r="K119" s="35" t="str">
        <x:v>https://www.timeshighereducation.com/json/ranking_tables/physical_sciences_rankings/2026</x:v>
      </x:c>
      <x:c r="L119" s="35" t="str">
        <x:v>https://professional.uchicago.edu/find-your-fit/masters/master-science-environmental-science-policy</x:v>
      </x:c>
    </x:row>
    <x:row r="120">
      <x:c r="A120" s="31" t="n">
        <x:v>24</x:v>
      </x:c>
      <x:c r="B120" t="str">
        <x:v>Technical University of Munich</x:v>
      </x:c>
      <x:c r="C120" s="32" t="str">
        <x:v>MSc Sustainable Management and Technology</x:v>
      </x:c>
      <x:c r="D120" s="32" t="str">
        <x:v>Business and Economics</x:v>
      </x:c>
      <x:c r="E120" s="31" t="n">
        <x:v>2022</x:v>
      </x:c>
      <x:c r="F120" s="31" t="n">
        <x:f>55</x:f>
        <x:v>55</x:v>
      </x:c>
      <x:c r="G120" s="31" t="str">
        <x:v>59.9</x:v>
      </x:c>
      <x:c r="H120" s="32" t="str">
        <x:v>Ranked in subject table</x:v>
      </x:c>
      <x:c r="I120" s="35" t="str">
        <x:v>https://www.timeshighereducation.com/world-university-rankings/technical-university-munich</x:v>
      </x:c>
      <x:c r="J120" s="35" t="str">
        <x:v>https://www.timeshighereducation.com/world-university-rankings/2022/subject-ranking/business-and-economics</x:v>
      </x:c>
      <x:c r="K120" s="35" t="str">
        <x:v>https://www.timeshighereducation.com/json/ranking_tables/business_economics_rankings/2022</x:v>
      </x:c>
      <x:c r="L120" s="35" t="str">
        <x:v>https://www.tum.de/en/studies/degree-programs/detail/sustainable-management-and-technology-master-of-science-msc</x:v>
      </x:c>
    </x:row>
    <x:row r="121">
      <x:c r="A121" s="31" t="n">
        <x:v>24</x:v>
      </x:c>
      <x:c r="B121" t="str">
        <x:v>Technical University of Munich</x:v>
      </x:c>
      <x:c r="C121" s="32" t="str">
        <x:v>MSc Sustainable Management and Technology</x:v>
      </x:c>
      <x:c r="D121" s="32" t="str">
        <x:v>Business and Economics</x:v>
      </x:c>
      <x:c r="E121" s="31" t="n">
        <x:v>2023</x:v>
      </x:c>
      <x:c r="F121" s="31" t="str">
        <x:v>33</x:v>
      </x:c>
      <x:c r="G121" s="31" t="str">
        <x:v>67.5</x:v>
      </x:c>
      <x:c r="H121" s="32" t="str">
        <x:v>Ranked in subject table</x:v>
      </x:c>
      <x:c r="I121" s="35" t="str">
        <x:v>https://www.timeshighereducation.com/world-university-rankings/technical-university-munich</x:v>
      </x:c>
      <x:c r="J121" s="35" t="str">
        <x:v>https://www.timeshighereducation.com/world-university-rankings/2023/subject-ranking/business-and-economics</x:v>
      </x:c>
      <x:c r="K121" s="35" t="str">
        <x:v>https://www.timeshighereducation.com/json/ranking_tables/business_economics_rankings/2023</x:v>
      </x:c>
      <x:c r="L121" s="35" t="str">
        <x:v>https://www.tum.de/en/studies/degree-programs/detail/sustainable-management-and-technology-master-of-science-msc</x:v>
      </x:c>
    </x:row>
    <x:row r="122">
      <x:c r="A122" s="31" t="n">
        <x:v>24</x:v>
      </x:c>
      <x:c r="B122" t="str">
        <x:v>Technical University of Munich</x:v>
      </x:c>
      <x:c r="C122" s="32" t="str">
        <x:v>MSc Sustainable Management and Technology</x:v>
      </x:c>
      <x:c r="D122" s="32" t="str">
        <x:v>Business and Economics</x:v>
      </x:c>
      <x:c r="E122" s="31" t="n">
        <x:v>2024</x:v>
      </x:c>
      <x:c r="F122" s="31" t="str">
        <x:v>27</x:v>
      </x:c>
      <x:c r="G122" s="31" t="str">
        <x:v>73.2</x:v>
      </x:c>
      <x:c r="H122" s="32" t="str">
        <x:v>Ranked in subject table</x:v>
      </x:c>
      <x:c r="I122" s="35" t="str">
        <x:v>https://www.timeshighereducation.com/world-university-rankings/technical-university-munich</x:v>
      </x:c>
      <x:c r="J122" s="35" t="str">
        <x:v>https://www.timeshighereducation.com/world-university-rankings/2024/subject-ranking/business-and-economics</x:v>
      </x:c>
      <x:c r="K122" s="35" t="str">
        <x:v>https://www.timeshighereducation.com/json/ranking_tables/business_economics_rankings/2024</x:v>
      </x:c>
      <x:c r="L122" s="35" t="str">
        <x:v>https://www.tum.de/en/studies/degree-programs/detail/sustainable-management-and-technology-master-of-science-msc</x:v>
      </x:c>
    </x:row>
    <x:row r="123">
      <x:c r="A123" s="31" t="n">
        <x:v>24</x:v>
      </x:c>
      <x:c r="B123" t="str">
        <x:v>Technical University of Munich</x:v>
      </x:c>
      <x:c r="C123" s="32" t="str">
        <x:v>MSc Sustainable Management and Technology</x:v>
      </x:c>
      <x:c r="D123" s="32" t="str">
        <x:v>Business and Economics</x:v>
      </x:c>
      <x:c r="E123" s="31" t="n">
        <x:v>2025</x:v>
      </x:c>
      <x:c r="F123" s="31" t="str">
        <x:v>31</x:v>
      </x:c>
      <x:c r="G123" s="31" t="str">
        <x:v>70.8</x:v>
      </x:c>
      <x:c r="H123" s="32" t="str">
        <x:v>Ranked in subject table</x:v>
      </x:c>
      <x:c r="I123" s="35" t="str">
        <x:v>https://www.timeshighereducation.com/world-university-rankings/technical-university-munich</x:v>
      </x:c>
      <x:c r="J123" s="35" t="str">
        <x:v>https://www.timeshighereducation.com/world-university-rankings/2025/subject-ranking/business-and-economics</x:v>
      </x:c>
      <x:c r="K123" s="35" t="str">
        <x:v>https://www.timeshighereducation.com/json/ranking_tables/business_economics_rankings/2025</x:v>
      </x:c>
      <x:c r="L123" s="35" t="str">
        <x:v>https://www.tum.de/en/studies/degree-programs/detail/sustainable-management-and-technology-master-of-science-msc</x:v>
      </x:c>
    </x:row>
    <x:row r="124">
      <x:c r="A124" s="31" t="n">
        <x:v>24</x:v>
      </x:c>
      <x:c r="B124" t="str">
        <x:v>Technical University of Munich</x:v>
      </x:c>
      <x:c r="C124" s="32" t="str">
        <x:v>MSc Sustainable Management and Technology</x:v>
      </x:c>
      <x:c r="D124" s="32" t="str">
        <x:v>Business and Economics</x:v>
      </x:c>
      <x:c r="E124" s="31" t="n">
        <x:v>2026</x:v>
      </x:c>
      <x:c r="F124" s="31" t="str">
        <x:v>29</x:v>
      </x:c>
      <x:c r="G124" s="31" t="str">
        <x:v>71.2</x:v>
      </x:c>
      <x:c r="H124" s="32" t="str">
        <x:v>Ranked in subject table</x:v>
      </x:c>
      <x:c r="I124" s="35" t="str">
        <x:v>https://www.timeshighereducation.com/world-university-rankings/technical-university-munich</x:v>
      </x:c>
      <x:c r="J124" s="35" t="str">
        <x:v>https://www.timeshighereducation.com/world-university-rankings/2026/subject-ranking/business-and-economics</x:v>
      </x:c>
      <x:c r="K124" s="35" t="str">
        <x:v>https://www.timeshighereducation.com/json/ranking_tables/business_economics_rankings/2026</x:v>
      </x:c>
      <x:c r="L124" s="35" t="str">
        <x:v>https://www.tum.de/en/studies/degree-programs/detail/sustainable-management-and-technology-master-of-science-msc</x:v>
      </x:c>
    </x:row>
    <x:row r="125">
      <x:c r="A125" s="31" t="n">
        <x:v>25</x:v>
      </x:c>
      <x:c r="B125" t="str">
        <x:v>Fudan University</x:v>
      </x:c>
      <x:c r="C125" s="32" t="str">
        <x:v>Graduate program in Environmental Science and Engineering</x:v>
      </x:c>
      <x:c r="D125" s="32" t="str">
        <x:v>Engineering</x:v>
      </x:c>
      <x:c r="E125" s="31" t="n">
        <x:v>2022</x:v>
      </x:c>
      <x:c r="F125" s="31" t="n">
        <x:f>44</x:f>
        <x:v>44</x:v>
      </x:c>
      <x:c r="G125" s="31" t="str">
        <x:v>69.9</x:v>
      </x:c>
      <x:c r="H125" s="32" t="str">
        <x:v>Ranked in subject table</x:v>
      </x:c>
      <x:c r="I125" s="35" t="str">
        <x:v>https://www.timeshighereducation.com/world-university-rankings/fudan-university</x:v>
      </x:c>
      <x:c r="J125" s="35" t="str">
        <x:v>https://www.timeshighereducation.com/world-university-rankings/2022/subject-ranking/engineering</x:v>
      </x:c>
      <x:c r="K125" s="35" t="str">
        <x:v>https://www.timeshighereducation.com/json/ranking_tables/engineering_technology_rankings/2022</x:v>
      </x:c>
      <x:c r="L125" s="35" t="str">
        <x:v>https://environment.fudan.edu.cn/</x:v>
      </x:c>
    </x:row>
    <x:row r="126">
      <x:c r="A126" s="31" t="n">
        <x:v>25</x:v>
      </x:c>
      <x:c r="B126" t="str">
        <x:v>Fudan University</x:v>
      </x:c>
      <x:c r="C126" s="32" t="str">
        <x:v>Graduate program in Environmental Science and Engineering</x:v>
      </x:c>
      <x:c r="D126" s="32" t="str">
        <x:v>Engineering</x:v>
      </x:c>
      <x:c r="E126" s="31" t="n">
        <x:v>2023</x:v>
      </x:c>
      <x:c r="F126" s="31" t="str">
        <x:v>51</x:v>
      </x:c>
      <x:c r="G126" s="31" t="str">
        <x:v>67.6</x:v>
      </x:c>
      <x:c r="H126" s="32" t="str">
        <x:v>Ranked in subject table</x:v>
      </x:c>
      <x:c r="I126" s="35" t="str">
        <x:v>https://www.timeshighereducation.com/world-university-rankings/fudan-university</x:v>
      </x:c>
      <x:c r="J126" s="35" t="str">
        <x:v>https://www.timeshighereducation.com/world-university-rankings/2023/subject-ranking/engineering</x:v>
      </x:c>
      <x:c r="K126" s="35" t="str">
        <x:v>https://www.timeshighereducation.com/json/ranking_tables/engineering_technology_rankings/2023</x:v>
      </x:c>
      <x:c r="L126" s="35" t="str">
        <x:v>https://environment.fudan.edu.cn/</x:v>
      </x:c>
    </x:row>
    <x:row r="127">
      <x:c r="A127" s="31" t="n">
        <x:v>25</x:v>
      </x:c>
      <x:c r="B127" t="str">
        <x:v>Fudan University</x:v>
      </x:c>
      <x:c r="C127" s="32" t="str">
        <x:v>Graduate program in Environmental Science and Engineering</x:v>
      </x:c>
      <x:c r="D127" s="32" t="str">
        <x:v>Engineering</x:v>
      </x:c>
      <x:c r="E127" s="31" t="n">
        <x:v>2024</x:v>
      </x:c>
      <x:c r="F127" s="31" t="n">
        <x:f>56</x:f>
        <x:v>56</x:v>
      </x:c>
      <x:c r="G127" s="31" t="str">
        <x:v>69.9</x:v>
      </x:c>
      <x:c r="H127" s="32" t="str">
        <x:v>Ranked in subject table</x:v>
      </x:c>
      <x:c r="I127" s="35" t="str">
        <x:v>https://www.timeshighereducation.com/world-university-rankings/fudan-university</x:v>
      </x:c>
      <x:c r="J127" s="35" t="str">
        <x:v>https://www.timeshighereducation.com/world-university-rankings/2024/subject-ranking/engineering</x:v>
      </x:c>
      <x:c r="K127" s="35" t="str">
        <x:v>https://www.timeshighereducation.com/json/ranking_tables/engineering_technology_rankings/2024</x:v>
      </x:c>
      <x:c r="L127" s="35" t="str">
        <x:v>https://environment.fudan.edu.cn/</x:v>
      </x:c>
    </x:row>
    <x:row r="128">
      <x:c r="A128" s="31" t="n">
        <x:v>25</x:v>
      </x:c>
      <x:c r="B128" t="str">
        <x:v>Fudan University</x:v>
      </x:c>
      <x:c r="C128" s="32" t="str">
        <x:v>Graduate program in Environmental Science and Engineering</x:v>
      </x:c>
      <x:c r="D128" s="32" t="str">
        <x:v>Engineering</x:v>
      </x:c>
      <x:c r="E128" s="31" t="n">
        <x:v>2025</x:v>
      </x:c>
      <x:c r="F128" s="31" t="n">
        <x:f>43</x:f>
        <x:v>43</x:v>
      </x:c>
      <x:c r="G128" s="31" t="str">
        <x:v>74.2</x:v>
      </x:c>
      <x:c r="H128" s="32" t="str">
        <x:v>Ranked in subject table</x:v>
      </x:c>
      <x:c r="I128" s="35" t="str">
        <x:v>https://www.timeshighereducation.com/world-university-rankings/fudan-university</x:v>
      </x:c>
      <x:c r="J128" s="35" t="str">
        <x:v>https://www.timeshighereducation.com/world-university-rankings/2025/subject-ranking/engineering</x:v>
      </x:c>
      <x:c r="K128" s="35" t="str">
        <x:v>https://www.timeshighereducation.com/json/ranking_tables/engineering_technology_rankings/2025</x:v>
      </x:c>
      <x:c r="L128" s="35" t="str">
        <x:v>https://environment.fudan.edu.cn/</x:v>
      </x:c>
    </x:row>
    <x:row r="129">
      <x:c r="A129" s="31" t="n">
        <x:v>25</x:v>
      </x:c>
      <x:c r="B129" t="str">
        <x:v>Fudan University</x:v>
      </x:c>
      <x:c r="C129" s="32" t="str">
        <x:v>Graduate program in Environmental Science and Engineering</x:v>
      </x:c>
      <x:c r="D129" s="32" t="str">
        <x:v>Engineering</x:v>
      </x:c>
      <x:c r="E129" s="31" t="n">
        <x:v>2026</x:v>
      </x:c>
      <x:c r="F129" s="31" t="str">
        <x:v>36</x:v>
      </x:c>
      <x:c r="G129" s="31" t="str">
        <x:v>76.5</x:v>
      </x:c>
      <x:c r="H129" s="32" t="str">
        <x:v>Ranked in subject table</x:v>
      </x:c>
      <x:c r="I129" s="35" t="str">
        <x:v>https://www.timeshighereducation.com/world-university-rankings/fudan-university</x:v>
      </x:c>
      <x:c r="J129" s="35" t="str">
        <x:v>https://www.timeshighereducation.com/world-university-rankings/2026/subject-ranking/engineering</x:v>
      </x:c>
      <x:c r="K129" s="35" t="str">
        <x:v>https://www.timeshighereducation.com/json/ranking_tables/engineering_technology_rankings/2026</x:v>
      </x:c>
      <x:c r="L129" s="35" t="str">
        <x:v>https://environment.fudan.edu.cn/</x:v>
      </x:c>
    </x:row>
    <x:row r="130">
      <x:c r="A130" s="31" t="n">
        <x:v>26</x:v>
      </x:c>
      <x:c r="B130" t="str">
        <x:v>Princeton University</x:v>
      </x:c>
      <x:c r="C130" s="32" t="str">
        <x:v>MPA with Science, Technology, and Environmental Policy field</x:v>
      </x:c>
      <x:c r="D130" s="32" t="str">
        <x:v>Social Sciences</x:v>
      </x:c>
      <x:c r="E130" s="31" t="n">
        <x:v>2022</x:v>
      </x:c>
      <x:c r="F130" s="31" t="str">
        <x:v>5</x:v>
      </x:c>
      <x:c r="G130" s="31" t="str">
        <x:v>88.4</x:v>
      </x:c>
      <x:c r="H130" s="32" t="str">
        <x:v>Ranked in subject table</x:v>
      </x:c>
      <x:c r="I130" s="35" t="str">
        <x:v>https://www.timeshighereducation.com/world-university-rankings/princeton-university</x:v>
      </x:c>
      <x:c r="J130" s="35" t="str">
        <x:v>https://www.timeshighereducation.com/world-university-rankings/2022/subject-ranking/social-sciences</x:v>
      </x:c>
      <x:c r="K130" s="35" t="str">
        <x:v>https://www.timeshighereducation.com/json/ranking_tables/social_sciences_rankings/2022</x:v>
      </x:c>
      <x:c r="L130" s="35" t="str">
        <x:v>https://spia.princeton.edu/graduate-programs/masters-degrees/mpa</x:v>
      </x:c>
    </x:row>
    <x:row r="131">
      <x:c r="A131" s="31" t="n">
        <x:v>26</x:v>
      </x:c>
      <x:c r="B131" t="str">
        <x:v>Princeton University</x:v>
      </x:c>
      <x:c r="C131" s="32" t="str">
        <x:v>MPA with Science, Technology, and Environmental Policy field</x:v>
      </x:c>
      <x:c r="D131" s="32" t="str">
        <x:v>Social Sciences</x:v>
      </x:c>
      <x:c r="E131" s="31" t="n">
        <x:v>2023</x:v>
      </x:c>
      <x:c r="F131" s="31" t="str">
        <x:v>6</x:v>
      </x:c>
      <x:c r="G131" s="31" t="str">
        <x:v>86.8</x:v>
      </x:c>
      <x:c r="H131" s="32" t="str">
        <x:v>Ranked in subject table</x:v>
      </x:c>
      <x:c r="I131" s="35" t="str">
        <x:v>https://www.timeshighereducation.com/world-university-rankings/princeton-university</x:v>
      </x:c>
      <x:c r="J131" s="35" t="str">
        <x:v>https://www.timeshighereducation.com/world-university-rankings/2023/subject-ranking/social-sciences</x:v>
      </x:c>
      <x:c r="K131" s="35" t="str">
        <x:v>https://www.timeshighereducation.com/json/ranking_tables/social_sciences_rankings/2023</x:v>
      </x:c>
      <x:c r="L131" s="35" t="str">
        <x:v>https://spia.princeton.edu/graduate-programs/masters-degrees/mpa</x:v>
      </x:c>
    </x:row>
    <x:row r="132">
      <x:c r="A132" s="31" t="n">
        <x:v>26</x:v>
      </x:c>
      <x:c r="B132" t="str">
        <x:v>Princeton University</x:v>
      </x:c>
      <x:c r="C132" s="32" t="str">
        <x:v>MPA with Science, Technology, and Environmental Policy field</x:v>
      </x:c>
      <x:c r="D132" s="32" t="str">
        <x:v>Social Sciences</x:v>
      </x:c>
      <x:c r="E132" s="31" t="n">
        <x:v>2024</x:v>
      </x:c>
      <x:c r="F132" s="31" t="str">
        <x:v>5</x:v>
      </x:c>
      <x:c r="G132" s="31" t="str">
        <x:v>92.4</x:v>
      </x:c>
      <x:c r="H132" s="32" t="str">
        <x:v>Ranked in subject table</x:v>
      </x:c>
      <x:c r="I132" s="35" t="str">
        <x:v>https://www.timeshighereducation.com/world-university-rankings/princeton-university</x:v>
      </x:c>
      <x:c r="J132" s="35" t="str">
        <x:v>https://www.timeshighereducation.com/world-university-rankings/2024/subject-ranking/social-sciences</x:v>
      </x:c>
      <x:c r="K132" s="35" t="str">
        <x:v>https://www.timeshighereducation.com/json/ranking_tables/social_sciences_rankings/2024</x:v>
      </x:c>
      <x:c r="L132" s="35" t="str">
        <x:v>https://spia.princeton.edu/graduate-programs/masters-degrees/mpa</x:v>
      </x:c>
    </x:row>
    <x:row r="133">
      <x:c r="A133" s="31" t="n">
        <x:v>26</x:v>
      </x:c>
      <x:c r="B133" t="str">
        <x:v>Princeton University</x:v>
      </x:c>
      <x:c r="C133" s="32" t="str">
        <x:v>MPA with Science, Technology, and Environmental Policy field</x:v>
      </x:c>
      <x:c r="D133" s="32" t="str">
        <x:v>Social Sciences</x:v>
      </x:c>
      <x:c r="E133" s="31" t="n">
        <x:v>2025</x:v>
      </x:c>
      <x:c r="F133" s="31" t="str">
        <x:v>5</x:v>
      </x:c>
      <x:c r="G133" s="31" t="str">
        <x:v>91.0</x:v>
      </x:c>
      <x:c r="H133" s="32" t="str">
        <x:v>Ranked in subject table</x:v>
      </x:c>
      <x:c r="I133" s="35" t="str">
        <x:v>https://www.timeshighereducation.com/world-university-rankings/princeton-university</x:v>
      </x:c>
      <x:c r="J133" s="35" t="str">
        <x:v>https://www.timeshighereducation.com/world-university-rankings/2025/subject-ranking/social-sciences</x:v>
      </x:c>
      <x:c r="K133" s="35" t="str">
        <x:v>https://www.timeshighereducation.com/json/ranking_tables/social_sciences_rankings/2025</x:v>
      </x:c>
      <x:c r="L133" s="35" t="str">
        <x:v>https://spia.princeton.edu/graduate-programs/masters-degrees/mpa</x:v>
      </x:c>
    </x:row>
    <x:row r="134">
      <x:c r="A134" s="31" t="n">
        <x:v>26</x:v>
      </x:c>
      <x:c r="B134" t="str">
        <x:v>Princeton University</x:v>
      </x:c>
      <x:c r="C134" s="32" t="str">
        <x:v>MPA with Science, Technology, and Environmental Policy field</x:v>
      </x:c>
      <x:c r="D134" s="32" t="str">
        <x:v>Social Sciences</x:v>
      </x:c>
      <x:c r="E134" s="31" t="n">
        <x:v>2026</x:v>
      </x:c>
      <x:c r="F134" s="31" t="str">
        <x:v>5</x:v>
      </x:c>
      <x:c r="G134" s="31" t="str">
        <x:v>92.1</x:v>
      </x:c>
      <x:c r="H134" s="32" t="str">
        <x:v>Ranked in subject table</x:v>
      </x:c>
      <x:c r="I134" s="35" t="str">
        <x:v>https://www.timeshighereducation.com/world-university-rankings/princeton-university</x:v>
      </x:c>
      <x:c r="J134" s="35" t="str">
        <x:v>https://www.timeshighereducation.com/world-university-rankings/2026/subject-ranking/social-sciences</x:v>
      </x:c>
      <x:c r="K134" s="35" t="str">
        <x:v>https://www.timeshighereducation.com/json/ranking_tables/social_sciences_rankings/2026</x:v>
      </x:c>
      <x:c r="L134" s="35" t="str">
        <x:v>https://spia.princeton.edu/graduate-programs/masters-degrees/mpa</x:v>
      </x:c>
    </x:row>
    <x:row r="135">
      <x:c r="A135" s="31" t="n">
        <x:v>27</x:v>
      </x:c>
      <x:c r="B135" t="str">
        <x:v>McGill University</x:v>
      </x:c>
      <x:c r="C135" s="32" t="str">
        <x:v>MSc Sustainability, Science and Society</x:v>
      </x:c>
      <x:c r="D135" s="32" t="str">
        <x:v>Physical Sciences</x:v>
      </x:c>
      <x:c r="E135" s="31" t="n">
        <x:v>2022</x:v>
      </x:c>
      <x:c r="F135" s="31" t="str">
        <x:v>74</x:v>
      </x:c>
      <x:c r="G135" s="31" t="str">
        <x:v>63.3</x:v>
      </x:c>
      <x:c r="H135" s="32" t="str">
        <x:v>Ranked in subject table</x:v>
      </x:c>
      <x:c r="I135" s="35" t="str">
        <x:v>https://www.timeshighereducation.com/world-university-rankings/mcgill-university</x:v>
      </x:c>
      <x:c r="J135" s="35" t="str">
        <x:v>https://www.timeshighereducation.com/world-university-rankings/2022/subject-ranking/physical-sciences</x:v>
      </x:c>
      <x:c r="K135" s="35" t="str">
        <x:v>https://www.timeshighereducation.com/json/ranking_tables/physical_sciences_rankings/2022</x:v>
      </x:c>
      <x:c r="L135" s="35" t="str">
        <x:v>https://www.mcgill.ca/study/2026-2027/faculties/science/graduate/programs/master-science-msc-sustainability-science-and-society-thesis</x:v>
      </x:c>
    </x:row>
    <x:row r="136">
      <x:c r="A136" s="31" t="n">
        <x:v>27</x:v>
      </x:c>
      <x:c r="B136" t="str">
        <x:v>McGill University</x:v>
      </x:c>
      <x:c r="C136" s="32" t="str">
        <x:v>MSc Sustainability, Science and Society</x:v>
      </x:c>
      <x:c r="D136" s="32" t="str">
        <x:v>Physical Sciences</x:v>
      </x:c>
      <x:c r="E136" s="31" t="n">
        <x:v>2023</x:v>
      </x:c>
      <x:c r="F136" s="31" t="str">
        <x:v>77</x:v>
      </x:c>
      <x:c r="G136" s="31" t="str">
        <x:v>62.3</x:v>
      </x:c>
      <x:c r="H136" s="32" t="str">
        <x:v>Ranked in subject table</x:v>
      </x:c>
      <x:c r="I136" s="35" t="str">
        <x:v>https://www.timeshighereducation.com/world-university-rankings/mcgill-university</x:v>
      </x:c>
      <x:c r="J136" s="35" t="str">
        <x:v>https://www.timeshighereducation.com/world-university-rankings/2023/subject-ranking/physical-sciences</x:v>
      </x:c>
      <x:c r="K136" s="35" t="str">
        <x:v>https://www.timeshighereducation.com/json/ranking_tables/physical_sciences_rankings/2023</x:v>
      </x:c>
      <x:c r="L136" s="35" t="str">
        <x:v>https://www.mcgill.ca/study/2026-2027/faculties/science/graduate/programs/master-science-msc-sustainability-science-and-society-thesis</x:v>
      </x:c>
    </x:row>
    <x:row r="137">
      <x:c r="A137" s="31" t="n">
        <x:v>27</x:v>
      </x:c>
      <x:c r="B137" t="str">
        <x:v>McGill University</x:v>
      </x:c>
      <x:c r="C137" s="32" t="str">
        <x:v>MSc Sustainability, Science and Society</x:v>
      </x:c>
      <x:c r="D137" s="32" t="str">
        <x:v>Physical Sciences</x:v>
      </x:c>
      <x:c r="E137" s="31" t="n">
        <x:v>2024</x:v>
      </x:c>
      <x:c r="F137" s="31" t="n">
        <x:f>72</x:f>
        <x:v>72</x:v>
      </x:c>
      <x:c r="G137" s="31" t="str">
        <x:v>65.9</x:v>
      </x:c>
      <x:c r="H137" s="32" t="str">
        <x:v>Ranked in subject table</x:v>
      </x:c>
      <x:c r="I137" s="35" t="str">
        <x:v>https://www.timeshighereducation.com/world-university-rankings/mcgill-university</x:v>
      </x:c>
      <x:c r="J137" s="35" t="str">
        <x:v>https://www.timeshighereducation.com/world-university-rankings/2024/subject-ranking/physical-sciences</x:v>
      </x:c>
      <x:c r="K137" s="35" t="str">
        <x:v>https://www.timeshighereducation.com/json/ranking_tables/physical_sciences_rankings/2024</x:v>
      </x:c>
      <x:c r="L137" s="35" t="str">
        <x:v>https://www.mcgill.ca/study/2026-2027/faculties/science/graduate/programs/master-science-msc-sustainability-science-and-society-thesis</x:v>
      </x:c>
    </x:row>
    <x:row r="138">
      <x:c r="A138" s="31" t="n">
        <x:v>27</x:v>
      </x:c>
      <x:c r="B138" t="str">
        <x:v>McGill University</x:v>
      </x:c>
      <x:c r="C138" s="32" t="str">
        <x:v>MSc Sustainability, Science and Society</x:v>
      </x:c>
      <x:c r="D138" s="32" t="str">
        <x:v>Physical Sciences</x:v>
      </x:c>
      <x:c r="E138" s="31" t="n">
        <x:v>2025</x:v>
      </x:c>
      <x:c r="F138" s="31" t="n">
        <x:f>66</x:f>
        <x:v>66</x:v>
      </x:c>
      <x:c r="G138" s="31" t="str">
        <x:v>66.7</x:v>
      </x:c>
      <x:c r="H138" s="32" t="str">
        <x:v>Ranked in subject table</x:v>
      </x:c>
      <x:c r="I138" s="35" t="str">
        <x:v>https://www.timeshighereducation.com/world-university-rankings/mcgill-university</x:v>
      </x:c>
      <x:c r="J138" s="35" t="str">
        <x:v>https://www.timeshighereducation.com/world-university-rankings/2025/subject-ranking/physical-sciences</x:v>
      </x:c>
      <x:c r="K138" s="35" t="str">
        <x:v>https://www.timeshighereducation.com/json/ranking_tables/physical_sciences_rankings/2025</x:v>
      </x:c>
      <x:c r="L138" s="35" t="str">
        <x:v>https://www.mcgill.ca/study/2026-2027/faculties/science/graduate/programs/master-science-msc-sustainability-science-and-society-thesis</x:v>
      </x:c>
    </x:row>
    <x:row r="139">
      <x:c r="A139" s="31" t="n">
        <x:v>27</x:v>
      </x:c>
      <x:c r="B139" t="str">
        <x:v>McGill University</x:v>
      </x:c>
      <x:c r="C139" s="32" t="str">
        <x:v>MSc Sustainability, Science and Society</x:v>
      </x:c>
      <x:c r="D139" s="32" t="str">
        <x:v>Physical Sciences</x:v>
      </x:c>
      <x:c r="E139" s="31" t="n">
        <x:v>2026</x:v>
      </x:c>
      <x:c r="F139" s="31" t="str">
        <x:v>66</x:v>
      </x:c>
      <x:c r="G139" s="31" t="str">
        <x:v>67.6</x:v>
      </x:c>
      <x:c r="H139" s="32" t="str">
        <x:v>Ranked in subject table</x:v>
      </x:c>
      <x:c r="I139" s="35" t="str">
        <x:v>https://www.timeshighereducation.com/world-university-rankings/mcgill-university</x:v>
      </x:c>
      <x:c r="J139" s="35" t="str">
        <x:v>https://www.timeshighereducation.com/world-university-rankings/2026/subject-ranking/physical-sciences</x:v>
      </x:c>
      <x:c r="K139" s="35" t="str">
        <x:v>https://www.timeshighereducation.com/json/ranking_tables/physical_sciences_rankings/2026</x:v>
      </x:c>
      <x:c r="L139" s="35" t="str">
        <x:v>https://www.mcgill.ca/study/2026-2027/faculties/science/graduate/programs/master-science-msc-sustainability-science-and-society-thesis</x:v>
      </x:c>
    </x:row>
    <x:row r="140">
      <x:c r="A140" s="31" t="n">
        <x:v>28</x:v>
      </x:c>
      <x:c r="B140" t="str">
        <x:v>University of Toronto</x:v>
      </x:c>
      <x:c r="C140" s="32" t="str">
        <x:v>Master of Environment &amp; Sustainability</x:v>
      </x:c>
      <x:c r="D140" s="32" t="str">
        <x:v>Physical Sciences</x:v>
      </x:c>
      <x:c r="E140" s="31" t="n">
        <x:v>2022</x:v>
      </x:c>
      <x:c r="F140" s="31" t="n">
        <x:f>27</x:f>
        <x:v>27</x:v>
      </x:c>
      <x:c r="G140" s="31" t="str">
        <x:v>78.4</x:v>
      </x:c>
      <x:c r="H140" s="32" t="str">
        <x:v>Ranked in subject table</x:v>
      </x:c>
      <x:c r="I140" s="35" t="str">
        <x:v>https://www.timeshighereducation.com/world-university-rankings/university-toronto</x:v>
      </x:c>
      <x:c r="J140" s="35" t="str">
        <x:v>https://www.timeshighereducation.com/world-university-rankings/2022/subject-ranking/physical-sciences</x:v>
      </x:c>
      <x:c r="K140" s="35" t="str">
        <x:v>https://www.timeshighereducation.com/json/ranking_tables/physical_sciences_rankings/2022</x:v>
      </x:c>
      <x:c r="L140" s="35" t="str">
        <x:v>https://www.environment.utoronto.ca/graduate/mes</x:v>
      </x:c>
    </x:row>
    <x:row r="141">
      <x:c r="A141" s="31" t="n">
        <x:v>28</x:v>
      </x:c>
      <x:c r="B141" t="str">
        <x:v>University of Toronto</x:v>
      </x:c>
      <x:c r="C141" s="32" t="str">
        <x:v>Master of Environment &amp; Sustainability</x:v>
      </x:c>
      <x:c r="D141" s="32" t="str">
        <x:v>Physical Sciences</x:v>
      </x:c>
      <x:c r="E141" s="31" t="n">
        <x:v>2023</x:v>
      </x:c>
      <x:c r="F141" s="31" t="str">
        <x:v>22</x:v>
      </x:c>
      <x:c r="G141" s="31" t="str">
        <x:v>79.7</x:v>
      </x:c>
      <x:c r="H141" s="32" t="str">
        <x:v>Ranked in subject table</x:v>
      </x:c>
      <x:c r="I141" s="35" t="str">
        <x:v>https://www.timeshighereducation.com/world-university-rankings/university-toronto</x:v>
      </x:c>
      <x:c r="J141" s="35" t="str">
        <x:v>https://www.timeshighereducation.com/world-university-rankings/2023/subject-ranking/physical-sciences</x:v>
      </x:c>
      <x:c r="K141" s="35" t="str">
        <x:v>https://www.timeshighereducation.com/json/ranking_tables/physical_sciences_rankings/2023</x:v>
      </x:c>
      <x:c r="L141" s="35" t="str">
        <x:v>https://www.environment.utoronto.ca/graduate/mes</x:v>
      </x:c>
    </x:row>
    <x:row r="142">
      <x:c r="A142" s="31" t="n">
        <x:v>28</x:v>
      </x:c>
      <x:c r="B142" t="str">
        <x:v>University of Toronto</x:v>
      </x:c>
      <x:c r="C142" s="32" t="str">
        <x:v>Master of Environment &amp; Sustainability</x:v>
      </x:c>
      <x:c r="D142" s="32" t="str">
        <x:v>Physical Sciences</x:v>
      </x:c>
      <x:c r="E142" s="31" t="n">
        <x:v>2024</x:v>
      </x:c>
      <x:c r="F142" s="31" t="str">
        <x:v>25</x:v>
      </x:c>
      <x:c r="G142" s="31" t="str">
        <x:v>81.3</x:v>
      </x:c>
      <x:c r="H142" s="32" t="str">
        <x:v>Ranked in subject table</x:v>
      </x:c>
      <x:c r="I142" s="35" t="str">
        <x:v>https://www.timeshighereducation.com/world-university-rankings/university-toronto</x:v>
      </x:c>
      <x:c r="J142" s="35" t="str">
        <x:v>https://www.timeshighereducation.com/world-university-rankings/2024/subject-ranking/physical-sciences</x:v>
      </x:c>
      <x:c r="K142" s="35" t="str">
        <x:v>https://www.timeshighereducation.com/json/ranking_tables/physical_sciences_rankings/2024</x:v>
      </x:c>
      <x:c r="L142" s="35" t="str">
        <x:v>https://www.environment.utoronto.ca/graduate/mes</x:v>
      </x:c>
    </x:row>
    <x:row r="143">
      <x:c r="A143" s="31" t="n">
        <x:v>28</x:v>
      </x:c>
      <x:c r="B143" t="str">
        <x:v>University of Toronto</x:v>
      </x:c>
      <x:c r="C143" s="32" t="str">
        <x:v>Master of Environment &amp; Sustainability</x:v>
      </x:c>
      <x:c r="D143" s="32" t="str">
        <x:v>Physical Sciences</x:v>
      </x:c>
      <x:c r="E143" s="31" t="n">
        <x:v>2025</x:v>
      </x:c>
      <x:c r="F143" s="31" t="str">
        <x:v>30</x:v>
      </x:c>
      <x:c r="G143" s="31" t="str">
        <x:v>79.8</x:v>
      </x:c>
      <x:c r="H143" s="32" t="str">
        <x:v>Ranked in subject table</x:v>
      </x:c>
      <x:c r="I143" s="35" t="str">
        <x:v>https://www.timeshighereducation.com/world-university-rankings/university-toronto</x:v>
      </x:c>
      <x:c r="J143" s="35" t="str">
        <x:v>https://www.timeshighereducation.com/world-university-rankings/2025/subject-ranking/physical-sciences</x:v>
      </x:c>
      <x:c r="K143" s="35" t="str">
        <x:v>https://www.timeshighereducation.com/json/ranking_tables/physical_sciences_rankings/2025</x:v>
      </x:c>
      <x:c r="L143" s="35" t="str">
        <x:v>https://www.environment.utoronto.ca/graduate/mes</x:v>
      </x:c>
    </x:row>
    <x:row r="144">
      <x:c r="A144" s="31" t="n">
        <x:v>28</x:v>
      </x:c>
      <x:c r="B144" t="str">
        <x:v>University of Toronto</x:v>
      </x:c>
      <x:c r="C144" s="32" t="str">
        <x:v>Master of Environment &amp; Sustainability</x:v>
      </x:c>
      <x:c r="D144" s="32" t="str">
        <x:v>Physical Sciences</x:v>
      </x:c>
      <x:c r="E144" s="31" t="n">
        <x:v>2026</x:v>
      </x:c>
      <x:c r="F144" s="31" t="n">
        <x:f>27</x:f>
        <x:v>27</x:v>
      </x:c>
      <x:c r="G144" s="31" t="str">
        <x:v>81.5</x:v>
      </x:c>
      <x:c r="H144" s="32" t="str">
        <x:v>Ranked in subject table</x:v>
      </x:c>
      <x:c r="I144" s="35" t="str">
        <x:v>https://www.timeshighereducation.com/world-university-rankings/university-toronto</x:v>
      </x:c>
      <x:c r="J144" s="35" t="str">
        <x:v>https://www.timeshighereducation.com/world-university-rankings/2026/subject-ranking/physical-sciences</x:v>
      </x:c>
      <x:c r="K144" s="35" t="str">
        <x:v>https://www.timeshighereducation.com/json/ranking_tables/physical_sciences_rankings/2026</x:v>
      </x:c>
      <x:c r="L144" s="35" t="str">
        <x:v>https://www.environment.utoronto.ca/graduate/mes</x:v>
      </x:c>
    </x:row>
    <x:row r="145">
      <x:c r="A145" s="31" t="n">
        <x:v>29</x:v>
      </x:c>
      <x:c r="B145" t="str">
        <x:v>Université PSL</x:v>
      </x:c>
      <x:c r="C145" s="32" t="str">
        <x:v>Master in Sustainable Management and Organizations</x:v>
      </x:c>
      <x:c r="D145" s="32" t="str">
        <x:v>Business and Economics</x:v>
      </x:c>
      <x:c r="E145" s="31" t="n">
        <x:v>2022</x:v>
      </x:c>
      <x:c r="F145" s="31" t="str">
        <x:v>101–125</x:v>
      </x:c>
      <x:c r="G145" s="31" t="str">
        <x:v>47.1–50.7</x:v>
      </x:c>
      <x:c r="H145" s="32" t="str">
        <x:v>Ranked in subject table</x:v>
      </x:c>
      <x:c r="I145" s="35" t="str">
        <x:v>https://www.timeshighereducation.com/world-university-rankings/paris-sciences-et-lettres-psl-research-university-paris</x:v>
      </x:c>
      <x:c r="J145" s="35" t="str">
        <x:v>https://www.timeshighereducation.com/world-university-rankings/2022/subject-ranking/business-and-economics</x:v>
      </x:c>
      <x:c r="K145" s="35" t="str">
        <x:v>https://www.timeshighereducation.com/json/ranking_tables/business_economics_rankings/2022</x:v>
      </x:c>
      <x:c r="L145" s="35" t="str">
        <x:v>https://dauphine.psl.eu/en/training/masters-degrees/sustainable-management-and-organizations</x:v>
      </x:c>
    </x:row>
    <x:row r="146">
      <x:c r="A146" s="31" t="n">
        <x:v>29</x:v>
      </x:c>
      <x:c r="B146" t="str">
        <x:v>Université PSL</x:v>
      </x:c>
      <x:c r="C146" s="32" t="str">
        <x:v>Master in Sustainable Management and Organizations</x:v>
      </x:c>
      <x:c r="D146" s="32" t="str">
        <x:v>Business and Economics</x:v>
      </x:c>
      <x:c r="E146" s="31" t="n">
        <x:v>2023</x:v>
      </x:c>
      <x:c r="F146" s="31" t="str">
        <x:v>151–175</x:v>
      </x:c>
      <x:c r="G146" s="31" t="str">
        <x:v>43.5–44.9</x:v>
      </x:c>
      <x:c r="H146" s="32" t="str">
        <x:v>Ranked in subject table</x:v>
      </x:c>
      <x:c r="I146" s="35" t="str">
        <x:v>https://www.timeshighereducation.com/world-university-rankings/paris-sciences-et-lettres-psl-research-university-paris</x:v>
      </x:c>
      <x:c r="J146" s="35" t="str">
        <x:v>https://www.timeshighereducation.com/world-university-rankings/2023/subject-ranking/business-and-economics</x:v>
      </x:c>
      <x:c r="K146" s="35" t="str">
        <x:v>https://www.timeshighereducation.com/json/ranking_tables/business_economics_rankings/2023</x:v>
      </x:c>
      <x:c r="L146" s="35" t="str">
        <x:v>https://dauphine.psl.eu/en/training/masters-degrees/sustainable-management-and-organizations</x:v>
      </x:c>
    </x:row>
    <x:row r="147">
      <x:c r="A147" s="31" t="n">
        <x:v>29</x:v>
      </x:c>
      <x:c r="B147" t="str">
        <x:v>Université PSL</x:v>
      </x:c>
      <x:c r="C147" s="32" t="str">
        <x:v>Master in Sustainable Management and Organizations</x:v>
      </x:c>
      <x:c r="D147" s="32" t="str">
        <x:v>Business and Economics</x:v>
      </x:c>
      <x:c r="E147" s="31" t="n">
        <x:v>2024</x:v>
      </x:c>
      <x:c r="F147" s="31" t="str">
        <x:v>151–175</x:v>
      </x:c>
      <x:c r="G147" s="31" t="str">
        <x:v>47.4–49.2</x:v>
      </x:c>
      <x:c r="H147" s="32" t="str">
        <x:v>Ranked in subject table</x:v>
      </x:c>
      <x:c r="I147" s="35" t="str">
        <x:v>https://www.timeshighereducation.com/world-university-rankings/paris-sciences-et-lettres-psl-research-university-paris</x:v>
      </x:c>
      <x:c r="J147" s="35" t="str">
        <x:v>https://www.timeshighereducation.com/world-university-rankings/2024/subject-ranking/business-and-economics</x:v>
      </x:c>
      <x:c r="K147" s="35" t="str">
        <x:v>https://www.timeshighereducation.com/json/ranking_tables/business_economics_rankings/2024</x:v>
      </x:c>
      <x:c r="L147" s="35" t="str">
        <x:v>https://dauphine.psl.eu/en/training/masters-degrees/sustainable-management-and-organizations</x:v>
      </x:c>
    </x:row>
    <x:row r="148">
      <x:c r="A148" s="31" t="n">
        <x:v>29</x:v>
      </x:c>
      <x:c r="B148" t="str">
        <x:v>Université PSL</x:v>
      </x:c>
      <x:c r="C148" s="32" t="str">
        <x:v>Master in Sustainable Management and Organizations</x:v>
      </x:c>
      <x:c r="D148" s="32" t="str">
        <x:v>Business and Economics</x:v>
      </x:c>
      <x:c r="E148" s="31" t="n">
        <x:v>2025</x:v>
      </x:c>
      <x:c r="F148" s="31" t="str">
        <x:v>101–125</x:v>
      </x:c>
      <x:c r="G148" s="31" t="str">
        <x:v>52.1–55.0</x:v>
      </x:c>
      <x:c r="H148" s="32" t="str">
        <x:v>Ranked in subject table</x:v>
      </x:c>
      <x:c r="I148" s="35" t="str">
        <x:v>https://www.timeshighereducation.com/world-university-rankings/paris-sciences-et-lettres-psl-research-university-paris</x:v>
      </x:c>
      <x:c r="J148" s="35" t="str">
        <x:v>https://www.timeshighereducation.com/world-university-rankings/2025/subject-ranking/business-and-economics</x:v>
      </x:c>
      <x:c r="K148" s="35" t="str">
        <x:v>https://www.timeshighereducation.com/json/ranking_tables/business_economics_rankings/2025</x:v>
      </x:c>
      <x:c r="L148" s="35" t="str">
        <x:v>https://dauphine.psl.eu/en/training/masters-degrees/sustainable-management-and-organizations</x:v>
      </x:c>
    </x:row>
    <x:row r="149">
      <x:c r="A149" s="31" t="n">
        <x:v>29</x:v>
      </x:c>
      <x:c r="B149" t="str">
        <x:v>Université PSL</x:v>
      </x:c>
      <x:c r="C149" s="32" t="str">
        <x:v>Master in Sustainable Management and Organizations</x:v>
      </x:c>
      <x:c r="D149" s="32" t="str">
        <x:v>Business and Economics</x:v>
      </x:c>
      <x:c r="E149" s="31" t="n">
        <x:v>2026</x:v>
      </x:c>
      <x:c r="F149" s="31" t="str">
        <x:v>101–125</x:v>
      </x:c>
      <x:c r="G149" s="31" t="str">
        <x:v>52.2–55.9</x:v>
      </x:c>
      <x:c r="H149" s="32" t="str">
        <x:v>Ranked in subject table</x:v>
      </x:c>
      <x:c r="I149" s="35" t="str">
        <x:v>https://www.timeshighereducation.com/world-university-rankings/paris-sciences-et-lettres-psl-research-university-paris</x:v>
      </x:c>
      <x:c r="J149" s="35" t="str">
        <x:v>https://www.timeshighereducation.com/world-university-rankings/2026/subject-ranking/business-and-economics</x:v>
      </x:c>
      <x:c r="K149" s="35" t="str">
        <x:v>https://www.timeshighereducation.com/json/ranking_tables/business_economics_rankings/2026</x:v>
      </x:c>
      <x:c r="L149" s="35" t="str">
        <x:v>https://dauphine.psl.eu/en/training/masters-degrees/sustainable-management-and-organizations</x:v>
      </x:c>
    </x:row>
    <x:row r="150">
      <x:c r="A150" s="31" t="n">
        <x:v>30</x:v>
      </x:c>
      <x:c r="B150" t="str">
        <x:v>The University of Edinburgh</x:v>
      </x:c>
      <x:c r="C150" s="32" t="str">
        <x:v>MSc Global Strategy and Sustainability</x:v>
      </x:c>
      <x:c r="D150" s="32" t="str">
        <x:v>Business and Economics</x:v>
      </x:c>
      <x:c r="E150" s="31" t="n">
        <x:v>2022</x:v>
      </x:c>
      <x:c r="F150" s="31" t="str">
        <x:v>41</x:v>
      </x:c>
      <x:c r="G150" s="31" t="str">
        <x:v>64.3</x:v>
      </x:c>
      <x:c r="H150" s="32" t="str">
        <x:v>Ranked in subject table</x:v>
      </x:c>
      <x:c r="I150" s="35" t="str">
        <x:v>https://www.timeshighereducation.com/world-university-rankings/university-edinburgh</x:v>
      </x:c>
      <x:c r="J150" s="35" t="str">
        <x:v>https://www.timeshighereducation.com/world-university-rankings/2022/subject-ranking/business-and-economics</x:v>
      </x:c>
      <x:c r="K150" s="35" t="str">
        <x:v>https://www.timeshighereducation.com/json/ranking_tables/business_economics_rankings/2022</x:v>
      </x:c>
      <x:c r="L150" s="35" t="str">
        <x:v>https://www.business-school.ed.ac.uk/msc/global-strategy-sustainability</x:v>
      </x:c>
    </x:row>
    <x:row r="151">
      <x:c r="A151" s="31" t="n">
        <x:v>30</x:v>
      </x:c>
      <x:c r="B151" t="str">
        <x:v>The University of Edinburgh</x:v>
      </x:c>
      <x:c r="C151" s="32" t="str">
        <x:v>MSc Global Strategy and Sustainability</x:v>
      </x:c>
      <x:c r="D151" s="32" t="str">
        <x:v>Business and Economics</x:v>
      </x:c>
      <x:c r="E151" s="31" t="n">
        <x:v>2023</x:v>
      </x:c>
      <x:c r="F151" s="31" t="str">
        <x:v>58</x:v>
      </x:c>
      <x:c r="G151" s="31" t="str">
        <x:v>58.4</x:v>
      </x:c>
      <x:c r="H151" s="32" t="str">
        <x:v>Ranked in subject table</x:v>
      </x:c>
      <x:c r="I151" s="35" t="str">
        <x:v>https://www.timeshighereducation.com/world-university-rankings/university-edinburgh</x:v>
      </x:c>
      <x:c r="J151" s="35" t="str">
        <x:v>https://www.timeshighereducation.com/world-university-rankings/2023/subject-ranking/business-and-economics</x:v>
      </x:c>
      <x:c r="K151" s="35" t="str">
        <x:v>https://www.timeshighereducation.com/json/ranking_tables/business_economics_rankings/2023</x:v>
      </x:c>
      <x:c r="L151" s="35" t="str">
        <x:v>https://www.business-school.ed.ac.uk/msc/global-strategy-sustainability</x:v>
      </x:c>
    </x:row>
    <x:row r="152">
      <x:c r="A152" s="31" t="n">
        <x:v>30</x:v>
      </x:c>
      <x:c r="B152" t="str">
        <x:v>The University of Edinburgh</x:v>
      </x:c>
      <x:c r="C152" s="32" t="str">
        <x:v>MSc Global Strategy and Sustainability</x:v>
      </x:c>
      <x:c r="D152" s="32" t="str">
        <x:v>Business and Economics</x:v>
      </x:c>
      <x:c r="E152" s="31" t="n">
        <x:v>2024</x:v>
      </x:c>
      <x:c r="F152" s="31" t="str">
        <x:v>56</x:v>
      </x:c>
      <x:c r="G152" s="31" t="str">
        <x:v>62.8</x:v>
      </x:c>
      <x:c r="H152" s="32" t="str">
        <x:v>Ranked in subject table</x:v>
      </x:c>
      <x:c r="I152" s="35" t="str">
        <x:v>https://www.timeshighereducation.com/world-university-rankings/university-edinburgh</x:v>
      </x:c>
      <x:c r="J152" s="35" t="str">
        <x:v>https://www.timeshighereducation.com/world-university-rankings/2024/subject-ranking/business-and-economics</x:v>
      </x:c>
      <x:c r="K152" s="35" t="str">
        <x:v>https://www.timeshighereducation.com/json/ranking_tables/business_economics_rankings/2024</x:v>
      </x:c>
      <x:c r="L152" s="35" t="str">
        <x:v>https://www.business-school.ed.ac.uk/msc/global-strategy-sustainability</x:v>
      </x:c>
    </x:row>
    <x:row r="153">
      <x:c r="A153" s="31" t="n">
        <x:v>30</x:v>
      </x:c>
      <x:c r="B153" t="str">
        <x:v>The University of Edinburgh</x:v>
      </x:c>
      <x:c r="C153" s="32" t="str">
        <x:v>MSc Global Strategy and Sustainability</x:v>
      </x:c>
      <x:c r="D153" s="32" t="str">
        <x:v>Business and Economics</x:v>
      </x:c>
      <x:c r="E153" s="31" t="n">
        <x:v>2025</x:v>
      </x:c>
      <x:c r="F153" s="31" t="str">
        <x:v>73</x:v>
      </x:c>
      <x:c r="G153" s="31" t="str">
        <x:v>59.6</x:v>
      </x:c>
      <x:c r="H153" s="32" t="str">
        <x:v>Ranked in subject table</x:v>
      </x:c>
      <x:c r="I153" s="35" t="str">
        <x:v>https://www.timeshighereducation.com/world-university-rankings/university-edinburgh</x:v>
      </x:c>
      <x:c r="J153" s="35" t="str">
        <x:v>https://www.timeshighereducation.com/world-university-rankings/2025/subject-ranking/business-and-economics</x:v>
      </x:c>
      <x:c r="K153" s="35" t="str">
        <x:v>https://www.timeshighereducation.com/json/ranking_tables/business_economics_rankings/2025</x:v>
      </x:c>
      <x:c r="L153" s="35" t="str">
        <x:v>https://www.business-school.ed.ac.uk/msc/global-strategy-sustainability</x:v>
      </x:c>
    </x:row>
    <x:row r="154">
      <x:c r="A154" s="31" t="n">
        <x:v>30</x:v>
      </x:c>
      <x:c r="B154" t="str">
        <x:v>The University of Edinburgh</x:v>
      </x:c>
      <x:c r="C154" s="32" t="str">
        <x:v>MSc Global Strategy and Sustainability</x:v>
      </x:c>
      <x:c r="D154" s="32" t="str">
        <x:v>Business and Economics</x:v>
      </x:c>
      <x:c r="E154" s="31" t="n">
        <x:v>2026</x:v>
      </x:c>
      <x:c r="F154" s="31" t="str">
        <x:v>60</x:v>
      </x:c>
      <x:c r="G154" s="31" t="str">
        <x:v>61.9</x:v>
      </x:c>
      <x:c r="H154" s="32" t="str">
        <x:v>Ranked in subject table</x:v>
      </x:c>
      <x:c r="I154" s="35" t="str">
        <x:v>https://www.timeshighereducation.com/world-university-rankings/university-edinburgh</x:v>
      </x:c>
      <x:c r="J154" s="35" t="str">
        <x:v>https://www.timeshighereducation.com/world-university-rankings/2026/subject-ranking/business-and-economics</x:v>
      </x:c>
      <x:c r="K154" s="35" t="str">
        <x:v>https://www.timeshighereducation.com/json/ranking_tables/business_economics_rankings/2026</x:v>
      </x:c>
      <x:c r="L154" s="35" t="str">
        <x:v>https://www.business-school.ed.ac.uk/msc/global-strategy-sustainability</x:v>
      </x:c>
    </x:row>
    <x:row r="155">
      <x:c r="A155" s="31" t="n">
        <x:v>31</x:v>
      </x:c>
      <x:c r="B155" t="str">
        <x:v>Shanghai Jiao Tong University</x:v>
      </x:c>
      <x:c r="C155" s="32" t="str">
        <x:v>Graduate program in Environmental Science and Engineering</x:v>
      </x:c>
      <x:c r="D155" s="32" t="str">
        <x:v>Engineering</x:v>
      </x:c>
      <x:c r="E155" s="31" t="n">
        <x:v>2022</x:v>
      </x:c>
      <x:c r="F155" s="31" t="str">
        <x:v>32</x:v>
      </x:c>
      <x:c r="G155" s="31" t="str">
        <x:v>75.7</x:v>
      </x:c>
      <x:c r="H155" s="32" t="str">
        <x:v>Ranked in subject table</x:v>
      </x:c>
      <x:c r="I155" s="35" t="str">
        <x:v>https://www.timeshighereducation.com/world-university-rankings/shanghai-jiao-tong-university</x:v>
      </x:c>
      <x:c r="J155" s="35" t="str">
        <x:v>https://www.timeshighereducation.com/world-university-rankings/2022/subject-ranking/engineering</x:v>
      </x:c>
      <x:c r="K155" s="35" t="str">
        <x:v>https://www.timeshighereducation.com/json/ranking_tables/engineering_technology_rankings/2022</x:v>
      </x:c>
      <x:c r="L155" s="35" t="str">
        <x:v>https://en.sjtu.edu.cn/academics/schools/School%20of%20Environmental%20Science%20and%20Engineering</x:v>
      </x:c>
    </x:row>
    <x:row r="156">
      <x:c r="A156" s="31" t="n">
        <x:v>31</x:v>
      </x:c>
      <x:c r="B156" t="str">
        <x:v>Shanghai Jiao Tong University</x:v>
      </x:c>
      <x:c r="C156" s="32" t="str">
        <x:v>Graduate program in Environmental Science and Engineering</x:v>
      </x:c>
      <x:c r="D156" s="32" t="str">
        <x:v>Engineering</x:v>
      </x:c>
      <x:c r="E156" s="31" t="n">
        <x:v>2023</x:v>
      </x:c>
      <x:c r="F156" s="31" t="str">
        <x:v>29</x:v>
      </x:c>
      <x:c r="G156" s="31" t="str">
        <x:v>78.7</x:v>
      </x:c>
      <x:c r="H156" s="32" t="str">
        <x:v>Ranked in subject table</x:v>
      </x:c>
      <x:c r="I156" s="35" t="str">
        <x:v>https://www.timeshighereducation.com/world-university-rankings/shanghai-jiao-tong-university</x:v>
      </x:c>
      <x:c r="J156" s="35" t="str">
        <x:v>https://www.timeshighereducation.com/world-university-rankings/2023/subject-ranking/engineering</x:v>
      </x:c>
      <x:c r="K156" s="35" t="str">
        <x:v>https://www.timeshighereducation.com/json/ranking_tables/engineering_technology_rankings/2023</x:v>
      </x:c>
      <x:c r="L156" s="35" t="str">
        <x:v>https://en.sjtu.edu.cn/academics/schools/School%20of%20Environmental%20Science%20and%20Engineering</x:v>
      </x:c>
    </x:row>
    <x:row r="157">
      <x:c r="A157" s="31" t="n">
        <x:v>31</x:v>
      </x:c>
      <x:c r="B157" t="str">
        <x:v>Shanghai Jiao Tong University</x:v>
      </x:c>
      <x:c r="C157" s="32" t="str">
        <x:v>Graduate program in Environmental Science and Engineering</x:v>
      </x:c>
      <x:c r="D157" s="32" t="str">
        <x:v>Engineering</x:v>
      </x:c>
      <x:c r="E157" s="31" t="n">
        <x:v>2024</x:v>
      </x:c>
      <x:c r="F157" s="31" t="str">
        <x:v>23</x:v>
      </x:c>
      <x:c r="G157" s="31" t="str">
        <x:v>84.3</x:v>
      </x:c>
      <x:c r="H157" s="32" t="str">
        <x:v>Ranked in subject table</x:v>
      </x:c>
      <x:c r="I157" s="35" t="str">
        <x:v>https://www.timeshighereducation.com/world-university-rankings/shanghai-jiao-tong-university</x:v>
      </x:c>
      <x:c r="J157" s="35" t="str">
        <x:v>https://www.timeshighereducation.com/world-university-rankings/2024/subject-ranking/engineering</x:v>
      </x:c>
      <x:c r="K157" s="35" t="str">
        <x:v>https://www.timeshighereducation.com/json/ranking_tables/engineering_technology_rankings/2024</x:v>
      </x:c>
      <x:c r="L157" s="35" t="str">
        <x:v>https://en.sjtu.edu.cn/academics/schools/School%20of%20Environmental%20Science%20and%20Engineering</x:v>
      </x:c>
    </x:row>
    <x:row r="158">
      <x:c r="A158" s="31" t="n">
        <x:v>31</x:v>
      </x:c>
      <x:c r="B158" t="str">
        <x:v>Shanghai Jiao Tong University</x:v>
      </x:c>
      <x:c r="C158" s="32" t="str">
        <x:v>Graduate program in Environmental Science and Engineering</x:v>
      </x:c>
      <x:c r="D158" s="32" t="str">
        <x:v>Engineering</x:v>
      </x:c>
      <x:c r="E158" s="31" t="n">
        <x:v>2025</x:v>
      </x:c>
      <x:c r="F158" s="31" t="str">
        <x:v>26</x:v>
      </x:c>
      <x:c r="G158" s="31" t="str">
        <x:v>82.4</x:v>
      </x:c>
      <x:c r="H158" s="32" t="str">
        <x:v>Ranked in subject table</x:v>
      </x:c>
      <x:c r="I158" s="35" t="str">
        <x:v>https://www.timeshighereducation.com/world-university-rankings/shanghai-jiao-tong-university</x:v>
      </x:c>
      <x:c r="J158" s="35" t="str">
        <x:v>https://www.timeshighereducation.com/world-university-rankings/2025/subject-ranking/engineering</x:v>
      </x:c>
      <x:c r="K158" s="35" t="str">
        <x:v>https://www.timeshighereducation.com/json/ranking_tables/engineering_technology_rankings/2025</x:v>
      </x:c>
      <x:c r="L158" s="35" t="str">
        <x:v>https://en.sjtu.edu.cn/academics/schools/School%20of%20Environmental%20Science%20and%20Engineering</x:v>
      </x:c>
    </x:row>
    <x:row r="159">
      <x:c r="A159" s="31" t="n">
        <x:v>31</x:v>
      </x:c>
      <x:c r="B159" t="str">
        <x:v>Shanghai Jiao Tong University</x:v>
      </x:c>
      <x:c r="C159" s="32" t="str">
        <x:v>Graduate program in Environmental Science and Engineering</x:v>
      </x:c>
      <x:c r="D159" s="32" t="str">
        <x:v>Engineering</x:v>
      </x:c>
      <x:c r="E159" s="31" t="n">
        <x:v>2026</x:v>
      </x:c>
      <x:c r="F159" s="31" t="str">
        <x:v>24</x:v>
      </x:c>
      <x:c r="G159" s="31" t="str">
        <x:v>84.2</x:v>
      </x:c>
      <x:c r="H159" s="32" t="str">
        <x:v>Ranked in subject table</x:v>
      </x:c>
      <x:c r="I159" s="35" t="str">
        <x:v>https://www.timeshighereducation.com/world-university-rankings/shanghai-jiao-tong-university</x:v>
      </x:c>
      <x:c r="J159" s="35" t="str">
        <x:v>https://www.timeshighereducation.com/world-university-rankings/2026/subject-ranking/engineering</x:v>
      </x:c>
      <x:c r="K159" s="35" t="str">
        <x:v>https://www.timeshighereducation.com/json/ranking_tables/engineering_technology_rankings/2026</x:v>
      </x:c>
      <x:c r="L159" s="35" t="str">
        <x:v>https://en.sjtu.edu.cn/academics/schools/School%20of%20Environmental%20Science%20and%20Engineering</x:v>
      </x:c>
    </x:row>
    <x:row r="160">
      <x:c r="A160" s="31" t="n">
        <x:v>32</x:v>
      </x:c>
      <x:c r="B160" t="str">
        <x:v>King's College London</x:v>
      </x:c>
      <x:c r="C160" s="32" t="str">
        <x:v>Environment, Politics and Development MSc</x:v>
      </x:c>
      <x:c r="D160" s="32" t="str">
        <x:v>Social Sciences</x:v>
      </x:c>
      <x:c r="E160" s="31" t="n">
        <x:v>2022</x:v>
      </x:c>
      <x:c r="F160" s="31" t="str">
        <x:v>70</x:v>
      </x:c>
      <x:c r="G160" s="31" t="str">
        <x:v>59.9</x:v>
      </x:c>
      <x:c r="H160" s="32" t="str">
        <x:v>Ranked in subject table</x:v>
      </x:c>
      <x:c r="I160" s="35" t="str">
        <x:v>https://www.timeshighereducation.com/world-university-rankings/kings-college-london</x:v>
      </x:c>
      <x:c r="J160" s="35" t="str">
        <x:v>https://www.timeshighereducation.com/world-university-rankings/2022/subject-ranking/social-sciences</x:v>
      </x:c>
      <x:c r="K160" s="35" t="str">
        <x:v>https://www.timeshighereducation.com/json/ranking_tables/social_sciences_rankings/2022</x:v>
      </x:c>
      <x:c r="L160" s="35" t="str">
        <x:v>https://www.kcl.ac.uk/study/postgraduate-taught/courses/environment-politics-and-development-msc</x:v>
      </x:c>
    </x:row>
    <x:row r="161">
      <x:c r="A161" s="31" t="n">
        <x:v>32</x:v>
      </x:c>
      <x:c r="B161" t="str">
        <x:v>King's College London</x:v>
      </x:c>
      <x:c r="C161" s="32" t="str">
        <x:v>Environment, Politics and Development MSc</x:v>
      </x:c>
      <x:c r="D161" s="32" t="str">
        <x:v>Social Sciences</x:v>
      </x:c>
      <x:c r="E161" s="31" t="n">
        <x:v>2023</x:v>
      </x:c>
      <x:c r="F161" s="31" t="str">
        <x:v>44</x:v>
      </x:c>
      <x:c r="G161" s="31" t="str">
        <x:v>66.2</x:v>
      </x:c>
      <x:c r="H161" s="32" t="str">
        <x:v>Ranked in subject table</x:v>
      </x:c>
      <x:c r="I161" s="35" t="str">
        <x:v>https://www.timeshighereducation.com/world-university-rankings/kings-college-london</x:v>
      </x:c>
      <x:c r="J161" s="35" t="str">
        <x:v>https://www.timeshighereducation.com/world-university-rankings/2023/subject-ranking/social-sciences</x:v>
      </x:c>
      <x:c r="K161" s="35" t="str">
        <x:v>https://www.timeshighereducation.com/json/ranking_tables/social_sciences_rankings/2023</x:v>
      </x:c>
      <x:c r="L161" s="35" t="str">
        <x:v>https://www.kcl.ac.uk/study/postgraduate-taught/courses/environment-politics-and-development-msc</x:v>
      </x:c>
    </x:row>
    <x:row r="162">
      <x:c r="A162" s="31" t="n">
        <x:v>32</x:v>
      </x:c>
      <x:c r="B162" t="str">
        <x:v>King's College London</x:v>
      </x:c>
      <x:c r="C162" s="32" t="str">
        <x:v>Environment, Politics and Development MSc</x:v>
      </x:c>
      <x:c r="D162" s="32" t="str">
        <x:v>Social Sciences</x:v>
      </x:c>
      <x:c r="E162" s="31" t="n">
        <x:v>2024</x:v>
      </x:c>
      <x:c r="F162" s="31" t="str">
        <x:v>33</x:v>
      </x:c>
      <x:c r="G162" s="31" t="str">
        <x:v>74.1</x:v>
      </x:c>
      <x:c r="H162" s="32" t="str">
        <x:v>Ranked in subject table</x:v>
      </x:c>
      <x:c r="I162" s="35" t="str">
        <x:v>https://www.timeshighereducation.com/world-university-rankings/kings-college-london</x:v>
      </x:c>
      <x:c r="J162" s="35" t="str">
        <x:v>https://www.timeshighereducation.com/world-university-rankings/2024/subject-ranking/social-sciences</x:v>
      </x:c>
      <x:c r="K162" s="35" t="str">
        <x:v>https://www.timeshighereducation.com/json/ranking_tables/social_sciences_rankings/2024</x:v>
      </x:c>
      <x:c r="L162" s="35" t="str">
        <x:v>https://www.kcl.ac.uk/study/postgraduate-taught/courses/environment-politics-and-development-msc</x:v>
      </x:c>
    </x:row>
    <x:row r="163">
      <x:c r="A163" s="31" t="n">
        <x:v>32</x:v>
      </x:c>
      <x:c r="B163" t="str">
        <x:v>King's College London</x:v>
      </x:c>
      <x:c r="C163" s="32" t="str">
        <x:v>Environment, Politics and Development MSc</x:v>
      </x:c>
      <x:c r="D163" s="32" t="str">
        <x:v>Social Sciences</x:v>
      </x:c>
      <x:c r="E163" s="31" t="n">
        <x:v>2025</x:v>
      </x:c>
      <x:c r="F163" s="31" t="str">
        <x:v>32</x:v>
      </x:c>
      <x:c r="G163" s="31" t="str">
        <x:v>73.2</x:v>
      </x:c>
      <x:c r="H163" s="32" t="str">
        <x:v>Ranked in subject table</x:v>
      </x:c>
      <x:c r="I163" s="35" t="str">
        <x:v>https://www.timeshighereducation.com/world-university-rankings/kings-college-london</x:v>
      </x:c>
      <x:c r="J163" s="35" t="str">
        <x:v>https://www.timeshighereducation.com/world-university-rankings/2025/subject-ranking/social-sciences</x:v>
      </x:c>
      <x:c r="K163" s="35" t="str">
        <x:v>https://www.timeshighereducation.com/json/ranking_tables/social_sciences_rankings/2025</x:v>
      </x:c>
      <x:c r="L163" s="35" t="str">
        <x:v>https://www.kcl.ac.uk/study/postgraduate-taught/courses/environment-politics-and-development-msc</x:v>
      </x:c>
    </x:row>
    <x:row r="164">
      <x:c r="A164" s="31" t="n">
        <x:v>32</x:v>
      </x:c>
      <x:c r="B164" t="str">
        <x:v>King's College London</x:v>
      </x:c>
      <x:c r="C164" s="32" t="str">
        <x:v>Environment, Politics and Development MSc</x:v>
      </x:c>
      <x:c r="D164" s="32" t="str">
        <x:v>Social Sciences</x:v>
      </x:c>
      <x:c r="E164" s="31" t="n">
        <x:v>2026</x:v>
      </x:c>
      <x:c r="F164" s="31" t="str">
        <x:v>37</x:v>
      </x:c>
      <x:c r="G164" s="31" t="str">
        <x:v>72.5</x:v>
      </x:c>
      <x:c r="H164" s="32" t="str">
        <x:v>Ranked in subject table</x:v>
      </x:c>
      <x:c r="I164" s="35" t="str">
        <x:v>https://www.timeshighereducation.com/world-university-rankings/kings-college-london</x:v>
      </x:c>
      <x:c r="J164" s="35" t="str">
        <x:v>https://www.timeshighereducation.com/world-university-rankings/2026/subject-ranking/social-sciences</x:v>
      </x:c>
      <x:c r="K164" s="35" t="str">
        <x:v>https://www.timeshighereducation.com/json/ranking_tables/social_sciences_rankings/2026</x:v>
      </x:c>
      <x:c r="L164" s="35" t="str">
        <x:v>https://www.kcl.ac.uk/study/postgraduate-taught/courses/environment-politics-and-development-msc</x:v>
      </x:c>
    </x:row>
    <x:row r="165">
      <x:c r="A165" s="31" t="n">
        <x:v>33</x:v>
      </x:c>
      <x:c r="B165" t="str">
        <x:v>The University of Tokyo</x:v>
      </x:c>
      <x:c r="C165" s="32" t="str">
        <x:v>Graduate Program in Sustainability Science - Global Leadership Initiative</x:v>
      </x:c>
      <x:c r="D165" s="32" t="str">
        <x:v>Physical Sciences</x:v>
      </x:c>
      <x:c r="E165" s="31" t="n">
        <x:v>2022</x:v>
      </x:c>
      <x:c r="F165" s="31" t="str">
        <x:v>31</x:v>
      </x:c>
      <x:c r="G165" s="31" t="str">
        <x:v>76.8</x:v>
      </x:c>
      <x:c r="H165" s="32" t="str">
        <x:v>Ranked in subject table</x:v>
      </x:c>
      <x:c r="I165" s="35" t="str">
        <x:v>https://www.timeshighereducation.com/world-university-rankings/university-tokyo</x:v>
      </x:c>
      <x:c r="J165" s="35" t="str">
        <x:v>https://www.timeshighereducation.com/world-university-rankings/2022/subject-ranking/physical-sciences</x:v>
      </x:c>
      <x:c r="K165" s="35" t="str">
        <x:v>https://www.timeshighereducation.com/json/ranking_tables/physical_sciences_rankings/2022</x:v>
      </x:c>
      <x:c r="L165" s="35" t="str">
        <x:v>https://www.sustainability.k.u-tokyo.ac.jp/</x:v>
      </x:c>
    </x:row>
    <x:row r="166">
      <x:c r="A166" s="31" t="n">
        <x:v>33</x:v>
      </x:c>
      <x:c r="B166" t="str">
        <x:v>The University of Tokyo</x:v>
      </x:c>
      <x:c r="C166" s="32" t="str">
        <x:v>Graduate Program in Sustainability Science - Global Leadership Initiative</x:v>
      </x:c>
      <x:c r="D166" s="32" t="str">
        <x:v>Physical Sciences</x:v>
      </x:c>
      <x:c r="E166" s="31" t="n">
        <x:v>2023</x:v>
      </x:c>
      <x:c r="F166" s="31" t="str">
        <x:v>30</x:v>
      </x:c>
      <x:c r="G166" s="31" t="str">
        <x:v>75.9</x:v>
      </x:c>
      <x:c r="H166" s="32" t="str">
        <x:v>Ranked in subject table</x:v>
      </x:c>
      <x:c r="I166" s="35" t="str">
        <x:v>https://www.timeshighereducation.com/world-university-rankings/university-tokyo</x:v>
      </x:c>
      <x:c r="J166" s="35" t="str">
        <x:v>https://www.timeshighereducation.com/world-university-rankings/2023/subject-ranking/physical-sciences</x:v>
      </x:c>
      <x:c r="K166" s="35" t="str">
        <x:v>https://www.timeshighereducation.com/json/ranking_tables/physical_sciences_rankings/2023</x:v>
      </x:c>
      <x:c r="L166" s="35" t="str">
        <x:v>https://www.sustainability.k.u-tokyo.ac.jp/</x:v>
      </x:c>
    </x:row>
    <x:row r="167">
      <x:c r="A167" s="31" t="n">
        <x:v>33</x:v>
      </x:c>
      <x:c r="B167" t="str">
        <x:v>The University of Tokyo</x:v>
      </x:c>
      <x:c r="C167" s="32" t="str">
        <x:v>Graduate Program in Sustainability Science - Global Leadership Initiative</x:v>
      </x:c>
      <x:c r="D167" s="32" t="str">
        <x:v>Physical Sciences</x:v>
      </x:c>
      <x:c r="E167" s="31" t="n">
        <x:v>2024</x:v>
      </x:c>
      <x:c r="F167" s="31" t="str">
        <x:v>24</x:v>
      </x:c>
      <x:c r="G167" s="31" t="str">
        <x:v>81.9</x:v>
      </x:c>
      <x:c r="H167" s="32" t="str">
        <x:v>Ranked in subject table</x:v>
      </x:c>
      <x:c r="I167" s="35" t="str">
        <x:v>https://www.timeshighereducation.com/world-university-rankings/university-tokyo</x:v>
      </x:c>
      <x:c r="J167" s="35" t="str">
        <x:v>https://www.timeshighereducation.com/world-university-rankings/2024/subject-ranking/physical-sciences</x:v>
      </x:c>
      <x:c r="K167" s="35" t="str">
        <x:v>https://www.timeshighereducation.com/json/ranking_tables/physical_sciences_rankings/2024</x:v>
      </x:c>
      <x:c r="L167" s="35" t="str">
        <x:v>https://www.sustainability.k.u-tokyo.ac.jp/</x:v>
      </x:c>
    </x:row>
    <x:row r="168">
      <x:c r="A168" s="31" t="n">
        <x:v>33</x:v>
      </x:c>
      <x:c r="B168" t="str">
        <x:v>The University of Tokyo</x:v>
      </x:c>
      <x:c r="C168" s="32" t="str">
        <x:v>Graduate Program in Sustainability Science - Global Leadership Initiative</x:v>
      </x:c>
      <x:c r="D168" s="32" t="str">
        <x:v>Physical Sciences</x:v>
      </x:c>
      <x:c r="E168" s="31" t="n">
        <x:v>2025</x:v>
      </x:c>
      <x:c r="F168" s="31" t="str">
        <x:v>25</x:v>
      </x:c>
      <x:c r="G168" s="31" t="str">
        <x:v>81.4</x:v>
      </x:c>
      <x:c r="H168" s="32" t="str">
        <x:v>Ranked in subject table</x:v>
      </x:c>
      <x:c r="I168" s="35" t="str">
        <x:v>https://www.timeshighereducation.com/world-university-rankings/university-tokyo</x:v>
      </x:c>
      <x:c r="J168" s="35" t="str">
        <x:v>https://www.timeshighereducation.com/world-university-rankings/2025/subject-ranking/physical-sciences</x:v>
      </x:c>
      <x:c r="K168" s="35" t="str">
        <x:v>https://www.timeshighereducation.com/json/ranking_tables/physical_sciences_rankings/2025</x:v>
      </x:c>
      <x:c r="L168" s="35" t="str">
        <x:v>https://www.sustainability.k.u-tokyo.ac.jp/</x:v>
      </x:c>
    </x:row>
    <x:row r="169">
      <x:c r="A169" s="31" t="n">
        <x:v>33</x:v>
      </x:c>
      <x:c r="B169" t="str">
        <x:v>The University of Tokyo</x:v>
      </x:c>
      <x:c r="C169" s="32" t="str">
        <x:v>Graduate Program in Sustainability Science - Global Leadership Initiative</x:v>
      </x:c>
      <x:c r="D169" s="32" t="str">
        <x:v>Physical Sciences</x:v>
      </x:c>
      <x:c r="E169" s="31" t="n">
        <x:v>2026</x:v>
      </x:c>
      <x:c r="F169" s="31" t="str">
        <x:v>24</x:v>
      </x:c>
      <x:c r="G169" s="31" t="str">
        <x:v>81.9</x:v>
      </x:c>
      <x:c r="H169" s="32" t="str">
        <x:v>Ranked in subject table</x:v>
      </x:c>
      <x:c r="I169" s="35" t="str">
        <x:v>https://www.timeshighereducation.com/world-university-rankings/university-tokyo</x:v>
      </x:c>
      <x:c r="J169" s="35" t="str">
        <x:v>https://www.timeshighereducation.com/world-university-rankings/2026/subject-ranking/physical-sciences</x:v>
      </x:c>
      <x:c r="K169" s="35" t="str">
        <x:v>https://www.timeshighereducation.com/json/ranking_tables/physical_sciences_rankings/2026</x:v>
      </x:c>
      <x:c r="L169" s="35" t="str">
        <x:v>https://www.sustainability.k.u-tokyo.ac.jp/</x:v>
      </x:c>
    </x:row>
    <x:row r="170">
      <x:c r="A170" s="31" t="n">
        <x:v>34</x:v>
      </x:c>
      <x:c r="B170" t="str">
        <x:v>Columbia University</x:v>
      </x:c>
      <x:c r="C170" s="32" t="str">
        <x:v>MS in Sustainability Management</x:v>
      </x:c>
      <x:c r="D170" s="32" t="str">
        <x:v>Business and Economics</x:v>
      </x:c>
      <x:c r="E170" s="31" t="n">
        <x:v>2022</x:v>
      </x:c>
      <x:c r="F170" s="31" t="str">
        <x:v>14</x:v>
      </x:c>
      <x:c r="G170" s="31" t="str">
        <x:v>83.3</x:v>
      </x:c>
      <x:c r="H170" s="32" t="str">
        <x:v>Ranked in subject table</x:v>
      </x:c>
      <x:c r="I170" s="35" t="str">
        <x:v>https://www.timeshighereducation.com/world-university-rankings/columbia-university</x:v>
      </x:c>
      <x:c r="J170" s="35" t="str">
        <x:v>https://www.timeshighereducation.com/world-university-rankings/2022/subject-ranking/business-and-economics</x:v>
      </x:c>
      <x:c r="K170" s="35" t="str">
        <x:v>https://www.timeshighereducation.com/json/ranking_tables/business_economics_rankings/2022</x:v>
      </x:c>
      <x:c r="L170" s="35" t="str">
        <x:v>https://www.sustainability.ei.columbia.edu/sustainability-management</x:v>
      </x:c>
    </x:row>
    <x:row r="171">
      <x:c r="A171" s="31" t="n">
        <x:v>34</x:v>
      </x:c>
      <x:c r="B171" t="str">
        <x:v>Columbia University</x:v>
      </x:c>
      <x:c r="C171" s="32" t="str">
        <x:v>MS in Sustainability Management</x:v>
      </x:c>
      <x:c r="D171" s="32" t="str">
        <x:v>Business and Economics</x:v>
      </x:c>
      <x:c r="E171" s="31" t="n">
        <x:v>2023</x:v>
      </x:c>
      <x:c r="F171" s="31" t="n">
        <x:f>11</x:f>
        <x:v>11</x:v>
      </x:c>
      <x:c r="G171" s="31" t="str">
        <x:v>82.6</x:v>
      </x:c>
      <x:c r="H171" s="32" t="str">
        <x:v>Ranked in subject table</x:v>
      </x:c>
      <x:c r="I171" s="35" t="str">
        <x:v>https://www.timeshighereducation.com/world-university-rankings/columbia-university</x:v>
      </x:c>
      <x:c r="J171" s="35" t="str">
        <x:v>https://www.timeshighereducation.com/world-university-rankings/2023/subject-ranking/business-and-economics</x:v>
      </x:c>
      <x:c r="K171" s="35" t="str">
        <x:v>https://www.timeshighereducation.com/json/ranking_tables/business_economics_rankings/2023</x:v>
      </x:c>
      <x:c r="L171" s="35" t="str">
        <x:v>https://www.sustainability.ei.columbia.edu/sustainability-management</x:v>
      </x:c>
    </x:row>
    <x:row r="172">
      <x:c r="A172" s="31" t="n">
        <x:v>34</x:v>
      </x:c>
      <x:c r="B172" t="str">
        <x:v>Columbia University</x:v>
      </x:c>
      <x:c r="C172" s="32" t="str">
        <x:v>MS in Sustainability Management</x:v>
      </x:c>
      <x:c r="D172" s="32" t="str">
        <x:v>Business and Economics</x:v>
      </x:c>
      <x:c r="E172" s="31" t="n">
        <x:v>2024</x:v>
      </x:c>
      <x:c r="F172" s="31" t="str">
        <x:v>14</x:v>
      </x:c>
      <x:c r="G172" s="31" t="str">
        <x:v>86.5</x:v>
      </x:c>
      <x:c r="H172" s="32" t="str">
        <x:v>Ranked in subject table</x:v>
      </x:c>
      <x:c r="I172" s="35" t="str">
        <x:v>https://www.timeshighereducation.com/world-university-rankings/columbia-university</x:v>
      </x:c>
      <x:c r="J172" s="35" t="str">
        <x:v>https://www.timeshighereducation.com/world-university-rankings/2024/subject-ranking/business-and-economics</x:v>
      </x:c>
      <x:c r="K172" s="35" t="str">
        <x:v>https://www.timeshighereducation.com/json/ranking_tables/business_economics_rankings/2024</x:v>
      </x:c>
      <x:c r="L172" s="35" t="str">
        <x:v>https://www.sustainability.ei.columbia.edu/sustainability-management</x:v>
      </x:c>
    </x:row>
    <x:row r="173">
      <x:c r="A173" s="31" t="n">
        <x:v>34</x:v>
      </x:c>
      <x:c r="B173" t="str">
        <x:v>Columbia University</x:v>
      </x:c>
      <x:c r="C173" s="32" t="str">
        <x:v>MS in Sustainability Management</x:v>
      </x:c>
      <x:c r="D173" s="32" t="str">
        <x:v>Business and Economics</x:v>
      </x:c>
      <x:c r="E173" s="31" t="n">
        <x:v>2025</x:v>
      </x:c>
      <x:c r="F173" s="31" t="str">
        <x:v>14</x:v>
      </x:c>
      <x:c r="G173" s="31" t="str">
        <x:v>84.7</x:v>
      </x:c>
      <x:c r="H173" s="32" t="str">
        <x:v>Ranked in subject table</x:v>
      </x:c>
      <x:c r="I173" s="35" t="str">
        <x:v>https://www.timeshighereducation.com/world-university-rankings/columbia-university</x:v>
      </x:c>
      <x:c r="J173" s="35" t="str">
        <x:v>https://www.timeshighereducation.com/world-university-rankings/2025/subject-ranking/business-and-economics</x:v>
      </x:c>
      <x:c r="K173" s="35" t="str">
        <x:v>https://www.timeshighereducation.com/json/ranking_tables/business_economics_rankings/2025</x:v>
      </x:c>
      <x:c r="L173" s="35" t="str">
        <x:v>https://www.sustainability.ei.columbia.edu/sustainability-management</x:v>
      </x:c>
    </x:row>
    <x:row r="174">
      <x:c r="A174" s="31" t="n">
        <x:v>34</x:v>
      </x:c>
      <x:c r="B174" t="str">
        <x:v>Columbia University</x:v>
      </x:c>
      <x:c r="C174" s="32" t="str">
        <x:v>MS in Sustainability Management</x:v>
      </x:c>
      <x:c r="D174" s="32" t="str">
        <x:v>Business and Economics</x:v>
      </x:c>
      <x:c r="E174" s="31" t="n">
        <x:v>2026</x:v>
      </x:c>
      <x:c r="F174" s="31" t="str">
        <x:v>14</x:v>
      </x:c>
      <x:c r="G174" s="31" t="str">
        <x:v>86.4</x:v>
      </x:c>
      <x:c r="H174" s="32" t="str">
        <x:v>Ranked in subject table</x:v>
      </x:c>
      <x:c r="I174" s="35" t="str">
        <x:v>https://www.timeshighereducation.com/world-university-rankings/columbia-university</x:v>
      </x:c>
      <x:c r="J174" s="35" t="str">
        <x:v>https://www.timeshighereducation.com/world-university-rankings/2026/subject-ranking/business-and-economics</x:v>
      </x:c>
      <x:c r="K174" s="35" t="str">
        <x:v>https://www.timeshighereducation.com/json/ranking_tables/business_economics_rankings/2026</x:v>
      </x:c>
      <x:c r="L174" s="35" t="str">
        <x:v>https://www.sustainability.ei.columbia.edu/sustainability-management</x:v>
      </x:c>
    </x:row>
    <x:row r="175">
      <x:c r="A175" s="31" t="n">
        <x:v>35</x:v>
      </x:c>
      <x:c r="B175" t="str">
        <x:v>Northwestern University</x:v>
      </x:c>
      <x:c r="C175" s="32" t="str">
        <x:v>Master of Science in Energy and Sustainability</x:v>
      </x:c>
      <x:c r="D175" s="32" t="str">
        <x:v>Engineering</x:v>
      </x:c>
      <x:c r="E175" s="31" t="n">
        <x:v>2022</x:v>
      </x:c>
      <x:c r="F175" s="31" t="str">
        <x:v>38</x:v>
      </x:c>
      <x:c r="G175" s="31" t="str">
        <x:v>73.7</x:v>
      </x:c>
      <x:c r="H175" s="32" t="str">
        <x:v>Ranked in subject table</x:v>
      </x:c>
      <x:c r="I175" s="35" t="str">
        <x:v>https://www.timeshighereducation.com/world-university-rankings/northwestern-university</x:v>
      </x:c>
      <x:c r="J175" s="35" t="str">
        <x:v>https://www.timeshighereducation.com/world-university-rankings/2022/subject-ranking/engineering</x:v>
      </x:c>
      <x:c r="K175" s="35" t="str">
        <x:v>https://www.timeshighereducation.com/json/ranking_tables/engineering_technology_rankings/2022</x:v>
      </x:c>
      <x:c r="L175" s="35" t="str">
        <x:v>https://www.mccormick.northwestern.edu/energy-sustainability/</x:v>
      </x:c>
    </x:row>
    <x:row r="176">
      <x:c r="A176" s="31" t="n">
        <x:v>35</x:v>
      </x:c>
      <x:c r="B176" t="str">
        <x:v>Northwestern University</x:v>
      </x:c>
      <x:c r="C176" s="32" t="str">
        <x:v>Master of Science in Energy and Sustainability</x:v>
      </x:c>
      <x:c r="D176" s="32" t="str">
        <x:v>Engineering</x:v>
      </x:c>
      <x:c r="E176" s="31" t="n">
        <x:v>2023</x:v>
      </x:c>
      <x:c r="F176" s="31" t="n">
        <x:f>30</x:f>
        <x:v>30</x:v>
      </x:c>
      <x:c r="G176" s="31" t="str">
        <x:v>77.4</x:v>
      </x:c>
      <x:c r="H176" s="32" t="str">
        <x:v>Ranked in subject table</x:v>
      </x:c>
      <x:c r="I176" s="35" t="str">
        <x:v>https://www.timeshighereducation.com/world-university-rankings/northwestern-university</x:v>
      </x:c>
      <x:c r="J176" s="35" t="str">
        <x:v>https://www.timeshighereducation.com/world-university-rankings/2023/subject-ranking/engineering</x:v>
      </x:c>
      <x:c r="K176" s="35" t="str">
        <x:v>https://www.timeshighereducation.com/json/ranking_tables/engineering_technology_rankings/2023</x:v>
      </x:c>
      <x:c r="L176" s="35" t="str">
        <x:v>https://www.mccormick.northwestern.edu/energy-sustainability/</x:v>
      </x:c>
    </x:row>
    <x:row r="177">
      <x:c r="A177" s="31" t="n">
        <x:v>35</x:v>
      </x:c>
      <x:c r="B177" t="str">
        <x:v>Northwestern University</x:v>
      </x:c>
      <x:c r="C177" s="32" t="str">
        <x:v>Master of Science in Energy and Sustainability</x:v>
      </x:c>
      <x:c r="D177" s="32" t="str">
        <x:v>Engineering</x:v>
      </x:c>
      <x:c r="E177" s="31" t="n">
        <x:v>2024</x:v>
      </x:c>
      <x:c r="F177" s="31" t="str">
        <x:v>31</x:v>
      </x:c>
      <x:c r="G177" s="31" t="str">
        <x:v>80.1</x:v>
      </x:c>
      <x:c r="H177" s="32" t="str">
        <x:v>Ranked in subject table</x:v>
      </x:c>
      <x:c r="I177" s="35" t="str">
        <x:v>https://www.timeshighereducation.com/world-university-rankings/northwestern-university</x:v>
      </x:c>
      <x:c r="J177" s="35" t="str">
        <x:v>https://www.timeshighereducation.com/world-university-rankings/2024/subject-ranking/engineering</x:v>
      </x:c>
      <x:c r="K177" s="35" t="str">
        <x:v>https://www.timeshighereducation.com/json/ranking_tables/engineering_technology_rankings/2024</x:v>
      </x:c>
      <x:c r="L177" s="35" t="str">
        <x:v>https://www.mccormick.northwestern.edu/energy-sustainability/</x:v>
      </x:c>
    </x:row>
    <x:row r="178">
      <x:c r="A178" s="31" t="n">
        <x:v>35</x:v>
      </x:c>
      <x:c r="B178" t="str">
        <x:v>Northwestern University</x:v>
      </x:c>
      <x:c r="C178" s="32" t="str">
        <x:v>Master of Science in Energy and Sustainability</x:v>
      </x:c>
      <x:c r="D178" s="32" t="str">
        <x:v>Engineering</x:v>
      </x:c>
      <x:c r="E178" s="31" t="n">
        <x:v>2025</x:v>
      </x:c>
      <x:c r="F178" s="31" t="str">
        <x:v>32</x:v>
      </x:c>
      <x:c r="G178" s="31" t="str">
        <x:v>77.7</x:v>
      </x:c>
      <x:c r="H178" s="32" t="str">
        <x:v>Ranked in subject table</x:v>
      </x:c>
      <x:c r="I178" s="35" t="str">
        <x:v>https://www.timeshighereducation.com/world-university-rankings/northwestern-university</x:v>
      </x:c>
      <x:c r="J178" s="35" t="str">
        <x:v>https://www.timeshighereducation.com/world-university-rankings/2025/subject-ranking/engineering</x:v>
      </x:c>
      <x:c r="K178" s="35" t="str">
        <x:v>https://www.timeshighereducation.com/json/ranking_tables/engineering_technology_rankings/2025</x:v>
      </x:c>
      <x:c r="L178" s="35" t="str">
        <x:v>https://www.mccormick.northwestern.edu/energy-sustainability/</x:v>
      </x:c>
    </x:row>
    <x:row r="179">
      <x:c r="A179" s="31" t="n">
        <x:v>35</x:v>
      </x:c>
      <x:c r="B179" t="str">
        <x:v>Northwestern University</x:v>
      </x:c>
      <x:c r="C179" s="32" t="str">
        <x:v>Master of Science in Energy and Sustainability</x:v>
      </x:c>
      <x:c r="D179" s="32" t="str">
        <x:v>Engineering</x:v>
      </x:c>
      <x:c r="E179" s="31" t="n">
        <x:v>2026</x:v>
      </x:c>
      <x:c r="F179" s="31" t="str">
        <x:v>33</x:v>
      </x:c>
      <x:c r="G179" s="31" t="str">
        <x:v>77.5</x:v>
      </x:c>
      <x:c r="H179" s="32" t="str">
        <x:v>Ranked in subject table</x:v>
      </x:c>
      <x:c r="I179" s="35" t="str">
        <x:v>https://www.timeshighereducation.com/world-university-rankings/northwestern-university</x:v>
      </x:c>
      <x:c r="J179" s="35" t="str">
        <x:v>https://www.timeshighereducation.com/world-university-rankings/2026/subject-ranking/engineering</x:v>
      </x:c>
      <x:c r="K179" s="35" t="str">
        <x:v>https://www.timeshighereducation.com/json/ranking_tables/engineering_technology_rankings/2026</x:v>
      </x:c>
      <x:c r="L179" s="35" t="str">
        <x:v>https://www.mccormick.northwestern.edu/energy-sustainability/</x:v>
      </x:c>
    </x:row>
    <x:row r="180">
      <x:c r="A180" s="31" t="n">
        <x:v>36</x:v>
      </x:c>
      <x:c r="B180" t="str">
        <x:v>University of British Columbia</x:v>
      </x:c>
      <x:c r="C180" s="32" t="str">
        <x:v>Master of Engineering Leadership in Sustainable Process Engineering</x:v>
      </x:c>
      <x:c r="D180" s="32" t="str">
        <x:v>Engineering</x:v>
      </x:c>
      <x:c r="E180" s="31" t="n">
        <x:v>2022</x:v>
      </x:c>
      <x:c r="F180" s="31" t="str">
        <x:v>49</x:v>
      </x:c>
      <x:c r="G180" s="31" t="str">
        <x:v>67.9</x:v>
      </x:c>
      <x:c r="H180" s="32" t="str">
        <x:v>Ranked in subject table</x:v>
      </x:c>
      <x:c r="I180" s="35" t="str">
        <x:v>https://www.timeshighereducation.com/world-university-rankings/university-british-columbia</x:v>
      </x:c>
      <x:c r="J180" s="35" t="str">
        <x:v>https://www.timeshighereducation.com/world-university-rankings/2022/subject-ranking/engineering</x:v>
      </x:c>
      <x:c r="K180" s="35" t="str">
        <x:v>https://www.timeshighereducation.com/json/ranking_tables/engineering_technology_rankings/2022</x:v>
      </x:c>
      <x:c r="L180" s="35" t="str">
        <x:v>https://mel.ubc.ca/sustainable-process-engineering</x:v>
      </x:c>
    </x:row>
    <x:row r="181">
      <x:c r="A181" s="31" t="n">
        <x:v>36</x:v>
      </x:c>
      <x:c r="B181" t="str">
        <x:v>University of British Columbia</x:v>
      </x:c>
      <x:c r="C181" s="32" t="str">
        <x:v>Master of Engineering Leadership in Sustainable Process Engineering</x:v>
      </x:c>
      <x:c r="D181" s="32" t="str">
        <x:v>Engineering</x:v>
      </x:c>
      <x:c r="E181" s="31" t="n">
        <x:v>2023</x:v>
      </x:c>
      <x:c r="F181" s="31" t="n">
        <x:f>48</x:f>
        <x:v>48</x:v>
      </x:c>
      <x:c r="G181" s="31" t="str">
        <x:v>68.2</x:v>
      </x:c>
      <x:c r="H181" s="32" t="str">
        <x:v>Ranked in subject table</x:v>
      </x:c>
      <x:c r="I181" s="35" t="str">
        <x:v>https://www.timeshighereducation.com/world-university-rankings/university-british-columbia</x:v>
      </x:c>
      <x:c r="J181" s="35" t="str">
        <x:v>https://www.timeshighereducation.com/world-university-rankings/2023/subject-ranking/engineering</x:v>
      </x:c>
      <x:c r="K181" s="35" t="str">
        <x:v>https://www.timeshighereducation.com/json/ranking_tables/engineering_technology_rankings/2023</x:v>
      </x:c>
      <x:c r="L181" s="35" t="str">
        <x:v>https://mel.ubc.ca/sustainable-process-engineering</x:v>
      </x:c>
    </x:row>
    <x:row r="182">
      <x:c r="A182" s="31" t="n">
        <x:v>36</x:v>
      </x:c>
      <x:c r="B182" t="str">
        <x:v>University of British Columbia</x:v>
      </x:c>
      <x:c r="C182" s="32" t="str">
        <x:v>Master of Engineering Leadership in Sustainable Process Engineering</x:v>
      </x:c>
      <x:c r="D182" s="32" t="str">
        <x:v>Engineering</x:v>
      </x:c>
      <x:c r="E182" s="31" t="n">
        <x:v>2024</x:v>
      </x:c>
      <x:c r="F182" s="31" t="str">
        <x:v>49</x:v>
      </x:c>
      <x:c r="G182" s="31" t="str">
        <x:v>72.0</x:v>
      </x:c>
      <x:c r="H182" s="32" t="str">
        <x:v>Ranked in subject table</x:v>
      </x:c>
      <x:c r="I182" s="35" t="str">
        <x:v>https://www.timeshighereducation.com/world-university-rankings/university-british-columbia</x:v>
      </x:c>
      <x:c r="J182" s="35" t="str">
        <x:v>https://www.timeshighereducation.com/world-university-rankings/2024/subject-ranking/engineering</x:v>
      </x:c>
      <x:c r="K182" s="35" t="str">
        <x:v>https://www.timeshighereducation.com/json/ranking_tables/engineering_technology_rankings/2024</x:v>
      </x:c>
      <x:c r="L182" s="35" t="str">
        <x:v>https://mel.ubc.ca/sustainable-process-engineering</x:v>
      </x:c>
    </x:row>
    <x:row r="183">
      <x:c r="A183" s="31" t="n">
        <x:v>36</x:v>
      </x:c>
      <x:c r="B183" t="str">
        <x:v>University of British Columbia</x:v>
      </x:c>
      <x:c r="C183" s="32" t="str">
        <x:v>Master of Engineering Leadership in Sustainable Process Engineering</x:v>
      </x:c>
      <x:c r="D183" s="32" t="str">
        <x:v>Engineering</x:v>
      </x:c>
      <x:c r="E183" s="31" t="n">
        <x:v>2025</x:v>
      </x:c>
      <x:c r="F183" s="31" t="str">
        <x:v>49</x:v>
      </x:c>
      <x:c r="G183" s="31" t="str">
        <x:v>73.2</x:v>
      </x:c>
      <x:c r="H183" s="32" t="str">
        <x:v>Ranked in subject table</x:v>
      </x:c>
      <x:c r="I183" s="35" t="str">
        <x:v>https://www.timeshighereducation.com/world-university-rankings/university-british-columbia</x:v>
      </x:c>
      <x:c r="J183" s="35" t="str">
        <x:v>https://www.timeshighereducation.com/world-university-rankings/2025/subject-ranking/engineering</x:v>
      </x:c>
      <x:c r="K183" s="35" t="str">
        <x:v>https://www.timeshighereducation.com/json/ranking_tables/engineering_technology_rankings/2025</x:v>
      </x:c>
      <x:c r="L183" s="35" t="str">
        <x:v>https://mel.ubc.ca/sustainable-process-engineering</x:v>
      </x:c>
    </x:row>
    <x:row r="184">
      <x:c r="A184" s="31" t="n">
        <x:v>36</x:v>
      </x:c>
      <x:c r="B184" t="str">
        <x:v>University of British Columbia</x:v>
      </x:c>
      <x:c r="C184" s="32" t="str">
        <x:v>Master of Engineering Leadership in Sustainable Process Engineering</x:v>
      </x:c>
      <x:c r="D184" s="32" t="str">
        <x:v>Engineering</x:v>
      </x:c>
      <x:c r="E184" s="31" t="n">
        <x:v>2026</x:v>
      </x:c>
      <x:c r="F184" s="31" t="n">
        <x:f>46</x:f>
        <x:v>46</x:v>
      </x:c>
      <x:c r="G184" s="31" t="str">
        <x:v>73.4</x:v>
      </x:c>
      <x:c r="H184" s="32" t="str">
        <x:v>Ranked in subject table</x:v>
      </x:c>
      <x:c r="I184" s="35" t="str">
        <x:v>https://www.timeshighereducation.com/world-university-rankings/university-british-columbia</x:v>
      </x:c>
      <x:c r="J184" s="35" t="str">
        <x:v>https://www.timeshighereducation.com/world-university-rankings/2026/subject-ranking/engineering</x:v>
      </x:c>
      <x:c r="K184" s="35" t="str">
        <x:v>https://www.timeshighereducation.com/json/ranking_tables/engineering_technology_rankings/2026</x:v>
      </x:c>
      <x:c r="L184" s="35" t="str">
        <x:v>https://mel.ubc.ca/sustainable-process-engineering</x:v>
      </x:c>
    </x:row>
    <x:row r="185">
      <x:c r="A185" s="31" t="n">
        <x:v>37</x:v>
      </x:c>
      <x:c r="B185" t="str">
        <x:v>Zhejiang University</x:v>
      </x:c>
      <x:c r="C185" s="32" t="str">
        <x:v>Graduate program in Environmental Science and Engineering</x:v>
      </x:c>
      <x:c r="D185" s="32" t="str">
        <x:v>Engineering</x:v>
      </x:c>
      <x:c r="E185" s="31" t="n">
        <x:v>2022</x:v>
      </x:c>
      <x:c r="F185" s="31" t="str">
        <x:v>29</x:v>
      </x:c>
      <x:c r="G185" s="31" t="str">
        <x:v>76.8</x:v>
      </x:c>
      <x:c r="H185" s="32" t="str">
        <x:v>Ranked in subject table</x:v>
      </x:c>
      <x:c r="I185" s="35" t="str">
        <x:v>https://www.timeshighereducation.com/world-university-rankings/zhejiang-university</x:v>
      </x:c>
      <x:c r="J185" s="35" t="str">
        <x:v>https://www.timeshighereducation.com/world-university-rankings/2022/subject-ranking/engineering</x:v>
      </x:c>
      <x:c r="K185" s="35" t="str">
        <x:v>https://www.timeshighereducation.com/json/ranking_tables/engineering_technology_rankings/2022</x:v>
      </x:c>
      <x:c r="L185" s="35" t="str">
        <x:v>http://www.cers.zju.edu.cn/cersen/</x:v>
      </x:c>
    </x:row>
    <x:row r="186">
      <x:c r="A186" s="31" t="n">
        <x:v>37</x:v>
      </x:c>
      <x:c r="B186" t="str">
        <x:v>Zhejiang University</x:v>
      </x:c>
      <x:c r="C186" s="32" t="str">
        <x:v>Graduate program in Environmental Science and Engineering</x:v>
      </x:c>
      <x:c r="D186" s="32" t="str">
        <x:v>Engineering</x:v>
      </x:c>
      <x:c r="E186" s="31" t="n">
        <x:v>2023</x:v>
      </x:c>
      <x:c r="F186" s="31" t="n">
        <x:f>30</x:f>
        <x:v>30</x:v>
      </x:c>
      <x:c r="G186" s="31" t="str">
        <x:v>77.4</x:v>
      </x:c>
      <x:c r="H186" s="32" t="str">
        <x:v>Ranked in subject table</x:v>
      </x:c>
      <x:c r="I186" s="35" t="str">
        <x:v>https://www.timeshighereducation.com/world-university-rankings/zhejiang-university</x:v>
      </x:c>
      <x:c r="J186" s="35" t="str">
        <x:v>https://www.timeshighereducation.com/world-university-rankings/2023/subject-ranking/engineering</x:v>
      </x:c>
      <x:c r="K186" s="35" t="str">
        <x:v>https://www.timeshighereducation.com/json/ranking_tables/engineering_technology_rankings/2023</x:v>
      </x:c>
      <x:c r="L186" s="35" t="str">
        <x:v>http://www.cers.zju.edu.cn/cersen/</x:v>
      </x:c>
    </x:row>
    <x:row r="187">
      <x:c r="A187" s="31" t="n">
        <x:v>37</x:v>
      </x:c>
      <x:c r="B187" t="str">
        <x:v>Zhejiang University</x:v>
      </x:c>
      <x:c r="C187" s="32" t="str">
        <x:v>Graduate program in Environmental Science and Engineering</x:v>
      </x:c>
      <x:c r="D187" s="32" t="str">
        <x:v>Engineering</x:v>
      </x:c>
      <x:c r="E187" s="31" t="n">
        <x:v>2024</x:v>
      </x:c>
      <x:c r="F187" s="31" t="str">
        <x:v>30</x:v>
      </x:c>
      <x:c r="G187" s="31" t="str">
        <x:v>80.9</x:v>
      </x:c>
      <x:c r="H187" s="32" t="str">
        <x:v>Ranked in subject table</x:v>
      </x:c>
      <x:c r="I187" s="35" t="str">
        <x:v>https://www.timeshighereducation.com/world-university-rankings/zhejiang-university</x:v>
      </x:c>
      <x:c r="J187" s="35" t="str">
        <x:v>https://www.timeshighereducation.com/world-university-rankings/2024/subject-ranking/engineering</x:v>
      </x:c>
      <x:c r="K187" s="35" t="str">
        <x:v>https://www.timeshighereducation.com/json/ranking_tables/engineering_technology_rankings/2024</x:v>
      </x:c>
      <x:c r="L187" s="35" t="str">
        <x:v>http://www.cers.zju.edu.cn/cersen/</x:v>
      </x:c>
    </x:row>
    <x:row r="188">
      <x:c r="A188" s="31" t="n">
        <x:v>37</x:v>
      </x:c>
      <x:c r="B188" t="str">
        <x:v>Zhejiang University</x:v>
      </x:c>
      <x:c r="C188" s="32" t="str">
        <x:v>Graduate program in Environmental Science and Engineering</x:v>
      </x:c>
      <x:c r="D188" s="32" t="str">
        <x:v>Engineering</x:v>
      </x:c>
      <x:c r="E188" s="31" t="n">
        <x:v>2025</x:v>
      </x:c>
      <x:c r="F188" s="31" t="str">
        <x:v>27</x:v>
      </x:c>
      <x:c r="G188" s="31" t="str">
        <x:v>82.3</x:v>
      </x:c>
      <x:c r="H188" s="32" t="str">
        <x:v>Ranked in subject table</x:v>
      </x:c>
      <x:c r="I188" s="35" t="str">
        <x:v>https://www.timeshighereducation.com/world-university-rankings/zhejiang-university</x:v>
      </x:c>
      <x:c r="J188" s="35" t="str">
        <x:v>https://www.timeshighereducation.com/world-university-rankings/2025/subject-ranking/engineering</x:v>
      </x:c>
      <x:c r="K188" s="35" t="str">
        <x:v>https://www.timeshighereducation.com/json/ranking_tables/engineering_technology_rankings/2025</x:v>
      </x:c>
      <x:c r="L188" s="35" t="str">
        <x:v>http://www.cers.zju.edu.cn/cersen/</x:v>
      </x:c>
    </x:row>
    <x:row r="189">
      <x:c r="A189" s="31" t="n">
        <x:v>37</x:v>
      </x:c>
      <x:c r="B189" t="str">
        <x:v>Zhejiang University</x:v>
      </x:c>
      <x:c r="C189" s="32" t="str">
        <x:v>Graduate program in Environmental Science and Engineering</x:v>
      </x:c>
      <x:c r="D189" s="32" t="str">
        <x:v>Engineering</x:v>
      </x:c>
      <x:c r="E189" s="31" t="n">
        <x:v>2026</x:v>
      </x:c>
      <x:c r="F189" s="31" t="str">
        <x:v>23</x:v>
      </x:c>
      <x:c r="G189" s="31" t="str">
        <x:v>84.3</x:v>
      </x:c>
      <x:c r="H189" s="32" t="str">
        <x:v>Ranked in subject table</x:v>
      </x:c>
      <x:c r="I189" s="35" t="str">
        <x:v>https://www.timeshighereducation.com/world-university-rankings/zhejiang-university</x:v>
      </x:c>
      <x:c r="J189" s="35" t="str">
        <x:v>https://www.timeshighereducation.com/world-university-rankings/2026/subject-ranking/engineering</x:v>
      </x:c>
      <x:c r="K189" s="35" t="str">
        <x:v>https://www.timeshighereducation.com/json/ranking_tables/engineering_technology_rankings/2026</x:v>
      </x:c>
      <x:c r="L189" s="35" t="str">
        <x:v>http://www.cers.zju.edu.cn/cersen/</x:v>
      </x:c>
    </x:row>
    <x:row r="190">
      <x:c r="A190" s="31" t="n">
        <x:v>38</x:v>
      </x:c>
      <x:c r="B190" t="str">
        <x:v>University of California, Los Angeles (UCLA)</x:v>
      </x:c>
      <x:c r="C190" s="32" t="str">
        <x:v>Urban Planning MA - Environmental Analysis and Policy / sustainability focus</x:v>
      </x:c>
      <x:c r="D190" s="32" t="str">
        <x:v>Social Sciences</x:v>
      </x:c>
      <x:c r="E190" s="31" t="n">
        <x:v>2022</x:v>
      </x:c>
      <x:c r="F190" s="31" t="str">
        <x:v>12</x:v>
      </x:c>
      <x:c r="G190" s="31" t="str">
        <x:v>82.5</x:v>
      </x:c>
      <x:c r="H190" s="32" t="str">
        <x:v>Ranked in subject table</x:v>
      </x:c>
      <x:c r="I190" s="35" t="str">
        <x:v>https://www.timeshighereducation.com/world-university-rankings/university-california-los-angeles</x:v>
      </x:c>
      <x:c r="J190" s="35" t="str">
        <x:v>https://www.timeshighereducation.com/world-university-rankings/2022/subject-ranking/social-sciences</x:v>
      </x:c>
      <x:c r="K190" s="35" t="str">
        <x:v>https://www.timeshighereducation.com/json/ranking_tables/social_sciences_rankings/2022</x:v>
      </x:c>
      <x:c r="L190" s="35" t="str">
        <x:v>https://luskin.ucla.edu/urban-planning</x:v>
      </x:c>
    </x:row>
    <x:row r="191">
      <x:c r="A191" s="31" t="n">
        <x:v>38</x:v>
      </x:c>
      <x:c r="B191" t="str">
        <x:v>University of California, Los Angeles (UCLA)</x:v>
      </x:c>
      <x:c r="C191" s="32" t="str">
        <x:v>Urban Planning MA - Environmental Analysis and Policy / sustainability focus</x:v>
      </x:c>
      <x:c r="D191" s="32" t="str">
        <x:v>Social Sciences</x:v>
      </x:c>
      <x:c r="E191" s="31" t="n">
        <x:v>2023</x:v>
      </x:c>
      <x:c r="F191" s="31" t="str">
        <x:v>11</x:v>
      </x:c>
      <x:c r="G191" s="31" t="str">
        <x:v>83.0</x:v>
      </x:c>
      <x:c r="H191" s="32" t="str">
        <x:v>Ranked in subject table</x:v>
      </x:c>
      <x:c r="I191" s="35" t="str">
        <x:v>https://www.timeshighereducation.com/world-university-rankings/university-california-los-angeles</x:v>
      </x:c>
      <x:c r="J191" s="35" t="str">
        <x:v>https://www.timeshighereducation.com/world-university-rankings/2023/subject-ranking/social-sciences</x:v>
      </x:c>
      <x:c r="K191" s="35" t="str">
        <x:v>https://www.timeshighereducation.com/json/ranking_tables/social_sciences_rankings/2023</x:v>
      </x:c>
      <x:c r="L191" s="35" t="str">
        <x:v>https://luskin.ucla.edu/urban-planning</x:v>
      </x:c>
    </x:row>
    <x:row r="192">
      <x:c r="A192" s="31" t="n">
        <x:v>38</x:v>
      </x:c>
      <x:c r="B192" t="str">
        <x:v>University of California, Los Angeles (UCLA)</x:v>
      </x:c>
      <x:c r="C192" s="32" t="str">
        <x:v>Urban Planning MA - Environmental Analysis and Policy / sustainability focus</x:v>
      </x:c>
      <x:c r="D192" s="32" t="str">
        <x:v>Social Sciences</x:v>
      </x:c>
      <x:c r="E192" s="31" t="n">
        <x:v>2024</x:v>
      </x:c>
      <x:c r="F192" s="31" t="str">
        <x:v>15</x:v>
      </x:c>
      <x:c r="G192" s="31" t="str">
        <x:v>84.7</x:v>
      </x:c>
      <x:c r="H192" s="32" t="str">
        <x:v>Ranked in subject table</x:v>
      </x:c>
      <x:c r="I192" s="35" t="str">
        <x:v>https://www.timeshighereducation.com/world-university-rankings/university-california-los-angeles</x:v>
      </x:c>
      <x:c r="J192" s="35" t="str">
        <x:v>https://www.timeshighereducation.com/world-university-rankings/2024/subject-ranking/social-sciences</x:v>
      </x:c>
      <x:c r="K192" s="35" t="str">
        <x:v>https://www.timeshighereducation.com/json/ranking_tables/social_sciences_rankings/2024</x:v>
      </x:c>
      <x:c r="L192" s="35" t="str">
        <x:v>https://luskin.ucla.edu/urban-planning</x:v>
      </x:c>
    </x:row>
    <x:row r="193">
      <x:c r="A193" s="31" t="n">
        <x:v>38</x:v>
      </x:c>
      <x:c r="B193" t="str">
        <x:v>University of California, Los Angeles (UCLA)</x:v>
      </x:c>
      <x:c r="C193" s="32" t="str">
        <x:v>Urban Planning MA - Environmental Analysis and Policy / sustainability focus</x:v>
      </x:c>
      <x:c r="D193" s="32" t="str">
        <x:v>Social Sciences</x:v>
      </x:c>
      <x:c r="E193" s="31" t="n">
        <x:v>2025</x:v>
      </x:c>
      <x:c r="F193" s="31" t="str">
        <x:v>15</x:v>
      </x:c>
      <x:c r="G193" s="31" t="str">
        <x:v>82.6</x:v>
      </x:c>
      <x:c r="H193" s="32" t="str">
        <x:v>Ranked in subject table</x:v>
      </x:c>
      <x:c r="I193" s="35" t="str">
        <x:v>https://www.timeshighereducation.com/world-university-rankings/university-california-los-angeles</x:v>
      </x:c>
      <x:c r="J193" s="35" t="str">
        <x:v>https://www.timeshighereducation.com/world-university-rankings/2025/subject-ranking/social-sciences</x:v>
      </x:c>
      <x:c r="K193" s="35" t="str">
        <x:v>https://www.timeshighereducation.com/json/ranking_tables/social_sciences_rankings/2025</x:v>
      </x:c>
      <x:c r="L193" s="35" t="str">
        <x:v>https://luskin.ucla.edu/urban-planning</x:v>
      </x:c>
    </x:row>
    <x:row r="194">
      <x:c r="A194" s="31" t="n">
        <x:v>38</x:v>
      </x:c>
      <x:c r="B194" t="str">
        <x:v>University of California, Los Angeles (UCLA)</x:v>
      </x:c>
      <x:c r="C194" s="32" t="str">
        <x:v>Urban Planning MA - Environmental Analysis and Policy / sustainability focus</x:v>
      </x:c>
      <x:c r="D194" s="32" t="str">
        <x:v>Social Sciences</x:v>
      </x:c>
      <x:c r="E194" s="31" t="n">
        <x:v>2026</x:v>
      </x:c>
      <x:c r="F194" s="31" t="str">
        <x:v>14</x:v>
      </x:c>
      <x:c r="G194" s="31" t="str">
        <x:v>83.3</x:v>
      </x:c>
      <x:c r="H194" s="32" t="str">
        <x:v>Ranked in subject table</x:v>
      </x:c>
      <x:c r="I194" s="35" t="str">
        <x:v>https://www.timeshighereducation.com/world-university-rankings/university-california-los-angeles</x:v>
      </x:c>
      <x:c r="J194" s="35" t="str">
        <x:v>https://www.timeshighereducation.com/world-university-rankings/2026/subject-ranking/social-sciences</x:v>
      </x:c>
      <x:c r="K194" s="35" t="str">
        <x:v>https://www.timeshighereducation.com/json/ranking_tables/social_sciences_rankings/2026</x:v>
      </x:c>
      <x:c r="L194" s="35" t="str">
        <x:v>https://luskin.ucla.edu/urban-planning</x:v>
      </x:c>
    </x:row>
    <x:row r="195">
      <x:c r="A195" s="31" t="n">
        <x:v>39</x:v>
      </x:c>
      <x:c r="B195" t="str">
        <x:v>The University of New South Wales (UNSW Sydney)</x:v>
      </x:c>
      <x:c r="C195" s="32" t="str">
        <x:v>Master of Environmental Management</x:v>
      </x:c>
      <x:c r="D195" s="32" t="str">
        <x:v>Physical Sciences</x:v>
      </x:c>
      <x:c r="E195" s="31" t="n">
        <x:v>2022</x:v>
      </x:c>
      <x:c r="F195" s="31" t="str">
        <x:v>82</x:v>
      </x:c>
      <x:c r="G195" s="31" t="str">
        <x:v>62.2</x:v>
      </x:c>
      <x:c r="H195" s="32" t="str">
        <x:v>Ranked in subject table</x:v>
      </x:c>
      <x:c r="I195" s="35" t="str">
        <x:v>https://www.timeshighereducation.com/world-university-rankings/unsw-sydney</x:v>
      </x:c>
      <x:c r="J195" s="35" t="str">
        <x:v>https://www.timeshighereducation.com/world-university-rankings/2022/subject-ranking/physical-sciences</x:v>
      </x:c>
      <x:c r="K195" s="35" t="str">
        <x:v>https://www.timeshighereducation.com/json/ranking_tables/physical_sciences_rankings/2022</x:v>
      </x:c>
      <x:c r="L195" s="35" t="str">
        <x:v>https://www.unsw.edu.au/study/postgraduate/master-of-environmental-management</x:v>
      </x:c>
    </x:row>
    <x:row r="196">
      <x:c r="A196" s="31" t="n">
        <x:v>39</x:v>
      </x:c>
      <x:c r="B196" t="str">
        <x:v>The University of New South Wales (UNSW Sydney)</x:v>
      </x:c>
      <x:c r="C196" s="32" t="str">
        <x:v>Master of Environmental Management</x:v>
      </x:c>
      <x:c r="D196" s="32" t="str">
        <x:v>Physical Sciences</x:v>
      </x:c>
      <x:c r="E196" s="31" t="n">
        <x:v>2023</x:v>
      </x:c>
      <x:c r="F196" s="31" t="n">
        <x:f>98</x:f>
        <x:v>98</x:v>
      </x:c>
      <x:c r="G196" s="31" t="str">
        <x:v>60.0</x:v>
      </x:c>
      <x:c r="H196" s="32" t="str">
        <x:v>Ranked in subject table</x:v>
      </x:c>
      <x:c r="I196" s="35" t="str">
        <x:v>https://www.timeshighereducation.com/world-university-rankings/unsw-sydney</x:v>
      </x:c>
      <x:c r="J196" s="35" t="str">
        <x:v>https://www.timeshighereducation.com/world-university-rankings/2023/subject-ranking/physical-sciences</x:v>
      </x:c>
      <x:c r="K196" s="35" t="str">
        <x:v>https://www.timeshighereducation.com/json/ranking_tables/physical_sciences_rankings/2023</x:v>
      </x:c>
      <x:c r="L196" s="35" t="str">
        <x:v>https://www.unsw.edu.au/study/postgraduate/master-of-environmental-management</x:v>
      </x:c>
    </x:row>
    <x:row r="197">
      <x:c r="A197" s="31" t="n">
        <x:v>39</x:v>
      </x:c>
      <x:c r="B197" t="str">
        <x:v>The University of New South Wales (UNSW Sydney)</x:v>
      </x:c>
      <x:c r="C197" s="32" t="str">
        <x:v>Master of Environmental Management</x:v>
      </x:c>
      <x:c r="D197" s="32" t="str">
        <x:v>Physical Sciences</x:v>
      </x:c>
      <x:c r="E197" s="31" t="n">
        <x:v>2024</x:v>
      </x:c>
      <x:c r="F197" s="31" t="str">
        <x:v>88</x:v>
      </x:c>
      <x:c r="G197" s="31" t="str">
        <x:v>64.1</x:v>
      </x:c>
      <x:c r="H197" s="32" t="str">
        <x:v>Ranked in subject table</x:v>
      </x:c>
      <x:c r="I197" s="35" t="str">
        <x:v>https://www.timeshighereducation.com/world-university-rankings/unsw-sydney</x:v>
      </x:c>
      <x:c r="J197" s="35" t="str">
        <x:v>https://www.timeshighereducation.com/world-university-rankings/2024/subject-ranking/physical-sciences</x:v>
      </x:c>
      <x:c r="K197" s="35" t="str">
        <x:v>https://www.timeshighereducation.com/json/ranking_tables/physical_sciences_rankings/2024</x:v>
      </x:c>
      <x:c r="L197" s="35" t="str">
        <x:v>https://www.unsw.edu.au/study/postgraduate/master-of-environmental-management</x:v>
      </x:c>
    </x:row>
    <x:row r="198">
      <x:c r="A198" s="31" t="n">
        <x:v>39</x:v>
      </x:c>
      <x:c r="B198" t="str">
        <x:v>The University of New South Wales (UNSW Sydney)</x:v>
      </x:c>
      <x:c r="C198" s="32" t="str">
        <x:v>Master of Environmental Management</x:v>
      </x:c>
      <x:c r="D198" s="32" t="str">
        <x:v>Physical Sciences</x:v>
      </x:c>
      <x:c r="E198" s="31" t="n">
        <x:v>2025</x:v>
      </x:c>
      <x:c r="F198" s="31" t="n">
        <x:f>82</x:f>
        <x:v>82</x:v>
      </x:c>
      <x:c r="G198" s="31" t="str">
        <x:v>63.7</x:v>
      </x:c>
      <x:c r="H198" s="32" t="str">
        <x:v>Ranked in subject table</x:v>
      </x:c>
      <x:c r="I198" s="35" t="str">
        <x:v>https://www.timeshighereducation.com/world-university-rankings/unsw-sydney</x:v>
      </x:c>
      <x:c r="J198" s="35" t="str">
        <x:v>https://www.timeshighereducation.com/world-university-rankings/2025/subject-ranking/physical-sciences</x:v>
      </x:c>
      <x:c r="K198" s="35" t="str">
        <x:v>https://www.timeshighereducation.com/json/ranking_tables/physical_sciences_rankings/2025</x:v>
      </x:c>
      <x:c r="L198" s="35" t="str">
        <x:v>https://www.unsw.edu.au/study/postgraduate/master-of-environmental-management</x:v>
      </x:c>
    </x:row>
    <x:row r="199">
      <x:c r="A199" s="31" t="n">
        <x:v>39</x:v>
      </x:c>
      <x:c r="B199" t="str">
        <x:v>The University of New South Wales (UNSW Sydney)</x:v>
      </x:c>
      <x:c r="C199" s="32" t="str">
        <x:v>Master of Environmental Management</x:v>
      </x:c>
      <x:c r="D199" s="32" t="str">
        <x:v>Physical Sciences</x:v>
      </x:c>
      <x:c r="E199" s="31" t="n">
        <x:v>2026</x:v>
      </x:c>
      <x:c r="F199" s="31" t="str">
        <x:v>83</x:v>
      </x:c>
      <x:c r="G199" s="31" t="str">
        <x:v>64.9</x:v>
      </x:c>
      <x:c r="H199" s="32" t="str">
        <x:v>Ranked in subject table</x:v>
      </x:c>
      <x:c r="I199" s="35" t="str">
        <x:v>https://www.timeshighereducation.com/world-university-rankings/unsw-sydney</x:v>
      </x:c>
      <x:c r="J199" s="35" t="str">
        <x:v>https://www.timeshighereducation.com/world-university-rankings/2026/subject-ranking/physical-sciences</x:v>
      </x:c>
      <x:c r="K199" s="35" t="str">
        <x:v>https://www.timeshighereducation.com/json/ranking_tables/physical_sciences_rankings/2026</x:v>
      </x:c>
      <x:c r="L199" s="35" t="str">
        <x:v>https://www.unsw.edu.au/study/postgraduate/master-of-environmental-management</x:v>
      </x:c>
    </x:row>
    <x:row r="200">
      <x:c r="A200" s="31" t="n">
        <x:v>40</x:v>
      </x:c>
      <x:c r="B200" t="str">
        <x:v>The University of Sydney</x:v>
      </x:c>
      <x:c r="C200" s="32" t="str">
        <x:v>Master of Sustainability</x:v>
      </x:c>
      <x:c r="D200" s="32" t="str">
        <x:v>Physical Sciences</x:v>
      </x:c>
      <x:c r="E200" s="31" t="n">
        <x:v>2022</x:v>
      </x:c>
      <x:c r="F200" s="31" t="str">
        <x:v>101–125</x:v>
      </x:c>
      <x:c r="G200" s="31" t="str">
        <x:v>56.9–58.9</x:v>
      </x:c>
      <x:c r="H200" s="32" t="str">
        <x:v>Ranked in subject table</x:v>
      </x:c>
      <x:c r="I200" s="35" t="str">
        <x:v>https://www.timeshighereducation.com/world-university-rankings/university-sydney</x:v>
      </x:c>
      <x:c r="J200" s="35" t="str">
        <x:v>https://www.timeshighereducation.com/world-university-rankings/2022/subject-ranking/physical-sciences</x:v>
      </x:c>
      <x:c r="K200" s="35" t="str">
        <x:v>https://www.timeshighereducation.com/json/ranking_tables/physical_sciences_rankings/2022</x:v>
      </x:c>
      <x:c r="L200" s="35" t="str">
        <x:v>https://www.sydney.edu.au/courses/courses/pc/master-of-sustainability.html</x:v>
      </x:c>
    </x:row>
    <x:row r="201">
      <x:c r="A201" s="31" t="n">
        <x:v>40</x:v>
      </x:c>
      <x:c r="B201" t="str">
        <x:v>The University of Sydney</x:v>
      </x:c>
      <x:c r="C201" s="32" t="str">
        <x:v>Master of Sustainability</x:v>
      </x:c>
      <x:c r="D201" s="32" t="str">
        <x:v>Physical Sciences</x:v>
      </x:c>
      <x:c r="E201" s="31" t="n">
        <x:v>2023</x:v>
      </x:c>
      <x:c r="F201" s="31" t="str">
        <x:v>101–125</x:v>
      </x:c>
      <x:c r="G201" s="31" t="str">
        <x:v>56.8–59.5</x:v>
      </x:c>
      <x:c r="H201" s="32" t="str">
        <x:v>Ranked in subject table</x:v>
      </x:c>
      <x:c r="I201" s="35" t="str">
        <x:v>https://www.timeshighereducation.com/world-university-rankings/university-sydney</x:v>
      </x:c>
      <x:c r="J201" s="35" t="str">
        <x:v>https://www.timeshighereducation.com/world-university-rankings/2023/subject-ranking/physical-sciences</x:v>
      </x:c>
      <x:c r="K201" s="35" t="str">
        <x:v>https://www.timeshighereducation.com/json/ranking_tables/physical_sciences_rankings/2023</x:v>
      </x:c>
      <x:c r="L201" s="35" t="str">
        <x:v>https://www.sydney.edu.au/courses/courses/pc/master-of-sustainability.html</x:v>
      </x:c>
    </x:row>
    <x:row r="202">
      <x:c r="A202" s="31" t="n">
        <x:v>40</x:v>
      </x:c>
      <x:c r="B202" t="str">
        <x:v>The University of Sydney</x:v>
      </x:c>
      <x:c r="C202" s="32" t="str">
        <x:v>Master of Sustainability</x:v>
      </x:c>
      <x:c r="D202" s="32" t="str">
        <x:v>Physical Sciences</x:v>
      </x:c>
      <x:c r="E202" s="31" t="n">
        <x:v>2024</x:v>
      </x:c>
      <x:c r="F202" s="31" t="n">
        <x:f>82</x:f>
        <x:v>82</x:v>
      </x:c>
      <x:c r="G202" s="31" t="str">
        <x:v>64.6</x:v>
      </x:c>
      <x:c r="H202" s="32" t="str">
        <x:v>Ranked in subject table</x:v>
      </x:c>
      <x:c r="I202" s="35" t="str">
        <x:v>https://www.timeshighereducation.com/world-university-rankings/university-sydney</x:v>
      </x:c>
      <x:c r="J202" s="35" t="str">
        <x:v>https://www.timeshighereducation.com/world-university-rankings/2024/subject-ranking/physical-sciences</x:v>
      </x:c>
      <x:c r="K202" s="35" t="str">
        <x:v>https://www.timeshighereducation.com/json/ranking_tables/physical_sciences_rankings/2024</x:v>
      </x:c>
      <x:c r="L202" s="35" t="str">
        <x:v>https://www.sydney.edu.au/courses/courses/pc/master-of-sustainability.html</x:v>
      </x:c>
    </x:row>
    <x:row r="203">
      <x:c r="A203" s="31" t="n">
        <x:v>40</x:v>
      </x:c>
      <x:c r="B203" t="str">
        <x:v>The University of Sydney</x:v>
      </x:c>
      <x:c r="C203" s="32" t="str">
        <x:v>Master of Sustainability</x:v>
      </x:c>
      <x:c r="D203" s="32" t="str">
        <x:v>Physical Sciences</x:v>
      </x:c>
      <x:c r="E203" s="31" t="n">
        <x:v>2025</x:v>
      </x:c>
      <x:c r="F203" s="31" t="n">
        <x:f>85</x:f>
        <x:v>85</x:v>
      </x:c>
      <x:c r="G203" s="31" t="str">
        <x:v>63.4</x:v>
      </x:c>
      <x:c r="H203" s="32" t="str">
        <x:v>Ranked in subject table</x:v>
      </x:c>
      <x:c r="I203" s="35" t="str">
        <x:v>https://www.timeshighereducation.com/world-university-rankings/university-sydney</x:v>
      </x:c>
      <x:c r="J203" s="35" t="str">
        <x:v>https://www.timeshighereducation.com/world-university-rankings/2025/subject-ranking/physical-sciences</x:v>
      </x:c>
      <x:c r="K203" s="35" t="str">
        <x:v>https://www.timeshighereducation.com/json/ranking_tables/physical_sciences_rankings/2025</x:v>
      </x:c>
      <x:c r="L203" s="35" t="str">
        <x:v>https://www.sydney.edu.au/courses/courses/pc/master-of-sustainability.html</x:v>
      </x:c>
    </x:row>
    <x:row r="204">
      <x:c r="A204" s="31" t="n">
        <x:v>40</x:v>
      </x:c>
      <x:c r="B204" t="str">
        <x:v>The University of Sydney</x:v>
      </x:c>
      <x:c r="C204" s="32" t="str">
        <x:v>Master of Sustainability</x:v>
      </x:c>
      <x:c r="D204" s="32" t="str">
        <x:v>Physical Sciences</x:v>
      </x:c>
      <x:c r="E204" s="31" t="n">
        <x:v>2026</x:v>
      </x:c>
      <x:c r="F204" s="31" t="n">
        <x:f>70</x:f>
        <x:v>70</x:v>
      </x:c>
      <x:c r="G204" s="31" t="str">
        <x:v>66.6</x:v>
      </x:c>
      <x:c r="H204" s="32" t="str">
        <x:v>Ranked in subject table</x:v>
      </x:c>
      <x:c r="I204" s="35" t="str">
        <x:v>https://www.timeshighereducation.com/world-university-rankings/university-sydney</x:v>
      </x:c>
      <x:c r="J204" s="35" t="str">
        <x:v>https://www.timeshighereducation.com/world-university-rankings/2026/subject-ranking/physical-sciences</x:v>
      </x:c>
      <x:c r="K204" s="35" t="str">
        <x:v>https://www.timeshighereducation.com/json/ranking_tables/physical_sciences_rankings/2026</x:v>
      </x:c>
      <x:c r="L204" s="35" t="str">
        <x:v>https://www.sydney.edu.au/courses/courses/pc/master-of-sustainability.html</x:v>
      </x:c>
    </x:row>
    <x:row r="205">
      <x:c r="A205" s="31" t="n">
        <x:v>41</x:v>
      </x:c>
      <x:c r="B205" t="str">
        <x:v>Australian National University (ANU)</x:v>
      </x:c>
      <x:c r="C205" s="32" t="str">
        <x:v>Master of Climate Change</x:v>
      </x:c>
      <x:c r="D205" s="32" t="str">
        <x:v>Physical Sciences</x:v>
      </x:c>
      <x:c r="E205" s="31" t="n">
        <x:v>2022</x:v>
      </x:c>
      <x:c r="F205" s="31" t="n">
        <x:f>43</x:f>
        <x:v>43</x:v>
      </x:c>
      <x:c r="G205" s="31" t="str">
        <x:v>72.2</x:v>
      </x:c>
      <x:c r="H205" s="32" t="str">
        <x:v>Ranked in subject table</x:v>
      </x:c>
      <x:c r="I205" s="35" t="str">
        <x:v>https://www.timeshighereducation.com/world-university-rankings/australian-national-university</x:v>
      </x:c>
      <x:c r="J205" s="35" t="str">
        <x:v>https://www.timeshighereducation.com/world-university-rankings/2022/subject-ranking/physical-sciences</x:v>
      </x:c>
      <x:c r="K205" s="35" t="str">
        <x:v>https://www.timeshighereducation.com/json/ranking_tables/physical_sciences_rankings/2022</x:v>
      </x:c>
      <x:c r="L205" s="35" t="str">
        <x:v>https://programsandcourses.anu.edu.au/program/MCLCH</x:v>
      </x:c>
    </x:row>
    <x:row r="206">
      <x:c r="A206" s="31" t="n">
        <x:v>41</x:v>
      </x:c>
      <x:c r="B206" t="str">
        <x:v>Australian National University (ANU)</x:v>
      </x:c>
      <x:c r="C206" s="32" t="str">
        <x:v>Master of Climate Change</x:v>
      </x:c>
      <x:c r="D206" s="32" t="str">
        <x:v>Physical Sciences</x:v>
      </x:c>
      <x:c r="E206" s="31" t="n">
        <x:v>2023</x:v>
      </x:c>
      <x:c r="F206" s="31" t="str">
        <x:v>56</x:v>
      </x:c>
      <x:c r="G206" s="31" t="str">
        <x:v>67.5</x:v>
      </x:c>
      <x:c r="H206" s="32" t="str">
        <x:v>Ranked in subject table</x:v>
      </x:c>
      <x:c r="I206" s="35" t="str">
        <x:v>https://www.timeshighereducation.com/world-university-rankings/australian-national-university</x:v>
      </x:c>
      <x:c r="J206" s="35" t="str">
        <x:v>https://www.timeshighereducation.com/world-university-rankings/2023/subject-ranking/physical-sciences</x:v>
      </x:c>
      <x:c r="K206" s="35" t="str">
        <x:v>https://www.timeshighereducation.com/json/ranking_tables/physical_sciences_rankings/2023</x:v>
      </x:c>
      <x:c r="L206" s="35" t="str">
        <x:v>https://programsandcourses.anu.edu.au/program/MCLCH</x:v>
      </x:c>
    </x:row>
    <x:row r="207">
      <x:c r="A207" s="31" t="n">
        <x:v>41</x:v>
      </x:c>
      <x:c r="B207" t="str">
        <x:v>Australian National University (ANU)</x:v>
      </x:c>
      <x:c r="C207" s="32" t="str">
        <x:v>Master of Climate Change</x:v>
      </x:c>
      <x:c r="D207" s="32" t="str">
        <x:v>Physical Sciences</x:v>
      </x:c>
      <x:c r="E207" s="31" t="n">
        <x:v>2024</x:v>
      </x:c>
      <x:c r="F207" s="31" t="str">
        <x:v>55</x:v>
      </x:c>
      <x:c r="G207" s="31" t="str">
        <x:v>70.3</x:v>
      </x:c>
      <x:c r="H207" s="32" t="str">
        <x:v>Ranked in subject table</x:v>
      </x:c>
      <x:c r="I207" s="35" t="str">
        <x:v>https://www.timeshighereducation.com/world-university-rankings/australian-national-university</x:v>
      </x:c>
      <x:c r="J207" s="35" t="str">
        <x:v>https://www.timeshighereducation.com/world-university-rankings/2024/subject-ranking/physical-sciences</x:v>
      </x:c>
      <x:c r="K207" s="35" t="str">
        <x:v>https://www.timeshighereducation.com/json/ranking_tables/physical_sciences_rankings/2024</x:v>
      </x:c>
      <x:c r="L207" s="35" t="str">
        <x:v>https://programsandcourses.anu.edu.au/program/MCLCH</x:v>
      </x:c>
    </x:row>
    <x:row r="208">
      <x:c r="A208" s="31" t="n">
        <x:v>41</x:v>
      </x:c>
      <x:c r="B208" t="str">
        <x:v>Australian National University (ANU)</x:v>
      </x:c>
      <x:c r="C208" s="32" t="str">
        <x:v>Master of Climate Change</x:v>
      </x:c>
      <x:c r="D208" s="32" t="str">
        <x:v>Physical Sciences</x:v>
      </x:c>
      <x:c r="E208" s="31" t="n">
        <x:v>2025</x:v>
      </x:c>
      <x:c r="F208" s="31" t="str">
        <x:v>59</x:v>
      </x:c>
      <x:c r="G208" s="31" t="str">
        <x:v>70.0</x:v>
      </x:c>
      <x:c r="H208" s="32" t="str">
        <x:v>Ranked in subject table</x:v>
      </x:c>
      <x:c r="I208" s="35" t="str">
        <x:v>https://www.timeshighereducation.com/world-university-rankings/australian-national-university</x:v>
      </x:c>
      <x:c r="J208" s="35" t="str">
        <x:v>https://www.timeshighereducation.com/world-university-rankings/2025/subject-ranking/physical-sciences</x:v>
      </x:c>
      <x:c r="K208" s="35" t="str">
        <x:v>https://www.timeshighereducation.com/json/ranking_tables/physical_sciences_rankings/2025</x:v>
      </x:c>
      <x:c r="L208" s="35" t="str">
        <x:v>https://programsandcourses.anu.edu.au/program/MCLCH</x:v>
      </x:c>
    </x:row>
    <x:row r="209">
      <x:c r="A209" s="31" t="n">
        <x:v>41</x:v>
      </x:c>
      <x:c r="B209" t="str">
        <x:v>Australian National University (ANU)</x:v>
      </x:c>
      <x:c r="C209" s="32" t="str">
        <x:v>Master of Climate Change</x:v>
      </x:c>
      <x:c r="D209" s="32" t="str">
        <x:v>Physical Sciences</x:v>
      </x:c>
      <x:c r="E209" s="31" t="n">
        <x:v>2026</x:v>
      </x:c>
      <x:c r="F209" s="31" t="str">
        <x:v>60</x:v>
      </x:c>
      <x:c r="G209" s="31" t="str">
        <x:v>70.4</x:v>
      </x:c>
      <x:c r="H209" s="32" t="str">
        <x:v>Ranked in subject table</x:v>
      </x:c>
      <x:c r="I209" s="35" t="str">
        <x:v>https://www.timeshighereducation.com/world-university-rankings/australian-national-university</x:v>
      </x:c>
      <x:c r="J209" s="35" t="str">
        <x:v>https://www.timeshighereducation.com/world-university-rankings/2026/subject-ranking/physical-sciences</x:v>
      </x:c>
      <x:c r="K209" s="35" t="str">
        <x:v>https://www.timeshighereducation.com/json/ranking_tables/physical_sciences_rankings/2026</x:v>
      </x:c>
      <x:c r="L209" s="35" t="str">
        <x:v>https://programsandcourses.anu.edu.au/program/MCLCH</x:v>
      </x:c>
    </x:row>
    <x:row r="210">
      <x:c r="A210" s="31" t="n">
        <x:v>42</x:v>
      </x:c>
      <x:c r="B210" t="str">
        <x:v>Monash University</x:v>
      </x:c>
      <x:c r="C210" s="32" t="str">
        <x:v>Master of Environment and Sustainability</x:v>
      </x:c>
      <x:c r="D210" s="32" t="str">
        <x:v>Physical Sciences</x:v>
      </x:c>
      <x:c r="E210" s="31" t="n">
        <x:v>2022</x:v>
      </x:c>
      <x:c r="F210" s="31" t="n">
        <x:f>100</x:f>
        <x:v>100</x:v>
      </x:c>
      <x:c r="G210" s="31" t="str">
        <x:v>59.0</x:v>
      </x:c>
      <x:c r="H210" s="32" t="str">
        <x:v>Ranked in subject table</x:v>
      </x:c>
      <x:c r="I210" s="35" t="str">
        <x:v>https://www.timeshighereducation.com/world-university-rankings/monash-university</x:v>
      </x:c>
      <x:c r="J210" s="35" t="str">
        <x:v>https://www.timeshighereducation.com/world-university-rankings/2022/subject-ranking/physical-sciences</x:v>
      </x:c>
      <x:c r="K210" s="35" t="str">
        <x:v>https://www.timeshighereducation.com/json/ranking_tables/physical_sciences_rankings/2022</x:v>
      </x:c>
      <x:c r="L210" s="35" t="str">
        <x:v>https://www.monash.edu/study/courses/find-a-course/environment-and-sustainability-s6002</x:v>
      </x:c>
    </x:row>
    <x:row r="211">
      <x:c r="A211" s="31" t="n">
        <x:v>42</x:v>
      </x:c>
      <x:c r="B211" t="str">
        <x:v>Monash University</x:v>
      </x:c>
      <x:c r="C211" s="32" t="str">
        <x:v>Master of Environment and Sustainability</x:v>
      </x:c>
      <x:c r="D211" s="32" t="str">
        <x:v>Physical Sciences</x:v>
      </x:c>
      <x:c r="E211" s="31" t="n">
        <x:v>2023</x:v>
      </x:c>
      <x:c r="F211" s="31" t="n">
        <x:f>82</x:f>
        <x:v>82</x:v>
      </x:c>
      <x:c r="G211" s="31" t="str">
        <x:v>61.6</x:v>
      </x:c>
      <x:c r="H211" s="32" t="str">
        <x:v>Ranked in subject table</x:v>
      </x:c>
      <x:c r="I211" s="35" t="str">
        <x:v>https://www.timeshighereducation.com/world-university-rankings/monash-university</x:v>
      </x:c>
      <x:c r="J211" s="35" t="str">
        <x:v>https://www.timeshighereducation.com/world-university-rankings/2023/subject-ranking/physical-sciences</x:v>
      </x:c>
      <x:c r="K211" s="35" t="str">
        <x:v>https://www.timeshighereducation.com/json/ranking_tables/physical_sciences_rankings/2023</x:v>
      </x:c>
      <x:c r="L211" s="35" t="str">
        <x:v>https://www.monash.edu/study/courses/find-a-course/environment-and-sustainability-s6002</x:v>
      </x:c>
    </x:row>
    <x:row r="212">
      <x:c r="A212" s="31" t="n">
        <x:v>42</x:v>
      </x:c>
      <x:c r="B212" t="str">
        <x:v>Monash University</x:v>
      </x:c>
      <x:c r="C212" s="32" t="str">
        <x:v>Master of Environment and Sustainability</x:v>
      </x:c>
      <x:c r="D212" s="32" t="str">
        <x:v>Physical Sciences</x:v>
      </x:c>
      <x:c r="E212" s="31" t="n">
        <x:v>2024</x:v>
      </x:c>
      <x:c r="F212" s="31" t="n">
        <x:f>90</x:f>
        <x:v>90</x:v>
      </x:c>
      <x:c r="G212" s="31" t="str">
        <x:v>63.6</x:v>
      </x:c>
      <x:c r="H212" s="32" t="str">
        <x:v>Ranked in subject table</x:v>
      </x:c>
      <x:c r="I212" s="35" t="str">
        <x:v>https://www.timeshighereducation.com/world-university-rankings/monash-university</x:v>
      </x:c>
      <x:c r="J212" s="35" t="str">
        <x:v>https://www.timeshighereducation.com/world-university-rankings/2024/subject-ranking/physical-sciences</x:v>
      </x:c>
      <x:c r="K212" s="35" t="str">
        <x:v>https://www.timeshighereducation.com/json/ranking_tables/physical_sciences_rankings/2024</x:v>
      </x:c>
      <x:c r="L212" s="35" t="str">
        <x:v>https://www.monash.edu/study/courses/find-a-course/environment-and-sustainability-s6002</x:v>
      </x:c>
    </x:row>
    <x:row r="213">
      <x:c r="A213" s="31" t="n">
        <x:v>42</x:v>
      </x:c>
      <x:c r="B213" t="str">
        <x:v>Monash University</x:v>
      </x:c>
      <x:c r="C213" s="32" t="str">
        <x:v>Master of Environment and Sustainability</x:v>
      </x:c>
      <x:c r="D213" s="32" t="str">
        <x:v>Physical Sciences</x:v>
      </x:c>
      <x:c r="E213" s="31" t="n">
        <x:v>2025</x:v>
      </x:c>
      <x:c r="F213" s="31" t="str">
        <x:v>101–125</x:v>
      </x:c>
      <x:c r="G213" s="31" t="str">
        <x:v>59.1–61.1</x:v>
      </x:c>
      <x:c r="H213" s="32" t="str">
        <x:v>Ranked in subject table</x:v>
      </x:c>
      <x:c r="I213" s="35" t="str">
        <x:v>https://www.timeshighereducation.com/world-university-rankings/monash-university</x:v>
      </x:c>
      <x:c r="J213" s="35" t="str">
        <x:v>https://www.timeshighereducation.com/world-university-rankings/2025/subject-ranking/physical-sciences</x:v>
      </x:c>
      <x:c r="K213" s="35" t="str">
        <x:v>https://www.timeshighereducation.com/json/ranking_tables/physical_sciences_rankings/2025</x:v>
      </x:c>
      <x:c r="L213" s="35" t="str">
        <x:v>https://www.monash.edu/study/courses/find-a-course/environment-and-sustainability-s6002</x:v>
      </x:c>
    </x:row>
    <x:row r="214">
      <x:c r="A214" s="31" t="n">
        <x:v>42</x:v>
      </x:c>
      <x:c r="B214" t="str">
        <x:v>Monash University</x:v>
      </x:c>
      <x:c r="C214" s="32" t="str">
        <x:v>Master of Environment and Sustainability</x:v>
      </x:c>
      <x:c r="D214" s="32" t="str">
        <x:v>Physical Sciences</x:v>
      </x:c>
      <x:c r="E214" s="31" t="n">
        <x:v>2026</x:v>
      </x:c>
      <x:c r="F214" s="31" t="n">
        <x:f>90</x:f>
        <x:v>90</x:v>
      </x:c>
      <x:c r="G214" s="31" t="str">
        <x:v>63.8</x:v>
      </x:c>
      <x:c r="H214" s="32" t="str">
        <x:v>Ranked in subject table</x:v>
      </x:c>
      <x:c r="I214" s="35" t="str">
        <x:v>https://www.timeshighereducation.com/world-university-rankings/monash-university</x:v>
      </x:c>
      <x:c r="J214" s="35" t="str">
        <x:v>https://www.timeshighereducation.com/world-university-rankings/2026/subject-ranking/physical-sciences</x:v>
      </x:c>
      <x:c r="K214" s="35" t="str">
        <x:v>https://www.timeshighereducation.com/json/ranking_tables/physical_sciences_rankings/2026</x:v>
      </x:c>
      <x:c r="L214" s="35" t="str">
        <x:v>https://www.monash.edu/study/courses/find-a-course/environment-and-sustainability-s6002</x:v>
      </x:c>
    </x:row>
    <x:row r="215">
      <x:c r="A215" s="31" t="n">
        <x:v>43</x:v>
      </x:c>
      <x:c r="B215" t="str">
        <x:v>The Hong Kong University of Science and Technology</x:v>
      </x:c>
      <x:c r="C215" s="32" t="str">
        <x:v>MSc in Environmental Engineering and Management</x:v>
      </x:c>
      <x:c r="D215" s="32" t="str">
        <x:v>Engineering</x:v>
      </x:c>
      <x:c r="E215" s="31" t="n">
        <x:v>2022</x:v>
      </x:c>
      <x:c r="F215" s="31" t="str">
        <x:v>28</x:v>
      </x:c>
      <x:c r="G215" s="31" t="str">
        <x:v>77.0</x:v>
      </x:c>
      <x:c r="H215" s="32" t="str">
        <x:v>Ranked in subject table</x:v>
      </x:c>
      <x:c r="I215" s="35" t="str">
        <x:v>https://www.timeshighereducation.com/world-university-rankings/hong-kong-university-science-and-technology</x:v>
      </x:c>
      <x:c r="J215" s="35" t="str">
        <x:v>https://www.timeshighereducation.com/world-university-rankings/2022/subject-ranking/engineering</x:v>
      </x:c>
      <x:c r="K215" s="35" t="str">
        <x:v>https://www.timeshighereducation.com/json/ranking_tables/engineering_technology_rankings/2022</x:v>
      </x:c>
      <x:c r="L215" s="35" t="str">
        <x:v>https://cee.hkust.edu.hk/msc-environmental-engineering-and-management</x:v>
      </x:c>
    </x:row>
    <x:row r="216">
      <x:c r="A216" s="31" t="n">
        <x:v>43</x:v>
      </x:c>
      <x:c r="B216" t="str">
        <x:v>The Hong Kong University of Science and Technology</x:v>
      </x:c>
      <x:c r="C216" s="32" t="str">
        <x:v>MSc in Environmental Engineering and Management</x:v>
      </x:c>
      <x:c r="D216" s="32" t="str">
        <x:v>Engineering</x:v>
      </x:c>
      <x:c r="E216" s="31" t="n">
        <x:v>2023</x:v>
      </x:c>
      <x:c r="F216" s="31" t="str">
        <x:v>26</x:v>
      </x:c>
      <x:c r="G216" s="31" t="str">
        <x:v>79.3</x:v>
      </x:c>
      <x:c r="H216" s="32" t="str">
        <x:v>Ranked in subject table</x:v>
      </x:c>
      <x:c r="I216" s="35" t="str">
        <x:v>https://www.timeshighereducation.com/world-university-rankings/hong-kong-university-science-and-technology</x:v>
      </x:c>
      <x:c r="J216" s="35" t="str">
        <x:v>https://www.timeshighereducation.com/world-university-rankings/2023/subject-ranking/engineering</x:v>
      </x:c>
      <x:c r="K216" s="35" t="str">
        <x:v>https://www.timeshighereducation.com/json/ranking_tables/engineering_technology_rankings/2023</x:v>
      </x:c>
      <x:c r="L216" s="35" t="str">
        <x:v>https://cee.hkust.edu.hk/msc-environmental-engineering-and-management</x:v>
      </x:c>
    </x:row>
    <x:row r="217">
      <x:c r="A217" s="31" t="n">
        <x:v>43</x:v>
      </x:c>
      <x:c r="B217" t="str">
        <x:v>The Hong Kong University of Science and Technology</x:v>
      </x:c>
      <x:c r="C217" s="32" t="str">
        <x:v>MSc in Environmental Engineering and Management</x:v>
      </x:c>
      <x:c r="D217" s="32" t="str">
        <x:v>Engineering</x:v>
      </x:c>
      <x:c r="E217" s="31" t="n">
        <x:v>2024</x:v>
      </x:c>
      <x:c r="F217" s="31" t="str">
        <x:v>33</x:v>
      </x:c>
      <x:c r="G217" s="31" t="str">
        <x:v>79.2</x:v>
      </x:c>
      <x:c r="H217" s="32" t="str">
        <x:v>Ranked in subject table</x:v>
      </x:c>
      <x:c r="I217" s="35" t="str">
        <x:v>https://www.timeshighereducation.com/world-university-rankings/hong-kong-university-science-and-technology</x:v>
      </x:c>
      <x:c r="J217" s="35" t="str">
        <x:v>https://www.timeshighereducation.com/world-university-rankings/2024/subject-ranking/engineering</x:v>
      </x:c>
      <x:c r="K217" s="35" t="str">
        <x:v>https://www.timeshighereducation.com/json/ranking_tables/engineering_technology_rankings/2024</x:v>
      </x:c>
      <x:c r="L217" s="35" t="str">
        <x:v>https://cee.hkust.edu.hk/msc-environmental-engineering-and-management</x:v>
      </x:c>
    </x:row>
    <x:row r="218">
      <x:c r="A218" s="31" t="n">
        <x:v>43</x:v>
      </x:c>
      <x:c r="B218" t="str">
        <x:v>The Hong Kong University of Science and Technology</x:v>
      </x:c>
      <x:c r="C218" s="32" t="str">
        <x:v>MSc in Environmental Engineering and Management</x:v>
      </x:c>
      <x:c r="D218" s="32" t="str">
        <x:v>Engineering</x:v>
      </x:c>
      <x:c r="E218" s="31" t="n">
        <x:v>2025</x:v>
      </x:c>
      <x:c r="F218" s="31" t="str">
        <x:v>33</x:v>
      </x:c>
      <x:c r="G218" s="31" t="str">
        <x:v>77.3</x:v>
      </x:c>
      <x:c r="H218" s="32" t="str">
        <x:v>Ranked in subject table</x:v>
      </x:c>
      <x:c r="I218" s="35" t="str">
        <x:v>https://www.timeshighereducation.com/world-university-rankings/hong-kong-university-science-and-technology</x:v>
      </x:c>
      <x:c r="J218" s="35" t="str">
        <x:v>https://www.timeshighereducation.com/world-university-rankings/2025/subject-ranking/engineering</x:v>
      </x:c>
      <x:c r="K218" s="35" t="str">
        <x:v>https://www.timeshighereducation.com/json/ranking_tables/engineering_technology_rankings/2025</x:v>
      </x:c>
      <x:c r="L218" s="35" t="str">
        <x:v>https://cee.hkust.edu.hk/msc-environmental-engineering-and-management</x:v>
      </x:c>
    </x:row>
    <x:row r="219">
      <x:c r="A219" s="31" t="n">
        <x:v>43</x:v>
      </x:c>
      <x:c r="B219" t="str">
        <x:v>The Hong Kong University of Science and Technology</x:v>
      </x:c>
      <x:c r="C219" s="32" t="str">
        <x:v>MSc in Environmental Engineering and Management</x:v>
      </x:c>
      <x:c r="D219" s="32" t="str">
        <x:v>Engineering</x:v>
      </x:c>
      <x:c r="E219" s="31" t="n">
        <x:v>2026</x:v>
      </x:c>
      <x:c r="F219" s="31" t="n">
        <x:f>38</x:f>
        <x:v>38</x:v>
      </x:c>
      <x:c r="G219" s="31" t="str">
        <x:v>76.0</x:v>
      </x:c>
      <x:c r="H219" s="32" t="str">
        <x:v>Ranked in subject table</x:v>
      </x:c>
      <x:c r="I219" s="35" t="str">
        <x:v>https://www.timeshighereducation.com/world-university-rankings/hong-kong-university-science-and-technology</x:v>
      </x:c>
      <x:c r="J219" s="35" t="str">
        <x:v>https://www.timeshighereducation.com/world-university-rankings/2026/subject-ranking/engineering</x:v>
      </x:c>
      <x:c r="K219" s="35" t="str">
        <x:v>https://www.timeshighereducation.com/json/ranking_tables/engineering_technology_rankings/2026</x:v>
      </x:c>
      <x:c r="L219" s="35" t="str">
        <x:v>https://cee.hkust.edu.hk/msc-environmental-engineering-and-management</x:v>
      </x:c>
    </x:row>
    <x:row r="220">
      <x:c r="A220" s="31" t="n">
        <x:v>44</x:v>
      </x:c>
      <x:c r="B220" t="str">
        <x:v>Seoul National University</x:v>
      </x:c>
      <x:c r="C220" s="32" t="str">
        <x:v>Graduate School of Environmental Studies - Environmental Management</x:v>
      </x:c>
      <x:c r="D220" s="32" t="str">
        <x:v>Physical Sciences</x:v>
      </x:c>
      <x:c r="E220" s="31" t="n">
        <x:v>2022</x:v>
      </x:c>
      <x:c r="F220" s="31" t="str">
        <x:v>101–125</x:v>
      </x:c>
      <x:c r="G220" s="31" t="str">
        <x:v>56.9–58.9</x:v>
      </x:c>
      <x:c r="H220" s="32" t="str">
        <x:v>Ranked in subject table</x:v>
      </x:c>
      <x:c r="I220" s="35" t="str">
        <x:v>https://www.timeshighereducation.com/world-university-rankings/seoul-national-university</x:v>
      </x:c>
      <x:c r="J220" s="35" t="str">
        <x:v>https://www.timeshighereducation.com/world-university-rankings/2022/subject-ranking/physical-sciences</x:v>
      </x:c>
      <x:c r="K220" s="35" t="str">
        <x:v>https://www.timeshighereducation.com/json/ranking_tables/physical_sciences_rankings/2022</x:v>
      </x:c>
      <x:c r="L220" s="35" t="str">
        <x:v>https://gses.snu.ac.kr/</x:v>
      </x:c>
    </x:row>
    <x:row r="221">
      <x:c r="A221" s="31" t="n">
        <x:v>44</x:v>
      </x:c>
      <x:c r="B221" t="str">
        <x:v>Seoul National University</x:v>
      </x:c>
      <x:c r="C221" s="32" t="str">
        <x:v>Graduate School of Environmental Studies - Environmental Management</x:v>
      </x:c>
      <x:c r="D221" s="32" t="str">
        <x:v>Physical Sciences</x:v>
      </x:c>
      <x:c r="E221" s="31" t="n">
        <x:v>2023</x:v>
      </x:c>
      <x:c r="F221" s="31" t="str">
        <x:v>101–125</x:v>
      </x:c>
      <x:c r="G221" s="31" t="str">
        <x:v>56.8–59.5</x:v>
      </x:c>
      <x:c r="H221" s="32" t="str">
        <x:v>Ranked in subject table</x:v>
      </x:c>
      <x:c r="I221" s="35" t="str">
        <x:v>https://www.timeshighereducation.com/world-university-rankings/seoul-national-university</x:v>
      </x:c>
      <x:c r="J221" s="35" t="str">
        <x:v>https://www.timeshighereducation.com/world-university-rankings/2023/subject-ranking/physical-sciences</x:v>
      </x:c>
      <x:c r="K221" s="35" t="str">
        <x:v>https://www.timeshighereducation.com/json/ranking_tables/physical_sciences_rankings/2023</x:v>
      </x:c>
      <x:c r="L221" s="35" t="str">
        <x:v>https://gses.snu.ac.kr/</x:v>
      </x:c>
    </x:row>
    <x:row r="222">
      <x:c r="A222" s="31" t="n">
        <x:v>44</x:v>
      </x:c>
      <x:c r="B222" t="str">
        <x:v>Seoul National University</x:v>
      </x:c>
      <x:c r="C222" s="32" t="str">
        <x:v>Graduate School of Environmental Studies - Environmental Management</x:v>
      </x:c>
      <x:c r="D222" s="32" t="str">
        <x:v>Physical Sciences</x:v>
      </x:c>
      <x:c r="E222" s="31" t="n">
        <x:v>2024</x:v>
      </x:c>
      <x:c r="F222" s="31" t="str">
        <x:v>69</x:v>
      </x:c>
      <x:c r="G222" s="31" t="str">
        <x:v>66.6</x:v>
      </x:c>
      <x:c r="H222" s="32" t="str">
        <x:v>Ranked in subject table</x:v>
      </x:c>
      <x:c r="I222" s="35" t="str">
        <x:v>https://www.timeshighereducation.com/world-university-rankings/seoul-national-university</x:v>
      </x:c>
      <x:c r="J222" s="35" t="str">
        <x:v>https://www.timeshighereducation.com/world-university-rankings/2024/subject-ranking/physical-sciences</x:v>
      </x:c>
      <x:c r="K222" s="35" t="str">
        <x:v>https://www.timeshighereducation.com/json/ranking_tables/physical_sciences_rankings/2024</x:v>
      </x:c>
      <x:c r="L222" s="35" t="str">
        <x:v>https://gses.snu.ac.kr/</x:v>
      </x:c>
    </x:row>
    <x:row r="223">
      <x:c r="A223" s="31" t="n">
        <x:v>44</x:v>
      </x:c>
      <x:c r="B223" t="str">
        <x:v>Seoul National University</x:v>
      </x:c>
      <x:c r="C223" s="32" t="str">
        <x:v>Graduate School of Environmental Studies - Environmental Management</x:v>
      </x:c>
      <x:c r="D223" s="32" t="str">
        <x:v>Physical Sciences</x:v>
      </x:c>
      <x:c r="E223" s="31" t="n">
        <x:v>2025</x:v>
      </x:c>
      <x:c r="F223" s="31" t="str">
        <x:v>70</x:v>
      </x:c>
      <x:c r="G223" s="31" t="str">
        <x:v>66.3</x:v>
      </x:c>
      <x:c r="H223" s="32" t="str">
        <x:v>Ranked in subject table</x:v>
      </x:c>
      <x:c r="I223" s="35" t="str">
        <x:v>https://www.timeshighereducation.com/world-university-rankings/seoul-national-university</x:v>
      </x:c>
      <x:c r="J223" s="35" t="str">
        <x:v>https://www.timeshighereducation.com/world-university-rankings/2025/subject-ranking/physical-sciences</x:v>
      </x:c>
      <x:c r="K223" s="35" t="str">
        <x:v>https://www.timeshighereducation.com/json/ranking_tables/physical_sciences_rankings/2025</x:v>
      </x:c>
      <x:c r="L223" s="35" t="str">
        <x:v>https://gses.snu.ac.kr/</x:v>
      </x:c>
    </x:row>
    <x:row r="224">
      <x:c r="A224" s="31" t="n">
        <x:v>44</x:v>
      </x:c>
      <x:c r="B224" t="str">
        <x:v>Seoul National University</x:v>
      </x:c>
      <x:c r="C224" s="32" t="str">
        <x:v>Graduate School of Environmental Studies - Environmental Management</x:v>
      </x:c>
      <x:c r="D224" s="32" t="str">
        <x:v>Physical Sciences</x:v>
      </x:c>
      <x:c r="E224" s="31" t="n">
        <x:v>2026</x:v>
      </x:c>
      <x:c r="F224" s="31" t="n">
        <x:f>68</x:f>
        <x:v>68</x:v>
      </x:c>
      <x:c r="G224" s="31" t="str">
        <x:v>67.1</x:v>
      </x:c>
      <x:c r="H224" s="32" t="str">
        <x:v>Ranked in subject table</x:v>
      </x:c>
      <x:c r="I224" s="35" t="str">
        <x:v>https://www.timeshighereducation.com/world-university-rankings/seoul-national-university</x:v>
      </x:c>
      <x:c r="J224" s="35" t="str">
        <x:v>https://www.timeshighereducation.com/world-university-rankings/2026/subject-ranking/physical-sciences</x:v>
      </x:c>
      <x:c r="K224" s="35" t="str">
        <x:v>https://www.timeshighereducation.com/json/ranking_tables/physical_sciences_rankings/2026</x:v>
      </x:c>
      <x:c r="L224" s="35" t="str">
        <x:v>https://gses.snu.ac.kr/</x:v>
      </x:c>
    </x:row>
    <x:row r="225">
      <x:c r="A225" s="31" t="n">
        <x:v>45</x:v>
      </x:c>
      <x:c r="B225" t="str">
        <x:v>The University of Manchester</x:v>
      </x:c>
      <x:c r="C225" s="32" t="str">
        <x:v>MSc Environmental Governance</x:v>
      </x:c>
      <x:c r="D225" s="32" t="str">
        <x:v>Social Sciences</x:v>
      </x:c>
      <x:c r="E225" s="31" t="n">
        <x:v>2022</x:v>
      </x:c>
      <x:c r="F225" s="31" t="str">
        <x:v>28</x:v>
      </x:c>
      <x:c r="G225" s="31" t="str">
        <x:v>72.5</x:v>
      </x:c>
      <x:c r="H225" s="32" t="str">
        <x:v>Ranked in subject table</x:v>
      </x:c>
      <x:c r="I225" s="35" t="str">
        <x:v>https://www.timeshighereducation.com/world-university-rankings/university-manchester</x:v>
      </x:c>
      <x:c r="J225" s="35" t="str">
        <x:v>https://www.timeshighereducation.com/world-university-rankings/2022/subject-ranking/social-sciences</x:v>
      </x:c>
      <x:c r="K225" s="35" t="str">
        <x:v>https://www.timeshighereducation.com/json/ranking_tables/social_sciences_rankings/2022</x:v>
      </x:c>
      <x:c r="L225" s="35" t="str">
        <x:v>https://www.manchester.ac.uk/study/masters/courses/list/10380/msc-environmental-governance/</x:v>
      </x:c>
    </x:row>
    <x:row r="226">
      <x:c r="A226" s="31" t="n">
        <x:v>45</x:v>
      </x:c>
      <x:c r="B226" t="str">
        <x:v>The University of Manchester</x:v>
      </x:c>
      <x:c r="C226" s="32" t="str">
        <x:v>MSc Environmental Governance</x:v>
      </x:c>
      <x:c r="D226" s="32" t="str">
        <x:v>Social Sciences</x:v>
      </x:c>
      <x:c r="E226" s="31" t="n">
        <x:v>2023</x:v>
      </x:c>
      <x:c r="F226" s="31" t="str">
        <x:v>31</x:v>
      </x:c>
      <x:c r="G226" s="31" t="str">
        <x:v>71.9</x:v>
      </x:c>
      <x:c r="H226" s="32" t="str">
        <x:v>Ranked in subject table</x:v>
      </x:c>
      <x:c r="I226" s="35" t="str">
        <x:v>https://www.timeshighereducation.com/world-university-rankings/university-manchester</x:v>
      </x:c>
      <x:c r="J226" s="35" t="str">
        <x:v>https://www.timeshighereducation.com/world-university-rankings/2023/subject-ranking/social-sciences</x:v>
      </x:c>
      <x:c r="K226" s="35" t="str">
        <x:v>https://www.timeshighereducation.com/json/ranking_tables/social_sciences_rankings/2023</x:v>
      </x:c>
      <x:c r="L226" s="35" t="str">
        <x:v>https://www.manchester.ac.uk/study/masters/courses/list/10380/msc-environmental-governance/</x:v>
      </x:c>
    </x:row>
    <x:row r="227">
      <x:c r="A227" s="31" t="n">
        <x:v>45</x:v>
      </x:c>
      <x:c r="B227" t="str">
        <x:v>The University of Manchester</x:v>
      </x:c>
      <x:c r="C227" s="32" t="str">
        <x:v>MSc Environmental Governance</x:v>
      </x:c>
      <x:c r="D227" s="32" t="str">
        <x:v>Social Sciences</x:v>
      </x:c>
      <x:c r="E227" s="31" t="n">
        <x:v>2024</x:v>
      </x:c>
      <x:c r="F227" s="31" t="str">
        <x:v>28</x:v>
      </x:c>
      <x:c r="G227" s="31" t="str">
        <x:v>75.8</x:v>
      </x:c>
      <x:c r="H227" s="32" t="str">
        <x:v>Ranked in subject table</x:v>
      </x:c>
      <x:c r="I227" s="35" t="str">
        <x:v>https://www.timeshighereducation.com/world-university-rankings/university-manchester</x:v>
      </x:c>
      <x:c r="J227" s="35" t="str">
        <x:v>https://www.timeshighereducation.com/world-university-rankings/2024/subject-ranking/social-sciences</x:v>
      </x:c>
      <x:c r="K227" s="35" t="str">
        <x:v>https://www.timeshighereducation.com/json/ranking_tables/social_sciences_rankings/2024</x:v>
      </x:c>
      <x:c r="L227" s="35" t="str">
        <x:v>https://www.manchester.ac.uk/study/masters/courses/list/10380/msc-environmental-governance/</x:v>
      </x:c>
    </x:row>
    <x:row r="228">
      <x:c r="A228" s="31" t="n">
        <x:v>45</x:v>
      </x:c>
      <x:c r="B228" t="str">
        <x:v>The University of Manchester</x:v>
      </x:c>
      <x:c r="C228" s="32" t="str">
        <x:v>MSc Environmental Governance</x:v>
      </x:c>
      <x:c r="D228" s="32" t="str">
        <x:v>Social Sciences</x:v>
      </x:c>
      <x:c r="E228" s="31" t="n">
        <x:v>2025</x:v>
      </x:c>
      <x:c r="F228" s="31" t="str">
        <x:v>37</x:v>
      </x:c>
      <x:c r="G228" s="31" t="str">
        <x:v>71.5</x:v>
      </x:c>
      <x:c r="H228" s="32" t="str">
        <x:v>Ranked in subject table</x:v>
      </x:c>
      <x:c r="I228" s="35" t="str">
        <x:v>https://www.timeshighereducation.com/world-university-rankings/university-manchester</x:v>
      </x:c>
      <x:c r="J228" s="35" t="str">
        <x:v>https://www.timeshighereducation.com/world-university-rankings/2025/subject-ranking/social-sciences</x:v>
      </x:c>
      <x:c r="K228" s="35" t="str">
        <x:v>https://www.timeshighereducation.com/json/ranking_tables/social_sciences_rankings/2025</x:v>
      </x:c>
      <x:c r="L228" s="35" t="str">
        <x:v>https://www.manchester.ac.uk/study/masters/courses/list/10380/msc-environmental-governance/</x:v>
      </x:c>
    </x:row>
    <x:row r="229">
      <x:c r="A229" s="31" t="n">
        <x:v>45</x:v>
      </x:c>
      <x:c r="B229" t="str">
        <x:v>The University of Manchester</x:v>
      </x:c>
      <x:c r="C229" s="32" t="str">
        <x:v>MSc Environmental Governance</x:v>
      </x:c>
      <x:c r="D229" s="32" t="str">
        <x:v>Social Sciences</x:v>
      </x:c>
      <x:c r="E229" s="31" t="n">
        <x:v>2026</x:v>
      </x:c>
      <x:c r="F229" s="31" t="str">
        <x:v>32</x:v>
      </x:c>
      <x:c r="G229" s="31" t="str">
        <x:v>72.9</x:v>
      </x:c>
      <x:c r="H229" s="32" t="str">
        <x:v>Ranked in subject table</x:v>
      </x:c>
      <x:c r="I229" s="35" t="str">
        <x:v>https://www.timeshighereducation.com/world-university-rankings/university-manchester</x:v>
      </x:c>
      <x:c r="J229" s="35" t="str">
        <x:v>https://www.timeshighereducation.com/world-university-rankings/2026/subject-ranking/social-sciences</x:v>
      </x:c>
      <x:c r="K229" s="35" t="str">
        <x:v>https://www.timeshighereducation.com/json/ranking_tables/social_sciences_rankings/2026</x:v>
      </x:c>
      <x:c r="L229" s="35" t="str">
        <x:v>https://www.manchester.ac.uk/study/masters/courses/list/10380/msc-environmental-governance/</x:v>
      </x:c>
    </x:row>
    <x:row r="230">
      <x:c r="A230" s="31" t="n">
        <x:v>46</x:v>
      </x:c>
      <x:c r="B230" t="str">
        <x:v>The University of Queensland</x:v>
      </x:c>
      <x:c r="C230" s="32" t="str">
        <x:v>Master of Environmental Management</x:v>
      </x:c>
      <x:c r="D230" s="32" t="str">
        <x:v>Physical Sciences</x:v>
      </x:c>
      <x:c r="E230" s="31" t="n">
        <x:v>2022</x:v>
      </x:c>
      <x:c r="F230" s="31" t="str">
        <x:v>89</x:v>
      </x:c>
      <x:c r="G230" s="31" t="str">
        <x:v>60.8</x:v>
      </x:c>
      <x:c r="H230" s="32" t="str">
        <x:v>Ranked in subject table</x:v>
      </x:c>
      <x:c r="I230" s="35" t="str">
        <x:v>https://www.timeshighereducation.com/world-university-rankings/university-queensland</x:v>
      </x:c>
      <x:c r="J230" s="35" t="str">
        <x:v>https://www.timeshighereducation.com/world-university-rankings/2022/subject-ranking/physical-sciences</x:v>
      </x:c>
      <x:c r="K230" s="35" t="str">
        <x:v>https://www.timeshighereducation.com/json/ranking_tables/physical_sciences_rankings/2022</x:v>
      </x:c>
      <x:c r="L230" s="35" t="str">
        <x:v>https://study.uq.edu.au/study-options/programs/master-environmental-management-5609</x:v>
      </x:c>
    </x:row>
    <x:row r="231">
      <x:c r="A231" s="31" t="n">
        <x:v>46</x:v>
      </x:c>
      <x:c r="B231" t="str">
        <x:v>The University of Queensland</x:v>
      </x:c>
      <x:c r="C231" s="32" t="str">
        <x:v>Master of Environmental Management</x:v>
      </x:c>
      <x:c r="D231" s="32" t="str">
        <x:v>Physical Sciences</x:v>
      </x:c>
      <x:c r="E231" s="31" t="n">
        <x:v>2023</x:v>
      </x:c>
      <x:c r="F231" s="31" t="str">
        <x:v>70</x:v>
      </x:c>
      <x:c r="G231" s="31" t="str">
        <x:v>63.6</x:v>
      </x:c>
      <x:c r="H231" s="32" t="str">
        <x:v>Ranked in subject table</x:v>
      </x:c>
      <x:c r="I231" s="35" t="str">
        <x:v>https://www.timeshighereducation.com/world-university-rankings/university-queensland</x:v>
      </x:c>
      <x:c r="J231" s="35" t="str">
        <x:v>https://www.timeshighereducation.com/world-university-rankings/2023/subject-ranking/physical-sciences</x:v>
      </x:c>
      <x:c r="K231" s="35" t="str">
        <x:v>https://www.timeshighereducation.com/json/ranking_tables/physical_sciences_rankings/2023</x:v>
      </x:c>
      <x:c r="L231" s="35" t="str">
        <x:v>https://study.uq.edu.au/study-options/programs/master-environmental-management-5609</x:v>
      </x:c>
    </x:row>
    <x:row r="232">
      <x:c r="A232" s="31" t="n">
        <x:v>46</x:v>
      </x:c>
      <x:c r="B232" t="str">
        <x:v>The University of Queensland</x:v>
      </x:c>
      <x:c r="C232" s="32" t="str">
        <x:v>Master of Environmental Management</x:v>
      </x:c>
      <x:c r="D232" s="32" t="str">
        <x:v>Physical Sciences</x:v>
      </x:c>
      <x:c r="E232" s="31" t="n">
        <x:v>2024</x:v>
      </x:c>
      <x:c r="F232" s="31" t="str">
        <x:v>80</x:v>
      </x:c>
      <x:c r="G232" s="31" t="str">
        <x:v>64.9</x:v>
      </x:c>
      <x:c r="H232" s="32" t="str">
        <x:v>Ranked in subject table</x:v>
      </x:c>
      <x:c r="I232" s="35" t="str">
        <x:v>https://www.timeshighereducation.com/world-university-rankings/university-queensland</x:v>
      </x:c>
      <x:c r="J232" s="35" t="str">
        <x:v>https://www.timeshighereducation.com/world-university-rankings/2024/subject-ranking/physical-sciences</x:v>
      </x:c>
      <x:c r="K232" s="35" t="str">
        <x:v>https://www.timeshighereducation.com/json/ranking_tables/physical_sciences_rankings/2024</x:v>
      </x:c>
      <x:c r="L232" s="35" t="str">
        <x:v>https://study.uq.edu.au/study-options/programs/master-environmental-management-5609</x:v>
      </x:c>
    </x:row>
    <x:row r="233">
      <x:c r="A233" s="31" t="n">
        <x:v>46</x:v>
      </x:c>
      <x:c r="B233" t="str">
        <x:v>The University of Queensland</x:v>
      </x:c>
      <x:c r="C233" s="32" t="str">
        <x:v>Master of Environmental Management</x:v>
      </x:c>
      <x:c r="D233" s="32" t="str">
        <x:v>Physical Sciences</x:v>
      </x:c>
      <x:c r="E233" s="31" t="n">
        <x:v>2025</x:v>
      </x:c>
      <x:c r="F233" s="31" t="str">
        <x:v>87</x:v>
      </x:c>
      <x:c r="G233" s="31" t="str">
        <x:v>62.9</x:v>
      </x:c>
      <x:c r="H233" s="32" t="str">
        <x:v>Ranked in subject table</x:v>
      </x:c>
      <x:c r="I233" s="35" t="str">
        <x:v>https://www.timeshighereducation.com/world-university-rankings/university-queensland</x:v>
      </x:c>
      <x:c r="J233" s="35" t="str">
        <x:v>https://www.timeshighereducation.com/world-university-rankings/2025/subject-ranking/physical-sciences</x:v>
      </x:c>
      <x:c r="K233" s="35" t="str">
        <x:v>https://www.timeshighereducation.com/json/ranking_tables/physical_sciences_rankings/2025</x:v>
      </x:c>
      <x:c r="L233" s="35" t="str">
        <x:v>https://study.uq.edu.au/study-options/programs/master-environmental-management-5609</x:v>
      </x:c>
    </x:row>
    <x:row r="234">
      <x:c r="A234" s="31" t="n">
        <x:v>46</x:v>
      </x:c>
      <x:c r="B234" t="str">
        <x:v>The University of Queensland</x:v>
      </x:c>
      <x:c r="C234" s="32" t="str">
        <x:v>Master of Environmental Management</x:v>
      </x:c>
      <x:c r="D234" s="32" t="str">
        <x:v>Physical Sciences</x:v>
      </x:c>
      <x:c r="E234" s="31" t="n">
        <x:v>2026</x:v>
      </x:c>
      <x:c r="F234" s="31" t="n">
        <x:f>96</x:f>
        <x:v>96</x:v>
      </x:c>
      <x:c r="G234" s="31" t="str">
        <x:v>63.2</x:v>
      </x:c>
      <x:c r="H234" s="32" t="str">
        <x:v>Ranked in subject table</x:v>
      </x:c>
      <x:c r="I234" s="35" t="str">
        <x:v>https://www.timeshighereducation.com/world-university-rankings/university-queensland</x:v>
      </x:c>
      <x:c r="J234" s="35" t="str">
        <x:v>https://www.timeshighereducation.com/world-university-rankings/2026/subject-ranking/physical-sciences</x:v>
      </x:c>
      <x:c r="K234" s="35" t="str">
        <x:v>https://www.timeshighereducation.com/json/ranking_tables/physical_sciences_rankings/2026</x:v>
      </x:c>
      <x:c r="L234" s="35" t="str">
        <x:v>https://study.uq.edu.au/study-options/programs/master-environmental-management-5609</x:v>
      </x:c>
    </x:row>
    <x:row r="235">
      <x:c r="A235" s="31" t="n">
        <x:v>47</x:v>
      </x:c>
      <x:c r="B235" t="str">
        <x:v>Yonsei University</x:v>
      </x:c>
      <x:c r="C235" s="32" t="str">
        <x:v>Global Sustainable Development Cooperation major</x:v>
      </x:c>
      <x:c r="D235" s="32" t="str">
        <x:v>Social Sciences</x:v>
      </x:c>
      <x:c r="E235" s="31" t="n">
        <x:v>2022</x:v>
      </x:c>
      <x:c r="F235" s="31" t="str">
        <x:v>151–175</x:v>
      </x:c>
      <x:c r="G235" s="31" t="str">
        <x:v>43.5–45.3</x:v>
      </x:c>
      <x:c r="H235" s="32" t="str">
        <x:v>Ranked in subject table</x:v>
      </x:c>
      <x:c r="I235" s="35" t="str">
        <x:v>https://www.timeshighereducation.com/world-university-rankings/yonsei-university-seoul-campus</x:v>
      </x:c>
      <x:c r="J235" s="35" t="str">
        <x:v>https://www.timeshighereducation.com/world-university-rankings/2022/subject-ranking/social-sciences</x:v>
      </x:c>
      <x:c r="K235" s="35" t="str">
        <x:v>https://www.timeshighereducation.com/json/ranking_tables/social_sciences_rankings/2022</x:v>
      </x:c>
      <x:c r="L235" s="35" t="str">
        <x:v>https://gsis.yonsei.ac.kr/gsis/academics/gsdc.do</x:v>
      </x:c>
    </x:row>
    <x:row r="236">
      <x:c r="A236" s="31" t="n">
        <x:v>47</x:v>
      </x:c>
      <x:c r="B236" t="str">
        <x:v>Yonsei University</x:v>
      </x:c>
      <x:c r="C236" s="32" t="str">
        <x:v>Global Sustainable Development Cooperation major</x:v>
      </x:c>
      <x:c r="D236" s="32" t="str">
        <x:v>Social Sciences</x:v>
      </x:c>
      <x:c r="E236" s="31" t="n">
        <x:v>2023</x:v>
      </x:c>
      <x:c r="F236" s="31" t="str">
        <x:v>101–125</x:v>
      </x:c>
      <x:c r="G236" s="31" t="str">
        <x:v>50.3–53.0</x:v>
      </x:c>
      <x:c r="H236" s="32" t="str">
        <x:v>Ranked in subject table</x:v>
      </x:c>
      <x:c r="I236" s="35" t="str">
        <x:v>https://www.timeshighereducation.com/world-university-rankings/yonsei-university-seoul-campus</x:v>
      </x:c>
      <x:c r="J236" s="35" t="str">
        <x:v>https://www.timeshighereducation.com/world-university-rankings/2023/subject-ranking/social-sciences</x:v>
      </x:c>
      <x:c r="K236" s="35" t="str">
        <x:v>https://www.timeshighereducation.com/json/ranking_tables/social_sciences_rankings/2023</x:v>
      </x:c>
      <x:c r="L236" s="35" t="str">
        <x:v>https://gsis.yonsei.ac.kr/gsis/academics/gsdc.do</x:v>
      </x:c>
    </x:row>
    <x:row r="237">
      <x:c r="A237" s="31" t="n">
        <x:v>47</x:v>
      </x:c>
      <x:c r="B237" t="str">
        <x:v>Yonsei University</x:v>
      </x:c>
      <x:c r="C237" s="32" t="str">
        <x:v>Global Sustainable Development Cooperation major</x:v>
      </x:c>
      <x:c r="D237" s="32" t="str">
        <x:v>Social Sciences</x:v>
      </x:c>
      <x:c r="E237" s="31" t="n">
        <x:v>2024</x:v>
      </x:c>
      <x:c r="F237" s="31" t="str">
        <x:v>96</x:v>
      </x:c>
      <x:c r="G237" s="31" t="str">
        <x:v>58.1</x:v>
      </x:c>
      <x:c r="H237" s="32" t="str">
        <x:v>Ranked in subject table</x:v>
      </x:c>
      <x:c r="I237" s="35" t="str">
        <x:v>https://www.timeshighereducation.com/world-university-rankings/yonsei-university-seoul-campus</x:v>
      </x:c>
      <x:c r="J237" s="35" t="str">
        <x:v>https://www.timeshighereducation.com/world-university-rankings/2024/subject-ranking/social-sciences</x:v>
      </x:c>
      <x:c r="K237" s="35" t="str">
        <x:v>https://www.timeshighereducation.com/json/ranking_tables/social_sciences_rankings/2024</x:v>
      </x:c>
      <x:c r="L237" s="35" t="str">
        <x:v>https://gsis.yonsei.ac.kr/gsis/academics/gsdc.do</x:v>
      </x:c>
    </x:row>
    <x:row r="238">
      <x:c r="A238" s="31" t="n">
        <x:v>47</x:v>
      </x:c>
      <x:c r="B238" t="str">
        <x:v>Yonsei University</x:v>
      </x:c>
      <x:c r="C238" s="32" t="str">
        <x:v>Global Sustainable Development Cooperation major</x:v>
      </x:c>
      <x:c r="D238" s="32" t="str">
        <x:v>Social Sciences</x:v>
      </x:c>
      <x:c r="E238" s="31" t="n">
        <x:v>2025</x:v>
      </x:c>
      <x:c r="F238" s="31" t="str">
        <x:v>101–125</x:v>
      </x:c>
      <x:c r="G238" s="31" t="str">
        <x:v>52.9–56.4</x:v>
      </x:c>
      <x:c r="H238" s="32" t="str">
        <x:v>Ranked in subject table</x:v>
      </x:c>
      <x:c r="I238" s="35" t="str">
        <x:v>https://www.timeshighereducation.com/world-university-rankings/yonsei-university-seoul-campus</x:v>
      </x:c>
      <x:c r="J238" s="35" t="str">
        <x:v>https://www.timeshighereducation.com/world-university-rankings/2025/subject-ranking/social-sciences</x:v>
      </x:c>
      <x:c r="K238" s="35" t="str">
        <x:v>https://www.timeshighereducation.com/json/ranking_tables/social_sciences_rankings/2025</x:v>
      </x:c>
      <x:c r="L238" s="35" t="str">
        <x:v>https://gsis.yonsei.ac.kr/gsis/academics/gsdc.do</x:v>
      </x:c>
    </x:row>
    <x:row r="239">
      <x:c r="A239" s="31" t="n">
        <x:v>47</x:v>
      </x:c>
      <x:c r="B239" t="str">
        <x:v>Yonsei University</x:v>
      </x:c>
      <x:c r="C239" s="32" t="str">
        <x:v>Global Sustainable Development Cooperation major</x:v>
      </x:c>
      <x:c r="D239" s="32" t="str">
        <x:v>Social Sciences</x:v>
      </x:c>
      <x:c r="E239" s="31" t="n">
        <x:v>2026</x:v>
      </x:c>
      <x:c r="F239" s="31" t="str">
        <x:v>101–125</x:v>
      </x:c>
      <x:c r="G239" s="31" t="str">
        <x:v>53.3–56.7</x:v>
      </x:c>
      <x:c r="H239" s="32" t="str">
        <x:v>Ranked in subject table</x:v>
      </x:c>
      <x:c r="I239" s="35" t="str">
        <x:v>https://www.timeshighereducation.com/world-university-rankings/yonsei-university-seoul-campus</x:v>
      </x:c>
      <x:c r="J239" s="35" t="str">
        <x:v>https://www.timeshighereducation.com/world-university-rankings/2026/subject-ranking/social-sciences</x:v>
      </x:c>
      <x:c r="K239" s="35" t="str">
        <x:v>https://www.timeshighereducation.com/json/ranking_tables/social_sciences_rankings/2026</x:v>
      </x:c>
      <x:c r="L239" s="35" t="str">
        <x:v>https://gsis.yonsei.ac.kr/gsis/academics/gsdc.do</x:v>
      </x:c>
    </x:row>
    <x:row r="240">
      <x:c r="A240" s="31" t="n">
        <x:v>48</x:v>
      </x:c>
      <x:c r="B240" t="str">
        <x:v>Institut Polytechnique de Paris</x:v>
      </x:c>
      <x:c r="C240" s="32" t="str">
        <x:v>MSc&amp;T Energy Environment: Science Technology and Management</x:v>
      </x:c>
      <x:c r="D240" s="32" t="str">
        <x:v>Engineering</x:v>
      </x:c>
      <x:c r="E240" s="31" t="n">
        <x:v>2022</x:v>
      </x:c>
      <x:c r="F240" s="31" t="str">
        <x:v>101–125</x:v>
      </x:c>
      <x:c r="G240" s="31" t="str">
        <x:v>51.2–55.5</x:v>
      </x:c>
      <x:c r="H240" s="32" t="str">
        <x:v>Ranked in subject table</x:v>
      </x:c>
      <x:c r="I240" s="35" t="str">
        <x:v>https://www.timeshighereducation.com/world-university-rankings/institut-polytechnique-de-paris</x:v>
      </x:c>
      <x:c r="J240" s="35" t="str">
        <x:v>https://www.timeshighereducation.com/world-university-rankings/2022/subject-ranking/engineering</x:v>
      </x:c>
      <x:c r="K240" s="35" t="str">
        <x:v>https://www.timeshighereducation.com/json/ranking_tables/engineering_technology_rankings/2022</x:v>
      </x:c>
      <x:c r="L240" s="35" t="str">
        <x:v>https://www.ip-paris.fr/en/education/masters/msc-t-programs/energy-environment-science-technology-and-management</x:v>
      </x:c>
    </x:row>
    <x:row r="241">
      <x:c r="A241" s="31" t="n">
        <x:v>48</x:v>
      </x:c>
      <x:c r="B241" t="str">
        <x:v>Institut Polytechnique de Paris</x:v>
      </x:c>
      <x:c r="C241" s="32" t="str">
        <x:v>MSc&amp;T Energy Environment: Science Technology and Management</x:v>
      </x:c>
      <x:c r="D241" s="32" t="str">
        <x:v>Engineering</x:v>
      </x:c>
      <x:c r="E241" s="31" t="n">
        <x:v>2023</x:v>
      </x:c>
      <x:c r="F241" s="31" t="str">
        <x:v>101–125</x:v>
      </x:c>
      <x:c r="G241" s="31" t="str">
        <x:v>52.3–55.6</x:v>
      </x:c>
      <x:c r="H241" s="32" t="str">
        <x:v>Ranked in subject table</x:v>
      </x:c>
      <x:c r="I241" s="35" t="str">
        <x:v>https://www.timeshighereducation.com/world-university-rankings/institut-polytechnique-de-paris</x:v>
      </x:c>
      <x:c r="J241" s="35" t="str">
        <x:v>https://www.timeshighereducation.com/world-university-rankings/2023/subject-ranking/engineering</x:v>
      </x:c>
      <x:c r="K241" s="35" t="str">
        <x:v>https://www.timeshighereducation.com/json/ranking_tables/engineering_technology_rankings/2023</x:v>
      </x:c>
      <x:c r="L241" s="35" t="str">
        <x:v>https://www.ip-paris.fr/en/education/masters/msc-t-programs/energy-environment-science-technology-and-management</x:v>
      </x:c>
    </x:row>
    <x:row r="242">
      <x:c r="A242" s="31" t="n">
        <x:v>48</x:v>
      </x:c>
      <x:c r="B242" t="str">
        <x:v>Institut Polytechnique de Paris</x:v>
      </x:c>
      <x:c r="C242" s="32" t="str">
        <x:v>MSc&amp;T Energy Environment: Science Technology and Management</x:v>
      </x:c>
      <x:c r="D242" s="32" t="str">
        <x:v>Engineering</x:v>
      </x:c>
      <x:c r="E242" s="31" t="n">
        <x:v>2024</x:v>
      </x:c>
      <x:c r="F242" s="31" t="str">
        <x:v>99</x:v>
      </x:c>
      <x:c r="G242" s="31" t="str">
        <x:v>61.2</x:v>
      </x:c>
      <x:c r="H242" s="32" t="str">
        <x:v>Ranked in subject table</x:v>
      </x:c>
      <x:c r="I242" s="35" t="str">
        <x:v>https://www.timeshighereducation.com/world-university-rankings/institut-polytechnique-de-paris</x:v>
      </x:c>
      <x:c r="J242" s="35" t="str">
        <x:v>https://www.timeshighereducation.com/world-university-rankings/2024/subject-ranking/engineering</x:v>
      </x:c>
      <x:c r="K242" s="35" t="str">
        <x:v>https://www.timeshighereducation.com/json/ranking_tables/engineering_technology_rankings/2024</x:v>
      </x:c>
      <x:c r="L242" s="35" t="str">
        <x:v>https://www.ip-paris.fr/en/education/masters/msc-t-programs/energy-environment-science-technology-and-management</x:v>
      </x:c>
    </x:row>
    <x:row r="243">
      <x:c r="A243" s="31" t="n">
        <x:v>48</x:v>
      </x:c>
      <x:c r="B243" t="str">
        <x:v>Institut Polytechnique de Paris</x:v>
      </x:c>
      <x:c r="C243" s="32" t="str">
        <x:v>MSc&amp;T Energy Environment: Science Technology and Management</x:v>
      </x:c>
      <x:c r="D243" s="32" t="str">
        <x:v>Engineering</x:v>
      </x:c>
      <x:c r="E243" s="31" t="n">
        <x:v>2025</x:v>
      </x:c>
      <x:c r="F243" s="31" t="n">
        <x:f>96</x:f>
        <x:v>96</x:v>
      </x:c>
      <x:c r="G243" s="31" t="str">
        <x:v>60.7</x:v>
      </x:c>
      <x:c r="H243" s="32" t="str">
        <x:v>Ranked in subject table</x:v>
      </x:c>
      <x:c r="I243" s="35" t="str">
        <x:v>https://www.timeshighereducation.com/world-university-rankings/institut-polytechnique-de-paris</x:v>
      </x:c>
      <x:c r="J243" s="35" t="str">
        <x:v>https://www.timeshighereducation.com/world-university-rankings/2025/subject-ranking/engineering</x:v>
      </x:c>
      <x:c r="K243" s="35" t="str">
        <x:v>https://www.timeshighereducation.com/json/ranking_tables/engineering_technology_rankings/2025</x:v>
      </x:c>
      <x:c r="L243" s="35" t="str">
        <x:v>https://www.ip-paris.fr/en/education/masters/msc-t-programs/energy-environment-science-technology-and-management</x:v>
      </x:c>
    </x:row>
    <x:row r="244">
      <x:c r="A244" s="31" t="n">
        <x:v>48</x:v>
      </x:c>
      <x:c r="B244" t="str">
        <x:v>Institut Polytechnique de Paris</x:v>
      </x:c>
      <x:c r="C244" s="32" t="str">
        <x:v>MSc&amp;T Energy Environment: Science Technology and Management</x:v>
      </x:c>
      <x:c r="D244" s="32" t="str">
        <x:v>Engineering</x:v>
      </x:c>
      <x:c r="E244" s="31" t="n">
        <x:v>2026</x:v>
      </x:c>
      <x:c r="F244" s="31" t="n">
        <x:f>81</x:f>
        <x:v>81</x:v>
      </x:c>
      <x:c r="G244" s="31" t="str">
        <x:v>63.7</x:v>
      </x:c>
      <x:c r="H244" s="32" t="str">
        <x:v>Ranked in subject table</x:v>
      </x:c>
      <x:c r="I244" s="35" t="str">
        <x:v>https://www.timeshighereducation.com/world-university-rankings/institut-polytechnique-de-paris</x:v>
      </x:c>
      <x:c r="J244" s="35" t="str">
        <x:v>https://www.timeshighereducation.com/world-university-rankings/2026/subject-ranking/engineering</x:v>
      </x:c>
      <x:c r="K244" s="35" t="str">
        <x:v>https://www.timeshighereducation.com/json/ranking_tables/engineering_technology_rankings/2026</x:v>
      </x:c>
      <x:c r="L244" s="35" t="str">
        <x:v>https://www.ip-paris.fr/en/education/masters/msc-t-programs/energy-environment-science-technology-and-management</x:v>
      </x:c>
    </x:row>
    <x:row r="245">
      <x:c r="A245" s="31" t="n">
        <x:v>49</x:v>
      </x:c>
      <x:c r="B245" t="str">
        <x:v>Delft University of Technology</x:v>
      </x:c>
      <x:c r="C245" s="32" t="str">
        <x:v>MSc Industrial Ecology</x:v>
      </x:c>
      <x:c r="D245" s="32" t="str">
        <x:v>Engineering</x:v>
      </x:c>
      <x:c r="E245" s="31" t="n">
        <x:v>2022</x:v>
      </x:c>
      <x:c r="F245" s="31" t="str">
        <x:v>21</x:v>
      </x:c>
      <x:c r="G245" s="31" t="str">
        <x:v>83.2</x:v>
      </x:c>
      <x:c r="H245" s="32" t="str">
        <x:v>Ranked in subject table</x:v>
      </x:c>
      <x:c r="I245" s="35" t="str">
        <x:v>https://www.timeshighereducation.com/world-university-rankings/delft-university-technology</x:v>
      </x:c>
      <x:c r="J245" s="35" t="str">
        <x:v>https://www.timeshighereducation.com/world-university-rankings/2022/subject-ranking/engineering</x:v>
      </x:c>
      <x:c r="K245" s="35" t="str">
        <x:v>https://www.timeshighereducation.com/json/ranking_tables/engineering_technology_rankings/2022</x:v>
      </x:c>
      <x:c r="L245" s="35" t="str">
        <x:v>https://www.tudelft.nl/en/education/programmes/masters/industrial-ecology/msc-industrial-ecology</x:v>
      </x:c>
    </x:row>
    <x:row r="246">
      <x:c r="A246" s="31" t="n">
        <x:v>49</x:v>
      </x:c>
      <x:c r="B246" t="str">
        <x:v>Delft University of Technology</x:v>
      </x:c>
      <x:c r="C246" s="32" t="str">
        <x:v>MSc Industrial Ecology</x:v>
      </x:c>
      <x:c r="D246" s="32" t="str">
        <x:v>Engineering</x:v>
      </x:c>
      <x:c r="E246" s="31" t="n">
        <x:v>2023</x:v>
      </x:c>
      <x:c r="F246" s="31" t="str">
        <x:v>21</x:v>
      </x:c>
      <x:c r="G246" s="31" t="str">
        <x:v>83.1</x:v>
      </x:c>
      <x:c r="H246" s="32" t="str">
        <x:v>Ranked in subject table</x:v>
      </x:c>
      <x:c r="I246" s="35" t="str">
        <x:v>https://www.timeshighereducation.com/world-university-rankings/delft-university-technology</x:v>
      </x:c>
      <x:c r="J246" s="35" t="str">
        <x:v>https://www.timeshighereducation.com/world-university-rankings/2023/subject-ranking/engineering</x:v>
      </x:c>
      <x:c r="K246" s="35" t="str">
        <x:v>https://www.timeshighereducation.com/json/ranking_tables/engineering_technology_rankings/2023</x:v>
      </x:c>
      <x:c r="L246" s="35" t="str">
        <x:v>https://www.tudelft.nl/en/education/programmes/masters/industrial-ecology/msc-industrial-ecology</x:v>
      </x:c>
    </x:row>
    <x:row r="247">
      <x:c r="A247" s="31" t="n">
        <x:v>49</x:v>
      </x:c>
      <x:c r="B247" t="str">
        <x:v>Delft University of Technology</x:v>
      </x:c>
      <x:c r="C247" s="32" t="str">
        <x:v>MSc Industrial Ecology</x:v>
      </x:c>
      <x:c r="D247" s="32" t="str">
        <x:v>Engineering</x:v>
      </x:c>
      <x:c r="E247" s="31" t="n">
        <x:v>2024</x:v>
      </x:c>
      <x:c r="F247" s="31" t="str">
        <x:v>16</x:v>
      </x:c>
      <x:c r="G247" s="31" t="str">
        <x:v>89.2</x:v>
      </x:c>
      <x:c r="H247" s="32" t="str">
        <x:v>Ranked in subject table</x:v>
      </x:c>
      <x:c r="I247" s="35" t="str">
        <x:v>https://www.timeshighereducation.com/world-university-rankings/delft-university-technology</x:v>
      </x:c>
      <x:c r="J247" s="35" t="str">
        <x:v>https://www.timeshighereducation.com/world-university-rankings/2024/subject-ranking/engineering</x:v>
      </x:c>
      <x:c r="K247" s="35" t="str">
        <x:v>https://www.timeshighereducation.com/json/ranking_tables/engineering_technology_rankings/2024</x:v>
      </x:c>
      <x:c r="L247" s="35" t="str">
        <x:v>https://www.tudelft.nl/en/education/programmes/masters/industrial-ecology/msc-industrial-ecology</x:v>
      </x:c>
    </x:row>
    <x:row r="248">
      <x:c r="A248" s="31" t="n">
        <x:v>49</x:v>
      </x:c>
      <x:c r="B248" t="str">
        <x:v>Delft University of Technology</x:v>
      </x:c>
      <x:c r="C248" s="32" t="str">
        <x:v>MSc Industrial Ecology</x:v>
      </x:c>
      <x:c r="D248" s="32" t="str">
        <x:v>Engineering</x:v>
      </x:c>
      <x:c r="E248" s="31" t="n">
        <x:v>2025</x:v>
      </x:c>
      <x:c r="F248" s="31" t="str">
        <x:v>17</x:v>
      </x:c>
      <x:c r="G248" s="31" t="str">
        <x:v>88.7</x:v>
      </x:c>
      <x:c r="H248" s="32" t="str">
        <x:v>Ranked in subject table</x:v>
      </x:c>
      <x:c r="I248" s="35" t="str">
        <x:v>https://www.timeshighereducation.com/world-university-rankings/delft-university-technology</x:v>
      </x:c>
      <x:c r="J248" s="35" t="str">
        <x:v>https://www.timeshighereducation.com/world-university-rankings/2025/subject-ranking/engineering</x:v>
      </x:c>
      <x:c r="K248" s="35" t="str">
        <x:v>https://www.timeshighereducation.com/json/ranking_tables/engineering_technology_rankings/2025</x:v>
      </x:c>
      <x:c r="L248" s="35" t="str">
        <x:v>https://www.tudelft.nl/en/education/programmes/masters/industrial-ecology/msc-industrial-ecology</x:v>
      </x:c>
    </x:row>
    <x:row r="249">
      <x:c r="A249" s="31" t="n">
        <x:v>49</x:v>
      </x:c>
      <x:c r="B249" t="str">
        <x:v>Delft University of Technology</x:v>
      </x:c>
      <x:c r="C249" s="32" t="str">
        <x:v>MSc Industrial Ecology</x:v>
      </x:c>
      <x:c r="D249" s="32" t="str">
        <x:v>Engineering</x:v>
      </x:c>
      <x:c r="E249" s="31" t="n">
        <x:v>2026</x:v>
      </x:c>
      <x:c r="F249" s="31" t="str">
        <x:v>16</x:v>
      </x:c>
      <x:c r="G249" s="31" t="str">
        <x:v>88.6</x:v>
      </x:c>
      <x:c r="H249" s="32" t="str">
        <x:v>Ranked in subject table</x:v>
      </x:c>
      <x:c r="I249" s="35" t="str">
        <x:v>https://www.timeshighereducation.com/world-university-rankings/delft-university-technology</x:v>
      </x:c>
      <x:c r="J249" s="35" t="str">
        <x:v>https://www.timeshighereducation.com/world-university-rankings/2026/subject-ranking/engineering</x:v>
      </x:c>
      <x:c r="K249" s="35" t="str">
        <x:v>https://www.timeshighereducation.com/json/ranking_tables/engineering_technology_rankings/2026</x:v>
      </x:c>
      <x:c r="L249" s="35" t="str">
        <x:v>https://www.tudelft.nl/en/education/programmes/masters/industrial-ecology/msc-industrial-ecology</x:v>
      </x:c>
    </x:row>
    <x:row r="250">
      <x:c r="A250" s="31" t="n">
        <x:v>50</x:v>
      </x:c>
      <x:c r="B250" t="str">
        <x:v>The Hong Kong Polytechnic University</x:v>
      </x:c>
      <x:c r="C250" s="32" t="str">
        <x:v>MSc in Sustainable Urban Development</x:v>
      </x:c>
      <x:c r="D250" s="32" t="str">
        <x:v>Engineering</x:v>
      </x:c>
      <x:c r="E250" s="31" t="n">
        <x:v>2022</x:v>
      </x:c>
      <x:c r="F250" s="31" t="str">
        <x:v>51</x:v>
      </x:c>
      <x:c r="G250" s="31" t="str">
        <x:v>66.1</x:v>
      </x:c>
      <x:c r="H250" s="32" t="str">
        <x:v>Ranked in subject table</x:v>
      </x:c>
      <x:c r="I250" s="35" t="str">
        <x:v>https://www.timeshighereducation.com/world-university-rankings/hong-kong-polytechnic-university</x:v>
      </x:c>
      <x:c r="J250" s="35" t="str">
        <x:v>https://www.timeshighereducation.com/world-university-rankings/2022/subject-ranking/engineering</x:v>
      </x:c>
      <x:c r="K250" s="35" t="str">
        <x:v>https://www.timeshighereducation.com/json/ranking_tables/engineering_technology_rankings/2022</x:v>
      </x:c>
      <x:c r="L250" s="35" t="str">
        <x:v>https://www.polyu.edu.hk/bre/study/taught-postgraduate-programmes/msc-in-sustainable-urban-development/</x:v>
      </x:c>
    </x:row>
    <x:row r="251">
      <x:c r="A251" s="31" t="n">
        <x:v>50</x:v>
      </x:c>
      <x:c r="B251" t="str">
        <x:v>The Hong Kong Polytechnic University</x:v>
      </x:c>
      <x:c r="C251" s="32" t="str">
        <x:v>MSc in Sustainable Urban Development</x:v>
      </x:c>
      <x:c r="D251" s="32" t="str">
        <x:v>Engineering</x:v>
      </x:c>
      <x:c r="E251" s="31" t="n">
        <x:v>2023</x:v>
      </x:c>
      <x:c r="F251" s="31" t="str">
        <x:v>40</x:v>
      </x:c>
      <x:c r="G251" s="31" t="str">
        <x:v>72.3</x:v>
      </x:c>
      <x:c r="H251" s="32" t="str">
        <x:v>Ranked in subject table</x:v>
      </x:c>
      <x:c r="I251" s="35" t="str">
        <x:v>https://www.timeshighereducation.com/world-university-rankings/hong-kong-polytechnic-university</x:v>
      </x:c>
      <x:c r="J251" s="35" t="str">
        <x:v>https://www.timeshighereducation.com/world-university-rankings/2023/subject-ranking/engineering</x:v>
      </x:c>
      <x:c r="K251" s="35" t="str">
        <x:v>https://www.timeshighereducation.com/json/ranking_tables/engineering_technology_rankings/2023</x:v>
      </x:c>
      <x:c r="L251" s="35" t="str">
        <x:v>https://www.polyu.edu.hk/bre/study/taught-postgraduate-programmes/msc-in-sustainable-urban-development/</x:v>
      </x:c>
    </x:row>
    <x:row r="252">
      <x:c r="A252" s="31" t="n">
        <x:v>50</x:v>
      </x:c>
      <x:c r="B252" t="str">
        <x:v>The Hong Kong Polytechnic University</x:v>
      </x:c>
      <x:c r="C252" s="32" t="str">
        <x:v>MSc in Sustainable Urban Development</x:v>
      </x:c>
      <x:c r="D252" s="32" t="str">
        <x:v>Engineering</x:v>
      </x:c>
      <x:c r="E252" s="31" t="n">
        <x:v>2024</x:v>
      </x:c>
      <x:c r="F252" s="31" t="str">
        <x:v>38</x:v>
      </x:c>
      <x:c r="G252" s="31" t="str">
        <x:v>75.6</x:v>
      </x:c>
      <x:c r="H252" s="32" t="str">
        <x:v>Ranked in subject table</x:v>
      </x:c>
      <x:c r="I252" s="35" t="str">
        <x:v>https://www.timeshighereducation.com/world-university-rankings/hong-kong-polytechnic-university</x:v>
      </x:c>
      <x:c r="J252" s="35" t="str">
        <x:v>https://www.timeshighereducation.com/world-university-rankings/2024/subject-ranking/engineering</x:v>
      </x:c>
      <x:c r="K252" s="35" t="str">
        <x:v>https://www.timeshighereducation.com/json/ranking_tables/engineering_technology_rankings/2024</x:v>
      </x:c>
      <x:c r="L252" s="35" t="str">
        <x:v>https://www.polyu.edu.hk/bre/study/taught-postgraduate-programmes/msc-in-sustainable-urban-development/</x:v>
      </x:c>
    </x:row>
    <x:row r="253">
      <x:c r="A253" s="31" t="n">
        <x:v>50</x:v>
      </x:c>
      <x:c r="B253" t="str">
        <x:v>The Hong Kong Polytechnic University</x:v>
      </x:c>
      <x:c r="C253" s="32" t="str">
        <x:v>MSc in Sustainable Urban Development</x:v>
      </x:c>
      <x:c r="D253" s="32" t="str">
        <x:v>Engineering</x:v>
      </x:c>
      <x:c r="E253" s="31" t="n">
        <x:v>2025</x:v>
      </x:c>
      <x:c r="F253" s="31" t="str">
        <x:v>41</x:v>
      </x:c>
      <x:c r="G253" s="31" t="str">
        <x:v>74.5</x:v>
      </x:c>
      <x:c r="H253" s="32" t="str">
        <x:v>Ranked in subject table</x:v>
      </x:c>
      <x:c r="I253" s="35" t="str">
        <x:v>https://www.timeshighereducation.com/world-university-rankings/hong-kong-polytechnic-university</x:v>
      </x:c>
      <x:c r="J253" s="35" t="str">
        <x:v>https://www.timeshighereducation.com/world-university-rankings/2025/subject-ranking/engineering</x:v>
      </x:c>
      <x:c r="K253" s="35" t="str">
        <x:v>https://www.timeshighereducation.com/json/ranking_tables/engineering_technology_rankings/2025</x:v>
      </x:c>
      <x:c r="L253" s="35" t="str">
        <x:v>https://www.polyu.edu.hk/bre/study/taught-postgraduate-programmes/msc-in-sustainable-urban-development/</x:v>
      </x:c>
    </x:row>
    <x:row r="254">
      <x:c r="A254" s="31" t="n">
        <x:v>50</x:v>
      </x:c>
      <x:c r="B254" t="str">
        <x:v>The Hong Kong Polytechnic University</x:v>
      </x:c>
      <x:c r="C254" s="32" t="str">
        <x:v>MSc in Sustainable Urban Development</x:v>
      </x:c>
      <x:c r="D254" s="32" t="str">
        <x:v>Engineering</x:v>
      </x:c>
      <x:c r="E254" s="31" t="n">
        <x:v>2026</x:v>
      </x:c>
      <x:c r="F254" s="31" t="str">
        <x:v>43</x:v>
      </x:c>
      <x:c r="G254" s="31" t="str">
        <x:v>73.8</x:v>
      </x:c>
      <x:c r="H254" s="32" t="str">
        <x:v>Ranked in subject table</x:v>
      </x:c>
      <x:c r="I254" s="35" t="str">
        <x:v>https://www.timeshighereducation.com/world-university-rankings/hong-kong-polytechnic-university</x:v>
      </x:c>
      <x:c r="J254" s="35" t="str">
        <x:v>https://www.timeshighereducation.com/world-university-rankings/2026/subject-ranking/engineering</x:v>
      </x:c>
      <x:c r="K254" s="35" t="str">
        <x:v>https://www.timeshighereducation.com/json/ranking_tables/engineering_technology_rankings/2026</x:v>
      </x:c>
      <x:c r="L254" s="35" t="str">
        <x:v>https://www.polyu.edu.hk/bre/study/taught-postgraduate-programmes/msc-in-sustainable-urban-development/</x:v>
      </x:c>
    </x:row>
    <x:row r="255">
      <x:c r="A255" s="31" t="n">
        <x:v>51</x:v>
      </x:c>
      <x:c r="B255" t="str">
        <x:v>University of Michigan-Ann Arbor</x:v>
      </x:c>
      <x:c r="C255" s="32" t="str">
        <x:v>MS in Sustainable Systems</x:v>
      </x:c>
      <x:c r="D255" s="32" t="str">
        <x:v>Engineering</x:v>
      </x:c>
      <x:c r="E255" s="31" t="n">
        <x:v>2022</x:v>
      </x:c>
      <x:c r="F255" s="31" t="str">
        <x:v>20</x:v>
      </x:c>
      <x:c r="G255" s="31" t="str">
        <x:v>84.3</x:v>
      </x:c>
      <x:c r="H255" s="32" t="str">
        <x:v>Ranked in subject table</x:v>
      </x:c>
      <x:c r="I255" s="35" t="str">
        <x:v>https://www.timeshighereducation.com/world-university-rankings/university-michigan-ann-arbor</x:v>
      </x:c>
      <x:c r="J255" s="35" t="str">
        <x:v>https://www.timeshighereducation.com/world-university-rankings/2022/subject-ranking/engineering</x:v>
      </x:c>
      <x:c r="K255" s="35" t="str">
        <x:v>https://www.timeshighereducation.com/json/ranking_tables/engineering_technology_rankings/2022</x:v>
      </x:c>
      <x:c r="L255" s="35" t="str">
        <x:v>https://seas.umich.edu/academics/master-science/sustainable-systems</x:v>
      </x:c>
    </x:row>
    <x:row r="256">
      <x:c r="A256" s="31" t="n">
        <x:v>51</x:v>
      </x:c>
      <x:c r="B256" t="str">
        <x:v>University of Michigan-Ann Arbor</x:v>
      </x:c>
      <x:c r="C256" s="32" t="str">
        <x:v>MS in Sustainable Systems</x:v>
      </x:c>
      <x:c r="D256" s="32" t="str">
        <x:v>Engineering</x:v>
      </x:c>
      <x:c r="E256" s="31" t="n">
        <x:v>2023</x:v>
      </x:c>
      <x:c r="F256" s="31" t="str">
        <x:v>18</x:v>
      </x:c>
      <x:c r="G256" s="31" t="str">
        <x:v>84.2</x:v>
      </x:c>
      <x:c r="H256" s="32" t="str">
        <x:v>Ranked in subject table</x:v>
      </x:c>
      <x:c r="I256" s="35" t="str">
        <x:v>https://www.timeshighereducation.com/world-university-rankings/university-michigan-ann-arbor</x:v>
      </x:c>
      <x:c r="J256" s="35" t="str">
        <x:v>https://www.timeshighereducation.com/world-university-rankings/2023/subject-ranking/engineering</x:v>
      </x:c>
      <x:c r="K256" s="35" t="str">
        <x:v>https://www.timeshighereducation.com/json/ranking_tables/engineering_technology_rankings/2023</x:v>
      </x:c>
      <x:c r="L256" s="35" t="str">
        <x:v>https://seas.umich.edu/academics/master-science/sustainable-systems</x:v>
      </x:c>
    </x:row>
    <x:row r="257">
      <x:c r="A257" s="31" t="n">
        <x:v>51</x:v>
      </x:c>
      <x:c r="B257" t="str">
        <x:v>University of Michigan-Ann Arbor</x:v>
      </x:c>
      <x:c r="C257" s="32" t="str">
        <x:v>MS in Sustainable Systems</x:v>
      </x:c>
      <x:c r="D257" s="32" t="str">
        <x:v>Engineering</x:v>
      </x:c>
      <x:c r="E257" s="31" t="n">
        <x:v>2024</x:v>
      </x:c>
      <x:c r="F257" s="31" t="str">
        <x:v>19</x:v>
      </x:c>
      <x:c r="G257" s="31" t="str">
        <x:v>87.7</x:v>
      </x:c>
      <x:c r="H257" s="32" t="str">
        <x:v>Ranked in subject table</x:v>
      </x:c>
      <x:c r="I257" s="35" t="str">
        <x:v>https://www.timeshighereducation.com/world-university-rankings/university-michigan-ann-arbor</x:v>
      </x:c>
      <x:c r="J257" s="35" t="str">
        <x:v>https://www.timeshighereducation.com/world-university-rankings/2024/subject-ranking/engineering</x:v>
      </x:c>
      <x:c r="K257" s="35" t="str">
        <x:v>https://www.timeshighereducation.com/json/ranking_tables/engineering_technology_rankings/2024</x:v>
      </x:c>
      <x:c r="L257" s="35" t="str">
        <x:v>https://seas.umich.edu/academics/master-science/sustainable-systems</x:v>
      </x:c>
    </x:row>
    <x:row r="258">
      <x:c r="A258" s="31" t="n">
        <x:v>51</x:v>
      </x:c>
      <x:c r="B258" t="str">
        <x:v>University of Michigan-Ann Arbor</x:v>
      </x:c>
      <x:c r="C258" s="32" t="str">
        <x:v>MS in Sustainable Systems</x:v>
      </x:c>
      <x:c r="D258" s="32" t="str">
        <x:v>Engineering</x:v>
      </x:c>
      <x:c r="E258" s="31" t="n">
        <x:v>2025</x:v>
      </x:c>
      <x:c r="F258" s="31" t="str">
        <x:v>19</x:v>
      </x:c>
      <x:c r="G258" s="31" t="str">
        <x:v>86.6</x:v>
      </x:c>
      <x:c r="H258" s="32" t="str">
        <x:v>Ranked in subject table</x:v>
      </x:c>
      <x:c r="I258" s="35" t="str">
        <x:v>https://www.timeshighereducation.com/world-university-rankings/university-michigan-ann-arbor</x:v>
      </x:c>
      <x:c r="J258" s="35" t="str">
        <x:v>https://www.timeshighereducation.com/world-university-rankings/2025/subject-ranking/engineering</x:v>
      </x:c>
      <x:c r="K258" s="35" t="str">
        <x:v>https://www.timeshighereducation.com/json/ranking_tables/engineering_technology_rankings/2025</x:v>
      </x:c>
      <x:c r="L258" s="35" t="str">
        <x:v>https://seas.umich.edu/academics/master-science/sustainable-systems</x:v>
      </x:c>
    </x:row>
    <x:row r="259">
      <x:c r="A259" s="31" t="n">
        <x:v>51</x:v>
      </x:c>
      <x:c r="B259" t="str">
        <x:v>University of Michigan-Ann Arbor</x:v>
      </x:c>
      <x:c r="C259" s="32" t="str">
        <x:v>MS in Sustainable Systems</x:v>
      </x:c>
      <x:c r="D259" s="32" t="str">
        <x:v>Engineering</x:v>
      </x:c>
      <x:c r="E259" s="31" t="n">
        <x:v>2026</x:v>
      </x:c>
      <x:c r="F259" s="31" t="str">
        <x:v>22</x:v>
      </x:c>
      <x:c r="G259" s="31" t="str">
        <x:v>84.5</x:v>
      </x:c>
      <x:c r="H259" s="32" t="str">
        <x:v>Ranked in subject table</x:v>
      </x:c>
      <x:c r="I259" s="35" t="str">
        <x:v>https://www.timeshighereducation.com/world-university-rankings/university-michigan-ann-arbor</x:v>
      </x:c>
      <x:c r="J259" s="35" t="str">
        <x:v>https://www.timeshighereducation.com/world-university-rankings/2026/subject-ranking/engineering</x:v>
      </x:c>
      <x:c r="K259" s="35" t="str">
        <x:v>https://www.timeshighereducation.com/json/ranking_tables/engineering_technology_rankings/2026</x:v>
      </x:c>
      <x:c r="L259" s="35" t="str">
        <x:v>https://seas.umich.edu/academics/master-science/sustainable-systems</x:v>
      </x:c>
    </x:row>
    <x:row r="260">
      <x:c r="A260" s="31" t="n">
        <x:v>52</x:v>
      </x:c>
      <x:c r="B260" t="str">
        <x:v>Carnegie Mellon University</x:v>
      </x:c>
      <x:c r="C260" s="32" t="str">
        <x:v>MS in Sustainable Design</x:v>
      </x:c>
      <x:c r="D260" s="32" t="str">
        <x:v>Engineering</x:v>
      </x:c>
      <x:c r="E260" s="31" t="n">
        <x:v>2022</x:v>
      </x:c>
      <x:c r="F260" s="31" t="str">
        <x:v>18</x:v>
      </x:c>
      <x:c r="G260" s="31" t="str">
        <x:v>84.9</x:v>
      </x:c>
      <x:c r="H260" s="32" t="str">
        <x:v>Ranked in subject table</x:v>
      </x:c>
      <x:c r="I260" s="35" t="str">
        <x:v>https://www.timeshighereducation.com/world-university-rankings/carnegie-mellon-university</x:v>
      </x:c>
      <x:c r="J260" s="35" t="str">
        <x:v>https://www.timeshighereducation.com/world-university-rankings/2022/subject-ranking/engineering</x:v>
      </x:c>
      <x:c r="K260" s="35" t="str">
        <x:v>https://www.timeshighereducation.com/json/ranking_tables/engineering_technology_rankings/2022</x:v>
      </x:c>
      <x:c r="L260" s="35" t="str">
        <x:v>https://soa.cmu.edu/ms-sustainable-design</x:v>
      </x:c>
    </x:row>
    <x:row r="261">
      <x:c r="A261" s="31" t="n">
        <x:v>52</x:v>
      </x:c>
      <x:c r="B261" t="str">
        <x:v>Carnegie Mellon University</x:v>
      </x:c>
      <x:c r="C261" s="32" t="str">
        <x:v>MS in Sustainable Design</x:v>
      </x:c>
      <x:c r="D261" s="32" t="str">
        <x:v>Engineering</x:v>
      </x:c>
      <x:c r="E261" s="31" t="n">
        <x:v>2023</x:v>
      </x:c>
      <x:c r="F261" s="31" t="str">
        <x:v>22</x:v>
      </x:c>
      <x:c r="G261" s="31" t="str">
        <x:v>82.7</x:v>
      </x:c>
      <x:c r="H261" s="32" t="str">
        <x:v>Ranked in subject table</x:v>
      </x:c>
      <x:c r="I261" s="35" t="str">
        <x:v>https://www.timeshighereducation.com/world-university-rankings/carnegie-mellon-university</x:v>
      </x:c>
      <x:c r="J261" s="35" t="str">
        <x:v>https://www.timeshighereducation.com/world-university-rankings/2023/subject-ranking/engineering</x:v>
      </x:c>
      <x:c r="K261" s="35" t="str">
        <x:v>https://www.timeshighereducation.com/json/ranking_tables/engineering_technology_rankings/2023</x:v>
      </x:c>
      <x:c r="L261" s="35" t="str">
        <x:v>https://soa.cmu.edu/ms-sustainable-design</x:v>
      </x:c>
    </x:row>
    <x:row r="262">
      <x:c r="A262" s="31" t="n">
        <x:v>52</x:v>
      </x:c>
      <x:c r="B262" t="str">
        <x:v>Carnegie Mellon University</x:v>
      </x:c>
      <x:c r="C262" s="32" t="str">
        <x:v>MS in Sustainable Design</x:v>
      </x:c>
      <x:c r="D262" s="32" t="str">
        <x:v>Engineering</x:v>
      </x:c>
      <x:c r="E262" s="31" t="n">
        <x:v>2024</x:v>
      </x:c>
      <x:c r="F262" s="31" t="str">
        <x:v>21</x:v>
      </x:c>
      <x:c r="G262" s="31" t="str">
        <x:v>85.5</x:v>
      </x:c>
      <x:c r="H262" s="32" t="str">
        <x:v>Ranked in subject table</x:v>
      </x:c>
      <x:c r="I262" s="35" t="str">
        <x:v>https://www.timeshighereducation.com/world-university-rankings/carnegie-mellon-university</x:v>
      </x:c>
      <x:c r="J262" s="35" t="str">
        <x:v>https://www.timeshighereducation.com/world-university-rankings/2024/subject-ranking/engineering</x:v>
      </x:c>
      <x:c r="K262" s="35" t="str">
        <x:v>https://www.timeshighereducation.com/json/ranking_tables/engineering_technology_rankings/2024</x:v>
      </x:c>
      <x:c r="L262" s="35" t="str">
        <x:v>https://soa.cmu.edu/ms-sustainable-design</x:v>
      </x:c>
    </x:row>
    <x:row r="263">
      <x:c r="A263" s="31" t="n">
        <x:v>52</x:v>
      </x:c>
      <x:c r="B263" t="str">
        <x:v>Carnegie Mellon University</x:v>
      </x:c>
      <x:c r="C263" s="32" t="str">
        <x:v>MS in Sustainable Design</x:v>
      </x:c>
      <x:c r="D263" s="32" t="str">
        <x:v>Engineering</x:v>
      </x:c>
      <x:c r="E263" s="31" t="n">
        <x:v>2025</x:v>
      </x:c>
      <x:c r="F263" s="31" t="str">
        <x:v>20</x:v>
      </x:c>
      <x:c r="G263" s="31" t="str">
        <x:v>86.1</x:v>
      </x:c>
      <x:c r="H263" s="32" t="str">
        <x:v>Ranked in subject table</x:v>
      </x:c>
      <x:c r="I263" s="35" t="str">
        <x:v>https://www.timeshighereducation.com/world-university-rankings/carnegie-mellon-university</x:v>
      </x:c>
      <x:c r="J263" s="35" t="str">
        <x:v>https://www.timeshighereducation.com/world-university-rankings/2025/subject-ranking/engineering</x:v>
      </x:c>
      <x:c r="K263" s="35" t="str">
        <x:v>https://www.timeshighereducation.com/json/ranking_tables/engineering_technology_rankings/2025</x:v>
      </x:c>
      <x:c r="L263" s="35" t="str">
        <x:v>https://soa.cmu.edu/ms-sustainable-design</x:v>
      </x:c>
    </x:row>
    <x:row r="264">
      <x:c r="A264" s="31" t="n">
        <x:v>52</x:v>
      </x:c>
      <x:c r="B264" t="str">
        <x:v>Carnegie Mellon University</x:v>
      </x:c>
      <x:c r="C264" s="32" t="str">
        <x:v>MS in Sustainable Design</x:v>
      </x:c>
      <x:c r="D264" s="32" t="str">
        <x:v>Engineering</x:v>
      </x:c>
      <x:c r="E264" s="31" t="n">
        <x:v>2026</x:v>
      </x:c>
      <x:c r="F264" s="31" t="str">
        <x:v>20</x:v>
      </x:c>
      <x:c r="G264" s="31" t="str">
        <x:v>85.7</x:v>
      </x:c>
      <x:c r="H264" s="32" t="str">
        <x:v>Ranked in subject table</x:v>
      </x:c>
      <x:c r="I264" s="35" t="str">
        <x:v>https://www.timeshighereducation.com/world-university-rankings/carnegie-mellon-university</x:v>
      </x:c>
      <x:c r="J264" s="35" t="str">
        <x:v>https://www.timeshighereducation.com/world-university-rankings/2026/subject-ranking/engineering</x:v>
      </x:c>
      <x:c r="K264" s="35" t="str">
        <x:v>https://www.timeshighereducation.com/json/ranking_tables/engineering_technology_rankings/2026</x:v>
      </x:c>
      <x:c r="L264" s="35" t="str">
        <x:v>https://soa.cmu.edu/ms-sustainable-design</x:v>
      </x:c>
    </x:row>
    <x:row r="265">
      <x:c r="A265" s="31" t="n">
        <x:v>53</x:v>
      </x:c>
      <x:c r="B265" t="str">
        <x:v>University of Washington</x:v>
      </x:c>
      <x:c r="C265" s="32" t="str">
        <x:v>MPA Environmental Policy specialization / sustainability pathway</x:v>
      </x:c>
      <x:c r="D265" s="32" t="str">
        <x:v>Social Sciences</x:v>
      </x:c>
      <x:c r="E265" s="31" t="n">
        <x:v>2022</x:v>
      </x:c>
      <x:c r="F265" s="31" t="n">
        <x:f>26</x:f>
        <x:v>26</x:v>
      </x:c>
      <x:c r="G265" s="31" t="str">
        <x:v>73.0</x:v>
      </x:c>
      <x:c r="H265" s="32" t="str">
        <x:v>Ranked in subject table</x:v>
      </x:c>
      <x:c r="I265" s="35" t="str">
        <x:v>https://www.timeshighereducation.com/world-university-rankings/university-washington</x:v>
      </x:c>
      <x:c r="J265" s="35" t="str">
        <x:v>https://www.timeshighereducation.com/world-university-rankings/2022/subject-ranking/social-sciences</x:v>
      </x:c>
      <x:c r="K265" s="35" t="str">
        <x:v>https://www.timeshighereducation.com/json/ranking_tables/social_sciences_rankings/2022</x:v>
      </x:c>
      <x:c r="L265" s="35" t="str">
        <x:v>https://evans.uw.edu/academic-programs/graduate-degrees/master-of-public-administration/</x:v>
      </x:c>
    </x:row>
    <x:row r="266">
      <x:c r="A266" s="31" t="n">
        <x:v>53</x:v>
      </x:c>
      <x:c r="B266" t="str">
        <x:v>University of Washington</x:v>
      </x:c>
      <x:c r="C266" s="32" t="str">
        <x:v>MPA Environmental Policy specialization / sustainability pathway</x:v>
      </x:c>
      <x:c r="D266" s="32" t="str">
        <x:v>Social Sciences</x:v>
      </x:c>
      <x:c r="E266" s="31" t="n">
        <x:v>2023</x:v>
      </x:c>
      <x:c r="F266" s="31" t="str">
        <x:v>18</x:v>
      </x:c>
      <x:c r="G266" s="31" t="str">
        <x:v>78.1</x:v>
      </x:c>
      <x:c r="H266" s="32" t="str">
        <x:v>Ranked in subject table</x:v>
      </x:c>
      <x:c r="I266" s="35" t="str">
        <x:v>https://www.timeshighereducation.com/world-university-rankings/university-washington</x:v>
      </x:c>
      <x:c r="J266" s="35" t="str">
        <x:v>https://www.timeshighereducation.com/world-university-rankings/2023/subject-ranking/social-sciences</x:v>
      </x:c>
      <x:c r="K266" s="35" t="str">
        <x:v>https://www.timeshighereducation.com/json/ranking_tables/social_sciences_rankings/2023</x:v>
      </x:c>
      <x:c r="L266" s="35" t="str">
        <x:v>https://evans.uw.edu/academic-programs/graduate-degrees/master-of-public-administration/</x:v>
      </x:c>
    </x:row>
    <x:row r="267">
      <x:c r="A267" s="31" t="n">
        <x:v>53</x:v>
      </x:c>
      <x:c r="B267" t="str">
        <x:v>University of Washington</x:v>
      </x:c>
      <x:c r="C267" s="32" t="str">
        <x:v>MPA Environmental Policy specialization / sustainability pathway</x:v>
      </x:c>
      <x:c r="D267" s="32" t="str">
        <x:v>Social Sciences</x:v>
      </x:c>
      <x:c r="E267" s="31" t="n">
        <x:v>2024</x:v>
      </x:c>
      <x:c r="F267" s="31" t="str">
        <x:v>22</x:v>
      </x:c>
      <x:c r="G267" s="31" t="str">
        <x:v>80.3</x:v>
      </x:c>
      <x:c r="H267" s="32" t="str">
        <x:v>Ranked in subject table</x:v>
      </x:c>
      <x:c r="I267" s="35" t="str">
        <x:v>https://www.timeshighereducation.com/world-university-rankings/university-washington</x:v>
      </x:c>
      <x:c r="J267" s="35" t="str">
        <x:v>https://www.timeshighereducation.com/world-university-rankings/2024/subject-ranking/social-sciences</x:v>
      </x:c>
      <x:c r="K267" s="35" t="str">
        <x:v>https://www.timeshighereducation.com/json/ranking_tables/social_sciences_rankings/2024</x:v>
      </x:c>
      <x:c r="L267" s="35" t="str">
        <x:v>https://evans.uw.edu/academic-programs/graduate-degrees/master-of-public-administration/</x:v>
      </x:c>
    </x:row>
    <x:row r="268">
      <x:c r="A268" s="31" t="n">
        <x:v>53</x:v>
      </x:c>
      <x:c r="B268" t="str">
        <x:v>University of Washington</x:v>
      </x:c>
      <x:c r="C268" s="32" t="str">
        <x:v>MPA Environmental Policy specialization / sustainability pathway</x:v>
      </x:c>
      <x:c r="D268" s="32" t="str">
        <x:v>Social Sciences</x:v>
      </x:c>
      <x:c r="E268" s="31" t="n">
        <x:v>2025</x:v>
      </x:c>
      <x:c r="F268" s="31" t="n">
        <x:f>25</x:f>
        <x:v>25</x:v>
      </x:c>
      <x:c r="G268" s="31" t="str">
        <x:v>76.4</x:v>
      </x:c>
      <x:c r="H268" s="32" t="str">
        <x:v>Ranked in subject table</x:v>
      </x:c>
      <x:c r="I268" s="35" t="str">
        <x:v>https://www.timeshighereducation.com/world-university-rankings/university-washington</x:v>
      </x:c>
      <x:c r="J268" s="35" t="str">
        <x:v>https://www.timeshighereducation.com/world-university-rankings/2025/subject-ranking/social-sciences</x:v>
      </x:c>
      <x:c r="K268" s="35" t="str">
        <x:v>https://www.timeshighereducation.com/json/ranking_tables/social_sciences_rankings/2025</x:v>
      </x:c>
      <x:c r="L268" s="35" t="str">
        <x:v>https://evans.uw.edu/academic-programs/graduate-degrees/master-of-public-administration/</x:v>
      </x:c>
    </x:row>
    <x:row r="269">
      <x:c r="A269" s="31" t="n">
        <x:v>53</x:v>
      </x:c>
      <x:c r="B269" t="str">
        <x:v>University of Washington</x:v>
      </x:c>
      <x:c r="C269" s="32" t="str">
        <x:v>MPA Environmental Policy specialization / sustainability pathway</x:v>
      </x:c>
      <x:c r="D269" s="32" t="str">
        <x:v>Social Sciences</x:v>
      </x:c>
      <x:c r="E269" s="31" t="n">
        <x:v>2026</x:v>
      </x:c>
      <x:c r="F269" s="31" t="str">
        <x:v>25</x:v>
      </x:c>
      <x:c r="G269" s="31" t="str">
        <x:v>77.2</x:v>
      </x:c>
      <x:c r="H269" s="32" t="str">
        <x:v>Ranked in subject table</x:v>
      </x:c>
      <x:c r="I269" s="35" t="str">
        <x:v>https://www.timeshighereducation.com/world-university-rankings/university-washington</x:v>
      </x:c>
      <x:c r="J269" s="35" t="str">
        <x:v>https://www.timeshighereducation.com/world-university-rankings/2026/subject-ranking/social-sciences</x:v>
      </x:c>
      <x:c r="K269" s="35" t="str">
        <x:v>https://www.timeshighereducation.com/json/ranking_tables/social_sciences_rankings/2026</x:v>
      </x:c>
      <x:c r="L269" s="35" t="str">
        <x:v>https://evans.uw.edu/academic-programs/graduate-degrees/master-of-public-administration/</x:v>
      </x:c>
    </x:row>
    <x:row r="270">
      <x:c r="A270" s="31" t="n">
        <x:v>54</x:v>
      </x:c>
      <x:c r="B270" t="str">
        <x:v>Duke University</x:v>
      </x:c>
      <x:c r="C270" s="32" t="str">
        <x:v>Master of Environmental Management</x:v>
      </x:c>
      <x:c r="D270" s="32" t="str">
        <x:v>Physical Sciences</x:v>
      </x:c>
      <x:c r="E270" s="31" t="n">
        <x:v>2022</x:v>
      </x:c>
      <x:c r="F270" s="31" t="str">
        <x:v>51</x:v>
      </x:c>
      <x:c r="G270" s="31" t="str">
        <x:v>70.5</x:v>
      </x:c>
      <x:c r="H270" s="32" t="str">
        <x:v>Ranked in subject table</x:v>
      </x:c>
      <x:c r="I270" s="35" t="str">
        <x:v>https://www.timeshighereducation.com/world-university-rankings/duke-university</x:v>
      </x:c>
      <x:c r="J270" s="35" t="str">
        <x:v>https://www.timeshighereducation.com/world-university-rankings/2022/subject-ranking/physical-sciences</x:v>
      </x:c>
      <x:c r="K270" s="35" t="str">
        <x:v>https://www.timeshighereducation.com/json/ranking_tables/physical_sciences_rankings/2022</x:v>
      </x:c>
      <x:c r="L270" s="35" t="str">
        <x:v>https://nicholas.duke.edu/academics/masters-programs/master-environmental-management</x:v>
      </x:c>
    </x:row>
    <x:row r="271">
      <x:c r="A271" s="31" t="n">
        <x:v>54</x:v>
      </x:c>
      <x:c r="B271" t="str">
        <x:v>Duke University</x:v>
      </x:c>
      <x:c r="C271" s="32" t="str">
        <x:v>Master of Environmental Management</x:v>
      </x:c>
      <x:c r="D271" s="32" t="str">
        <x:v>Physical Sciences</x:v>
      </x:c>
      <x:c r="E271" s="31" t="n">
        <x:v>2023</x:v>
      </x:c>
      <x:c r="F271" s="31" t="str">
        <x:v>54</x:v>
      </x:c>
      <x:c r="G271" s="31" t="str">
        <x:v>68.6</x:v>
      </x:c>
      <x:c r="H271" s="32" t="str">
        <x:v>Ranked in subject table</x:v>
      </x:c>
      <x:c r="I271" s="35" t="str">
        <x:v>https://www.timeshighereducation.com/world-university-rankings/duke-university</x:v>
      </x:c>
      <x:c r="J271" s="35" t="str">
        <x:v>https://www.timeshighereducation.com/world-university-rankings/2023/subject-ranking/physical-sciences</x:v>
      </x:c>
      <x:c r="K271" s="35" t="str">
        <x:v>https://www.timeshighereducation.com/json/ranking_tables/physical_sciences_rankings/2023</x:v>
      </x:c>
      <x:c r="L271" s="35" t="str">
        <x:v>https://nicholas.duke.edu/academics/masters-programs/master-environmental-management</x:v>
      </x:c>
    </x:row>
    <x:row r="272">
      <x:c r="A272" s="31" t="n">
        <x:v>54</x:v>
      </x:c>
      <x:c r="B272" t="str">
        <x:v>Duke University</x:v>
      </x:c>
      <x:c r="C272" s="32" t="str">
        <x:v>Master of Environmental Management</x:v>
      </x:c>
      <x:c r="D272" s="32" t="str">
        <x:v>Physical Sciences</x:v>
      </x:c>
      <x:c r="E272" s="31" t="n">
        <x:v>2024</x:v>
      </x:c>
      <x:c r="F272" s="31" t="str">
        <x:v>48</x:v>
      </x:c>
      <x:c r="G272" s="31" t="str">
        <x:v>72.8</x:v>
      </x:c>
      <x:c r="H272" s="32" t="str">
        <x:v>Ranked in subject table</x:v>
      </x:c>
      <x:c r="I272" s="35" t="str">
        <x:v>https://www.timeshighereducation.com/world-university-rankings/duke-university</x:v>
      </x:c>
      <x:c r="J272" s="35" t="str">
        <x:v>https://www.timeshighereducation.com/world-university-rankings/2024/subject-ranking/physical-sciences</x:v>
      </x:c>
      <x:c r="K272" s="35" t="str">
        <x:v>https://www.timeshighereducation.com/json/ranking_tables/physical_sciences_rankings/2024</x:v>
      </x:c>
      <x:c r="L272" s="35" t="str">
        <x:v>https://nicholas.duke.edu/academics/masters-programs/master-environmental-management</x:v>
      </x:c>
    </x:row>
    <x:row r="273">
      <x:c r="A273" s="31" t="n">
        <x:v>54</x:v>
      </x:c>
      <x:c r="B273" t="str">
        <x:v>Duke University</x:v>
      </x:c>
      <x:c r="C273" s="32" t="str">
        <x:v>Master of Environmental Management</x:v>
      </x:c>
      <x:c r="D273" s="32" t="str">
        <x:v>Physical Sciences</x:v>
      </x:c>
      <x:c r="E273" s="31" t="n">
        <x:v>2025</x:v>
      </x:c>
      <x:c r="F273" s="31" t="str">
        <x:v>52</x:v>
      </x:c>
      <x:c r="G273" s="31" t="str">
        <x:v>71.5</x:v>
      </x:c>
      <x:c r="H273" s="32" t="str">
        <x:v>Ranked in subject table</x:v>
      </x:c>
      <x:c r="I273" s="35" t="str">
        <x:v>https://www.timeshighereducation.com/world-university-rankings/duke-university</x:v>
      </x:c>
      <x:c r="J273" s="35" t="str">
        <x:v>https://www.timeshighereducation.com/world-university-rankings/2025/subject-ranking/physical-sciences</x:v>
      </x:c>
      <x:c r="K273" s="35" t="str">
        <x:v>https://www.timeshighereducation.com/json/ranking_tables/physical_sciences_rankings/2025</x:v>
      </x:c>
      <x:c r="L273" s="35" t="str">
        <x:v>https://nicholas.duke.edu/academics/masters-programs/master-environmental-management</x:v>
      </x:c>
    </x:row>
    <x:row r="274">
      <x:c r="A274" s="31" t="n">
        <x:v>54</x:v>
      </x:c>
      <x:c r="B274" t="str">
        <x:v>Duke University</x:v>
      </x:c>
      <x:c r="C274" s="32" t="str">
        <x:v>Master of Environmental Management</x:v>
      </x:c>
      <x:c r="D274" s="32" t="str">
        <x:v>Physical Sciences</x:v>
      </x:c>
      <x:c r="E274" s="31" t="n">
        <x:v>2026</x:v>
      </x:c>
      <x:c r="F274" s="31" t="str">
        <x:v>53</x:v>
      </x:c>
      <x:c r="G274" s="31" t="str">
        <x:v>72.0</x:v>
      </x:c>
      <x:c r="H274" s="32" t="str">
        <x:v>Ranked in subject table</x:v>
      </x:c>
      <x:c r="I274" s="35" t="str">
        <x:v>https://www.timeshighereducation.com/world-university-rankings/duke-university</x:v>
      </x:c>
      <x:c r="J274" s="35" t="str">
        <x:v>https://www.timeshighereducation.com/world-university-rankings/2026/subject-ranking/physical-sciences</x:v>
      </x:c>
      <x:c r="K274" s="35" t="str">
        <x:v>https://www.timeshighereducation.com/json/ranking_tables/physical_sciences_rankings/2026</x:v>
      </x:c>
      <x:c r="L274" s="35" t="str">
        <x:v>https://nicholas.duke.edu/academics/masters-programs/master-environmental-management</x:v>
      </x:c>
    </x:row>
    <x:row r="275">
      <x:c r="A275" s="31" t="n">
        <x:v>55</x:v>
      </x:c>
      <x:c r="B275" t="str">
        <x:v>New York University</x:v>
      </x:c>
      <x:c r="C275" s="32" t="str">
        <x:v>MS in Environmental Policy and Sustainability Management</x:v>
      </x:c>
      <x:c r="D275" s="32" t="str">
        <x:v>Business and Economics</x:v>
      </x:c>
      <x:c r="E275" s="31" t="n">
        <x:v>2022</x:v>
      </x:c>
      <x:c r="F275" s="31" t="str">
        <x:v>17</x:v>
      </x:c>
      <x:c r="G275" s="31" t="str">
        <x:v>81.1</x:v>
      </x:c>
      <x:c r="H275" s="32" t="str">
        <x:v>Ranked in subject table</x:v>
      </x:c>
      <x:c r="I275" s="35" t="str">
        <x:v>https://www.timeshighereducation.com/world-university-rankings/new-york-university</x:v>
      </x:c>
      <x:c r="J275" s="35" t="str">
        <x:v>https://www.timeshighereducation.com/world-university-rankings/2022/subject-ranking/business-and-economics</x:v>
      </x:c>
      <x:c r="K275" s="35" t="str">
        <x:v>https://www.timeshighereducation.com/json/ranking_tables/business_economics_rankings/2022</x:v>
      </x:c>
      <x:c r="L275" s="35" t="str">
        <x:v>https://www.sps.nyu.edu/homepage/academics/masters-degrees/ms-in-environmental-policy-and-sustainability-management.html</x:v>
      </x:c>
    </x:row>
    <x:row r="276">
      <x:c r="A276" s="31" t="n">
        <x:v>55</x:v>
      </x:c>
      <x:c r="B276" t="str">
        <x:v>New York University</x:v>
      </x:c>
      <x:c r="C276" s="32" t="str">
        <x:v>MS in Environmental Policy and Sustainability Management</x:v>
      </x:c>
      <x:c r="D276" s="32" t="str">
        <x:v>Business and Economics</x:v>
      </x:c>
      <x:c r="E276" s="31" t="n">
        <x:v>2023</x:v>
      </x:c>
      <x:c r="F276" s="31" t="str">
        <x:v>18</x:v>
      </x:c>
      <x:c r="G276" s="31" t="str">
        <x:v>79.7</x:v>
      </x:c>
      <x:c r="H276" s="32" t="str">
        <x:v>Ranked in subject table</x:v>
      </x:c>
      <x:c r="I276" s="35" t="str">
        <x:v>https://www.timeshighereducation.com/world-university-rankings/new-york-university</x:v>
      </x:c>
      <x:c r="J276" s="35" t="str">
        <x:v>https://www.timeshighereducation.com/world-university-rankings/2023/subject-ranking/business-and-economics</x:v>
      </x:c>
      <x:c r="K276" s="35" t="str">
        <x:v>https://www.timeshighereducation.com/json/ranking_tables/business_economics_rankings/2023</x:v>
      </x:c>
      <x:c r="L276" s="35" t="str">
        <x:v>https://www.sps.nyu.edu/homepage/academics/masters-degrees/ms-in-environmental-policy-and-sustainability-management.html</x:v>
      </x:c>
    </x:row>
    <x:row r="277">
      <x:c r="A277" s="31" t="n">
        <x:v>55</x:v>
      </x:c>
      <x:c r="B277" t="str">
        <x:v>New York University</x:v>
      </x:c>
      <x:c r="C277" s="32" t="str">
        <x:v>MS in Environmental Policy and Sustainability Management</x:v>
      </x:c>
      <x:c r="D277" s="32" t="str">
        <x:v>Business and Economics</x:v>
      </x:c>
      <x:c r="E277" s="31" t="n">
        <x:v>2024</x:v>
      </x:c>
      <x:c r="F277" s="31" t="str">
        <x:v>17</x:v>
      </x:c>
      <x:c r="G277" s="31" t="str">
        <x:v>83.3</x:v>
      </x:c>
      <x:c r="H277" s="32" t="str">
        <x:v>Ranked in subject table</x:v>
      </x:c>
      <x:c r="I277" s="35" t="str">
        <x:v>https://www.timeshighereducation.com/world-university-rankings/new-york-university</x:v>
      </x:c>
      <x:c r="J277" s="35" t="str">
        <x:v>https://www.timeshighereducation.com/world-university-rankings/2024/subject-ranking/business-and-economics</x:v>
      </x:c>
      <x:c r="K277" s="35" t="str">
        <x:v>https://www.timeshighereducation.com/json/ranking_tables/business_economics_rankings/2024</x:v>
      </x:c>
      <x:c r="L277" s="35" t="str">
        <x:v>https://www.sps.nyu.edu/homepage/academics/masters-degrees/ms-in-environmental-policy-and-sustainability-management.html</x:v>
      </x:c>
    </x:row>
    <x:row r="278">
      <x:c r="A278" s="31" t="n">
        <x:v>55</x:v>
      </x:c>
      <x:c r="B278" t="str">
        <x:v>New York University</x:v>
      </x:c>
      <x:c r="C278" s="32" t="str">
        <x:v>MS in Environmental Policy and Sustainability Management</x:v>
      </x:c>
      <x:c r="D278" s="32" t="str">
        <x:v>Business and Economics</x:v>
      </x:c>
      <x:c r="E278" s="31" t="n">
        <x:v>2025</x:v>
      </x:c>
      <x:c r="F278" s="31" t="str">
        <x:v>17</x:v>
      </x:c>
      <x:c r="G278" s="31" t="str">
        <x:v>82.8</x:v>
      </x:c>
      <x:c r="H278" s="32" t="str">
        <x:v>Ranked in subject table</x:v>
      </x:c>
      <x:c r="I278" s="35" t="str">
        <x:v>https://www.timeshighereducation.com/world-university-rankings/new-york-university</x:v>
      </x:c>
      <x:c r="J278" s="35" t="str">
        <x:v>https://www.timeshighereducation.com/world-university-rankings/2025/subject-ranking/business-and-economics</x:v>
      </x:c>
      <x:c r="K278" s="35" t="str">
        <x:v>https://www.timeshighereducation.com/json/ranking_tables/business_economics_rankings/2025</x:v>
      </x:c>
      <x:c r="L278" s="35" t="str">
        <x:v>https://www.sps.nyu.edu/homepage/academics/masters-degrees/ms-in-environmental-policy-and-sustainability-management.html</x:v>
      </x:c>
    </x:row>
    <x:row r="279">
      <x:c r="A279" s="31" t="n">
        <x:v>55</x:v>
      </x:c>
      <x:c r="B279" t="str">
        <x:v>New York University</x:v>
      </x:c>
      <x:c r="C279" s="32" t="str">
        <x:v>MS in Environmental Policy and Sustainability Management</x:v>
      </x:c>
      <x:c r="D279" s="32" t="str">
        <x:v>Business and Economics</x:v>
      </x:c>
      <x:c r="E279" s="31" t="n">
        <x:v>2026</x:v>
      </x:c>
      <x:c r="F279" s="31" t="str">
        <x:v>18</x:v>
      </x:c>
      <x:c r="G279" s="31" t="str">
        <x:v>83.2</x:v>
      </x:c>
      <x:c r="H279" s="32" t="str">
        <x:v>Ranked in subject table</x:v>
      </x:c>
      <x:c r="I279" s="35" t="str">
        <x:v>https://www.timeshighereducation.com/world-university-rankings/new-york-university</x:v>
      </x:c>
      <x:c r="J279" s="35" t="str">
        <x:v>https://www.timeshighereducation.com/world-university-rankings/2026/subject-ranking/business-and-economics</x:v>
      </x:c>
      <x:c r="K279" s="35" t="str">
        <x:v>https://www.timeshighereducation.com/json/ranking_tables/business_economics_rankings/2026</x:v>
      </x:c>
      <x:c r="L279" s="35" t="str">
        <x:v>https://www.sps.nyu.edu/homepage/academics/masters-degrees/ms-in-environmental-policy-and-sustainability-management.html</x:v>
      </x:c>
    </x:row>
    <x:row r="280">
      <x:c r="A280" s="31" t="n">
        <x:v>56</x:v>
      </x:c>
      <x:c r="B280" t="str">
        <x:v>LMU Munich</x:v>
      </x:c>
      <x:c r="C280" s="32" t="str">
        <x:v>MSc Environment and Society</x:v>
      </x:c>
      <x:c r="D280" s="32" t="str">
        <x:v>Social Sciences</x:v>
      </x:c>
      <x:c r="E280" s="31" t="n">
        <x:v>2022</x:v>
      </x:c>
      <x:c r="F280" s="31" t="str">
        <x:v>69</x:v>
      </x:c>
      <x:c r="G280" s="31" t="str">
        <x:v>60.2</x:v>
      </x:c>
      <x:c r="H280" s="32" t="str">
        <x:v>Ranked in subject table</x:v>
      </x:c>
      <x:c r="I280" s="35" t="str">
        <x:v>https://www.timeshighereducation.com/world-university-rankings/lmu-munich</x:v>
      </x:c>
      <x:c r="J280" s="35" t="str">
        <x:v>https://www.timeshighereducation.com/world-university-rankings/2022/subject-ranking/social-sciences</x:v>
      </x:c>
      <x:c r="K280" s="35" t="str">
        <x:v>https://www.timeshighereducation.com/json/ranking_tables/social_sciences_rankings/2022</x:v>
      </x:c>
      <x:c r="L280" s="35" t="str">
        <x:v>https://www.lmu.de/en/study/all-degrees-and-programs/programs-for-international-visiting-students/environment-and-society-masters-program/</x:v>
      </x:c>
    </x:row>
    <x:row r="281">
      <x:c r="A281" s="31" t="n">
        <x:v>56</x:v>
      </x:c>
      <x:c r="B281" t="str">
        <x:v>LMU Munich</x:v>
      </x:c>
      <x:c r="C281" s="32" t="str">
        <x:v>MSc Environment and Society</x:v>
      </x:c>
      <x:c r="D281" s="32" t="str">
        <x:v>Social Sciences</x:v>
      </x:c>
      <x:c r="E281" s="31" t="n">
        <x:v>2023</x:v>
      </x:c>
      <x:c r="F281" s="31" t="str">
        <x:v>64</x:v>
      </x:c>
      <x:c r="G281" s="31" t="str">
        <x:v>62.1</x:v>
      </x:c>
      <x:c r="H281" s="32" t="str">
        <x:v>Ranked in subject table</x:v>
      </x:c>
      <x:c r="I281" s="35" t="str">
        <x:v>https://www.timeshighereducation.com/world-university-rankings/lmu-munich</x:v>
      </x:c>
      <x:c r="J281" s="35" t="str">
        <x:v>https://www.timeshighereducation.com/world-university-rankings/2023/subject-ranking/social-sciences</x:v>
      </x:c>
      <x:c r="K281" s="35" t="str">
        <x:v>https://www.timeshighereducation.com/json/ranking_tables/social_sciences_rankings/2023</x:v>
      </x:c>
      <x:c r="L281" s="35" t="str">
        <x:v>https://www.lmu.de/en/study/all-degrees-and-programs/programs-for-international-visiting-students/environment-and-society-masters-program/</x:v>
      </x:c>
    </x:row>
    <x:row r="282">
      <x:c r="A282" s="31" t="n">
        <x:v>56</x:v>
      </x:c>
      <x:c r="B282" t="str">
        <x:v>LMU Munich</x:v>
      </x:c>
      <x:c r="C282" s="32" t="str">
        <x:v>MSc Environment and Society</x:v>
      </x:c>
      <x:c r="D282" s="32" t="str">
        <x:v>Social Sciences</x:v>
      </x:c>
      <x:c r="E282" s="31" t="n">
        <x:v>2024</x:v>
      </x:c>
      <x:c r="F282" s="31" t="n">
        <x:f>61</x:f>
        <x:v>61</x:v>
      </x:c>
      <x:c r="G282" s="31" t="str">
        <x:v>65.8</x:v>
      </x:c>
      <x:c r="H282" s="32" t="str">
        <x:v>Ranked in subject table</x:v>
      </x:c>
      <x:c r="I282" s="35" t="str">
        <x:v>https://www.timeshighereducation.com/world-university-rankings/lmu-munich</x:v>
      </x:c>
      <x:c r="J282" s="35" t="str">
        <x:v>https://www.timeshighereducation.com/world-university-rankings/2024/subject-ranking/social-sciences</x:v>
      </x:c>
      <x:c r="K282" s="35" t="str">
        <x:v>https://www.timeshighereducation.com/json/ranking_tables/social_sciences_rankings/2024</x:v>
      </x:c>
      <x:c r="L282" s="35" t="str">
        <x:v>https://www.lmu.de/en/study/all-degrees-and-programs/programs-for-international-visiting-students/environment-and-society-masters-program/</x:v>
      </x:c>
    </x:row>
    <x:row r="283">
      <x:c r="A283" s="31" t="n">
        <x:v>56</x:v>
      </x:c>
      <x:c r="B283" t="str">
        <x:v>LMU Munich</x:v>
      </x:c>
      <x:c r="C283" s="32" t="str">
        <x:v>MSc Environment and Society</x:v>
      </x:c>
      <x:c r="D283" s="32" t="str">
        <x:v>Social Sciences</x:v>
      </x:c>
      <x:c r="E283" s="31" t="n">
        <x:v>2025</x:v>
      </x:c>
      <x:c r="F283" s="31" t="str">
        <x:v>67</x:v>
      </x:c>
      <x:c r="G283" s="31" t="str">
        <x:v>62.5</x:v>
      </x:c>
      <x:c r="H283" s="32" t="str">
        <x:v>Ranked in subject table</x:v>
      </x:c>
      <x:c r="I283" s="35" t="str">
        <x:v>https://www.timeshighereducation.com/world-university-rankings/lmu-munich</x:v>
      </x:c>
      <x:c r="J283" s="35" t="str">
        <x:v>https://www.timeshighereducation.com/world-university-rankings/2025/subject-ranking/social-sciences</x:v>
      </x:c>
      <x:c r="K283" s="35" t="str">
        <x:v>https://www.timeshighereducation.com/json/ranking_tables/social_sciences_rankings/2025</x:v>
      </x:c>
      <x:c r="L283" s="35" t="str">
        <x:v>https://www.lmu.de/en/study/all-degrees-and-programs/programs-for-international-visiting-students/environment-and-society-masters-program/</x:v>
      </x:c>
    </x:row>
    <x:row r="284">
      <x:c r="A284" s="31" t="n">
        <x:v>56</x:v>
      </x:c>
      <x:c r="B284" t="str">
        <x:v>LMU Munich</x:v>
      </x:c>
      <x:c r="C284" s="32" t="str">
        <x:v>MSc Environment and Society</x:v>
      </x:c>
      <x:c r="D284" s="32" t="str">
        <x:v>Social Sciences</x:v>
      </x:c>
      <x:c r="E284" s="31" t="n">
        <x:v>2026</x:v>
      </x:c>
      <x:c r="F284" s="31" t="n">
        <x:f>60</x:f>
        <x:v>60</x:v>
      </x:c>
      <x:c r="G284" s="31" t="str">
        <x:v>63.5</x:v>
      </x:c>
      <x:c r="H284" s="32" t="str">
        <x:v>Ranked in subject table</x:v>
      </x:c>
      <x:c r="I284" s="35" t="str">
        <x:v>https://www.timeshighereducation.com/world-university-rankings/lmu-munich</x:v>
      </x:c>
      <x:c r="J284" s="35" t="str">
        <x:v>https://www.timeshighereducation.com/world-university-rankings/2026/subject-ranking/social-sciences</x:v>
      </x:c>
      <x:c r="K284" s="35" t="str">
        <x:v>https://www.timeshighereducation.com/json/ranking_tables/social_sciences_rankings/2026</x:v>
      </x:c>
      <x:c r="L284" s="35" t="str">
        <x:v>https://www.lmu.de/en/study/all-degrees-and-programs/programs-for-international-visiting-students/environment-and-society-masters-program/</x:v>
      </x:c>
    </x:row>
    <x:row r="285">
      <x:c r="A285" s="31" t="n">
        <x:v>57</x:v>
      </x:c>
      <x:c r="B285" t="str">
        <x:v>Georgia Institute of Technology</x:v>
      </x:c>
      <x:c r="C285" s="32" t="str">
        <x:v>Master of Sustainable Energy and Environmental Management</x:v>
      </x:c>
      <x:c r="D285" s="32" t="str">
        <x:v>Engineering</x:v>
      </x:c>
      <x:c r="E285" s="31" t="n">
        <x:v>2022</x:v>
      </x:c>
      <x:c r="F285" s="31" t="str">
        <x:v>14</x:v>
      </x:c>
      <x:c r="G285" s="31" t="str">
        <x:v>87.4</x:v>
      </x:c>
      <x:c r="H285" s="32" t="str">
        <x:v>Ranked in subject table</x:v>
      </x:c>
      <x:c r="I285" s="35" t="str">
        <x:v>https://www.timeshighereducation.com/world-university-rankings/georgia-institute-technology</x:v>
      </x:c>
      <x:c r="J285" s="35" t="str">
        <x:v>https://www.timeshighereducation.com/world-university-rankings/2022/subject-ranking/engineering</x:v>
      </x:c>
      <x:c r="K285" s="35" t="str">
        <x:v>https://www.timeshighereducation.com/json/ranking_tables/engineering_technology_rankings/2022</x:v>
      </x:c>
      <x:c r="L285" s="35" t="str">
        <x:v>https://spp.gatech.edu/master-sustainable-energy-environmental-management</x:v>
      </x:c>
    </x:row>
    <x:row r="286">
      <x:c r="A286" s="31" t="n">
        <x:v>57</x:v>
      </x:c>
      <x:c r="B286" t="str">
        <x:v>Georgia Institute of Technology</x:v>
      </x:c>
      <x:c r="C286" s="32" t="str">
        <x:v>Master of Sustainable Energy and Environmental Management</x:v>
      </x:c>
      <x:c r="D286" s="32" t="str">
        <x:v>Engineering</x:v>
      </x:c>
      <x:c r="E286" s="31" t="n">
        <x:v>2023</x:v>
      </x:c>
      <x:c r="F286" s="31" t="str">
        <x:v>11</x:v>
      </x:c>
      <x:c r="G286" s="31" t="str">
        <x:v>89.1</x:v>
      </x:c>
      <x:c r="H286" s="32" t="str">
        <x:v>Ranked in subject table</x:v>
      </x:c>
      <x:c r="I286" s="35" t="str">
        <x:v>https://www.timeshighereducation.com/world-university-rankings/georgia-institute-technology</x:v>
      </x:c>
      <x:c r="J286" s="35" t="str">
        <x:v>https://www.timeshighereducation.com/world-university-rankings/2023/subject-ranking/engineering</x:v>
      </x:c>
      <x:c r="K286" s="35" t="str">
        <x:v>https://www.timeshighereducation.com/json/ranking_tables/engineering_technology_rankings/2023</x:v>
      </x:c>
      <x:c r="L286" s="35" t="str">
        <x:v>https://spp.gatech.edu/master-sustainable-energy-environmental-management</x:v>
      </x:c>
    </x:row>
    <x:row r="287">
      <x:c r="A287" s="31" t="n">
        <x:v>57</x:v>
      </x:c>
      <x:c r="B287" t="str">
        <x:v>Georgia Institute of Technology</x:v>
      </x:c>
      <x:c r="C287" s="32" t="str">
        <x:v>Master of Sustainable Energy and Environmental Management</x:v>
      </x:c>
      <x:c r="D287" s="32" t="str">
        <x:v>Engineering</x:v>
      </x:c>
      <x:c r="E287" s="31" t="n">
        <x:v>2024</x:v>
      </x:c>
      <x:c r="F287" s="31" t="str">
        <x:v>12</x:v>
      </x:c>
      <x:c r="G287" s="31" t="str">
        <x:v>91.4</x:v>
      </x:c>
      <x:c r="H287" s="32" t="str">
        <x:v>Ranked in subject table</x:v>
      </x:c>
      <x:c r="I287" s="35" t="str">
        <x:v>https://www.timeshighereducation.com/world-university-rankings/georgia-institute-technology</x:v>
      </x:c>
      <x:c r="J287" s="35" t="str">
        <x:v>https://www.timeshighereducation.com/world-university-rankings/2024/subject-ranking/engineering</x:v>
      </x:c>
      <x:c r="K287" s="35" t="str">
        <x:v>https://www.timeshighereducation.com/json/ranking_tables/engineering_technology_rankings/2024</x:v>
      </x:c>
      <x:c r="L287" s="35" t="str">
        <x:v>https://spp.gatech.edu/master-sustainable-energy-environmental-management</x:v>
      </x:c>
    </x:row>
    <x:row r="288">
      <x:c r="A288" s="31" t="n">
        <x:v>57</x:v>
      </x:c>
      <x:c r="B288" t="str">
        <x:v>Georgia Institute of Technology</x:v>
      </x:c>
      <x:c r="C288" s="32" t="str">
        <x:v>Master of Sustainable Energy and Environmental Management</x:v>
      </x:c>
      <x:c r="D288" s="32" t="str">
        <x:v>Engineering</x:v>
      </x:c>
      <x:c r="E288" s="31" t="n">
        <x:v>2025</x:v>
      </x:c>
      <x:c r="F288" s="31" t="str">
        <x:v>15</x:v>
      </x:c>
      <x:c r="G288" s="31" t="str">
        <x:v>90.3</x:v>
      </x:c>
      <x:c r="H288" s="32" t="str">
        <x:v>Ranked in subject table</x:v>
      </x:c>
      <x:c r="I288" s="35" t="str">
        <x:v>https://www.timeshighereducation.com/world-university-rankings/georgia-institute-technology</x:v>
      </x:c>
      <x:c r="J288" s="35" t="str">
        <x:v>https://www.timeshighereducation.com/world-university-rankings/2025/subject-ranking/engineering</x:v>
      </x:c>
      <x:c r="K288" s="35" t="str">
        <x:v>https://www.timeshighereducation.com/json/ranking_tables/engineering_technology_rankings/2025</x:v>
      </x:c>
      <x:c r="L288" s="35" t="str">
        <x:v>https://spp.gatech.edu/master-sustainable-energy-environmental-management</x:v>
      </x:c>
    </x:row>
    <x:row r="289">
      <x:c r="A289" s="31" t="n">
        <x:v>57</x:v>
      </x:c>
      <x:c r="B289" t="str">
        <x:v>Georgia Institute of Technology</x:v>
      </x:c>
      <x:c r="C289" s="32" t="str">
        <x:v>Master of Sustainable Energy and Environmental Management</x:v>
      </x:c>
      <x:c r="D289" s="32" t="str">
        <x:v>Engineering</x:v>
      </x:c>
      <x:c r="E289" s="31" t="n">
        <x:v>2026</x:v>
      </x:c>
      <x:c r="F289" s="31" t="str">
        <x:v>15</x:v>
      </x:c>
      <x:c r="G289" s="31" t="str">
        <x:v>89.9</x:v>
      </x:c>
      <x:c r="H289" s="32" t="str">
        <x:v>Ranked in subject table</x:v>
      </x:c>
      <x:c r="I289" s="35" t="str">
        <x:v>https://www.timeshighereducation.com/world-university-rankings/georgia-institute-technology</x:v>
      </x:c>
      <x:c r="J289" s="35" t="str">
        <x:v>https://www.timeshighereducation.com/world-university-rankings/2026/subject-ranking/engineering</x:v>
      </x:c>
      <x:c r="K289" s="35" t="str">
        <x:v>https://www.timeshighereducation.com/json/ranking_tables/engineering_technology_rankings/2026</x:v>
      </x:c>
      <x:c r="L289" s="35" t="str">
        <x:v>https://spp.gatech.edu/master-sustainable-energy-environmental-management</x:v>
      </x:c>
    </x:row>
    <x:row r="290">
      <x:c r="A290" s="31" t="n">
        <x:v>58</x:v>
      </x:c>
      <x:c r="B290" t="str">
        <x:v>University of Illinois at Urbana-Champaign</x:v>
      </x:c>
      <x:c r="C290" s="32" t="str">
        <x:v>MS in Sustainable Design</x:v>
      </x:c>
      <x:c r="D290" s="32" t="str">
        <x:v>Engineering</x:v>
      </x:c>
      <x:c r="E290" s="31" t="n">
        <x:v>2022</x:v>
      </x:c>
      <x:c r="F290" s="31" t="str">
        <x:v>25</x:v>
      </x:c>
      <x:c r="G290" s="31" t="str">
        <x:v>80.2</x:v>
      </x:c>
      <x:c r="H290" s="32" t="str">
        <x:v>Ranked in subject table</x:v>
      </x:c>
      <x:c r="I290" s="35" t="str">
        <x:v>https://www.timeshighereducation.com/world-university-rankings/university-illinois-urbana-champaign</x:v>
      </x:c>
      <x:c r="J290" s="35" t="str">
        <x:v>https://www.timeshighereducation.com/world-university-rankings/2022/subject-ranking/engineering</x:v>
      </x:c>
      <x:c r="K290" s="35" t="str">
        <x:v>https://www.timeshighereducation.com/json/ranking_tables/engineering_technology_rankings/2022</x:v>
      </x:c>
      <x:c r="L290" s="35" t="str">
        <x:v>https://arch.illinois.edu/programs-applying/graduate-degrees/ms-sustainable-design/</x:v>
      </x:c>
    </x:row>
    <x:row r="291">
      <x:c r="A291" s="31" t="n">
        <x:v>58</x:v>
      </x:c>
      <x:c r="B291" t="str">
        <x:v>University of Illinois at Urbana-Champaign</x:v>
      </x:c>
      <x:c r="C291" s="32" t="str">
        <x:v>MS in Sustainable Design</x:v>
      </x:c>
      <x:c r="D291" s="32" t="str">
        <x:v>Engineering</x:v>
      </x:c>
      <x:c r="E291" s="31" t="n">
        <x:v>2023</x:v>
      </x:c>
      <x:c r="F291" s="31" t="str">
        <x:v>28</x:v>
      </x:c>
      <x:c r="G291" s="31" t="str">
        <x:v>78.9</x:v>
      </x:c>
      <x:c r="H291" s="32" t="str">
        <x:v>Ranked in subject table</x:v>
      </x:c>
      <x:c r="I291" s="35" t="str">
        <x:v>https://www.timeshighereducation.com/world-university-rankings/university-illinois-urbana-champaign</x:v>
      </x:c>
      <x:c r="J291" s="35" t="str">
        <x:v>https://www.timeshighereducation.com/world-university-rankings/2023/subject-ranking/engineering</x:v>
      </x:c>
      <x:c r="K291" s="35" t="str">
        <x:v>https://www.timeshighereducation.com/json/ranking_tables/engineering_technology_rankings/2023</x:v>
      </x:c>
      <x:c r="L291" s="35" t="str">
        <x:v>https://arch.illinois.edu/programs-applying/graduate-degrees/ms-sustainable-design/</x:v>
      </x:c>
    </x:row>
    <x:row r="292">
      <x:c r="A292" s="31" t="n">
        <x:v>58</x:v>
      </x:c>
      <x:c r="B292" t="str">
        <x:v>University of Illinois at Urbana-Champaign</x:v>
      </x:c>
      <x:c r="C292" s="32" t="str">
        <x:v>MS in Sustainable Design</x:v>
      </x:c>
      <x:c r="D292" s="32" t="str">
        <x:v>Engineering</x:v>
      </x:c>
      <x:c r="E292" s="31" t="n">
        <x:v>2024</x:v>
      </x:c>
      <x:c r="F292" s="31" t="str">
        <x:v>24</x:v>
      </x:c>
      <x:c r="G292" s="31" t="str">
        <x:v>83.3</x:v>
      </x:c>
      <x:c r="H292" s="32" t="str">
        <x:v>Ranked in subject table</x:v>
      </x:c>
      <x:c r="I292" s="35" t="str">
        <x:v>https://www.timeshighereducation.com/world-university-rankings/university-illinois-urbana-champaign</x:v>
      </x:c>
      <x:c r="J292" s="35" t="str">
        <x:v>https://www.timeshighereducation.com/world-university-rankings/2024/subject-ranking/engineering</x:v>
      </x:c>
      <x:c r="K292" s="35" t="str">
        <x:v>https://www.timeshighereducation.com/json/ranking_tables/engineering_technology_rankings/2024</x:v>
      </x:c>
      <x:c r="L292" s="35" t="str">
        <x:v>https://arch.illinois.edu/programs-applying/graduate-degrees/ms-sustainable-design/</x:v>
      </x:c>
    </x:row>
    <x:row r="293">
      <x:c r="A293" s="31" t="n">
        <x:v>58</x:v>
      </x:c>
      <x:c r="B293" t="str">
        <x:v>University of Illinois at Urbana-Champaign</x:v>
      </x:c>
      <x:c r="C293" s="32" t="str">
        <x:v>MS in Sustainable Design</x:v>
      </x:c>
      <x:c r="D293" s="32" t="str">
        <x:v>Engineering</x:v>
      </x:c>
      <x:c r="E293" s="31" t="n">
        <x:v>2025</x:v>
      </x:c>
      <x:c r="F293" s="31" t="str">
        <x:v>25</x:v>
      </x:c>
      <x:c r="G293" s="31" t="str">
        <x:v>82.6</x:v>
      </x:c>
      <x:c r="H293" s="32" t="str">
        <x:v>Ranked in subject table</x:v>
      </x:c>
      <x:c r="I293" s="35" t="str">
        <x:v>https://www.timeshighereducation.com/world-university-rankings/university-illinois-urbana-champaign</x:v>
      </x:c>
      <x:c r="J293" s="35" t="str">
        <x:v>https://www.timeshighereducation.com/world-university-rankings/2025/subject-ranking/engineering</x:v>
      </x:c>
      <x:c r="K293" s="35" t="str">
        <x:v>https://www.timeshighereducation.com/json/ranking_tables/engineering_technology_rankings/2025</x:v>
      </x:c>
      <x:c r="L293" s="35" t="str">
        <x:v>https://arch.illinois.edu/programs-applying/graduate-degrees/ms-sustainable-design/</x:v>
      </x:c>
    </x:row>
    <x:row r="294">
      <x:c r="A294" s="31" t="n">
        <x:v>58</x:v>
      </x:c>
      <x:c r="B294" t="str">
        <x:v>University of Illinois at Urbana-Champaign</x:v>
      </x:c>
      <x:c r="C294" s="32" t="str">
        <x:v>MS in Sustainable Design</x:v>
      </x:c>
      <x:c r="D294" s="32" t="str">
        <x:v>Engineering</x:v>
      </x:c>
      <x:c r="E294" s="31" t="n">
        <x:v>2026</x:v>
      </x:c>
      <x:c r="F294" s="31" t="str">
        <x:v>26</x:v>
      </x:c>
      <x:c r="G294" s="31" t="str">
        <x:v>83.5</x:v>
      </x:c>
      <x:c r="H294" s="32" t="str">
        <x:v>Ranked in subject table</x:v>
      </x:c>
      <x:c r="I294" s="35" t="str">
        <x:v>https://www.timeshighereducation.com/world-university-rankings/university-illinois-urbana-champaign</x:v>
      </x:c>
      <x:c r="J294" s="35" t="str">
        <x:v>https://www.timeshighereducation.com/world-university-rankings/2026/subject-ranking/engineering</x:v>
      </x:c>
      <x:c r="K294" s="35" t="str">
        <x:v>https://www.timeshighereducation.com/json/ranking_tables/engineering_technology_rankings/2026</x:v>
      </x:c>
      <x:c r="L294" s="35" t="str">
        <x:v>https://arch.illinois.edu/programs-applying/graduate-degrees/ms-sustainable-design/</x:v>
      </x:c>
    </x:row>
    <x:row r="295">
      <x:c r="A295" s="31" t="n">
        <x:v>59</x:v>
      </x:c>
      <x:c r="B295" t="str">
        <x:v>KU Leuven</x:v>
      </x:c>
      <x:c r="C295" s="32" t="str">
        <x:v>Master of Sustainable Development</x:v>
      </x:c>
      <x:c r="D295" s="32" t="str">
        <x:v>Social Sciences</x:v>
      </x:c>
      <x:c r="E295" s="31" t="n">
        <x:v>2022</x:v>
      </x:c>
      <x:c r="F295" s="31" t="n">
        <x:f>48</x:f>
        <x:v>48</x:v>
      </x:c>
      <x:c r="G295" s="31" t="str">
        <x:v>64.3</x:v>
      </x:c>
      <x:c r="H295" s="32" t="str">
        <x:v>Ranked in subject table</x:v>
      </x:c>
      <x:c r="I295" s="35" t="str">
        <x:v>https://www.timeshighereducation.com/world-university-rankings/ku-leuven</x:v>
      </x:c>
      <x:c r="J295" s="35" t="str">
        <x:v>https://www.timeshighereducation.com/world-university-rankings/2022/subject-ranking/social-sciences</x:v>
      </x:c>
      <x:c r="K295" s="35" t="str">
        <x:v>https://www.timeshighereducation.com/json/ranking_tables/social_sciences_rankings/2022</x:v>
      </x:c>
      <x:c r="L295" s="35" t="str">
        <x:v>https://www.kuleuven.be/programmes/master-sustainable-development</x:v>
      </x:c>
    </x:row>
    <x:row r="296">
      <x:c r="A296" s="31" t="n">
        <x:v>59</x:v>
      </x:c>
      <x:c r="B296" t="str">
        <x:v>KU Leuven</x:v>
      </x:c>
      <x:c r="C296" s="32" t="str">
        <x:v>Master of Sustainable Development</x:v>
      </x:c>
      <x:c r="D296" s="32" t="str">
        <x:v>Social Sciences</x:v>
      </x:c>
      <x:c r="E296" s="31" t="n">
        <x:v>2023</x:v>
      </x:c>
      <x:c r="F296" s="31" t="str">
        <x:v>49</x:v>
      </x:c>
      <x:c r="G296" s="31" t="str">
        <x:v>63.8</x:v>
      </x:c>
      <x:c r="H296" s="32" t="str">
        <x:v>Ranked in subject table</x:v>
      </x:c>
      <x:c r="I296" s="35" t="str">
        <x:v>https://www.timeshighereducation.com/world-university-rankings/ku-leuven</x:v>
      </x:c>
      <x:c r="J296" s="35" t="str">
        <x:v>https://www.timeshighereducation.com/world-university-rankings/2023/subject-ranking/social-sciences</x:v>
      </x:c>
      <x:c r="K296" s="35" t="str">
        <x:v>https://www.timeshighereducation.com/json/ranking_tables/social_sciences_rankings/2023</x:v>
      </x:c>
      <x:c r="L296" s="35" t="str">
        <x:v>https://www.kuleuven.be/programmes/master-sustainable-development</x:v>
      </x:c>
    </x:row>
    <x:row r="297">
      <x:c r="A297" s="31" t="n">
        <x:v>59</x:v>
      </x:c>
      <x:c r="B297" t="str">
        <x:v>KU Leuven</x:v>
      </x:c>
      <x:c r="C297" s="32" t="str">
        <x:v>Master of Sustainable Development</x:v>
      </x:c>
      <x:c r="D297" s="32" t="str">
        <x:v>Social Sciences</x:v>
      </x:c>
      <x:c r="E297" s="31" t="n">
        <x:v>2024</x:v>
      </x:c>
      <x:c r="F297" s="31" t="n">
        <x:f>40</x:f>
        <x:v>40</x:v>
      </x:c>
      <x:c r="G297" s="31" t="str">
        <x:v>70.1</x:v>
      </x:c>
      <x:c r="H297" s="32" t="str">
        <x:v>Ranked in subject table</x:v>
      </x:c>
      <x:c r="I297" s="35" t="str">
        <x:v>https://www.timeshighereducation.com/world-university-rankings/ku-leuven</x:v>
      </x:c>
      <x:c r="J297" s="35" t="str">
        <x:v>https://www.timeshighereducation.com/world-university-rankings/2024/subject-ranking/social-sciences</x:v>
      </x:c>
      <x:c r="K297" s="35" t="str">
        <x:v>https://www.timeshighereducation.com/json/ranking_tables/social_sciences_rankings/2024</x:v>
      </x:c>
      <x:c r="L297" s="35" t="str">
        <x:v>https://www.kuleuven.be/programmes/master-sustainable-development</x:v>
      </x:c>
    </x:row>
    <x:row r="298">
      <x:c r="A298" s="31" t="n">
        <x:v>59</x:v>
      </x:c>
      <x:c r="B298" t="str">
        <x:v>KU Leuven</x:v>
      </x:c>
      <x:c r="C298" s="32" t="str">
        <x:v>Master of Sustainable Development</x:v>
      </x:c>
      <x:c r="D298" s="32" t="str">
        <x:v>Social Sciences</x:v>
      </x:c>
      <x:c r="E298" s="31" t="n">
        <x:v>2025</x:v>
      </x:c>
      <x:c r="F298" s="31" t="str">
        <x:v>39</x:v>
      </x:c>
      <x:c r="G298" s="31" t="str">
        <x:v>70.2</x:v>
      </x:c>
      <x:c r="H298" s="32" t="str">
        <x:v>Ranked in subject table</x:v>
      </x:c>
      <x:c r="I298" s="35" t="str">
        <x:v>https://www.timeshighereducation.com/world-university-rankings/ku-leuven</x:v>
      </x:c>
      <x:c r="J298" s="35" t="str">
        <x:v>https://www.timeshighereducation.com/world-university-rankings/2025/subject-ranking/social-sciences</x:v>
      </x:c>
      <x:c r="K298" s="35" t="str">
        <x:v>https://www.timeshighereducation.com/json/ranking_tables/social_sciences_rankings/2025</x:v>
      </x:c>
      <x:c r="L298" s="35" t="str">
        <x:v>https://www.kuleuven.be/programmes/master-sustainable-development</x:v>
      </x:c>
    </x:row>
    <x:row r="299">
      <x:c r="A299" s="31" t="n">
        <x:v>59</x:v>
      </x:c>
      <x:c r="B299" t="str">
        <x:v>KU Leuven</x:v>
      </x:c>
      <x:c r="C299" s="32" t="str">
        <x:v>Master of Sustainable Development</x:v>
      </x:c>
      <x:c r="D299" s="32" t="str">
        <x:v>Social Sciences</x:v>
      </x:c>
      <x:c r="E299" s="31" t="n">
        <x:v>2026</x:v>
      </x:c>
      <x:c r="F299" s="31" t="str">
        <x:v>45</x:v>
      </x:c>
      <x:c r="G299" s="31" t="str">
        <x:v>68.4</x:v>
      </x:c>
      <x:c r="H299" s="32" t="str">
        <x:v>Ranked in subject table</x:v>
      </x:c>
      <x:c r="I299" s="35" t="str">
        <x:v>https://www.timeshighereducation.com/world-university-rankings/ku-leuven</x:v>
      </x:c>
      <x:c r="J299" s="35" t="str">
        <x:v>https://www.timeshighereducation.com/world-university-rankings/2026/subject-ranking/social-sciences</x:v>
      </x:c>
      <x:c r="K299" s="35" t="str">
        <x:v>https://www.timeshighereducation.com/json/ranking_tables/social_sciences_rankings/2026</x:v>
      </x:c>
      <x:c r="L299" s="35" t="str">
        <x:v>https://www.kuleuven.be/programmes/master-sustainable-development</x:v>
      </x:c>
    </x:row>
    <x:row r="300">
      <x:c r="A300" s="31" t="n">
        <x:v>60</x:v>
      </x:c>
      <x:c r="B300" t="str">
        <x:v>University of California, San Diego</x:v>
      </x:c>
      <x:c r="C300" s="32" t="str">
        <x:v>MAS in Climate Science and Policy</x:v>
      </x:c>
      <x:c r="D300" s="32" t="str">
        <x:v>Physical Sciences</x:v>
      </x:c>
      <x:c r="E300" s="31" t="n">
        <x:v>2022</x:v>
      </x:c>
      <x:c r="F300" s="31" t="str">
        <x:v>38</x:v>
      </x:c>
      <x:c r="G300" s="31" t="str">
        <x:v>74.0</x:v>
      </x:c>
      <x:c r="H300" s="32" t="str">
        <x:v>Ranked in subject table</x:v>
      </x:c>
      <x:c r="I300" s="35" t="str">
        <x:v>https://www.timeshighereducation.com/world-university-rankings/university-california-san-diego</x:v>
      </x:c>
      <x:c r="J300" s="35" t="str">
        <x:v>https://www.timeshighereducation.com/world-university-rankings/2022/subject-ranking/physical-sciences</x:v>
      </x:c>
      <x:c r="K300" s="35" t="str">
        <x:v>https://www.timeshighereducation.com/json/ranking_tables/physical_sciences_rankings/2022</x:v>
      </x:c>
      <x:c r="L300" s="35" t="str">
        <x:v>https://gps.ucsd.edu/academics/masters-programs/mas-climate-science-policy.html</x:v>
      </x:c>
    </x:row>
    <x:row r="301">
      <x:c r="A301" s="31" t="n">
        <x:v>60</x:v>
      </x:c>
      <x:c r="B301" t="str">
        <x:v>University of California, San Diego</x:v>
      </x:c>
      <x:c r="C301" s="32" t="str">
        <x:v>MAS in Climate Science and Policy</x:v>
      </x:c>
      <x:c r="D301" s="32" t="str">
        <x:v>Physical Sciences</x:v>
      </x:c>
      <x:c r="E301" s="31" t="n">
        <x:v>2023</x:v>
      </x:c>
      <x:c r="F301" s="31" t="str">
        <x:v>33</x:v>
      </x:c>
      <x:c r="G301" s="31" t="str">
        <x:v>75.0</x:v>
      </x:c>
      <x:c r="H301" s="32" t="str">
        <x:v>Ranked in subject table</x:v>
      </x:c>
      <x:c r="I301" s="35" t="str">
        <x:v>https://www.timeshighereducation.com/world-university-rankings/university-california-san-diego</x:v>
      </x:c>
      <x:c r="J301" s="35" t="str">
        <x:v>https://www.timeshighereducation.com/world-university-rankings/2023/subject-ranking/physical-sciences</x:v>
      </x:c>
      <x:c r="K301" s="35" t="str">
        <x:v>https://www.timeshighereducation.com/json/ranking_tables/physical_sciences_rankings/2023</x:v>
      </x:c>
      <x:c r="L301" s="35" t="str">
        <x:v>https://gps.ucsd.edu/academics/masters-programs/mas-climate-science-policy.html</x:v>
      </x:c>
    </x:row>
    <x:row r="302">
      <x:c r="A302" s="31" t="n">
        <x:v>60</x:v>
      </x:c>
      <x:c r="B302" t="str">
        <x:v>University of California, San Diego</x:v>
      </x:c>
      <x:c r="C302" s="32" t="str">
        <x:v>MAS in Climate Science and Policy</x:v>
      </x:c>
      <x:c r="D302" s="32" t="str">
        <x:v>Physical Sciences</x:v>
      </x:c>
      <x:c r="E302" s="31" t="n">
        <x:v>2024</x:v>
      </x:c>
      <x:c r="F302" s="31" t="str">
        <x:v>39</x:v>
      </x:c>
      <x:c r="G302" s="31" t="str">
        <x:v>75.6</x:v>
      </x:c>
      <x:c r="H302" s="32" t="str">
        <x:v>Ranked in subject table</x:v>
      </x:c>
      <x:c r="I302" s="35" t="str">
        <x:v>https://www.timeshighereducation.com/world-university-rankings/university-california-san-diego</x:v>
      </x:c>
      <x:c r="J302" s="35" t="str">
        <x:v>https://www.timeshighereducation.com/world-university-rankings/2024/subject-ranking/physical-sciences</x:v>
      </x:c>
      <x:c r="K302" s="35" t="str">
        <x:v>https://www.timeshighereducation.com/json/ranking_tables/physical_sciences_rankings/2024</x:v>
      </x:c>
      <x:c r="L302" s="35" t="str">
        <x:v>https://gps.ucsd.edu/academics/masters-programs/mas-climate-science-policy.html</x:v>
      </x:c>
    </x:row>
    <x:row r="303">
      <x:c r="A303" s="31" t="n">
        <x:v>60</x:v>
      </x:c>
      <x:c r="B303" t="str">
        <x:v>University of California, San Diego</x:v>
      </x:c>
      <x:c r="C303" s="32" t="str">
        <x:v>MAS in Climate Science and Policy</x:v>
      </x:c>
      <x:c r="D303" s="32" t="str">
        <x:v>Physical Sciences</x:v>
      </x:c>
      <x:c r="E303" s="31" t="n">
        <x:v>2025</x:v>
      </x:c>
      <x:c r="F303" s="31" t="n">
        <x:f>41</x:f>
        <x:v>41</x:v>
      </x:c>
      <x:c r="G303" s="31" t="str">
        <x:v>74.0</x:v>
      </x:c>
      <x:c r="H303" s="32" t="str">
        <x:v>Ranked in subject table</x:v>
      </x:c>
      <x:c r="I303" s="35" t="str">
        <x:v>https://www.timeshighereducation.com/world-university-rankings/university-california-san-diego</x:v>
      </x:c>
      <x:c r="J303" s="35" t="str">
        <x:v>https://www.timeshighereducation.com/world-university-rankings/2025/subject-ranking/physical-sciences</x:v>
      </x:c>
      <x:c r="K303" s="35" t="str">
        <x:v>https://www.timeshighereducation.com/json/ranking_tables/physical_sciences_rankings/2025</x:v>
      </x:c>
      <x:c r="L303" s="35" t="str">
        <x:v>https://gps.ucsd.edu/academics/masters-programs/mas-climate-science-policy.html</x:v>
      </x:c>
    </x:row>
    <x:row r="304">
      <x:c r="A304" s="31" t="n">
        <x:v>60</x:v>
      </x:c>
      <x:c r="B304" t="str">
        <x:v>University of California, San Diego</x:v>
      </x:c>
      <x:c r="C304" s="32" t="str">
        <x:v>MAS in Climate Science and Policy</x:v>
      </x:c>
      <x:c r="D304" s="32" t="str">
        <x:v>Physical Sciences</x:v>
      </x:c>
      <x:c r="E304" s="31" t="n">
        <x:v>2026</x:v>
      </x:c>
      <x:c r="F304" s="31" t="str">
        <x:v>47</x:v>
      </x:c>
      <x:c r="G304" s="31" t="str">
        <x:v>73.5</x:v>
      </x:c>
      <x:c r="H304" s="32" t="str">
        <x:v>Ranked in subject table</x:v>
      </x:c>
      <x:c r="I304" s="35" t="str">
        <x:v>https://www.timeshighereducation.com/world-university-rankings/university-california-san-diego</x:v>
      </x:c>
      <x:c r="J304" s="35" t="str">
        <x:v>https://www.timeshighereducation.com/world-university-rankings/2026/subject-ranking/physical-sciences</x:v>
      </x:c>
      <x:c r="K304" s="35" t="str">
        <x:v>https://www.timeshighereducation.com/json/ranking_tables/physical_sciences_rankings/2026</x:v>
      </x:c>
      <x:c r="L304" s="35" t="str">
        <x:v>https://gps.ucsd.edu/academics/masters-programs/mas-climate-science-policy.html</x:v>
      </x:c>
    </x:row>
    <x:row r="305">
      <x:c r="A305" s="31" t="n">
        <x:v>61</x:v>
      </x:c>
      <x:c r="B305" t="str">
        <x:v>Universität Heidelberg</x:v>
      </x:c>
      <x:c r="C305" s="32" t="str">
        <x:v>MSc Governance of Risk and Resources</x:v>
      </x:c>
      <x:c r="D305" s="32" t="str">
        <x:v>Social Sciences</x:v>
      </x:c>
      <x:c r="E305" s="31" t="n">
        <x:v>2022</x:v>
      </x:c>
      <x:c r="F305" s="31" t="str">
        <x:v>NR</x:v>
      </x:c>
      <x:c r="G305" s="31"/>
      <x:c r="H305" s="32" t="str">
        <x:v>Not ranked in subject table</x:v>
      </x:c>
      <x:c r="I305" s="35" t="str">
        <x:v>https://www.timeshighereducation.com/world-university-rankings/universitat-heidelberg</x:v>
      </x:c>
      <x:c r="J305" s="35" t="str">
        <x:v>https://www.timeshighereducation.com/world-university-rankings/2022/subject-ranking/social-sciences</x:v>
      </x:c>
      <x:c r="K305" s="35" t="str">
        <x:v>https://www.timeshighereducation.com/json/ranking_tables/social_sciences_rankings/2022</x:v>
      </x:c>
      <x:c r="L305" s="35" t="str">
        <x:v>https://www.hce.uni-heidelberg.de/en/study-and-teaching/masters-programme-governance-of-risk-and-resources</x:v>
      </x:c>
    </x:row>
    <x:row r="306">
      <x:c r="A306" s="31" t="n">
        <x:v>61</x:v>
      </x:c>
      <x:c r="B306" t="str">
        <x:v>Universität Heidelberg</x:v>
      </x:c>
      <x:c r="C306" s="32" t="str">
        <x:v>MSc Governance of Risk and Resources</x:v>
      </x:c>
      <x:c r="D306" s="32" t="str">
        <x:v>Social Sciences</x:v>
      </x:c>
      <x:c r="E306" s="31" t="n">
        <x:v>2023</x:v>
      </x:c>
      <x:c r="F306" s="31" t="str">
        <x:v>NR</x:v>
      </x:c>
      <x:c r="G306" s="31"/>
      <x:c r="H306" s="32" t="str">
        <x:v>Not ranked in subject table</x:v>
      </x:c>
      <x:c r="I306" s="35" t="str">
        <x:v>https://www.timeshighereducation.com/world-university-rankings/universitat-heidelberg</x:v>
      </x:c>
      <x:c r="J306" s="35" t="str">
        <x:v>https://www.timeshighereducation.com/world-university-rankings/2023/subject-ranking/social-sciences</x:v>
      </x:c>
      <x:c r="K306" s="35" t="str">
        <x:v>https://www.timeshighereducation.com/json/ranking_tables/social_sciences_rankings/2023</x:v>
      </x:c>
      <x:c r="L306" s="35" t="str">
        <x:v>https://www.hce.uni-heidelberg.de/en/study-and-teaching/masters-programme-governance-of-risk-and-resources</x:v>
      </x:c>
    </x:row>
    <x:row r="307">
      <x:c r="A307" s="31" t="n">
        <x:v>61</x:v>
      </x:c>
      <x:c r="B307" t="str">
        <x:v>Universität Heidelberg</x:v>
      </x:c>
      <x:c r="C307" s="32" t="str">
        <x:v>MSc Governance of Risk and Resources</x:v>
      </x:c>
      <x:c r="D307" s="32" t="str">
        <x:v>Social Sciences</x:v>
      </x:c>
      <x:c r="E307" s="31" t="n">
        <x:v>2024</x:v>
      </x:c>
      <x:c r="F307" s="31" t="str">
        <x:v>NR</x:v>
      </x:c>
      <x:c r="G307" s="31"/>
      <x:c r="H307" s="32" t="str">
        <x:v>Not ranked in subject table</x:v>
      </x:c>
      <x:c r="I307" s="35" t="str">
        <x:v>https://www.timeshighereducation.com/world-university-rankings/universitat-heidelberg</x:v>
      </x:c>
      <x:c r="J307" s="35" t="str">
        <x:v>https://www.timeshighereducation.com/world-university-rankings/2024/subject-ranking/social-sciences</x:v>
      </x:c>
      <x:c r="K307" s="35" t="str">
        <x:v>https://www.timeshighereducation.com/json/ranking_tables/social_sciences_rankings/2024</x:v>
      </x:c>
      <x:c r="L307" s="35" t="str">
        <x:v>https://www.hce.uni-heidelberg.de/en/study-and-teaching/masters-programme-governance-of-risk-and-resources</x:v>
      </x:c>
    </x:row>
    <x:row r="308">
      <x:c r="A308" s="31" t="n">
        <x:v>61</x:v>
      </x:c>
      <x:c r="B308" t="str">
        <x:v>Universität Heidelberg</x:v>
      </x:c>
      <x:c r="C308" s="32" t="str">
        <x:v>MSc Governance of Risk and Resources</x:v>
      </x:c>
      <x:c r="D308" s="32" t="str">
        <x:v>Social Sciences</x:v>
      </x:c>
      <x:c r="E308" s="31" t="n">
        <x:v>2025</x:v>
      </x:c>
      <x:c r="F308" s="31" t="str">
        <x:v>NR</x:v>
      </x:c>
      <x:c r="G308" s="31"/>
      <x:c r="H308" s="32" t="str">
        <x:v>Not ranked in subject table</x:v>
      </x:c>
      <x:c r="I308" s="35" t="str">
        <x:v>https://www.timeshighereducation.com/world-university-rankings/universitat-heidelberg</x:v>
      </x:c>
      <x:c r="J308" s="35" t="str">
        <x:v>https://www.timeshighereducation.com/world-university-rankings/2025/subject-ranking/social-sciences</x:v>
      </x:c>
      <x:c r="K308" s="35" t="str">
        <x:v>https://www.timeshighereducation.com/json/ranking_tables/social_sciences_rankings/2025</x:v>
      </x:c>
      <x:c r="L308" s="35" t="str">
        <x:v>https://www.hce.uni-heidelberg.de/en/study-and-teaching/masters-programme-governance-of-risk-and-resources</x:v>
      </x:c>
    </x:row>
    <x:row r="309">
      <x:c r="A309" s="31" t="n">
        <x:v>61</x:v>
      </x:c>
      <x:c r="B309" t="str">
        <x:v>Universität Heidelberg</x:v>
      </x:c>
      <x:c r="C309" s="32" t="str">
        <x:v>MSc Governance of Risk and Resources</x:v>
      </x:c>
      <x:c r="D309" s="32" t="str">
        <x:v>Social Sciences</x:v>
      </x:c>
      <x:c r="E309" s="31" t="n">
        <x:v>2026</x:v>
      </x:c>
      <x:c r="F309" s="31" t="str">
        <x:v>96</x:v>
      </x:c>
      <x:c r="G309" s="31" t="str">
        <x:v>57.4</x:v>
      </x:c>
      <x:c r="H309" s="32" t="str">
        <x:v>Ranked in subject table</x:v>
      </x:c>
      <x:c r="I309" s="35" t="str">
        <x:v>https://www.timeshighereducation.com/world-university-rankings/universitat-heidelberg</x:v>
      </x:c>
      <x:c r="J309" s="35" t="str">
        <x:v>https://www.timeshighereducation.com/world-university-rankings/2026/subject-ranking/social-sciences</x:v>
      </x:c>
      <x:c r="K309" s="35" t="str">
        <x:v>https://www.timeshighereducation.com/json/ranking_tables/social_sciences_rankings/2026</x:v>
      </x:c>
      <x:c r="L309" s="35" t="str">
        <x:v>https://www.hce.uni-heidelberg.de/en/study-and-teaching/masters-programme-governance-of-risk-and-resources</x:v>
      </x:c>
    </x:row>
    <x:row r="310">
      <x:c r="A310" s="31" t="n">
        <x:v>62</x:v>
      </x:c>
      <x:c r="B310" t="str">
        <x:v>University of Texas at Austin</x:v>
      </x:c>
      <x:c r="C310" s="32" t="str">
        <x:v>MS in Sustainable Design</x:v>
      </x:c>
      <x:c r="D310" s="32" t="str">
        <x:v>Engineering</x:v>
      </x:c>
      <x:c r="E310" s="31" t="n">
        <x:v>2022</x:v>
      </x:c>
      <x:c r="F310" s="31" t="str">
        <x:v>23</x:v>
      </x:c>
      <x:c r="G310" s="31" t="str">
        <x:v>82.5</x:v>
      </x:c>
      <x:c r="H310" s="32" t="str">
        <x:v>Ranked in subject table</x:v>
      </x:c>
      <x:c r="I310" s="35" t="str">
        <x:v>https://www.timeshighereducation.com/world-university-rankings/university-texas-austin</x:v>
      </x:c>
      <x:c r="J310" s="35" t="str">
        <x:v>https://www.timeshighereducation.com/world-university-rankings/2022/subject-ranking/engineering</x:v>
      </x:c>
      <x:c r="K310" s="35" t="str">
        <x:v>https://www.timeshighereducation.com/json/ranking_tables/engineering_technology_rankings/2022</x:v>
      </x:c>
      <x:c r="L310" s="35" t="str">
        <x:v>https://soa.utexas.edu/programs/sustainable-design/ms-sustainable-design</x:v>
      </x:c>
    </x:row>
    <x:row r="311">
      <x:c r="A311" s="31" t="n">
        <x:v>62</x:v>
      </x:c>
      <x:c r="B311" t="str">
        <x:v>University of Texas at Austin</x:v>
      </x:c>
      <x:c r="C311" s="32" t="str">
        <x:v>MS in Sustainable Design</x:v>
      </x:c>
      <x:c r="D311" s="32" t="str">
        <x:v>Engineering</x:v>
      </x:c>
      <x:c r="E311" s="31" t="n">
        <x:v>2023</x:v>
      </x:c>
      <x:c r="F311" s="31" t="str">
        <x:v>23</x:v>
      </x:c>
      <x:c r="G311" s="31" t="str">
        <x:v>81.0</x:v>
      </x:c>
      <x:c r="H311" s="32" t="str">
        <x:v>Ranked in subject table</x:v>
      </x:c>
      <x:c r="I311" s="35" t="str">
        <x:v>https://www.timeshighereducation.com/world-university-rankings/university-texas-austin</x:v>
      </x:c>
      <x:c r="J311" s="35" t="str">
        <x:v>https://www.timeshighereducation.com/world-university-rankings/2023/subject-ranking/engineering</x:v>
      </x:c>
      <x:c r="K311" s="35" t="str">
        <x:v>https://www.timeshighereducation.com/json/ranking_tables/engineering_technology_rankings/2023</x:v>
      </x:c>
      <x:c r="L311" s="35" t="str">
        <x:v>https://soa.utexas.edu/programs/sustainable-design/ms-sustainable-design</x:v>
      </x:c>
    </x:row>
    <x:row r="312">
      <x:c r="A312" s="31" t="n">
        <x:v>62</x:v>
      </x:c>
      <x:c r="B312" t="str">
        <x:v>University of Texas at Austin</x:v>
      </x:c>
      <x:c r="C312" s="32" t="str">
        <x:v>MS in Sustainable Design</x:v>
      </x:c>
      <x:c r="D312" s="32" t="str">
        <x:v>Engineering</x:v>
      </x:c>
      <x:c r="E312" s="31" t="n">
        <x:v>2024</x:v>
      </x:c>
      <x:c r="F312" s="31" t="str">
        <x:v>28</x:v>
      </x:c>
      <x:c r="G312" s="31" t="str">
        <x:v>81.1</x:v>
      </x:c>
      <x:c r="H312" s="32" t="str">
        <x:v>Ranked in subject table</x:v>
      </x:c>
      <x:c r="I312" s="35" t="str">
        <x:v>https://www.timeshighereducation.com/world-university-rankings/university-texas-austin</x:v>
      </x:c>
      <x:c r="J312" s="35" t="str">
        <x:v>https://www.timeshighereducation.com/world-university-rankings/2024/subject-ranking/engineering</x:v>
      </x:c>
      <x:c r="K312" s="35" t="str">
        <x:v>https://www.timeshighereducation.com/json/ranking_tables/engineering_technology_rankings/2024</x:v>
      </x:c>
      <x:c r="L312" s="35" t="str">
        <x:v>https://soa.utexas.edu/programs/sustainable-design/ms-sustainable-design</x:v>
      </x:c>
    </x:row>
    <x:row r="313">
      <x:c r="A313" s="31" t="n">
        <x:v>62</x:v>
      </x:c>
      <x:c r="B313" t="str">
        <x:v>University of Texas at Austin</x:v>
      </x:c>
      <x:c r="C313" s="32" t="str">
        <x:v>MS in Sustainable Design</x:v>
      </x:c>
      <x:c r="D313" s="32" t="str">
        <x:v>Engineering</x:v>
      </x:c>
      <x:c r="E313" s="31" t="n">
        <x:v>2025</x:v>
      </x:c>
      <x:c r="F313" s="31" t="str">
        <x:v>29</x:v>
      </x:c>
      <x:c r="G313" s="31" t="str">
        <x:v>81.0</x:v>
      </x:c>
      <x:c r="H313" s="32" t="str">
        <x:v>Ranked in subject table</x:v>
      </x:c>
      <x:c r="I313" s="35" t="str">
        <x:v>https://www.timeshighereducation.com/world-university-rankings/university-texas-austin</x:v>
      </x:c>
      <x:c r="J313" s="35" t="str">
        <x:v>https://www.timeshighereducation.com/world-university-rankings/2025/subject-ranking/engineering</x:v>
      </x:c>
      <x:c r="K313" s="35" t="str">
        <x:v>https://www.timeshighereducation.com/json/ranking_tables/engineering_technology_rankings/2025</x:v>
      </x:c>
      <x:c r="L313" s="35" t="str">
        <x:v>https://soa.utexas.edu/programs/sustainable-design/ms-sustainable-design</x:v>
      </x:c>
    </x:row>
    <x:row r="314">
      <x:c r="A314" s="31" t="n">
        <x:v>62</x:v>
      </x:c>
      <x:c r="B314" t="str">
        <x:v>University of Texas at Austin</x:v>
      </x:c>
      <x:c r="C314" s="32" t="str">
        <x:v>MS in Sustainable Design</x:v>
      </x:c>
      <x:c r="D314" s="32" t="str">
        <x:v>Engineering</x:v>
      </x:c>
      <x:c r="E314" s="31" t="n">
        <x:v>2026</x:v>
      </x:c>
      <x:c r="F314" s="31" t="str">
        <x:v>28</x:v>
      </x:c>
      <x:c r="G314" s="31" t="str">
        <x:v>81.1</x:v>
      </x:c>
      <x:c r="H314" s="32" t="str">
        <x:v>Ranked in subject table</x:v>
      </x:c>
      <x:c r="I314" s="35" t="str">
        <x:v>https://www.timeshighereducation.com/world-university-rankings/university-texas-austin</x:v>
      </x:c>
      <x:c r="J314" s="35" t="str">
        <x:v>https://www.timeshighereducation.com/world-university-rankings/2026/subject-ranking/engineering</x:v>
      </x:c>
      <x:c r="K314" s="35" t="str">
        <x:v>https://www.timeshighereducation.com/json/ranking_tables/engineering_technology_rankings/2026</x:v>
      </x:c>
      <x:c r="L314" s="35" t="str">
        <x:v>https://soa.utexas.edu/programs/sustainable-design/ms-sustainable-design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5786c3dc09b40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4" hidden="0" customWidth="1"/>
    <x:col min="4" max="4" width="10" hidden="0" customWidth="1"/>
    <x:col min="5" max="5" width="55" hidden="0" customWidth="1"/>
    <x:col min="6" max="6" width="62" hidden="0" customWidth="1"/>
    <x:col min="7" max="7" width="36" hidden="0" customWidth="1"/>
    <x:col min="8" max="8" width="48" hidden="0" customWidth="1"/>
  </x:cols>
  <x:sheetData>
    <x:row r="1" ht="28" customHeight="1">
      <x:c r="A1" s="3" t="str">
        <x:v>Official Sources and Method Notes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Official ranking pages and data endpoints for every university and subject edition used in the workbook.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53" t="str">
        <x:v>Level</x:v>
      </x:c>
      <x:c r="B4" s="53" t="str">
        <x:v>Publisher</x:v>
      </x:c>
      <x:c r="C4" s="53" t="str">
        <x:v>Ranking series / subject</x:v>
      </x:c>
      <x:c r="D4" s="53" t="str">
        <x:v>Edition</x:v>
      </x:c>
      <x:c r="E4" s="53" t="str">
        <x:v>Official ranking page</x:v>
      </x:c>
      <x:c r="F4" s="53" t="str">
        <x:v>Official data endpoint</x:v>
      </x:c>
      <x:c r="G4" s="53" t="str">
        <x:v>Coverage</x:v>
      </x:c>
      <x:c r="H4" s="53" t="str">
        <x:v>Notes</x:v>
      </x:c>
    </x:row>
    <x:row r="5">
      <x:c r="A5" s="54" t="str">
        <x:v>University</x:v>
      </x:c>
      <x:c r="B5" s="54" t="str">
        <x:v>QS</x:v>
      </x:c>
      <x:c r="C5" s="54" t="str">
        <x:v>World University Rankings</x:v>
      </x:c>
      <x:c r="D5" s="54" t="n">
        <x:v>2023</x:v>
      </x:c>
      <x:c r="E5" s="35" t="str">
        <x:v>https://www.topuniversities.com/world-university-rankings/2023</x:v>
      </x:c>
      <x:c r="F5" s="35" t="str">
        <x:v>https://www.topuniversities.com/rankings/endpoint?nid=3816281</x:v>
      </x:c>
      <x:c r="G5" s="32" t="str">
        <x:v>Top 150; all 62 institutions matched</x:v>
      </x:c>
      <x:c r="H5" s="32" t="str">
        <x:v>Official QS page/API; published rank and overall score retained</x:v>
      </x:c>
    </x:row>
    <x:row r="6">
      <x:c r="A6" s="54" t="str">
        <x:v>University</x:v>
      </x:c>
      <x:c r="B6" s="54" t="str">
        <x:v>QS</x:v>
      </x:c>
      <x:c r="C6" s="54" t="str">
        <x:v>World University Rankings</x:v>
      </x:c>
      <x:c r="D6" s="54" t="n">
        <x:v>2024</x:v>
      </x:c>
      <x:c r="E6" s="35" t="str">
        <x:v>https://www.topuniversities.com/world-university-rankings/2024</x:v>
      </x:c>
      <x:c r="F6" s="35" t="str">
        <x:v>https://www.topuniversities.com/rankings/endpoint?nid=3897789</x:v>
      </x:c>
      <x:c r="G6" s="32" t="str">
        <x:v>Top 150; all 62 institutions matched</x:v>
      </x:c>
      <x:c r="H6" s="32" t="str">
        <x:v>Official QS page/API; published rank and overall score retained</x:v>
      </x:c>
    </x:row>
    <x:row r="7">
      <x:c r="A7" s="54" t="str">
        <x:v>University</x:v>
      </x:c>
      <x:c r="B7" s="54" t="str">
        <x:v>QS</x:v>
      </x:c>
      <x:c r="C7" s="54" t="str">
        <x:v>World University Rankings</x:v>
      </x:c>
      <x:c r="D7" s="54" t="n">
        <x:v>2025</x:v>
      </x:c>
      <x:c r="E7" s="35" t="str">
        <x:v>https://www.topuniversities.com/world-university-rankings/2025</x:v>
      </x:c>
      <x:c r="F7" s="35" t="str">
        <x:v>https://www.topuniversities.com/rankings/endpoint?nid=3990755</x:v>
      </x:c>
      <x:c r="G7" s="32" t="str">
        <x:v>Top 150; all 62 institutions matched</x:v>
      </x:c>
      <x:c r="H7" s="32" t="str">
        <x:v>Official QS page/API; published rank and overall score retained</x:v>
      </x:c>
    </x:row>
    <x:row r="8">
      <x:c r="A8" s="54" t="str">
        <x:v>University</x:v>
      </x:c>
      <x:c r="B8" s="54" t="str">
        <x:v>QS</x:v>
      </x:c>
      <x:c r="C8" s="54" t="str">
        <x:v>World University Rankings</x:v>
      </x:c>
      <x:c r="D8" s="54" t="n">
        <x:v>2026</x:v>
      </x:c>
      <x:c r="E8" s="35" t="str">
        <x:v>https://www.topuniversities.com/world-university-rankings/2026</x:v>
      </x:c>
      <x:c r="F8" s="35" t="str">
        <x:v>https://www.topuniversities.com/rankings/endpoint?nid=4061771</x:v>
      </x:c>
      <x:c r="G8" s="32" t="str">
        <x:v>Top 150; all 62 institutions matched</x:v>
      </x:c>
      <x:c r="H8" s="32" t="str">
        <x:v>Official QS page/API; published rank and overall score retained</x:v>
      </x:c>
    </x:row>
    <x:row r="9">
      <x:c r="A9" s="54" t="str">
        <x:v>University</x:v>
      </x:c>
      <x:c r="B9" s="54" t="str">
        <x:v>QS</x:v>
      </x:c>
      <x:c r="C9" s="54" t="str">
        <x:v>World University Rankings</x:v>
      </x:c>
      <x:c r="D9" s="54" t="n">
        <x:v>2027</x:v>
      </x:c>
      <x:c r="E9" s="35" t="str">
        <x:v>https://www.topuniversities.com/world-university-rankings</x:v>
      </x:c>
      <x:c r="F9" s="35" t="str">
        <x:v>https://www.topuniversities.com/rankings/endpoint?nid=4153156</x:v>
      </x:c>
      <x:c r="G9" s="32" t="str">
        <x:v>Top 150; all 62 institutions matched</x:v>
      </x:c>
      <x:c r="H9" s="32" t="str">
        <x:v>Official QS page/API; published rank and overall score retained</x:v>
      </x:c>
    </x:row>
    <x:row r="10">
      <x:c r="A10" s="54" t="str">
        <x:v>University</x:v>
      </x:c>
      <x:c r="B10" s="54" t="str">
        <x:v>THE</x:v>
      </x:c>
      <x:c r="C10" s="54" t="str">
        <x:v>World University Rankings</x:v>
      </x:c>
      <x:c r="D10" s="54" t="n">
        <x:v>2022</x:v>
      </x:c>
      <x:c r="E10" s="35" t="str">
        <x:v>https://www.timeshighereducation.com/world-university-rankings/2022/world-ranking</x:v>
      </x:c>
      <x:c r="F10" s="35" t="str">
        <x:v>https://www.timeshighereducation.com/json/ranking_tables/world_university_rankings/2022</x:v>
      </x:c>
      <x:c r="G10" s="32" t="str">
        <x:v>Complete table; all 62 institutions matched</x:v>
      </x:c>
      <x:c r="H10" s="32" t="str">
        <x:v>Official THE JSON table; published rank band and overall score retained</x:v>
      </x:c>
    </x:row>
    <x:row r="11">
      <x:c r="A11" s="54" t="str">
        <x:v>University</x:v>
      </x:c>
      <x:c r="B11" s="54" t="str">
        <x:v>THE</x:v>
      </x:c>
      <x:c r="C11" s="54" t="str">
        <x:v>World University Rankings</x:v>
      </x:c>
      <x:c r="D11" s="54" t="n">
        <x:v>2023</x:v>
      </x:c>
      <x:c r="E11" s="35" t="str">
        <x:v>https://www.timeshighereducation.com/world-university-rankings/2023/world-ranking</x:v>
      </x:c>
      <x:c r="F11" s="35" t="str">
        <x:v>https://www.timeshighereducation.com/json/ranking_tables/world_university_rankings/2023</x:v>
      </x:c>
      <x:c r="G11" s="32" t="str">
        <x:v>Complete table; all 62 institutions matched</x:v>
      </x:c>
      <x:c r="H11" s="32" t="str">
        <x:v>Official THE JSON table; published rank band and overall score retained</x:v>
      </x:c>
    </x:row>
    <x:row r="12">
      <x:c r="A12" s="54" t="str">
        <x:v>University</x:v>
      </x:c>
      <x:c r="B12" s="54" t="str">
        <x:v>THE</x:v>
      </x:c>
      <x:c r="C12" s="54" t="str">
        <x:v>World University Rankings</x:v>
      </x:c>
      <x:c r="D12" s="54" t="n">
        <x:v>2024</x:v>
      </x:c>
      <x:c r="E12" s="35" t="str">
        <x:v>https://www.timeshighereducation.com/world-university-rankings/2024/world-ranking</x:v>
      </x:c>
      <x:c r="F12" s="35" t="str">
        <x:v>https://www.timeshighereducation.com/json/ranking_tables/world_university_rankings/2024</x:v>
      </x:c>
      <x:c r="G12" s="32" t="str">
        <x:v>Complete table; all 62 institutions matched</x:v>
      </x:c>
      <x:c r="H12" s="32" t="str">
        <x:v>Official THE JSON table; published rank band and overall score retained</x:v>
      </x:c>
    </x:row>
    <x:row r="13">
      <x:c r="A13" s="54" t="str">
        <x:v>University</x:v>
      </x:c>
      <x:c r="B13" s="54" t="str">
        <x:v>THE</x:v>
      </x:c>
      <x:c r="C13" s="54" t="str">
        <x:v>World University Rankings</x:v>
      </x:c>
      <x:c r="D13" s="54" t="n">
        <x:v>2025</x:v>
      </x:c>
      <x:c r="E13" s="35" t="str">
        <x:v>https://www.timeshighereducation.com/world-university-rankings/2025/world-ranking</x:v>
      </x:c>
      <x:c r="F13" s="35" t="str">
        <x:v>https://www.timeshighereducation.com/json/ranking_tables/world_university_rankings/2025</x:v>
      </x:c>
      <x:c r="G13" s="32" t="str">
        <x:v>Complete table; all 62 institutions matched</x:v>
      </x:c>
      <x:c r="H13" s="32" t="str">
        <x:v>Official THE JSON table; published rank band and overall score retained</x:v>
      </x:c>
    </x:row>
    <x:row r="14">
      <x:c r="A14" s="54" t="str">
        <x:v>University</x:v>
      </x:c>
      <x:c r="B14" s="54" t="str">
        <x:v>THE</x:v>
      </x:c>
      <x:c r="C14" s="54" t="str">
        <x:v>World University Rankings</x:v>
      </x:c>
      <x:c r="D14" s="54" t="n">
        <x:v>2026</x:v>
      </x:c>
      <x:c r="E14" s="35" t="str">
        <x:v>https://www.timeshighereducation.com/world-university-rankings/2026/world-ranking</x:v>
      </x:c>
      <x:c r="F14" s="35" t="str">
        <x:v>https://www.timeshighereducation.com/json/ranking_tables/world_university_rankings/2026</x:v>
      </x:c>
      <x:c r="G14" s="32" t="str">
        <x:v>Complete table; all 62 institutions matched</x:v>
      </x:c>
      <x:c r="H14" s="32" t="str">
        <x:v>Official THE JSON table; published rank band and overall score retained</x:v>
      </x:c>
    </x:row>
    <x:row r="15">
      <x:c r="A15" s="54" t="str">
        <x:v>Program subject proxy</x:v>
      </x:c>
      <x:c r="B15" s="54" t="str">
        <x:v>QS</x:v>
      </x:c>
      <x:c r="C15" s="54" t="str">
        <x:v>Architecture &amp; Built Environment</x:v>
      </x:c>
      <x:c r="D15" s="54" t="n">
        <x:v>2022</x:v>
      </x:c>
      <x:c r="E15" s="35" t="str">
        <x:v>https://www.topuniversities.com/university-subject-rankings/architecture-built-environment/2022?items_per_page=150</x:v>
      </x:c>
      <x:c r="F15" s="35" t="str">
        <x:v>https://www.topuniversities.com/rankings/endpoint?nid=3794820</x:v>
      </x:c>
      <x:c r="G15" s="32" t="str">
        <x:v>Collected through published top 150</x:v>
      </x:c>
      <x:c r="H15" s="32" t="str">
        <x:v>Mapped from program field; not an individual master's program ranking</x:v>
      </x:c>
    </x:row>
    <x:row r="16">
      <x:c r="A16" s="54" t="str">
        <x:v>Program subject proxy</x:v>
      </x:c>
      <x:c r="B16" s="54" t="str">
        <x:v>QS</x:v>
      </x:c>
      <x:c r="C16" s="54" t="str">
        <x:v>Architecture &amp; Built Environment</x:v>
      </x:c>
      <x:c r="D16" s="54" t="n">
        <x:v>2023</x:v>
      </x:c>
      <x:c r="E16" s="35" t="str">
        <x:v>https://www.topuniversities.com/university-subject-rankings/architecture-built-environment/2023?items_per_page=150</x:v>
      </x:c>
      <x:c r="F16" s="35" t="str">
        <x:v>https://www.topuniversities.com/rankings/endpoint?nid=3846226</x:v>
      </x:c>
      <x:c r="G16" s="32" t="str">
        <x:v>Collected through published top 150</x:v>
      </x:c>
      <x:c r="H16" s="32" t="str">
        <x:v>Mapped from program field; not an individual master's program ranking</x:v>
      </x:c>
    </x:row>
    <x:row r="17">
      <x:c r="A17" s="54" t="str">
        <x:v>Program subject proxy</x:v>
      </x:c>
      <x:c r="B17" s="54" t="str">
        <x:v>QS</x:v>
      </x:c>
      <x:c r="C17" s="54" t="str">
        <x:v>Architecture &amp; Built Environment</x:v>
      </x:c>
      <x:c r="D17" s="54" t="n">
        <x:v>2024</x:v>
      </x:c>
      <x:c r="E17" s="35" t="str">
        <x:v>https://www.topuniversities.com/university-subject-rankings/architecture-built-environment/2024?items_per_page=150</x:v>
      </x:c>
      <x:c r="F17" s="35" t="str">
        <x:v>https://www.topuniversities.com/rankings/endpoint?nid=3948176</x:v>
      </x:c>
      <x:c r="G17" s="32" t="str">
        <x:v>Collected through published top 150</x:v>
      </x:c>
      <x:c r="H17" s="32" t="str">
        <x:v>Mapped from program field; not an individual master's program ranking</x:v>
      </x:c>
    </x:row>
    <x:row r="18">
      <x:c r="A18" s="54" t="str">
        <x:v>Program subject proxy</x:v>
      </x:c>
      <x:c r="B18" s="54" t="str">
        <x:v>QS</x:v>
      </x:c>
      <x:c r="C18" s="54" t="str">
        <x:v>Architecture &amp; Built Environment</x:v>
      </x:c>
      <x:c r="D18" s="54" t="n">
        <x:v>2025</x:v>
      </x:c>
      <x:c r="E18" s="35" t="str">
        <x:v>https://www.topuniversities.com/university-subject-rankings/architecture-built-environment/2025?items_per_page=150</x:v>
      </x:c>
      <x:c r="F18" s="35" t="str">
        <x:v>https://www.topuniversities.com/rankings/endpoint?nid=4023714</x:v>
      </x:c>
      <x:c r="G18" s="32" t="str">
        <x:v>Collected through published top 150</x:v>
      </x:c>
      <x:c r="H18" s="32" t="str">
        <x:v>Mapped from program field; not an individual master's program ranking</x:v>
      </x:c>
    </x:row>
    <x:row r="19">
      <x:c r="A19" s="54" t="str">
        <x:v>Program subject proxy</x:v>
      </x:c>
      <x:c r="B19" s="54" t="str">
        <x:v>QS</x:v>
      </x:c>
      <x:c r="C19" s="54" t="str">
        <x:v>Architecture &amp; Built Environment</x:v>
      </x:c>
      <x:c r="D19" s="54" t="n">
        <x:v>2026</x:v>
      </x:c>
      <x:c r="E19" s="35" t="str">
        <x:v>https://www.topuniversities.com/university-subject-rankings/architecture-built-environment?items_per_page=150</x:v>
      </x:c>
      <x:c r="F19" s="35" t="str">
        <x:v>https://www.topuniversities.com/rankings/endpoint?nid=4114622</x:v>
      </x:c>
      <x:c r="G19" s="32" t="str">
        <x:v>Collected through published top 150</x:v>
      </x:c>
      <x:c r="H19" s="32" t="str">
        <x:v>Mapped from program field; not an individual master's program ranking</x:v>
      </x:c>
    </x:row>
    <x:row r="20">
      <x:c r="A20" s="54" t="str">
        <x:v>Program subject proxy</x:v>
      </x:c>
      <x:c r="B20" s="54" t="str">
        <x:v>QS</x:v>
      </x:c>
      <x:c r="C20" s="54" t="str">
        <x:v>Business &amp; Management Studies</x:v>
      </x:c>
      <x:c r="D20" s="54" t="n">
        <x:v>2022</x:v>
      </x:c>
      <x:c r="E20" s="35" t="str">
        <x:v>https://www.topuniversities.com/university-subject-rankings/business-management-studies/2022?items_per_page=150</x:v>
      </x:c>
      <x:c r="F20" s="35" t="str">
        <x:v>https://www.topuniversities.com/rankings/endpoint?nid=3794823</x:v>
      </x:c>
      <x:c r="G20" s="32" t="str">
        <x:v>Collected through published top 300</x:v>
      </x:c>
      <x:c r="H20" s="32" t="str">
        <x:v>Mapped from program field; not an individual master's program ranking</x:v>
      </x:c>
    </x:row>
    <x:row r="21">
      <x:c r="A21" s="54" t="str">
        <x:v>Program subject proxy</x:v>
      </x:c>
      <x:c r="B21" s="54" t="str">
        <x:v>QS</x:v>
      </x:c>
      <x:c r="C21" s="54" t="str">
        <x:v>Business &amp; Management Studies</x:v>
      </x:c>
      <x:c r="D21" s="54" t="n">
        <x:v>2023</x:v>
      </x:c>
      <x:c r="E21" s="35" t="str">
        <x:v>https://www.topuniversities.com/university-subject-rankings/business-management-studies/2023?items_per_page=150</x:v>
      </x:c>
      <x:c r="F21" s="35" t="str">
        <x:v>https://www.topuniversities.com/rankings/endpoint?nid=3846229</x:v>
      </x:c>
      <x:c r="G21" s="32" t="str">
        <x:v>Collected through published top 300</x:v>
      </x:c>
      <x:c r="H21" s="32" t="str">
        <x:v>Mapped from program field; not an individual master's program ranking</x:v>
      </x:c>
    </x:row>
    <x:row r="22">
      <x:c r="A22" s="54" t="str">
        <x:v>Program subject proxy</x:v>
      </x:c>
      <x:c r="B22" s="54" t="str">
        <x:v>QS</x:v>
      </x:c>
      <x:c r="C22" s="54" t="str">
        <x:v>Business &amp; Management Studies</x:v>
      </x:c>
      <x:c r="D22" s="54" t="n">
        <x:v>2024</x:v>
      </x:c>
      <x:c r="E22" s="35" t="str">
        <x:v>https://www.topuniversities.com/university-subject-rankings/business-management-studies/2024?items_per_page=150</x:v>
      </x:c>
      <x:c r="F22" s="35" t="str">
        <x:v>https://www.topuniversities.com/rankings/endpoint?nid=3948179</x:v>
      </x:c>
      <x:c r="G22" s="32" t="str">
        <x:v>Collected through published top 300</x:v>
      </x:c>
      <x:c r="H22" s="32" t="str">
        <x:v>Mapped from program field; not an individual master's program ranking</x:v>
      </x:c>
    </x:row>
    <x:row r="23">
      <x:c r="A23" s="54" t="str">
        <x:v>Program subject proxy</x:v>
      </x:c>
      <x:c r="B23" s="54" t="str">
        <x:v>QS</x:v>
      </x:c>
      <x:c r="C23" s="54" t="str">
        <x:v>Business &amp; Management Studies</x:v>
      </x:c>
      <x:c r="D23" s="54" t="n">
        <x:v>2025</x:v>
      </x:c>
      <x:c r="E23" s="35" t="str">
        <x:v>https://www.topuniversities.com/university-subject-rankings/business-management-studies/2025?items_per_page=150</x:v>
      </x:c>
      <x:c r="F23" s="35" t="str">
        <x:v>https://www.topuniversities.com/rankings/endpoint?nid=4023717</x:v>
      </x:c>
      <x:c r="G23" s="32" t="str">
        <x:v>Collected through published top 150</x:v>
      </x:c>
      <x:c r="H23" s="32" t="str">
        <x:v>Mapped from program field; not an individual master's program ranking</x:v>
      </x:c>
    </x:row>
    <x:row r="24">
      <x:c r="A24" s="54" t="str">
        <x:v>Program subject proxy</x:v>
      </x:c>
      <x:c r="B24" s="54" t="str">
        <x:v>QS</x:v>
      </x:c>
      <x:c r="C24" s="54" t="str">
        <x:v>Business &amp; Management Studies</x:v>
      </x:c>
      <x:c r="D24" s="54" t="n">
        <x:v>2026</x:v>
      </x:c>
      <x:c r="E24" s="35" t="str">
        <x:v>https://www.topuniversities.com/university-subject-rankings/business-management-studies?items_per_page=150</x:v>
      </x:c>
      <x:c r="F24" s="35" t="str">
        <x:v>https://www.topuniversities.com/rankings/endpoint?nid=4114625</x:v>
      </x:c>
      <x:c r="G24" s="32" t="str">
        <x:v>Collected through published top 150</x:v>
      </x:c>
      <x:c r="H24" s="32" t="str">
        <x:v>Mapped from program field; not an individual master's program ranking</x:v>
      </x:c>
    </x:row>
    <x:row r="25">
      <x:c r="A25" s="54" t="str">
        <x:v>Program subject proxy</x:v>
      </x:c>
      <x:c r="B25" s="54" t="str">
        <x:v>QS</x:v>
      </x:c>
      <x:c r="C25" s="54" t="str">
        <x:v>Environmental Sciences</x:v>
      </x:c>
      <x:c r="D25" s="54" t="n">
        <x:v>2022</x:v>
      </x:c>
      <x:c r="E25" s="35" t="str">
        <x:v>https://www.topuniversities.com/university-subject-rankings/environmental-sciences/2022?items_per_page=150</x:v>
      </x:c>
      <x:c r="F25" s="35" t="str">
        <x:v>https://www.topuniversities.com/rankings/endpoint?nid=3794840</x:v>
      </x:c>
      <x:c r="G25" s="32" t="str">
        <x:v>Collected through published top 150</x:v>
      </x:c>
      <x:c r="H25" s="32" t="str">
        <x:v>Mapped from program field; not an individual master's program ranking</x:v>
      </x:c>
    </x:row>
    <x:row r="26">
      <x:c r="A26" s="54" t="str">
        <x:v>Program subject proxy</x:v>
      </x:c>
      <x:c r="B26" s="54" t="str">
        <x:v>QS</x:v>
      </x:c>
      <x:c r="C26" s="54" t="str">
        <x:v>Environmental Sciences</x:v>
      </x:c>
      <x:c r="D26" s="54" t="n">
        <x:v>2023</x:v>
      </x:c>
      <x:c r="E26" s="35" t="str">
        <x:v>https://www.topuniversities.com/university-subject-rankings/environmental-sciences/2023?items_per_page=150</x:v>
      </x:c>
      <x:c r="F26" s="35" t="str">
        <x:v>https://www.topuniversities.com/rankings/endpoint?nid=3846246</x:v>
      </x:c>
      <x:c r="G26" s="32" t="str">
        <x:v>Collected through published top 150</x:v>
      </x:c>
      <x:c r="H26" s="32" t="str">
        <x:v>Mapped from program field; not an individual master's program ranking</x:v>
      </x:c>
    </x:row>
    <x:row r="27">
      <x:c r="A27" s="54" t="str">
        <x:v>Program subject proxy</x:v>
      </x:c>
      <x:c r="B27" s="54" t="str">
        <x:v>QS</x:v>
      </x:c>
      <x:c r="C27" s="54" t="str">
        <x:v>Environmental Sciences</x:v>
      </x:c>
      <x:c r="D27" s="54" t="n">
        <x:v>2024</x:v>
      </x:c>
      <x:c r="E27" s="35" t="str">
        <x:v>https://www.topuniversities.com/university-subject-rankings/environmental-sciences/2024?items_per_page=150</x:v>
      </x:c>
      <x:c r="F27" s="35" t="str">
        <x:v>https://www.topuniversities.com/rankings/endpoint?nid=3948196</x:v>
      </x:c>
      <x:c r="G27" s="32" t="str">
        <x:v>Collected through published top 150</x:v>
      </x:c>
      <x:c r="H27" s="32" t="str">
        <x:v>Mapped from program field; not an individual master's program ranking</x:v>
      </x:c>
    </x:row>
    <x:row r="28">
      <x:c r="A28" s="54" t="str">
        <x:v>Program subject proxy</x:v>
      </x:c>
      <x:c r="B28" s="54" t="str">
        <x:v>QS</x:v>
      </x:c>
      <x:c r="C28" s="54" t="str">
        <x:v>Environmental Sciences</x:v>
      </x:c>
      <x:c r="D28" s="54" t="n">
        <x:v>2025</x:v>
      </x:c>
      <x:c r="E28" s="35" t="str">
        <x:v>https://www.topuniversities.com/university-subject-rankings/environmental-sciences/2025?items_per_page=150</x:v>
      </x:c>
      <x:c r="F28" s="35" t="str">
        <x:v>https://www.topuniversities.com/rankings/endpoint?nid=4023907</x:v>
      </x:c>
      <x:c r="G28" s="32" t="str">
        <x:v>Collected through published top 150</x:v>
      </x:c>
      <x:c r="H28" s="32" t="str">
        <x:v>Mapped from program field; not an individual master's program ranking</x:v>
      </x:c>
    </x:row>
    <x:row r="29">
      <x:c r="A29" s="54" t="str">
        <x:v>Program subject proxy</x:v>
      </x:c>
      <x:c r="B29" s="54" t="str">
        <x:v>QS</x:v>
      </x:c>
      <x:c r="C29" s="54" t="str">
        <x:v>Environmental Sciences</x:v>
      </x:c>
      <x:c r="D29" s="54" t="n">
        <x:v>2026</x:v>
      </x:c>
      <x:c r="E29" s="35" t="str">
        <x:v>https://www.topuniversities.com/university-subject-rankings/environmental-sciences?items_per_page=150</x:v>
      </x:c>
      <x:c r="F29" s="35" t="str">
        <x:v>https://www.topuniversities.com/rankings/endpoint?nid=4114671</x:v>
      </x:c>
      <x:c r="G29" s="32" t="str">
        <x:v>Collected through published top 150</x:v>
      </x:c>
      <x:c r="H29" s="32" t="str">
        <x:v>Mapped from program field; not an individual master's program ranking</x:v>
      </x:c>
    </x:row>
    <x:row r="30">
      <x:c r="A30" s="54" t="str">
        <x:v>Program subject proxy</x:v>
      </x:c>
      <x:c r="B30" s="54" t="str">
        <x:v>QS</x:v>
      </x:c>
      <x:c r="C30" s="54" t="str">
        <x:v>Development Studies</x:v>
      </x:c>
      <x:c r="D30" s="54" t="n">
        <x:v>2022</x:v>
      </x:c>
      <x:c r="E30" s="35" t="str">
        <x:v>https://www.topuniversities.com/university-subject-rankings/development-studies/2022?items_per_page=150</x:v>
      </x:c>
      <x:c r="F30" s="35" t="str">
        <x:v>https://www.topuniversities.com/rankings/endpoint?nid=3794829</x:v>
      </x:c>
      <x:c r="G30" s="32" t="str">
        <x:v>Complete published table</x:v>
      </x:c>
      <x:c r="H30" s="32" t="str">
        <x:v>Mapped from program field; not an individual master's program ranking</x:v>
      </x:c>
    </x:row>
    <x:row r="31">
      <x:c r="A31" s="54" t="str">
        <x:v>Program subject proxy</x:v>
      </x:c>
      <x:c r="B31" s="54" t="str">
        <x:v>QS</x:v>
      </x:c>
      <x:c r="C31" s="54" t="str">
        <x:v>Development Studies</x:v>
      </x:c>
      <x:c r="D31" s="54" t="n">
        <x:v>2023</x:v>
      </x:c>
      <x:c r="E31" s="35" t="str">
        <x:v>https://www.topuniversities.com/university-subject-rankings/development-studies/2023?items_per_page=150</x:v>
      </x:c>
      <x:c r="F31" s="35" t="str">
        <x:v>https://www.topuniversities.com/rankings/endpoint?nid=3846235</x:v>
      </x:c>
      <x:c r="G31" s="32" t="str">
        <x:v>Complete published table</x:v>
      </x:c>
      <x:c r="H31" s="32" t="str">
        <x:v>Mapped from program field; not an individual master's program ranking</x:v>
      </x:c>
    </x:row>
    <x:row r="32">
      <x:c r="A32" s="54" t="str">
        <x:v>Program subject proxy</x:v>
      </x:c>
      <x:c r="B32" s="54" t="str">
        <x:v>QS</x:v>
      </x:c>
      <x:c r="C32" s="54" t="str">
        <x:v>Development Studies</x:v>
      </x:c>
      <x:c r="D32" s="54" t="n">
        <x:v>2024</x:v>
      </x:c>
      <x:c r="E32" s="35" t="str">
        <x:v>https://www.topuniversities.com/university-subject-rankings/development-studies/2024?items_per_page=150</x:v>
      </x:c>
      <x:c r="F32" s="35" t="str">
        <x:v>https://www.topuniversities.com/rankings/endpoint?nid=3948185</x:v>
      </x:c>
      <x:c r="G32" s="32" t="str">
        <x:v>Complete published table</x:v>
      </x:c>
      <x:c r="H32" s="32" t="str">
        <x:v>Mapped from program field; not an individual master's program ranking</x:v>
      </x:c>
    </x:row>
    <x:row r="33">
      <x:c r="A33" s="54" t="str">
        <x:v>Program subject proxy</x:v>
      </x:c>
      <x:c r="B33" s="54" t="str">
        <x:v>QS</x:v>
      </x:c>
      <x:c r="C33" s="54" t="str">
        <x:v>Development Studies</x:v>
      </x:c>
      <x:c r="D33" s="54" t="n">
        <x:v>2025</x:v>
      </x:c>
      <x:c r="E33" s="35" t="str">
        <x:v>https://www.topuniversities.com/university-subject-rankings/development-studies/2025?items_per_page=150</x:v>
      </x:c>
      <x:c r="F33" s="35" t="str">
        <x:v>https://www.topuniversities.com/rankings/endpoint?nid=4023724</x:v>
      </x:c>
      <x:c r="G33" s="32" t="str">
        <x:v>Complete published table</x:v>
      </x:c>
      <x:c r="H33" s="32" t="str">
        <x:v>Mapped from program field; not an individual master's program ranking</x:v>
      </x:c>
    </x:row>
    <x:row r="34">
      <x:c r="A34" s="54" t="str">
        <x:v>Program subject proxy</x:v>
      </x:c>
      <x:c r="B34" s="54" t="str">
        <x:v>QS</x:v>
      </x:c>
      <x:c r="C34" s="54" t="str">
        <x:v>Development Studies</x:v>
      </x:c>
      <x:c r="D34" s="54" t="n">
        <x:v>2026</x:v>
      </x:c>
      <x:c r="E34" s="35" t="str">
        <x:v>https://www.topuniversities.com/university-subject-rankings/development-studies?items_per_page=150</x:v>
      </x:c>
      <x:c r="F34" s="35" t="str">
        <x:v>https://www.topuniversities.com/rankings/endpoint?nid=4114632</x:v>
      </x:c>
      <x:c r="G34" s="32" t="str">
        <x:v>Complete published table</x:v>
      </x:c>
      <x:c r="H34" s="32" t="str">
        <x:v>Mapped from program field; not an individual master's program ranking</x:v>
      </x:c>
    </x:row>
    <x:row r="35">
      <x:c r="A35" s="54" t="str">
        <x:v>Program subject proxy</x:v>
      </x:c>
      <x:c r="B35" s="54" t="str">
        <x:v>THE</x:v>
      </x:c>
      <x:c r="C35" s="54" t="str">
        <x:v>Social Sciences</x:v>
      </x:c>
      <x:c r="D35" s="54" t="n">
        <x:v>2022</x:v>
      </x:c>
      <x:c r="E35" s="35" t="str">
        <x:v>https://www.timeshighereducation.com/world-university-rankings/2022/subject-ranking/social-sciences</x:v>
      </x:c>
      <x:c r="F35" s="35" t="str">
        <x:v>https://www.timeshighereducation.com/json/ranking_tables/social_sciences_rankings/2022</x:v>
      </x:c>
      <x:c r="G35" s="32" t="str">
        <x:v>Complete official JSON table</x:v>
      </x:c>
      <x:c r="H35" s="32" t="str">
        <x:v>Mapped from program field; not an individual master's program ranking</x:v>
      </x:c>
    </x:row>
    <x:row r="36">
      <x:c r="A36" s="54" t="str">
        <x:v>Program subject proxy</x:v>
      </x:c>
      <x:c r="B36" s="54" t="str">
        <x:v>THE</x:v>
      </x:c>
      <x:c r="C36" s="54" t="str">
        <x:v>Social Sciences</x:v>
      </x:c>
      <x:c r="D36" s="54" t="n">
        <x:v>2023</x:v>
      </x:c>
      <x:c r="E36" s="35" t="str">
        <x:v>https://www.timeshighereducation.com/world-university-rankings/2023/subject-ranking/social-sciences</x:v>
      </x:c>
      <x:c r="F36" s="35" t="str">
        <x:v>https://www.timeshighereducation.com/json/ranking_tables/social_sciences_rankings/2023</x:v>
      </x:c>
      <x:c r="G36" s="32" t="str">
        <x:v>Complete official JSON table</x:v>
      </x:c>
      <x:c r="H36" s="32" t="str">
        <x:v>Mapped from program field; not an individual master's program ranking</x:v>
      </x:c>
    </x:row>
    <x:row r="37">
      <x:c r="A37" s="54" t="str">
        <x:v>Program subject proxy</x:v>
      </x:c>
      <x:c r="B37" s="54" t="str">
        <x:v>THE</x:v>
      </x:c>
      <x:c r="C37" s="54" t="str">
        <x:v>Social Sciences</x:v>
      </x:c>
      <x:c r="D37" s="54" t="n">
        <x:v>2024</x:v>
      </x:c>
      <x:c r="E37" s="35" t="str">
        <x:v>https://www.timeshighereducation.com/world-university-rankings/2024/subject-ranking/social-sciences</x:v>
      </x:c>
      <x:c r="F37" s="35" t="str">
        <x:v>https://www.timeshighereducation.com/json/ranking_tables/social_sciences_rankings/2024</x:v>
      </x:c>
      <x:c r="G37" s="32" t="str">
        <x:v>Complete official JSON table</x:v>
      </x:c>
      <x:c r="H37" s="32" t="str">
        <x:v>Mapped from program field; not an individual master's program ranking</x:v>
      </x:c>
    </x:row>
    <x:row r="38">
      <x:c r="A38" s="54" t="str">
        <x:v>Program subject proxy</x:v>
      </x:c>
      <x:c r="B38" s="54" t="str">
        <x:v>THE</x:v>
      </x:c>
      <x:c r="C38" s="54" t="str">
        <x:v>Social Sciences</x:v>
      </x:c>
      <x:c r="D38" s="54" t="n">
        <x:v>2025</x:v>
      </x:c>
      <x:c r="E38" s="35" t="str">
        <x:v>https://www.timeshighereducation.com/world-university-rankings/2025/subject-ranking/social-sciences</x:v>
      </x:c>
      <x:c r="F38" s="35" t="str">
        <x:v>https://www.timeshighereducation.com/json/ranking_tables/social_sciences_rankings/2025</x:v>
      </x:c>
      <x:c r="G38" s="32" t="str">
        <x:v>Complete official JSON table</x:v>
      </x:c>
      <x:c r="H38" s="32" t="str">
        <x:v>Mapped from program field; not an individual master's program ranking</x:v>
      </x:c>
    </x:row>
    <x:row r="39">
      <x:c r="A39" s="54" t="str">
        <x:v>Program subject proxy</x:v>
      </x:c>
      <x:c r="B39" s="54" t="str">
        <x:v>THE</x:v>
      </x:c>
      <x:c r="C39" s="54" t="str">
        <x:v>Social Sciences</x:v>
      </x:c>
      <x:c r="D39" s="54" t="n">
        <x:v>2026</x:v>
      </x:c>
      <x:c r="E39" s="35" t="str">
        <x:v>https://www.timeshighereducation.com/world-university-rankings/2026/subject-ranking/social-sciences</x:v>
      </x:c>
      <x:c r="F39" s="35" t="str">
        <x:v>https://www.timeshighereducation.com/json/ranking_tables/social_sciences_rankings/2026</x:v>
      </x:c>
      <x:c r="G39" s="32" t="str">
        <x:v>Complete official JSON table</x:v>
      </x:c>
      <x:c r="H39" s="32" t="str">
        <x:v>Mapped from program field; not an individual master's program ranking</x:v>
      </x:c>
    </x:row>
    <x:row r="40">
      <x:c r="A40" s="54" t="str">
        <x:v>Program subject proxy</x:v>
      </x:c>
      <x:c r="B40" s="54" t="str">
        <x:v>THE</x:v>
      </x:c>
      <x:c r="C40" s="54" t="str">
        <x:v>Business and Economics</x:v>
      </x:c>
      <x:c r="D40" s="54" t="n">
        <x:v>2022</x:v>
      </x:c>
      <x:c r="E40" s="35" t="str">
        <x:v>https://www.timeshighereducation.com/world-university-rankings/2022/subject-ranking/business-and-economics</x:v>
      </x:c>
      <x:c r="F40" s="35" t="str">
        <x:v>https://www.timeshighereducation.com/json/ranking_tables/business_economics_rankings/2022</x:v>
      </x:c>
      <x:c r="G40" s="32" t="str">
        <x:v>Complete official JSON table</x:v>
      </x:c>
      <x:c r="H40" s="32" t="str">
        <x:v>Mapped from program field; not an individual master's program ranking</x:v>
      </x:c>
    </x:row>
    <x:row r="41">
      <x:c r="A41" s="54" t="str">
        <x:v>Program subject proxy</x:v>
      </x:c>
      <x:c r="B41" s="54" t="str">
        <x:v>THE</x:v>
      </x:c>
      <x:c r="C41" s="54" t="str">
        <x:v>Business and Economics</x:v>
      </x:c>
      <x:c r="D41" s="54" t="n">
        <x:v>2023</x:v>
      </x:c>
      <x:c r="E41" s="35" t="str">
        <x:v>https://www.timeshighereducation.com/world-university-rankings/2023/subject-ranking/business-and-economics</x:v>
      </x:c>
      <x:c r="F41" s="35" t="str">
        <x:v>https://www.timeshighereducation.com/json/ranking_tables/business_economics_rankings/2023</x:v>
      </x:c>
      <x:c r="G41" s="32" t="str">
        <x:v>Complete official JSON table</x:v>
      </x:c>
      <x:c r="H41" s="32" t="str">
        <x:v>Mapped from program field; not an individual master's program ranking</x:v>
      </x:c>
    </x:row>
    <x:row r="42">
      <x:c r="A42" s="54" t="str">
        <x:v>Program subject proxy</x:v>
      </x:c>
      <x:c r="B42" s="54" t="str">
        <x:v>THE</x:v>
      </x:c>
      <x:c r="C42" s="54" t="str">
        <x:v>Business and Economics</x:v>
      </x:c>
      <x:c r="D42" s="54" t="n">
        <x:v>2024</x:v>
      </x:c>
      <x:c r="E42" s="35" t="str">
        <x:v>https://www.timeshighereducation.com/world-university-rankings/2024/subject-ranking/business-and-economics</x:v>
      </x:c>
      <x:c r="F42" s="35" t="str">
        <x:v>https://www.timeshighereducation.com/json/ranking_tables/business_economics_rankings/2024</x:v>
      </x:c>
      <x:c r="G42" s="32" t="str">
        <x:v>Complete official JSON table</x:v>
      </x:c>
      <x:c r="H42" s="32" t="str">
        <x:v>Mapped from program field; not an individual master's program ranking</x:v>
      </x:c>
    </x:row>
    <x:row r="43">
      <x:c r="A43" s="54" t="str">
        <x:v>Program subject proxy</x:v>
      </x:c>
      <x:c r="B43" s="54" t="str">
        <x:v>THE</x:v>
      </x:c>
      <x:c r="C43" s="54" t="str">
        <x:v>Business and Economics</x:v>
      </x:c>
      <x:c r="D43" s="54" t="n">
        <x:v>2025</x:v>
      </x:c>
      <x:c r="E43" s="35" t="str">
        <x:v>https://www.timeshighereducation.com/world-university-rankings/2025/subject-ranking/business-and-economics</x:v>
      </x:c>
      <x:c r="F43" s="35" t="str">
        <x:v>https://www.timeshighereducation.com/json/ranking_tables/business_economics_rankings/2025</x:v>
      </x:c>
      <x:c r="G43" s="32" t="str">
        <x:v>Complete official JSON table</x:v>
      </x:c>
      <x:c r="H43" s="32" t="str">
        <x:v>Mapped from program field; not an individual master's program ranking</x:v>
      </x:c>
    </x:row>
    <x:row r="44">
      <x:c r="A44" s="54" t="str">
        <x:v>Program subject proxy</x:v>
      </x:c>
      <x:c r="B44" s="54" t="str">
        <x:v>THE</x:v>
      </x:c>
      <x:c r="C44" s="54" t="str">
        <x:v>Business and Economics</x:v>
      </x:c>
      <x:c r="D44" s="54" t="n">
        <x:v>2026</x:v>
      </x:c>
      <x:c r="E44" s="35" t="str">
        <x:v>https://www.timeshighereducation.com/world-university-rankings/2026/subject-ranking/business-and-economics</x:v>
      </x:c>
      <x:c r="F44" s="35" t="str">
        <x:v>https://www.timeshighereducation.com/json/ranking_tables/business_economics_rankings/2026</x:v>
      </x:c>
      <x:c r="G44" s="32" t="str">
        <x:v>Complete official JSON table</x:v>
      </x:c>
      <x:c r="H44" s="32" t="str">
        <x:v>Mapped from program field; not an individual master's program ranking</x:v>
      </x:c>
    </x:row>
    <x:row r="45">
      <x:c r="A45" s="54" t="str">
        <x:v>Program subject proxy</x:v>
      </x:c>
      <x:c r="B45" s="54" t="str">
        <x:v>THE</x:v>
      </x:c>
      <x:c r="C45" s="54" t="str">
        <x:v>Physical Sciences</x:v>
      </x:c>
      <x:c r="D45" s="54" t="n">
        <x:v>2022</x:v>
      </x:c>
      <x:c r="E45" s="35" t="str">
        <x:v>https://www.timeshighereducation.com/world-university-rankings/2022/subject-ranking/physical-sciences</x:v>
      </x:c>
      <x:c r="F45" s="35" t="str">
        <x:v>https://www.timeshighereducation.com/json/ranking_tables/physical_sciences_rankings/2022</x:v>
      </x:c>
      <x:c r="G45" s="32" t="str">
        <x:v>Complete official JSON table</x:v>
      </x:c>
      <x:c r="H45" s="32" t="str">
        <x:v>Mapped from program field; not an individual master's program ranking</x:v>
      </x:c>
    </x:row>
    <x:row r="46">
      <x:c r="A46" s="54" t="str">
        <x:v>Program subject proxy</x:v>
      </x:c>
      <x:c r="B46" s="54" t="str">
        <x:v>THE</x:v>
      </x:c>
      <x:c r="C46" s="54" t="str">
        <x:v>Physical Sciences</x:v>
      </x:c>
      <x:c r="D46" s="54" t="n">
        <x:v>2023</x:v>
      </x:c>
      <x:c r="E46" s="35" t="str">
        <x:v>https://www.timeshighereducation.com/world-university-rankings/2023/subject-ranking/physical-sciences</x:v>
      </x:c>
      <x:c r="F46" s="35" t="str">
        <x:v>https://www.timeshighereducation.com/json/ranking_tables/physical_sciences_rankings/2023</x:v>
      </x:c>
      <x:c r="G46" s="32" t="str">
        <x:v>Complete official JSON table</x:v>
      </x:c>
      <x:c r="H46" s="32" t="str">
        <x:v>Mapped from program field; not an individual master's program ranking</x:v>
      </x:c>
    </x:row>
    <x:row r="47">
      <x:c r="A47" s="54" t="str">
        <x:v>Program subject proxy</x:v>
      </x:c>
      <x:c r="B47" s="54" t="str">
        <x:v>THE</x:v>
      </x:c>
      <x:c r="C47" s="54" t="str">
        <x:v>Physical Sciences</x:v>
      </x:c>
      <x:c r="D47" s="54" t="n">
        <x:v>2024</x:v>
      </x:c>
      <x:c r="E47" s="35" t="str">
        <x:v>https://www.timeshighereducation.com/world-university-rankings/2024/subject-ranking/physical-sciences</x:v>
      </x:c>
      <x:c r="F47" s="35" t="str">
        <x:v>https://www.timeshighereducation.com/json/ranking_tables/physical_sciences_rankings/2024</x:v>
      </x:c>
      <x:c r="G47" s="32" t="str">
        <x:v>Complete official JSON table</x:v>
      </x:c>
      <x:c r="H47" s="32" t="str">
        <x:v>Mapped from program field; not an individual master's program ranking</x:v>
      </x:c>
    </x:row>
    <x:row r="48">
      <x:c r="A48" s="54" t="str">
        <x:v>Program subject proxy</x:v>
      </x:c>
      <x:c r="B48" s="54" t="str">
        <x:v>THE</x:v>
      </x:c>
      <x:c r="C48" s="54" t="str">
        <x:v>Physical Sciences</x:v>
      </x:c>
      <x:c r="D48" s="54" t="n">
        <x:v>2025</x:v>
      </x:c>
      <x:c r="E48" s="35" t="str">
        <x:v>https://www.timeshighereducation.com/world-university-rankings/2025/subject-ranking/physical-sciences</x:v>
      </x:c>
      <x:c r="F48" s="35" t="str">
        <x:v>https://www.timeshighereducation.com/json/ranking_tables/physical_sciences_rankings/2025</x:v>
      </x:c>
      <x:c r="G48" s="32" t="str">
        <x:v>Complete official JSON table</x:v>
      </x:c>
      <x:c r="H48" s="32" t="str">
        <x:v>Mapped from program field; not an individual master's program ranking</x:v>
      </x:c>
    </x:row>
    <x:row r="49">
      <x:c r="A49" s="54" t="str">
        <x:v>Program subject proxy</x:v>
      </x:c>
      <x:c r="B49" s="54" t="str">
        <x:v>THE</x:v>
      </x:c>
      <x:c r="C49" s="54" t="str">
        <x:v>Physical Sciences</x:v>
      </x:c>
      <x:c r="D49" s="54" t="n">
        <x:v>2026</x:v>
      </x:c>
      <x:c r="E49" s="35" t="str">
        <x:v>https://www.timeshighereducation.com/world-university-rankings/2026/subject-ranking/physical-sciences</x:v>
      </x:c>
      <x:c r="F49" s="35" t="str">
        <x:v>https://www.timeshighereducation.com/json/ranking_tables/physical_sciences_rankings/2026</x:v>
      </x:c>
      <x:c r="G49" s="32" t="str">
        <x:v>Complete official JSON table</x:v>
      </x:c>
      <x:c r="H49" s="32" t="str">
        <x:v>Mapped from program field; not an individual master's program ranking</x:v>
      </x:c>
    </x:row>
    <x:row r="50">
      <x:c r="A50" s="54" t="str">
        <x:v>Program subject proxy</x:v>
      </x:c>
      <x:c r="B50" s="54" t="str">
        <x:v>THE</x:v>
      </x:c>
      <x:c r="C50" s="54" t="str">
        <x:v>Engineering</x:v>
      </x:c>
      <x:c r="D50" s="54" t="n">
        <x:v>2022</x:v>
      </x:c>
      <x:c r="E50" s="35" t="str">
        <x:v>https://www.timeshighereducation.com/world-university-rankings/2022/subject-ranking/engineering</x:v>
      </x:c>
      <x:c r="F50" s="35" t="str">
        <x:v>https://www.timeshighereducation.com/json/ranking_tables/engineering_technology_rankings/2022</x:v>
      </x:c>
      <x:c r="G50" s="32" t="str">
        <x:v>Complete official JSON table</x:v>
      </x:c>
      <x:c r="H50" s="32" t="str">
        <x:v>Mapped from program field; not an individual master's program ranking</x:v>
      </x:c>
    </x:row>
    <x:row r="51">
      <x:c r="A51" s="54" t="str">
        <x:v>Program subject proxy</x:v>
      </x:c>
      <x:c r="B51" s="54" t="str">
        <x:v>THE</x:v>
      </x:c>
      <x:c r="C51" s="54" t="str">
        <x:v>Engineering</x:v>
      </x:c>
      <x:c r="D51" s="54" t="n">
        <x:v>2023</x:v>
      </x:c>
      <x:c r="E51" s="35" t="str">
        <x:v>https://www.timeshighereducation.com/world-university-rankings/2023/subject-ranking/engineering</x:v>
      </x:c>
      <x:c r="F51" s="35" t="str">
        <x:v>https://www.timeshighereducation.com/json/ranking_tables/engineering_technology_rankings/2023</x:v>
      </x:c>
      <x:c r="G51" s="32" t="str">
        <x:v>Complete official JSON table</x:v>
      </x:c>
      <x:c r="H51" s="32" t="str">
        <x:v>Mapped from program field; not an individual master's program ranking</x:v>
      </x:c>
    </x:row>
    <x:row r="52">
      <x:c r="A52" s="54" t="str">
        <x:v>Program subject proxy</x:v>
      </x:c>
      <x:c r="B52" s="54" t="str">
        <x:v>THE</x:v>
      </x:c>
      <x:c r="C52" s="54" t="str">
        <x:v>Engineering</x:v>
      </x:c>
      <x:c r="D52" s="54" t="n">
        <x:v>2024</x:v>
      </x:c>
      <x:c r="E52" s="35" t="str">
        <x:v>https://www.timeshighereducation.com/world-university-rankings/2024/subject-ranking/engineering</x:v>
      </x:c>
      <x:c r="F52" s="35" t="str">
        <x:v>https://www.timeshighereducation.com/json/ranking_tables/engineering_technology_rankings/2024</x:v>
      </x:c>
      <x:c r="G52" s="32" t="str">
        <x:v>Complete official JSON table</x:v>
      </x:c>
      <x:c r="H52" s="32" t="str">
        <x:v>Mapped from program field; not an individual master's program ranking</x:v>
      </x:c>
    </x:row>
    <x:row r="53">
      <x:c r="A53" s="54" t="str">
        <x:v>Program subject proxy</x:v>
      </x:c>
      <x:c r="B53" s="54" t="str">
        <x:v>THE</x:v>
      </x:c>
      <x:c r="C53" s="54" t="str">
        <x:v>Engineering</x:v>
      </x:c>
      <x:c r="D53" s="54" t="n">
        <x:v>2025</x:v>
      </x:c>
      <x:c r="E53" s="35" t="str">
        <x:v>https://www.timeshighereducation.com/world-university-rankings/2025/subject-ranking/engineering</x:v>
      </x:c>
      <x:c r="F53" s="35" t="str">
        <x:v>https://www.timeshighereducation.com/json/ranking_tables/engineering_technology_rankings/2025</x:v>
      </x:c>
      <x:c r="G53" s="32" t="str">
        <x:v>Complete official JSON table</x:v>
      </x:c>
      <x:c r="H53" s="32" t="str">
        <x:v>Mapped from program field; not an individual master's program ranking</x:v>
      </x:c>
    </x:row>
    <x:row r="54">
      <x:c r="A54" s="54" t="str">
        <x:v>Program subject proxy</x:v>
      </x:c>
      <x:c r="B54" s="54" t="str">
        <x:v>THE</x:v>
      </x:c>
      <x:c r="C54" s="54" t="str">
        <x:v>Engineering</x:v>
      </x:c>
      <x:c r="D54" s="54" t="n">
        <x:v>2026</x:v>
      </x:c>
      <x:c r="E54" s="35" t="str">
        <x:v>https://www.timeshighereducation.com/world-university-rankings/2026/subject-ranking/engineering</x:v>
      </x:c>
      <x:c r="F54" s="35" t="str">
        <x:v>https://www.timeshighereducation.com/json/ranking_tables/engineering_technology_rankings/2026</x:v>
      </x:c>
      <x:c r="G54" s="32" t="str">
        <x:v>Complete official JSON table</x:v>
      </x:c>
      <x:c r="H54" s="32" t="str">
        <x:v>Mapped from program field; not an individual master's program ranking</x:v>
      </x:c>
    </x:row>
    <x:row r="57">
      <x:c r="A57" s="55" t="str">
        <x:v>Method and limitations</x:v>
      </x:c>
      <x:c r="B57" s="55"/>
      <x:c r="C57" s="55"/>
      <x:c r="D57" s="55"/>
      <x:c r="E57" s="55"/>
      <x:c r="F57" s="55"/>
      <x:c r="G57" s="55"/>
      <x:c r="H57" s="55"/>
    </x:row>
    <x:row r="58" ht="36" customHeight="1">
      <x:c r="A58" s="58" t="str">
        <x:v>University level</x:v>
      </x:c>
      <x:c r="B58" s="56" t="str">
        <x:v>Overall QS and THE ranks belong to the institution; the selected program is linked for analysis.</x:v>
      </x:c>
      <x:c r="C58" s="56"/>
      <x:c r="D58" s="56"/>
      <x:c r="E58" s="56"/>
      <x:c r="F58" s="56"/>
      <x:c r="G58" s="56"/>
      <x:c r="H58" s="56"/>
    </x:row>
    <x:row r="59" ht="36" customHeight="1">
      <x:c r="A59" s="58" t="str">
        <x:v>Program level</x:v>
      </x:c>
      <x:c r="B59" s="56" t="str">
        <x:v>No direct QS/THE rank is published for most selected master's programs, so the closest subject ranking is used as a proxy.</x:v>
      </x:c>
      <x:c r="C59" s="56"/>
      <x:c r="D59" s="56"/>
      <x:c r="E59" s="56"/>
      <x:c r="F59" s="56"/>
      <x:c r="G59" s="56"/>
      <x:c r="H59" s="56"/>
    </x:row>
    <x:row r="60" ht="36" customHeight="1">
      <x:c r="A60" s="58" t="str">
        <x:v>Subject mapping</x:v>
      </x:c>
      <x:c r="B60" s="56" t="str">
        <x:v>Categories were assigned from program titles and fields: environment, business, development/social science, architecture/built environment, engineering, or physical sciences.</x:v>
      </x:c>
      <x:c r="C60" s="56"/>
      <x:c r="D60" s="56"/>
      <x:c r="E60" s="56"/>
      <x:c r="F60" s="56"/>
      <x:c r="G60" s="56"/>
      <x:c r="H60" s="56"/>
    </x:row>
    <x:row r="61" ht="36" customHeight="1">
      <x:c r="A61" s="58" t="str">
        <x:v>QS coverage</x:v>
      </x:c>
      <x:c r="B61" s="56" t="str">
        <x:v>QS subject pages were collected through the published top 150, with a second page through approximately the top 300 for subject-years needed to resolve unmatched programs; complete tables were used when shorter.</x:v>
      </x:c>
      <x:c r="C61" s="56"/>
      <x:c r="D61" s="56"/>
      <x:c r="E61" s="56"/>
      <x:c r="F61" s="56"/>
      <x:c r="G61" s="56"/>
      <x:c r="H61" s="56"/>
    </x:row>
    <x:row r="62" ht="36" customHeight="1">
      <x:c r="A62" s="58" t="str">
        <x:v>THE coverage</x:v>
      </x:c>
      <x:c r="B62" s="56" t="str">
        <x:v>Complete official THE subject-ranking JSON tables were collected.</x:v>
      </x:c>
      <x:c r="C62" s="56"/>
      <x:c r="D62" s="56"/>
      <x:c r="E62" s="56"/>
      <x:c r="F62" s="56"/>
      <x:c r="G62" s="56"/>
      <x:c r="H62" s="56"/>
    </x:row>
    <x:row r="63" ht="36" customHeight="1">
      <x:c r="A63" s="58" t="str">
        <x:v>Rank format</x:v>
      </x:c>
      <x:c r="B63" s="56" t="str">
        <x:v>Published text is preserved, including ties, ranges, and plus signs. NR is explained in each detail sheet's Status column.</x:v>
      </x:c>
      <x:c r="C63" s="56"/>
      <x:c r="D63" s="56"/>
      <x:c r="E63" s="56"/>
      <x:c r="F63" s="56"/>
      <x:c r="G63" s="56"/>
      <x:c r="H63" s="56"/>
    </x:row>
    <x:row r="64" ht="36" customHeight="1">
      <x:c r="A64" s="58" t="str">
        <x:v>Quality control</x:v>
      </x:c>
      <x:c r="B64" s="56" t="str">
        <x:v>All 62 institutions matched in all ten overall-ranking editions. Subject non-ranks remain explicit and are not imputed.</x:v>
      </x:c>
      <x:c r="C64" s="56"/>
      <x:c r="D64" s="56"/>
      <x:c r="E64" s="56"/>
      <x:c r="F64" s="56"/>
      <x:c r="G64" s="56"/>
      <x:c r="H64" s="56"/>
    </x:row>
  </x:sheetData>
  <x:mergeCells>
    <x:mergeCell ref="A1:H1"/>
    <x:mergeCell ref="A2:H2"/>
    <x:mergeCell ref="A57:H57"/>
    <x:mergeCell ref="B58:H58"/>
    <x:mergeCell ref="B59:H59"/>
    <x:mergeCell ref="B60:H60"/>
    <x:mergeCell ref="B61:H61"/>
    <x:mergeCell ref="B62:H62"/>
    <x:mergeCell ref="B63:H63"/>
    <x:mergeCell ref="B64:H64"/>
  </x:mergeCells>
  <x:pageMargins left="0.7" right="0.7" top="0.75" bottom="0.75" header="0.3" footer="0.3"/>
  <x:tableParts count="1">
    <x:tablePart xmlns:r="http://schemas.openxmlformats.org/officeDocument/2006/relationships" r:id="Rdee35023b38e4884"/>
  </x:tableParts>
</x:worksheet>
</file>