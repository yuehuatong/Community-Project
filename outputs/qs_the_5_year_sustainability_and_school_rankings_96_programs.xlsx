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6e078a917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e34a4ae4a04170"/>
    <x:sheet xmlns:r="http://schemas.openxmlformats.org/officeDocument/2006/relationships" name="Sustainability Rankings" sheetId="2" r:id="R7ec16f077de24856"/>
    <x:sheet xmlns:r="http://schemas.openxmlformats.org/officeDocument/2006/relationships" name="School Rankings" sheetId="3" r:id="R4d1dc85a839b44ed"/>
    <x:sheet xmlns:r="http://schemas.openxmlformats.org/officeDocument/2006/relationships" name="QS Sustainability Detail" sheetId="4" r:id="Rdd26ca05844d4f0b"/>
    <x:sheet xmlns:r="http://schemas.openxmlformats.org/officeDocument/2006/relationships" name="THE Impact Detail" sheetId="5" r:id="R5d6addceb3a441db"/>
    <x:sheet xmlns:r="http://schemas.openxmlformats.org/officeDocument/2006/relationships" name="QS School Detail" sheetId="6" r:id="R1f74cf725ffa4d19"/>
    <x:sheet xmlns:r="http://schemas.openxmlformats.org/officeDocument/2006/relationships" name="THE School Detail" sheetId="7" r:id="R745f1d637bd34357"/>
    <x:sheet xmlns:r="http://schemas.openxmlformats.org/officeDocument/2006/relationships" name="Sources &amp; Method" sheetId="8" r:id="R8cefbfb8bb5b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11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17365D"/>
      <x:name val="Aptos"/>
    </x:font>
    <x:font>
      <x:b/>
      <x:sz val="11"/>
      <x:color rgb="FFFFFFFF"/>
      <x:name val="Carlito"/>
    </x:font>
    <x:font>
      <x:sz val="10"/>
      <x:color rgb="FF1F2937"/>
      <x:name val="Aptos"/>
    </x:font>
    <x:font>
      <x:sz val="9"/>
      <x:color rgb="FF0563C1"/>
      <x:name val="Aptos"/>
    </x:font>
    <x:font>
      <x:sz val="10"/>
      <x:name val="Aptos"/>
    </x:font>
    <x:font>
      <x:b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8B1E3F"/>
      </x:patternFill>
    </x:fill>
    <x:fill>
      <x:patternFill patternType="solid">
        <x:fgColor rgb="FFB7791F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ea2bca2e341f8" /><Relationship Type="http://schemas.openxmlformats.org/officeDocument/2006/relationships/theme" Target="/xl/theme/theme1.xml" Id="Rd04dca5cd81e4857" /><Relationship Type="http://schemas.openxmlformats.org/officeDocument/2006/relationships/sharedStrings" Target="/xl/sharedStrings.xml" Id="Rc1a5c7448fd345cf" /><Relationship Type="http://schemas.openxmlformats.org/officeDocument/2006/relationships/worksheet" Target="/xl/worksheets/sheet1.xml" Id="R6de34a4ae4a04170" /><Relationship Type="http://schemas.openxmlformats.org/officeDocument/2006/relationships/worksheet" Target="/xl/worksheets/sheet2.xml" Id="R7ec16f077de24856" /><Relationship Type="http://schemas.openxmlformats.org/officeDocument/2006/relationships/worksheet" Target="/xl/worksheets/sheet3.xml" Id="R4d1dc85a839b44ed" /><Relationship Type="http://schemas.openxmlformats.org/officeDocument/2006/relationships/worksheet" Target="/xl/worksheets/sheet4.xml" Id="Rdd26ca05844d4f0b" /><Relationship Type="http://schemas.openxmlformats.org/officeDocument/2006/relationships/worksheet" Target="/xl/worksheets/sheet5.xml" Id="R5d6addceb3a441db" /><Relationship Type="http://schemas.openxmlformats.org/officeDocument/2006/relationships/worksheet" Target="/xl/worksheets/sheet6.xml" Id="R1f74cf725ffa4d19" /><Relationship Type="http://schemas.openxmlformats.org/officeDocument/2006/relationships/worksheet" Target="/xl/worksheets/sheet7.xml" Id="R745f1d637bd34357" /><Relationship Type="http://schemas.openxmlformats.org/officeDocument/2006/relationships/worksheet" Target="/xl/worksheets/sheet8.xml" Id="R8cefbfb8bb5b4e3e" /></Relationships>
</file>

<file path=xl/tables/table1.xml><?xml version="1.0" encoding="utf-8"?>
<x:table xmlns:x="http://schemas.openxmlformats.org/spreadsheetml/2006/main" id="1" name="SustainabilityRankingsTable" displayName="SustainabilityRankingsTable" ref="A4:R100" headerRowCount="1" totalsRowCount="0" totalsRowShown="0">
  <x:autoFilter ref="A4:R100"/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Sustainability 2022"/>
    <x:tableColumn id="7" name="QS Sustainability 2023"/>
    <x:tableColumn id="8" name="QS Sustainability 2024"/>
    <x:tableColumn id="9" name="QS Sustainability 2025"/>
    <x:tableColumn id="10" name="QS Sustainability 2026"/>
    <x:tableColumn id="11" name="THE Impact 2022"/>
    <x:tableColumn id="12" name="THE Impact 2023"/>
    <x:tableColumn id="13" name="THE Impact 2024"/>
    <x:tableColumn id="14" name="THE Impact 2025"/>
    <x:tableColumn id="15" name="THE Impact 2026"/>
    <x:tableColumn id="16" name="QS Profile URL"/>
    <x:tableColumn id="17" name="THE Profile URL"/>
    <x:tableColumn id="18" name="Program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RankingsTable" displayName="SchoolRankingsTable" ref="A4:R100" headerRowCount="1" totalsRowCount="0" totalsRowShown="0">
  <x:autoFilter ref="A4:R100"/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WUR 2023"/>
    <x:tableColumn id="7" name="QS WUR 2024"/>
    <x:tableColumn id="8" name="QS WUR 2025"/>
    <x:tableColumn id="9" name="QS WUR 2026"/>
    <x:tableColumn id="10" name="QS WUR 2027"/>
    <x:tableColumn id="11" name="THE WUR 2022"/>
    <x:tableColumn id="12" name="THE WUR 2023"/>
    <x:tableColumn id="13" name="THE WUR 2024"/>
    <x:tableColumn id="14" name="THE WUR 2025"/>
    <x:tableColumn id="15" name="THE WUR 2026"/>
    <x:tableColumn id="16" name="QS Profile URL"/>
    <x:tableColumn id="17" name="THE Profile URL"/>
    <x:tableColumn id="18" name="Program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SSustainabilityDetailTable" displayName="QSSustainabilityDetailTable" ref="A4:L484" headerRowCount="1" totalsRowCount="0" totalsRowShown="0">
  <x:autoFilter ref="A4:L484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ImpactDetailTable" displayName="THEImpactDetailTable" ref="A4:L484" headerRowCount="1" totalsRowCount="0" totalsRowShown="0">
  <x:autoFilter ref="A4:L484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QSSchoolDetailTable" displayName="QSSchoolDetailTable" ref="A4:L484" headerRowCount="1" totalsRowCount="0" totalsRowShown="0">
  <x:autoFilter ref="A4:L484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ESchoolDetailTable" displayName="THESchoolDetailTable" ref="A4:L484" headerRowCount="1" totalsRowCount="0" totalsRowShown="0">
  <x:autoFilter ref="A4:L484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RankingSourcesTable" displayName="RankingSourcesTable" ref="A4:H24" headerRowCount="1" totalsRowCount="0" totalsRowShown="0">
  <x:autoFilter ref="A4:H24"/>
  <x:tableColumns count="8">
    <x:tableColumn id="1" name="Category"/>
    <x:tableColumn id="2" name="Publisher"/>
    <x:tableColumn id="3" name="Series"/>
    <x:tableColumn id="4" name="Edition"/>
    <x:tableColumn id="5" name="Official Source"/>
    <x:tableColumn id="6" name="Coverage Used"/>
    <x:tableColumn id="7" name="Workbook Treatment"/>
    <x:tableColumn id="8" name="Retrieved"/>
  </x:tableColumns>
  <x:tableStyleInfo name="TableStyleMedium1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4965b2cfa14d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3afc7535ec4b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c31baa91b4f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51ce618e9240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13fc4192f244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7cae16d49149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3283ea10c4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</x:cols>
  <x:sheetData>
    <x:row r="1" ht="30" customHeight="1">
      <x:c r="A1" s="3" t="str">
        <x:v>Five-Year Sustainability and School Rankings for 96 Programs</x:v>
      </x:c>
      <x:c r="B1" s="3"/>
      <x:c r="C1" s="3"/>
      <x:c r="D1" s="3"/>
      <x:c r="E1" s="3"/>
      <x:c r="F1" s="3"/>
      <x:c r="G1" s="3"/>
    </x:row>
    <x:row r="2" ht="38" customHeight="1">
      <x:c r="A2" s="7" t="str">
        <x:v>Corrected institutional context for each retained master's program. ID 75 is excluded after manual program review; sustainability and overall school rankings remain separate and are not direct program rankings.</x:v>
      </x:c>
      <x:c r="B2" s="7"/>
      <x:c r="C2" s="7"/>
      <x:c r="D2" s="7"/>
      <x:c r="E2" s="7"/>
      <x:c r="F2" s="7"/>
      <x:c r="G2" s="7"/>
    </x:row>
    <x:row r="4" ht="38" customHeight="1">
      <x:c r="A4" s="16" t="str">
        <x:v>Metric</x:v>
      </x:c>
      <x:c r="B4" s="16" t="str">
        <x:v>Value</x:v>
      </x:c>
      <x:c r="C4" s="16" t="str">
        <x:v>Interpretation</x:v>
      </x:c>
    </x:row>
    <x:row r="5">
      <x:c r="A5" s="17" t="str">
        <x:v>Selected programs / institutions</x:v>
      </x:c>
      <x:c r="B5" s="20" t="n">
        <x:f>COUNTA('Sustainability Rankings'!$B$5:$B$101)</x:f>
        <x:v>96</x:v>
      </x:c>
      <x:c r="C5" s="17" t="str">
        <x:v>One verified sustainability-related master's route per institution</x:v>
      </x:c>
    </x:row>
    <x:row r="6">
      <x:c r="A6" s="17" t="str">
        <x:v>QS Sustainability ranked cells</x:v>
      </x:c>
      <x:c r="B6" s="20" t="n">
        <x:f>COUNTIF('Sustainability Rankings'!$G$5:$J$101,"&lt;&gt;NR")</x:f>
        <x:v>373</x:v>
      </x:c>
      <x:c r="C6" s="17" t="str">
        <x:v>QS Sustainability editions 2023-2026; QS did not publish this ranking in 2022</x:v>
      </x:c>
    </x:row>
    <x:row r="7">
      <x:c r="A7" s="17" t="str">
        <x:v>QS Sustainability NR cells</x:v>
      </x:c>
      <x:c r="B7" s="20" t="n">
        <x:f>COUNTIF('Sustainability Rankings'!$G$5:$J$101,"NR")</x:f>
        <x:v>15</x:v>
      </x:c>
      <x:c r="C7" s="17" t="str">
        <x:v>Not ranked in a complete official QS Sustainability table</x:v>
      </x:c>
    </x:row>
    <x:row r="8">
      <x:c r="A8" s="17" t="str">
        <x:v>THE Impact ranked cells</x:v>
      </x:c>
      <x:c r="B8" s="20" t="n">
        <x:f>COUNTIF('Sustainability Rankings'!$K$5:$O$101,"&lt;&gt;NR")</x:f>
        <x:v>333</x:v>
      </x:c>
      <x:c r="C8" s="17" t="str">
        <x:v>THE Impact Rankings 2022-2025 plus THE Sustainability Impact Ratings 2026</x:v>
      </x:c>
    </x:row>
    <x:row r="9">
      <x:c r="A9" s="17" t="str">
        <x:v>THE Impact NR cells</x:v>
      </x:c>
      <x:c r="B9" s="20" t="n">
        <x:f>COUNTIF('Sustainability Rankings'!$K$5:$O$101,"NR")</x:f>
        <x:v>152</x:v>
      </x:c>
      <x:c r="C9" s="17" t="str">
        <x:v>Not ranked in the complete official edition table</x:v>
      </x:c>
    </x:row>
    <x:row r="10">
      <x:c r="A10" s="17" t="str">
        <x:v>QS school exact rank cells (1-200)</x:v>
      </x:c>
      <x:c r="B10" s="20" t="n">
        <x:f>COUNTIF('School Rankings'!$F$5:$J$101,"&lt;&gt;200+")</x:f>
        <x:v>330</x:v>
      </x:c>
      <x:c r="C10" s="17" t="str">
        <x:v>Published QS World University rank retained when rank is 200 or better</x:v>
      </x:c>
    </x:row>
    <x:row r="11">
      <x:c r="A11" s="17" t="str">
        <x:v>QS school 200+ cells</x:v>
      </x:c>
      <x:c r="B11" s="20" t="n">
        <x:f>COUNTIF('School Rankings'!$F$5:$J$101,"200+")</x:f>
        <x:v>155</x:v>
      </x:c>
      <x:c r="C11" s="17" t="str">
        <x:v>Published rank is after 200; exact value suppressed by project rule</x:v>
      </x:c>
    </x:row>
    <x:row r="12">
      <x:c r="A12" s="17" t="str">
        <x:v>THE school exact rank cells (1-200)</x:v>
      </x:c>
      <x:c r="B12" s="20" t="n">
        <x:f>COUNTIFS('School Rankings'!$K$5:$O$101,"&lt;&gt;200+",'School Rankings'!$K$5:$O$101,"&lt;&gt;NR")</x:f>
        <x:v>274</x:v>
      </x:c>
      <x:c r="C12" s="17" t="str">
        <x:v>Published THE World University rank retained when rank is 200 or better</x:v>
      </x:c>
    </x:row>
    <x:row r="13">
      <x:c r="A13" s="17" t="str">
        <x:v>THE school 200+ / NR cells</x:v>
      </x:c>
      <x:c r="B13" s="20" t="n">
        <x:f>COUNTIF('School Rankings'!$K$5:$O$101,"200+")+COUNTIF('School Rankings'!$K$5:$O$101,"NR")</x:f>
        <x:v>211</x:v>
      </x:c>
      <x:c r="C13" s="17" t="str">
        <x:v>After rank 200 or not ranked in a complete THE table</x:v>
      </x:c>
    </x:row>
    <x:row r="15">
      <x:c r="A15" s="22" t="str">
        <x:v>How to read this workbook</x:v>
      </x:c>
      <x:c r="B15" s="22"/>
      <x:c r="C15" s="22"/>
      <x:c r="D15" s="22"/>
      <x:c r="E15" s="22"/>
      <x:c r="F15" s="22"/>
      <x:c r="G15" s="22"/>
    </x:row>
    <x:row r="16" ht="28" customHeight="1">
      <x:c r="A16" s="26" t="str">
        <x:v>1. Sustainability Rankings compares QS Sustainability with THE Impact / Sustainability Impact. These are institution-level sustainability measures.</x:v>
      </x:c>
      <x:c r="B16" s="26"/>
      <x:c r="C16" s="26"/>
      <x:c r="D16" s="26"/>
      <x:c r="E16" s="26"/>
      <x:c r="F16" s="26"/>
      <x:c r="G16" s="26"/>
    </x:row>
    <x:row r="17" ht="28" customHeight="1">
      <x:c r="A17" s="26" t="str">
        <x:v>2. School Rankings compares the overall QS and THE World University Rankings for the university that owns each selected program.</x:v>
      </x:c>
      <x:c r="B17" s="26"/>
      <x:c r="C17" s="26"/>
      <x:c r="D17" s="26"/>
      <x:c r="E17" s="26"/>
      <x:c r="F17" s="26"/>
      <x:c r="G17" s="26"/>
    </x:row>
    <x:row r="18" ht="28" customHeight="1">
      <x:c r="A18" s="26" t="str">
        <x:v>3. School ranks 1-200 preserve the published value. Any school rank after 200 is intentionally reported as 200+.</x:v>
      </x:c>
      <x:c r="B18" s="26"/>
      <x:c r="C18" s="26"/>
      <x:c r="D18" s="26"/>
      <x:c r="E18" s="26"/>
      <x:c r="F18" s="26"/>
      <x:c r="G18" s="26"/>
    </x:row>
    <x:row r="19" ht="28" customHeight="1">
      <x:c r="A19" s="26" t="str">
        <x:v>4. N/P means the ranking edition did not exist. NR means the institution was not ranked in a complete official table.</x:v>
      </x:c>
      <x:c r="B19" s="26"/>
      <x:c r="C19" s="26"/>
      <x:c r="D19" s="26"/>
      <x:c r="E19" s="26"/>
      <x:c r="F19" s="26"/>
      <x:c r="G19" s="26"/>
    </x:row>
    <x:row r="20" ht="28" customHeight="1">
      <x:c r="A20" s="26" t="str">
        <x:v>5. Published ties, bands, and plus signs are preserved in sustainability sheets. Program URLs are included for manual validation.</x:v>
      </x:c>
      <x:c r="B20" s="26"/>
      <x:c r="C20" s="26"/>
      <x:c r="D20" s="26"/>
      <x:c r="E20" s="26"/>
      <x:c r="F20" s="26"/>
      <x:c r="G20" s="26"/>
    </x:row>
  </x:sheetData>
  <x:mergeCells>
    <x:mergeCell ref="A1:G1"/>
    <x:mergeCell ref="A2:G2"/>
    <x:mergeCell ref="A15:G15"/>
    <x:mergeCell ref="A16:G16"/>
    <x:mergeCell ref="A17:G17"/>
    <x:mergeCell ref="A18:G18"/>
    <x:mergeCell ref="A19:G19"/>
    <x:mergeCell ref="A20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20" hidden="0" customWidth="1"/>
    <x:col min="5" max="5" width="4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48" hidden="0" customWidth="1"/>
    <x:col min="17" max="17" width="48" hidden="0" customWidth="1"/>
    <x:col min="18" max="18" width="52" hidden="0" customWidth="1"/>
  </x:cols>
  <x:sheetData>
    <x:row r="1" ht="30" customHeight="1">
      <x:c r="A1" s="3" t="str">
        <x:v>Institutional Sustainability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QS Sustainability 2022-2026 and THE Impact / Sustainability Impact 2022-2026. QS Sustainability started in 2023, so 2022 is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12" t="str">
        <x:v>ID</x:v>
      </x:c>
      <x:c r="B4" s="12" t="str">
        <x:v>Institution</x:v>
      </x:c>
      <x:c r="C4" s="12" t="str">
        <x:v>Country</x:v>
      </x:c>
      <x:c r="D4" s="12" t="str">
        <x:v>Candidate Source</x:v>
      </x:c>
      <x:c r="E4" s="12" t="str">
        <x:v>Selected Program</x:v>
      </x:c>
      <x:c r="F4" s="27" t="str">
        <x:v>QS Sustainability 2022</x:v>
      </x:c>
      <x:c r="G4" s="27" t="str">
        <x:v>QS Sustainability 2023</x:v>
      </x:c>
      <x:c r="H4" s="27" t="str">
        <x:v>QS Sustainability 2024</x:v>
      </x:c>
      <x:c r="I4" s="27" t="str">
        <x:v>QS Sustainability 2025</x:v>
      </x:c>
      <x:c r="J4" s="27" t="str">
        <x:v>QS Sustainability 2026</x:v>
      </x:c>
      <x:c r="K4" s="28" t="str">
        <x:v>THE Impact 2022</x:v>
      </x:c>
      <x:c r="L4" s="28" t="str">
        <x:v>THE Impact 2023</x:v>
      </x:c>
      <x:c r="M4" s="28" t="str">
        <x:v>THE Impact 2024</x:v>
      </x:c>
      <x:c r="N4" s="28" t="str">
        <x:v>THE Impact 2025</x:v>
      </x:c>
      <x:c r="O4" s="28" t="str">
        <x:v>THE Impact 2026</x:v>
      </x:c>
      <x:c r="P4" s="12" t="str">
        <x:v>QS Profile URL</x:v>
      </x:c>
      <x:c r="Q4" s="12" t="str">
        <x:v>THE Profile URL</x:v>
      </x:c>
      <x:c r="R4" s="12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QS Sustainability</x:v>
      </x:c>
      <x:c r="E5" s="15" t="str">
        <x:v>MSc Environmental Studies and Sustainability Science (LUMES)</x:v>
      </x:c>
      <x:c r="F5" s="32" t="str">
        <x:v>N/P</x:v>
      </x:c>
      <x:c r="G5" s="32" t="str">
        <x:v>12</x:v>
      </x:c>
      <x:c r="H5" s="32" t="str">
        <x:v>8</x:v>
      </x:c>
      <x:c r="I5" s="32" t="n">
        <x:f>3</x:f>
        <x:v>3</x:v>
      </x:c>
      <x:c r="J5" s="32" t="str">
        <x:v>1</x:v>
      </x:c>
      <x:c r="K5" s="32" t="str">
        <x:v>NR</x:v>
      </x:c>
      <x:c r="L5" s="32" t="str">
        <x:v>NR</x:v>
      </x:c>
      <x:c r="M5" s="32" t="str">
        <x:v>NR</x:v>
      </x:c>
      <x:c r="N5" s="32" t="str">
        <x:v>NR</x:v>
      </x:c>
      <x:c r="O5" s="32" t="str">
        <x:v>NR</x:v>
      </x:c>
      <x:c r="P5" s="31" t="str">
        <x:v>https://www.topuniversities.com/universities/lund-university</x:v>
      </x:c>
      <x:c r="Q5" s="31" t="str"/>
      <x:c r="R5" s="31" t="str">
        <x:v>https://www.lunduniversity.lu.se/study/environmental-studies-and-sustainability-science-master-of-science-programme-SAESS</x:v>
      </x:c>
    </x:row>
    <x:row r="6">
      <x:c r="A6" s="15" t="n">
        <x:v>2</x:v>
      </x:c>
      <x:c r="B6" s="15" t="str">
        <x:v>University of Toronto</x:v>
      </x:c>
      <x:c r="C6" s="15" t="str">
        <x:v>Canada</x:v>
      </x:c>
      <x:c r="D6" s="15" t="str">
        <x:v>QS Sustainability</x:v>
      </x:c>
      <x:c r="E6" s="15" t="str">
        <x:v>Master of Environment &amp; Sustainability</x:v>
      </x:c>
      <x:c r="F6" s="32" t="str">
        <x:v>N/P</x:v>
      </x:c>
      <x:c r="G6" s="32" t="str">
        <x:v>2</x:v>
      </x:c>
      <x:c r="H6" s="32" t="str">
        <x:v>1</x:v>
      </x:c>
      <x:c r="I6" s="32" t="str">
        <x:v>1</x:v>
      </x:c>
      <x:c r="J6" s="32" t="str">
        <x:v>2</x:v>
      </x:c>
      <x:c r="K6" s="32" t="n">
        <x:f>90</x:f>
        <x:v>90</x:v>
      </x:c>
      <x:c r="L6" s="32" t="str">
        <x:v>99</x:v>
      </x:c>
      <x:c r="M6" s="32" t="str">
        <x:v>NR</x:v>
      </x:c>
      <x:c r="N6" s="32" t="str">
        <x:v>NR</x:v>
      </x:c>
      <x:c r="O6" s="32" t="str">
        <x:v>NR</x:v>
      </x:c>
      <x:c r="P6" s="31" t="str">
        <x:v>https://www.topuniversities.com/universities/university-toronto</x:v>
      </x:c>
      <x:c r="Q6" s="31" t="str"/>
      <x:c r="R6" s="31" t="str">
        <x:v>https://www.environment.utoronto.ca/graduate/mes</x:v>
      </x:c>
    </x:row>
    <x:row r="7">
      <x:c r="A7" s="15" t="n">
        <x:v>3</x:v>
      </x:c>
      <x:c r="B7" s="15" t="str">
        <x:v>UCL</x:v>
      </x:c>
      <x:c r="C7" s="15" t="str">
        <x:v>United Kingdom</x:v>
      </x:c>
      <x:c r="D7" s="15" t="str">
        <x:v>QS Sustainability</x:v>
      </x:c>
      <x:c r="E7" s="15" t="str">
        <x:v>Sustainable Resources: Economics, Policy and Transitions MSc</x:v>
      </x:c>
      <x:c r="F7" s="32" t="str">
        <x:v>N/P</x:v>
      </x:c>
      <x:c r="G7" s="32" t="n">
        <x:f>42</x:f>
        <x:v>42</x:v>
      </x:c>
      <x:c r="H7" s="32" t="n">
        <x:f>189</x:f>
        <x:v>189</x:v>
      </x:c>
      <x:c r="I7" s="32" t="n">
        <x:f>5</x:f>
        <x:v>5</x:v>
      </x:c>
      <x:c r="J7" s="32" t="str">
        <x:v>3</x:v>
      </x:c>
      <x:c r="K7" s="32" t="str">
        <x:v>101–200</x:v>
      </x:c>
      <x:c r="L7" s="32" t="str">
        <x:v>NR</x:v>
      </x:c>
      <x:c r="M7" s="32" t="str">
        <x:v>NR</x:v>
      </x:c>
      <x:c r="N7" s="32" t="str">
        <x:v>NR</x:v>
      </x:c>
      <x:c r="O7" s="32" t="str">
        <x:v>NR</x:v>
      </x:c>
      <x:c r="P7" s="31" t="str">
        <x:v>https://www.topuniversities.com/universities/ucl</x:v>
      </x:c>
      <x:c r="Q7" s="31" t="str"/>
      <x:c r="R7" s="31" t="str">
        <x:v>https://www.ucl.ac.uk/prospective-students/graduate/taught-degrees/sustainable-resources-economics-policy-and-transitions-msc</x:v>
      </x:c>
    </x:row>
    <x:row r="8">
      <x:c r="A8" s="15" t="n">
        <x:v>4</x:v>
      </x:c>
      <x:c r="B8" s="15" t="str">
        <x:v>The University of Edinburgh</x:v>
      </x:c>
      <x:c r="C8" s="15" t="str">
        <x:v>United Kingdom</x:v>
      </x:c>
      <x:c r="D8" s="15" t="str">
        <x:v>QS Sustainability</x:v>
      </x:c>
      <x:c r="E8" s="15" t="str">
        <x:v>MSc Global Strategy and Sustainability</x:v>
      </x:c>
      <x:c r="F8" s="32" t="str">
        <x:v>N/P</x:v>
      </x:c>
      <x:c r="G8" s="32" t="str">
        <x:v>4</x:v>
      </x:c>
      <x:c r="H8" s="32" t="n">
        <x:f>15</x:f>
        <x:v>15</x:v>
      </x:c>
      <x:c r="I8" s="32" t="n">
        <x:f>7</x:f>
        <x:v>7</x:v>
      </x:c>
      <x:c r="J8" s="32" t="str">
        <x:v>4</x:v>
      </x:c>
      <x:c r="K8" s="32" t="str">
        <x:v>29</x:v>
      </x:c>
      <x:c r="L8" s="32" t="n">
        <x:f>52</x:f>
        <x:v>52</x:v>
      </x:c>
      <x:c r="M8" s="32" t="n">
        <x:f>89</x:f>
        <x:v>89</x:v>
      </x:c>
      <x:c r="N8" s="32" t="n">
        <x:f>71</x:f>
        <x:v>71</x:v>
      </x:c>
      <x:c r="O8" s="32" t="n">
        <x:f>91</x:f>
        <x:v>91</x:v>
      </x:c>
      <x:c r="P8" s="31" t="str">
        <x:v>https://www.topuniversities.com/universities/university-edinburgh</x:v>
      </x:c>
      <x:c r="Q8" s="31" t="str">
        <x:v>https://www.timeshighereducation.com/world-university-rankings/university-edinburgh</x:v>
      </x:c>
      <x:c r="R8" s="31" t="str">
        <x:v>https://www.business-school.ed.ac.uk/msc/global-strategy-sustainability</x:v>
      </x:c>
    </x:row>
    <x:row r="9">
      <x:c r="A9" s="15" t="n">
        <x:v>5</x:v>
      </x:c>
      <x:c r="B9" s="15" t="str">
        <x:v>University of British Columbia</x:v>
      </x:c>
      <x:c r="C9" s="15" t="str">
        <x:v>Canada</x:v>
      </x:c>
      <x:c r="D9" s="15" t="str">
        <x:v>QS Sustainability</x:v>
      </x:c>
      <x:c r="E9" s="15" t="str">
        <x:v>Master of Engineering Leadership in Clean Energy Engineering</x:v>
      </x:c>
      <x:c r="F9" s="32" t="str">
        <x:v>N/P</x:v>
      </x:c>
      <x:c r="G9" s="32" t="str">
        <x:v>3</x:v>
      </x:c>
      <x:c r="H9" s="32" t="str">
        <x:v>4</x:v>
      </x:c>
      <x:c r="I9" s="32" t="n">
        <x:f>5</x:f>
        <x:v>5</x:v>
      </x:c>
      <x:c r="J9" s="32" t="str">
        <x:v>5</x:v>
      </x:c>
      <x:c r="K9" s="32" t="n">
        <x:f>13</x:f>
        <x:v>13</x:v>
      </x:c>
      <x:c r="L9" s="32" t="n">
        <x:f>26</x:f>
        <x:v>26</x:v>
      </x:c>
      <x:c r="M9" s="32" t="str">
        <x:v>NR</x:v>
      </x:c>
      <x:c r="N9" s="32" t="str">
        <x:v>NR</x:v>
      </x:c>
      <x:c r="O9" s="32" t="str">
        <x:v>NR</x:v>
      </x:c>
      <x:c r="P9" s="31" t="str">
        <x:v>https://www.topuniversities.com/universities/university-british-columbia</x:v>
      </x:c>
      <x:c r="Q9" s="31" t="str"/>
      <x:c r="R9" s="31" t="str">
        <x:v>https://apscpp.ubc.ca/programs/mel/clean-energy-engineering</x:v>
      </x:c>
    </x:row>
    <x:row r="10">
      <x:c r="A10" s="15" t="n">
        <x:v>6</x:v>
      </x:c>
      <x:c r="B10" s="15" t="str">
        <x:v>The London School of Economics and Political Science (LSE)</x:v>
      </x:c>
      <x:c r="C10" s="15" t="str">
        <x:v>United Kingdom</x:v>
      </x:c>
      <x:c r="D10" s="15" t="str">
        <x:v>QS Sustainability</x:v>
      </x:c>
      <x:c r="E10" s="15" t="str">
        <x:v>MSc Environmental Policy and Regulation</x:v>
      </x:c>
      <x:c r="F10" s="32" t="str">
        <x:v>N/P</x:v>
      </x:c>
      <x:c r="G10" s="32" t="str">
        <x:v>59</x:v>
      </x:c>
      <x:c r="H10" s="32" t="str">
        <x:v>85</x:v>
      </x:c>
      <x:c r="I10" s="32" t="n">
        <x:f>39</x:f>
        <x:v>39</x:v>
      </x:c>
      <x:c r="J10" s="32" t="str">
        <x:v>6</x:v>
      </x:c>
      <x:c r="K10" s="32" t="str">
        <x:v>NR</x:v>
      </x:c>
      <x:c r="L10" s="32" t="str">
        <x:v>NR</x:v>
      </x:c>
      <x:c r="M10" s="32" t="str">
        <x:v>NR</x:v>
      </x:c>
      <x:c r="N10" s="32" t="str">
        <x:v>NR</x:v>
      </x:c>
      <x:c r="O10" s="32" t="str">
        <x:v>NR</x:v>
      </x:c>
      <x:c r="P10" s="31" t="str">
        <x:v>https://www.topuniversities.com/universities/london-school-economics-political-science-lse</x:v>
      </x:c>
      <x:c r="Q10" s="31" t="str"/>
      <x:c r="R10" s="31" t="str">
        <x:v>https://www.lse.ac.uk/study-at-lse/graduate/msc-environmental-policy-and-regulation</x:v>
      </x:c>
    </x:row>
    <x:row r="11">
      <x:c r="A11" s="15" t="n">
        <x:v>7</x:v>
      </x:c>
      <x:c r="B11" s="15" t="str">
        <x:v>Imperial College London</x:v>
      </x:c>
      <x:c r="C11" s="15" t="str">
        <x:v>United Kingdom</x:v>
      </x:c>
      <x:c r="D11" s="15" t="str">
        <x:v>QS Sustainability</x:v>
      </x:c>
      <x:c r="E11" s="15" t="str">
        <x:v>MSc Climate Change, Management &amp; Finance</x:v>
      </x:c>
      <x:c r="F11" s="32" t="str">
        <x:v>N/P</x:v>
      </x:c>
      <x:c r="G11" s="32" t="n">
        <x:f>40</x:f>
        <x:v>40</x:v>
      </x:c>
      <x:c r="H11" s="32" t="str">
        <x:v>6</x:v>
      </x:c>
      <x:c r="I11" s="32" t="n">
        <x:f>7</x:f>
        <x:v>7</x:v>
      </x:c>
      <x:c r="J11" s="32" t="n">
        <x:f>7</x:f>
        <x:v>7</x:v>
      </x:c>
      <x:c r="K11" s="32" t="str">
        <x:v>NR</x:v>
      </x:c>
      <x:c r="L11" s="32" t="str">
        <x:v>NR</x:v>
      </x:c>
      <x:c r="M11" s="32" t="str">
        <x:v>NR</x:v>
      </x:c>
      <x:c r="N11" s="32" t="str">
        <x:v>NR</x:v>
      </x:c>
      <x:c r="O11" s="32" t="str">
        <x:v>NR</x:v>
      </x:c>
      <x:c r="P11" s="31" t="str">
        <x:v>https://www.topuniversities.com/universities/imperial-college-london</x:v>
      </x:c>
      <x:c r="Q11" s="31" t="str"/>
      <x:c r="R11" s="31" t="str">
        <x:v>https://www.imperial.ac.uk/business-school/masters/climate-change-management-finance/</x:v>
      </x:c>
    </x:row>
    <x:row r="12">
      <x:c r="A12" s="15" t="n">
        <x:v>8</x:v>
      </x:c>
      <x:c r="B12" s="15" t="str">
        <x:v>The University of New South Wales (UNSW Sydney)</x:v>
      </x:c>
      <x:c r="C12" s="15" t="str">
        <x:v>Australia</x:v>
      </x:c>
      <x:c r="D12" s="15" t="str">
        <x:v>Both</x:v>
      </x:c>
      <x:c r="E12" s="15" t="str">
        <x:v>Master of Environmental Management</x:v>
      </x:c>
      <x:c r="F12" s="32" t="str">
        <x:v>N/P</x:v>
      </x:c>
      <x:c r="G12" s="32" t="n">
        <x:f>5</x:f>
        <x:v>5</x:v>
      </x:c>
      <x:c r="H12" s="32" t="n">
        <x:f>11</x:f>
        <x:v>11</x:v>
      </x:c>
      <x:c r="I12" s="32" t="n">
        <x:f>12</x:f>
        <x:v>12</x:v>
      </x:c>
      <x:c r="J12" s="32" t="n">
        <x:f>7</x:f>
        <x:v>7</x:v>
      </x:c>
      <x:c r="K12" s="32" t="n">
        <x:f>55</x:f>
        <x:v>55</x:v>
      </x:c>
      <x:c r="L12" s="32" t="n">
        <x:f>18</x:f>
        <x:v>18</x:v>
      </x:c>
      <x:c r="M12" s="32" t="str">
        <x:v>7</x:v>
      </x:c>
      <x:c r="N12" s="32" t="str">
        <x:v>11</x:v>
      </x:c>
      <x:c r="O12" s="32" t="n">
        <x:f>41</x:f>
        <x:v>41</x:v>
      </x:c>
      <x:c r="P12" s="31" t="str">
        <x:v>https://www.topuniversities.com/universities/university-new-south-wales-unsw-sydney</x:v>
      </x:c>
      <x:c r="Q12" s="31" t="str">
        <x:v>https://www.timeshighereducation.com/world-university-rankings/unsw-sydney</x:v>
      </x:c>
      <x:c r="R12" s="31" t="str">
        <x:v>https://www.unsw.edu.au/study/postgraduate/master-of-environmental-management</x:v>
      </x:c>
    </x:row>
    <x:row r="13">
      <x:c r="A13" s="15" t="n">
        <x:v>9</x:v>
      </x:c>
      <x:c r="B13" s="15" t="str">
        <x:v>McGill University</x:v>
      </x:c>
      <x:c r="C13" s="15" t="str">
        <x:v>Canada</x:v>
      </x:c>
      <x:c r="D13" s="15" t="str">
        <x:v>QS Sustainability</x:v>
      </x:c>
      <x:c r="E13" s="15" t="str">
        <x:v>MSc Geography - Sustainability Science and Environmental Management research theme</x:v>
      </x:c>
      <x:c r="F13" s="32" t="str">
        <x:v>N/P</x:v>
      </x:c>
      <x:c r="G13" s="32" t="n">
        <x:f>42</x:f>
        <x:v>42</x:v>
      </x:c>
      <x:c r="H13" s="32" t="str">
        <x:v>13</x:v>
      </x:c>
      <x:c r="I13" s="32" t="n">
        <x:f>15</x:f>
        <x:v>15</x:v>
      </x:c>
      <x:c r="J13" s="32" t="str">
        <x:v>9</x:v>
      </x:c>
      <x:c r="K13" s="32" t="str">
        <x:v>101–200</x:v>
      </x:c>
      <x:c r="L13" s="32" t="str">
        <x:v>NR</x:v>
      </x:c>
      <x:c r="M13" s="32" t="str">
        <x:v>NR</x:v>
      </x:c>
      <x:c r="N13" s="32" t="str">
        <x:v>NR</x:v>
      </x:c>
      <x:c r="O13" s="32" t="str">
        <x:v>NR</x:v>
      </x:c>
      <x:c r="P13" s="31" t="str">
        <x:v>https://www.topuniversities.com/universities/mcgill-university</x:v>
      </x:c>
      <x:c r="Q13" s="31" t="str"/>
      <x:c r="R13" s="31" t="str">
        <x:v>https://www.mcgill.ca/gradapplicants/program/geography-msc</x:v>
      </x:c>
    </x:row>
    <x:row r="14">
      <x:c r="A14" s="15" t="n">
        <x:v>10</x:v>
      </x:c>
      <x:c r="B14" s="15" t="str">
        <x:v>The University of Manchester</x:v>
      </x:c>
      <x:c r="C14" s="15" t="str">
        <x:v>United Kingdom</x:v>
      </x:c>
      <x:c r="D14" s="15" t="str">
        <x:v>Both</x:v>
      </x:c>
      <x:c r="E14" s="15" t="str">
        <x:v>MSc Environmental Governance</x:v>
      </x:c>
      <x:c r="F14" s="32" t="str">
        <x:v>N/P</x:v>
      </x:c>
      <x:c r="G14" s="32" t="str">
        <x:v>50</x:v>
      </x:c>
      <x:c r="H14" s="32" t="str">
        <x:v>3</x:v>
      </x:c>
      <x:c r="I14" s="32" t="n">
        <x:f>9</x:f>
        <x:v>9</x:v>
      </x:c>
      <x:c r="J14" s="32" t="str">
        <x:v>10</x:v>
      </x:c>
      <x:c r="K14" s="32" t="str">
        <x:v>9</x:v>
      </x:c>
      <x:c r="L14" s="32" t="str">
        <x:v>2</x:v>
      </x:c>
      <x:c r="M14" s="32" t="n">
        <x:f>2</x:f>
        <x:v>2</x:v>
      </x:c>
      <x:c r="N14" s="32" t="str">
        <x:v>2</x:v>
      </x:c>
      <x:c r="O14" s="32" t="str">
        <x:v>1</x:v>
      </x:c>
      <x:c r="P14" s="31" t="str">
        <x:v>https://www.topuniversities.com/universities/university-manchester</x:v>
      </x:c>
      <x:c r="Q14" s="31" t="str">
        <x:v>https://www.timeshighereducation.com/world-university-rankings/university-manchester</x:v>
      </x:c>
      <x:c r="R14" s="31" t="str">
        <x:v>https://www.manchester.ac.uk/study/masters/courses/list/06967/msc-environmental-governance/</x:v>
      </x:c>
    </x:row>
    <x:row r="15">
      <x:c r="A15" s="15" t="n">
        <x:v>11</x:v>
      </x:c>
      <x:c r="B15" s="15" t="str">
        <x:v>ETH Zurich</x:v>
      </x:c>
      <x:c r="C15" s="15" t="str">
        <x:v>Switzerland</x:v>
      </x:c>
      <x:c r="D15" s="15" t="str">
        <x:v>QS Sustainability</x:v>
      </x:c>
      <x:c r="E15" s="15" t="str">
        <x:v>MSc Environmental Sciences</x:v>
      </x:c>
      <x:c r="F15" s="32" t="str">
        <x:v>N/P</x:v>
      </x:c>
      <x:c r="G15" s="32" t="n">
        <x:f>75</x:f>
        <x:v>75</x:v>
      </x:c>
      <x:c r="H15" s="32" t="str">
        <x:v>18</x:v>
      </x:c>
      <x:c r="I15" s="32" t="str">
        <x:v>2</x:v>
      </x:c>
      <x:c r="J15" s="32" t="n">
        <x:f>11</x:f>
        <x:v>11</x:v>
      </x:c>
      <x:c r="K15" s="32" t="str">
        <x:v>NR</x:v>
      </x:c>
      <x:c r="L15" s="32" t="str">
        <x:v>NR</x:v>
      </x:c>
      <x:c r="M15" s="32" t="str">
        <x:v>NR</x:v>
      </x:c>
      <x:c r="N15" s="32" t="str">
        <x:v>NR</x:v>
      </x:c>
      <x:c r="O15" s="32" t="str">
        <x:v>NR</x:v>
      </x:c>
      <x:c r="P15" s="31" t="str">
        <x:v>https://www.topuniversities.com/universities/eth-zurich</x:v>
      </x:c>
      <x:c r="Q15" s="31" t="str"/>
      <x:c r="R15" s="31" t="str">
        <x:v>https://ethz.ch/en/studies/master/degree-programmes/system-oriented-natural-sciences/environmental-sciences.html</x:v>
      </x:c>
    </x:row>
    <x:row r="16">
      <x:c r="A16" s="15" t="n">
        <x:v>12</x:v>
      </x:c>
      <x:c r="B16" s="15" t="str">
        <x:v>The University of Melbourne</x:v>
      </x:c>
      <x:c r="C16" s="15" t="str">
        <x:v>Australia</x:v>
      </x:c>
      <x:c r="D16" s="15" t="str">
        <x:v>QS Sustainability</x:v>
      </x:c>
      <x:c r="E16" s="15" t="str">
        <x:v>Master of Environment</x:v>
      </x:c>
      <x:c r="F16" s="32" t="str">
        <x:v>N/P</x:v>
      </x:c>
      <x:c r="G16" s="32" t="str">
        <x:v>51</x:v>
      </x:c>
      <x:c r="H16" s="32" t="str">
        <x:v>9</x:v>
      </x:c>
      <x:c r="I16" s="32" t="n">
        <x:f>9</x:f>
        <x:v>9</x:v>
      </x:c>
      <x:c r="J16" s="32" t="n">
        <x:f>11</x:f>
        <x:v>11</x:v>
      </x:c>
      <x:c r="K16" s="32" t="str">
        <x:v>NR</x:v>
      </x:c>
      <x:c r="L16" s="32" t="str">
        <x:v>NR</x:v>
      </x:c>
      <x:c r="M16" s="32" t="str">
        <x:v>NR</x:v>
      </x:c>
      <x:c r="N16" s="32" t="str">
        <x:v>NR</x:v>
      </x:c>
      <x:c r="O16" s="32" t="str">
        <x:v>NR</x:v>
      </x:c>
      <x:c r="P16" s="31" t="str">
        <x:v>https://www.topuniversities.com/universities/university-melbourne</x:v>
      </x:c>
      <x:c r="Q16" s="31" t="str"/>
      <x:c r="R16" s="31" t="str">
        <x:v>https://study.unimelb.edu.au/find/courses/graduate/master-of-environment/</x:v>
      </x:c>
    </x:row>
    <x:row r="17">
      <x:c r="A17" s="15" t="n">
        <x:v>13</x:v>
      </x:c>
      <x:c r="B17" s="15" t="str">
        <x:v>University of California, Berkeley (UCB)</x:v>
      </x:c>
      <x:c r="C17" s="15" t="str">
        <x:v>United States</x:v>
      </x:c>
      <x:c r="D17" s="15" t="str">
        <x:v>QS Sustainability</x:v>
      </x:c>
      <x:c r="E17" s="15" t="str">
        <x:v>Master of Climate Solutions</x:v>
      </x:c>
      <x:c r="F17" s="32" t="str">
        <x:v>N/P</x:v>
      </x:c>
      <x:c r="G17" s="32" t="str">
        <x:v>1</x:v>
      </x:c>
      <x:c r="H17" s="32" t="str">
        <x:v>2</x:v>
      </x:c>
      <x:c r="I17" s="32" t="n">
        <x:f>3</x:f>
        <x:v>3</x:v>
      </x:c>
      <x:c r="J17" s="32" t="n">
        <x:f>11</x:f>
        <x:v>11</x:v>
      </x:c>
      <x:c r="K17" s="32" t="str">
        <x:v>NR</x:v>
      </x:c>
      <x:c r="L17" s="32" t="str">
        <x:v>NR</x:v>
      </x:c>
      <x:c r="M17" s="32" t="str">
        <x:v>NR</x:v>
      </x:c>
      <x:c r="N17" s="32" t="str">
        <x:v>NR</x:v>
      </x:c>
      <x:c r="O17" s="32" t="str">
        <x:v>NR</x:v>
      </x:c>
      <x:c r="P17" s="31" t="str">
        <x:v>https://www.topuniversities.com/universities/university-california-berkeley-ucb</x:v>
      </x:c>
      <x:c r="Q17" s="31" t="str"/>
      <x:c r="R17" s="31" t="str">
        <x:v>https://climatesolutions.berkeley.edu/</x:v>
      </x:c>
    </x:row>
    <x:row r="18">
      <x:c r="A18" s="15" t="n">
        <x:v>14</x:v>
      </x:c>
      <x:c r="B18" s="15" t="str">
        <x:v>Stanford University</x:v>
      </x:c>
      <x:c r="C18" s="15" t="str">
        <x:v>United States</x:v>
      </x:c>
      <x:c r="D18" s="15" t="str">
        <x:v>QS Sustainability</x:v>
      </x:c>
      <x:c r="E18" s="15" t="str">
        <x:v>MS Sustainability Science and Practice</x:v>
      </x:c>
      <x:c r="F18" s="32" t="str">
        <x:v>N/P</x:v>
      </x:c>
      <x:c r="G18" s="32" t="n">
        <x:f>26</x:f>
        <x:v>26</x:v>
      </x:c>
      <x:c r="H18" s="32" t="n">
        <x:f>148</x:f>
        <x:v>148</x:v>
      </x:c>
      <x:c r="I18" s="32" t="n">
        <x:f>19</x:f>
        <x:v>19</x:v>
      </x:c>
      <x:c r="J18" s="32" t="str">
        <x:v>13</x:v>
      </x:c>
      <x:c r="K18" s="32" t="str">
        <x:v>NR</x:v>
      </x:c>
      <x:c r="L18" s="32" t="str">
        <x:v>NR</x:v>
      </x:c>
      <x:c r="M18" s="32" t="str">
        <x:v>NR</x:v>
      </x:c>
      <x:c r="N18" s="32" t="str">
        <x:v>NR</x:v>
      </x:c>
      <x:c r="O18" s="32" t="str">
        <x:v>NR</x:v>
      </x:c>
      <x:c r="P18" s="31" t="str">
        <x:v>https://www.topuniversities.com/universities/stanford-university</x:v>
      </x:c>
      <x:c r="Q18" s="31" t="str"/>
      <x:c r="R18" s="31" t="str">
        <x:v>https://bulletin.stanford.edu/programs/SUSTSCI-MS/general-aoYks</x:v>
      </x:c>
    </x:row>
    <x:row r="19">
      <x:c r="A19" s="15" t="n">
        <x:v>15</x:v>
      </x:c>
      <x:c r="B19" s="15" t="str">
        <x:v>University of Oxford</x:v>
      </x:c>
      <x:c r="C19" s="15" t="str">
        <x:v>United Kingdom</x:v>
      </x:c>
      <x:c r="D19" s="15" t="str">
        <x:v>QS Sustainability</x:v>
      </x:c>
      <x:c r="E19" s="15" t="str">
        <x:v>MSc in Sustainability, Enterprise and the Environment</x:v>
      </x:c>
      <x:c r="F19" s="32" t="str">
        <x:v>N/P</x:v>
      </x:c>
      <x:c r="G19" s="32" t="str">
        <x:v>16</x:v>
      </x:c>
      <x:c r="H19" s="32" t="str">
        <x:v>126</x:v>
      </x:c>
      <x:c r="I19" s="32" t="n">
        <x:f>199</x:f>
        <x:v>199</x:v>
      </x:c>
      <x:c r="J19" s="32" t="str">
        <x:v>14</x:v>
      </x:c>
      <x:c r="K19" s="32" t="str">
        <x:v>NR</x:v>
      </x:c>
      <x:c r="L19" s="32" t="str">
        <x:v>NR</x:v>
      </x:c>
      <x:c r="M19" s="32" t="str">
        <x:v>NR</x:v>
      </x:c>
      <x:c r="N19" s="32" t="str">
        <x:v>NR</x:v>
      </x:c>
      <x:c r="O19" s="32" t="str">
        <x:v>NR</x:v>
      </x:c>
      <x:c r="P19" s="31" t="str">
        <x:v>https://www.topuniversities.com/universities/university-oxford</x:v>
      </x:c>
      <x:c r="Q19" s="31" t="str"/>
      <x:c r="R19" s="31" t="str">
        <x:v>https://www.smithschool.ox.ac.uk/course/msc-sustainability-enterprise-and-environment</x:v>
      </x:c>
    </x:row>
    <x:row r="20">
      <x:c r="A20" s="15" t="n">
        <x:v>16</x:v>
      </x:c>
      <x:c r="B20" s="15" t="str">
        <x:v>The University of Sydney</x:v>
      </x:c>
      <x:c r="C20" s="15" t="str">
        <x:v>Australia</x:v>
      </x:c>
      <x:c r="D20" s="15" t="str">
        <x:v>QS Sustainability</x:v>
      </x:c>
      <x:c r="E20" s="15" t="str">
        <x:v>Master of Sustainability</x:v>
      </x:c>
      <x:c r="F20" s="32" t="str">
        <x:v>N/P</x:v>
      </x:c>
      <x:c r="G20" s="32" t="n">
        <x:f>5</x:f>
        <x:v>5</x:v>
      </x:c>
      <x:c r="H20" s="32" t="str">
        <x:v>7</x:v>
      </x:c>
      <x:c r="I20" s="32" t="str">
        <x:v>11</x:v>
      </x:c>
      <x:c r="J20" s="32" t="str">
        <x:v>15</x:v>
      </x:c>
      <x:c r="K20" s="32" t="str">
        <x:v>52</x:v>
      </x:c>
      <x:c r="L20" s="32" t="str">
        <x:v>NR</x:v>
      </x:c>
      <x:c r="M20" s="32" t="str">
        <x:v>NR</x:v>
      </x:c>
      <x:c r="N20" s="32" t="str">
        <x:v>NR</x:v>
      </x:c>
      <x:c r="O20" s="32" t="str">
        <x:v>NR</x:v>
      </x:c>
      <x:c r="P20" s="31" t="str">
        <x:v>https://www.topuniversities.com/universities/university-sydney</x:v>
      </x:c>
      <x:c r="Q20" s="31" t="str"/>
      <x:c r="R20" s="31" t="str">
        <x:v>https://www.sydney.edu.au/courses/courses/pc/master-of-sustainability.html</x:v>
      </x:c>
    </x:row>
    <x:row r="21">
      <x:c r="A21" s="15" t="n">
        <x:v>17</x:v>
      </x:c>
      <x:c r="B21" s="15" t="str">
        <x:v>Australian National University (ANU)</x:v>
      </x:c>
      <x:c r="C21" s="15" t="str">
        <x:v>Australia</x:v>
      </x:c>
      <x:c r="D21" s="15" t="str">
        <x:v>QS Sustainability</x:v>
      </x:c>
      <x:c r="E21" s="15" t="str">
        <x:v>Master of Climate Change</x:v>
      </x:c>
      <x:c r="F21" s="32" t="str">
        <x:v>N/P</x:v>
      </x:c>
      <x:c r="G21" s="32" t="n">
        <x:f>72</x:f>
        <x:v>72</x:v>
      </x:c>
      <x:c r="H21" s="32" t="n">
        <x:f>30</x:f>
        <x:v>30</x:v>
      </x:c>
      <x:c r="I21" s="32" t="str">
        <x:v>48</x:v>
      </x:c>
      <x:c r="J21" s="32" t="n">
        <x:f>16</x:f>
        <x:v>16</x:v>
      </x:c>
      <x:c r="K21" s="32" t="str">
        <x:v>NR</x:v>
      </x:c>
      <x:c r="L21" s="32" t="str">
        <x:v>NR</x:v>
      </x:c>
      <x:c r="M21" s="32" t="str">
        <x:v>NR</x:v>
      </x:c>
      <x:c r="N21" s="32" t="str">
        <x:v>NR</x:v>
      </x:c>
      <x:c r="O21" s="32" t="str">
        <x:v>NR</x:v>
      </x:c>
      <x:c r="P21" s="31" t="str">
        <x:v>https://www.topuniversities.com/universities/australian-national-university-anu</x:v>
      </x:c>
      <x:c r="Q21" s="31" t="str"/>
      <x:c r="R21" s="31" t="str">
        <x:v>https://programsandcourses.anu.edu.au/program/MCLCH</x:v>
      </x:c>
    </x:row>
    <x:row r="22">
      <x:c r="A22" s="15" t="n">
        <x:v>18</x:v>
      </x:c>
      <x:c r="B22" s="15" t="str">
        <x:v>King's College London</x:v>
      </x:c>
      <x:c r="C22" s="15" t="str">
        <x:v>United Kingdom</x:v>
      </x:c>
      <x:c r="D22" s="15" t="str">
        <x:v>QS Sustainability</x:v>
      </x:c>
      <x:c r="E22" s="15" t="str">
        <x:v>Environment, Politics and Development MSc</x:v>
      </x:c>
      <x:c r="F22" s="32" t="str">
        <x:v>N/P</x:v>
      </x:c>
      <x:c r="G22" s="32" t="n">
        <x:f>112</x:f>
        <x:v>112</x:v>
      </x:c>
      <x:c r="H22" s="32" t="n">
        <x:f>44</x:f>
        <x:v>44</x:v>
      </x:c>
      <x:c r="I22" s="32" t="str">
        <x:v>14</x:v>
      </x:c>
      <x:c r="J22" s="32" t="n">
        <x:f>16</x:f>
        <x:v>16</x:v>
      </x:c>
      <x:c r="K22" s="32" t="str">
        <x:v>24</x:v>
      </x:c>
      <x:c r="L22" s="32" t="str">
        <x:v>NR</x:v>
      </x:c>
      <x:c r="M22" s="32" t="str">
        <x:v>33</x:v>
      </x:c>
      <x:c r="N22" s="32" t="str">
        <x:v>NR</x:v>
      </x:c>
      <x:c r="O22" s="32" t="str">
        <x:v>101–200</x:v>
      </x:c>
      <x:c r="P22" s="31" t="str">
        <x:v>https://www.topuniversities.com/universities/kings-college-london</x:v>
      </x:c>
      <x:c r="Q22" s="31" t="str">
        <x:v>https://www.timeshighereducation.com/world-university-rankings/kings-college-london</x:v>
      </x:c>
      <x:c r="R22" s="31" t="str">
        <x:v>https://www.kcl.ac.uk/study/postgraduate-taught/courses/environment-politics-and-development-msc</x:v>
      </x:c>
    </x:row>
    <x:row r="23">
      <x:c r="A23" s="15" t="n">
        <x:v>19</x:v>
      </x:c>
      <x:c r="B23" s="15" t="str">
        <x:v>University of Bristol</x:v>
      </x:c>
      <x:c r="C23" s="15" t="str">
        <x:v>United Kingdom</x:v>
      </x:c>
      <x:c r="D23" s="15" t="str">
        <x:v>QS Sustainability</x:v>
      </x:c>
      <x:c r="E23" s="15" t="str">
        <x:v>MSc Environmental Policy and Management</x:v>
      </x:c>
      <x:c r="F23" s="32" t="str">
        <x:v>N/P</x:v>
      </x:c>
      <x:c r="G23" s="32" t="str">
        <x:v>92</x:v>
      </x:c>
      <x:c r="H23" s="32" t="str">
        <x:v>17</x:v>
      </x:c>
      <x:c r="I23" s="32" t="n">
        <x:f>12</x:f>
        <x:v>12</x:v>
      </x:c>
      <x:c r="J23" s="32" t="str">
        <x:v>19</x:v>
      </x:c>
      <x:c r="K23" s="32" t="str">
        <x:v>NR</x:v>
      </x:c>
      <x:c r="L23" s="32" t="str">
        <x:v>NR</x:v>
      </x:c>
      <x:c r="M23" s="32" t="n">
        <x:f>92</x:f>
        <x:v>92</x:v>
      </x:c>
      <x:c r="N23" s="32" t="str">
        <x:v>101–200</x:v>
      </x:c>
      <x:c r="O23" s="32" t="n">
        <x:f>56</x:f>
        <x:v>56</x:v>
      </x:c>
      <x:c r="P23" s="31" t="str">
        <x:v>https://www.topuniversities.com/universities/university-bristol</x:v>
      </x:c>
      <x:c r="Q23" s="31" t="str">
        <x:v>https://www.timeshighereducation.com/world-university-rankings/university-bristol</x:v>
      </x:c>
      <x:c r="R23" s="31" t="str">
        <x:v>https://www.bristol.ac.uk/study/postgraduate/taught/msc-environmental-policy-and-management/</x:v>
      </x:c>
    </x:row>
    <x:row r="24">
      <x:c r="A24" s="15" t="n">
        <x:v>20</x:v>
      </x:c>
      <x:c r="B24" s="15" t="str">
        <x:v>New York University (NYU)</x:v>
      </x:c>
      <x:c r="C24" s="15" t="str">
        <x:v>United States</x:v>
      </x:c>
      <x:c r="D24" s="15" t="str">
        <x:v>QS Sustainability</x:v>
      </x:c>
      <x:c r="E24" s="15" t="str">
        <x:v>MS in Environmental Policy and Sustainability Management</x:v>
      </x:c>
      <x:c r="F24" s="32" t="str">
        <x:v>N/P</x:v>
      </x:c>
      <x:c r="G24" s="32" t="str">
        <x:v>45</x:v>
      </x:c>
      <x:c r="H24" s="32" t="n">
        <x:f>55</x:f>
        <x:v>55</x:v>
      </x:c>
      <x:c r="I24" s="32" t="str">
        <x:v>52</x:v>
      </x:c>
      <x:c r="J24" s="32" t="str">
        <x:v>20</x:v>
      </x:c>
      <x:c r="K24" s="32" t="str">
        <x:v>201–300</x:v>
      </x:c>
      <x:c r="L24" s="32" t="str">
        <x:v>NR</x:v>
      </x:c>
      <x:c r="M24" s="32" t="str">
        <x:v>NR</x:v>
      </x:c>
      <x:c r="N24" s="32" t="str">
        <x:v>NR</x:v>
      </x:c>
      <x:c r="O24" s="32" t="str">
        <x:v>NR</x:v>
      </x:c>
      <x:c r="P24" s="31" t="str">
        <x:v>https://www.topuniversities.com/universities/new-york-university-nyu</x:v>
      </x:c>
      <x:c r="Q24" s="31" t="str"/>
      <x:c r="R24" s="31" t="str">
        <x:v>https://www.sps.nyu.edu/homepage/academics/masters-degrees/ms-in-environmental-policy-and-sustainability-management.html</x:v>
      </x:c>
    </x:row>
    <x:row r="25">
      <x:c r="A25" s="15" t="n">
        <x:v>21</x:v>
      </x:c>
      <x:c r="B25" s="15" t="str">
        <x:v>Pennsylvania State University</x:v>
      </x:c>
      <x:c r="C25" s="15" t="str">
        <x:v>United States</x:v>
      </x:c>
      <x:c r="D25" s="15" t="str">
        <x:v>QS Sustainability</x:v>
      </x:c>
      <x:c r="E25" s="15" t="str">
        <x:v>Master of Professional Studies in Renewable Energy and Sustainability Systems</x:v>
      </x:c>
      <x:c r="F25" s="32" t="str">
        <x:v>N/P</x:v>
      </x:c>
      <x:c r="G25" s="32" t="n">
        <x:f>38</x:f>
        <x:v>38</x:v>
      </x:c>
      <x:c r="H25" s="32" t="n">
        <x:f>37</x:f>
        <x:v>37</x:v>
      </x:c>
      <x:c r="I25" s="32" t="n">
        <x:f>19</x:f>
        <x:v>19</x:v>
      </x:c>
      <x:c r="J25" s="32" t="str">
        <x:v>21</x:v>
      </x:c>
      <x:c r="K25" s="32" t="n">
        <x:f>47</x:f>
        <x:v>47</x:v>
      </x:c>
      <x:c r="L25" s="32" t="n">
        <x:f>40</x:f>
        <x:v>40</x:v>
      </x:c>
      <x:c r="M25" s="32" t="str">
        <x:v>51</x:v>
      </x:c>
      <x:c r="N25" s="32" t="n">
        <x:f>64</x:f>
        <x:v>64</x:v>
      </x:c>
      <x:c r="O25" s="32" t="str">
        <x:v>101–200</x:v>
      </x:c>
      <x:c r="P25" s="31" t="str">
        <x:v>https://www.topuniversities.com/universities/pennsylvania-state-university</x:v>
      </x:c>
      <x:c r="Q25" s="31" t="str">
        <x:v>https://www.timeshighereducation.com/world-university-rankings/penn-state-main-campus</x:v>
      </x:c>
      <x:c r="R25" s="31" t="str">
        <x:v>https://www.ems.psu.edu/academics/find-program-study/renewable-energy-and-sustainability-systems-mps</x:v>
      </x:c>
    </x:row>
    <x:row r="26">
      <x:c r="A26" s="15" t="n">
        <x:v>22</x:v>
      </x:c>
      <x:c r="B26" s="15" t="str">
        <x:v>KU Leuven</x:v>
      </x:c>
      <x:c r="C26" s="15" t="str">
        <x:v>Belgium</x:v>
      </x:c>
      <x:c r="D26" s="15" t="str">
        <x:v>QS Sustainability</x:v>
      </x:c>
      <x:c r="E26" s="15" t="str">
        <x:v>Master of Sustainable Development</x:v>
      </x:c>
      <x:c r="F26" s="32" t="str">
        <x:v>N/P</x:v>
      </x:c>
      <x:c r="G26" s="32" t="str">
        <x:v>104</x:v>
      </x:c>
      <x:c r="H26" s="32" t="n">
        <x:f>314</x:f>
        <x:v>314</x:v>
      </x:c>
      <x:c r="I26" s="32" t="str">
        <x:v>25</x:v>
      </x:c>
      <x:c r="J26" s="32" t="n">
        <x:f>22</x:f>
        <x:v>22</x:v>
      </x:c>
      <x:c r="K26" s="32" t="str">
        <x:v>NR</x:v>
      </x:c>
      <x:c r="L26" s="32" t="str">
        <x:v>NR</x:v>
      </x:c>
      <x:c r="M26" s="32" t="str">
        <x:v>NR</x:v>
      </x:c>
      <x:c r="N26" s="32" t="str">
        <x:v>NR</x:v>
      </x:c>
      <x:c r="O26" s="32" t="str">
        <x:v>NR</x:v>
      </x:c>
      <x:c r="P26" s="31" t="str">
        <x:v>https://www.topuniversities.com/universities/ku-leuven</x:v>
      </x:c>
      <x:c r="Q26" s="31" t="str"/>
      <x:c r="R26" s="31" t="str">
        <x:v>https://www.kuleuven.be/programmes/master-sustainable-development</x:v>
      </x:c>
    </x:row>
    <x:row r="27">
      <x:c r="A27" s="15" t="n">
        <x:v>23</x:v>
      </x:c>
      <x:c r="B27" s="15" t="str">
        <x:v>University of Helsinki</x:v>
      </x:c>
      <x:c r="C27" s="15" t="str">
        <x:v>Finland</x:v>
      </x:c>
      <x:c r="D27" s="15" t="str">
        <x:v>QS Sustainability</x:v>
      </x:c>
      <x:c r="E27" s="15" t="str">
        <x:v>Master's Programme in Environmental Change and Global Sustainability</x:v>
      </x:c>
      <x:c r="F27" s="32" t="str">
        <x:v>N/P</x:v>
      </x:c>
      <x:c r="G27" s="32" t="str">
        <x:v>90</x:v>
      </x:c>
      <x:c r="H27" s="32" t="str">
        <x:v>60</x:v>
      </x:c>
      <x:c r="I27" s="32" t="str">
        <x:v>18</x:v>
      </x:c>
      <x:c r="J27" s="32" t="n">
        <x:f>22</x:f>
        <x:v>22</x:v>
      </x:c>
      <x:c r="K27" s="32" t="str">
        <x:v>NR</x:v>
      </x:c>
      <x:c r="L27" s="32" t="str">
        <x:v>201–300</x:v>
      </x:c>
      <x:c r="M27" s="32" t="str">
        <x:v>101–200</x:v>
      </x:c>
      <x:c r="N27" s="32" t="str">
        <x:v>101–200</x:v>
      </x:c>
      <x:c r="O27" s="32" t="str">
        <x:v>NR</x:v>
      </x:c>
      <x:c r="P27" s="31" t="str">
        <x:v>https://www.topuniversities.com/universities/university-helsinki</x:v>
      </x:c>
      <x:c r="Q27" s="31" t="str"/>
      <x:c r="R27" s="31" t="str">
        <x:v>https://www.helsinki.fi/en/degree-programmes/environmental-change-and-global-sustainability-masters-programme</x:v>
      </x:c>
    </x:row>
    <x:row r="28">
      <x:c r="A28" s="15" t="n">
        <x:v>24</x:v>
      </x:c>
      <x:c r="B28" s="15" t="str">
        <x:v>Durham University</x:v>
      </x:c>
      <x:c r="C28" s="15" t="str">
        <x:v>United Kingdom</x:v>
      </x:c>
      <x:c r="D28" s="15" t="str">
        <x:v>QS Sustainability</x:v>
      </x:c>
      <x:c r="E28" s="15" t="str">
        <x:v>MSc Climate Change, Environmental Processes and Sustainable Futures</x:v>
      </x:c>
      <x:c r="F28" s="32" t="str">
        <x:v>N/P</x:v>
      </x:c>
      <x:c r="G28" s="32" t="n">
        <x:f>53</x:f>
        <x:v>53</x:v>
      </x:c>
      <x:c r="H28" s="32" t="str">
        <x:v>19</x:v>
      </x:c>
      <x:c r="I28" s="32" t="str">
        <x:v>22</x:v>
      </x:c>
      <x:c r="J28" s="32" t="n">
        <x:f>24</x:f>
        <x:v>24</x:v>
      </x:c>
      <x:c r="K28" s="32" t="str">
        <x:v>101–200</x:v>
      </x:c>
      <x:c r="L28" s="32" t="n">
        <x:f>77</x:f>
        <x:v>77</x:v>
      </x:c>
      <x:c r="M28" s="32" t="n">
        <x:f>36</x:f>
        <x:v>36</x:v>
      </x:c>
      <x:c r="N28" s="32" t="str">
        <x:v>34</x:v>
      </x:c>
      <x:c r="O28" s="32" t="n">
        <x:f>56</x:f>
        <x:v>56</x:v>
      </x:c>
      <x:c r="P28" s="31" t="str">
        <x:v>https://www.topuniversities.com/universities/durham-university</x:v>
      </x:c>
      <x:c r="Q28" s="31" t="str">
        <x:v>https://www.timeshighereducation.com/world-university-rankings/durham-university</x:v>
      </x:c>
      <x:c r="R28" s="31" t="str">
        <x:v>https://www.durham.ac.uk/departments/academic/geography/postgraduate-study/taught-masters/</x:v>
      </x:c>
    </x:row>
    <x:row r="29">
      <x:c r="A29" s="15" t="n">
        <x:v>25</x:v>
      </x:c>
      <x:c r="B29" s="15" t="str">
        <x:v>University of Leeds</x:v>
      </x:c>
      <x:c r="C29" s="15" t="str">
        <x:v>United Kingdom</x:v>
      </x:c>
      <x:c r="D29" s="15" t="str">
        <x:v>QS Sustainability</x:v>
      </x:c>
      <x:c r="E29" s="15" t="str">
        <x:v>MSc Sustainability, Environment and Development</x:v>
      </x:c>
      <x:c r="F29" s="32" t="str">
        <x:v>N/P</x:v>
      </x:c>
      <x:c r="G29" s="32" t="n">
        <x:f>55</x:f>
        <x:v>55</x:v>
      </x:c>
      <x:c r="H29" s="32" t="n">
        <x:f>211</x:f>
        <x:v>211</x:v>
      </x:c>
      <x:c r="I29" s="32" t="n">
        <x:f>220</x:f>
        <x:v>220</x:v>
      </x:c>
      <x:c r="J29" s="32" t="n">
        <x:f>24</x:f>
        <x:v>24</x:v>
      </x:c>
      <x:c r="K29" s="32" t="str">
        <x:v>NR</x:v>
      </x:c>
      <x:c r="L29" s="32" t="str">
        <x:v>NR</x:v>
      </x:c>
      <x:c r="M29" s="32" t="n">
        <x:f>52</x:f>
        <x:v>52</x:v>
      </x:c>
      <x:c r="N29" s="32" t="n">
        <x:f>71</x:f>
        <x:v>71</x:v>
      </x:c>
      <x:c r="O29" s="32" t="n">
        <x:f>52</x:f>
        <x:v>52</x:v>
      </x:c>
      <x:c r="P29" s="31" t="str">
        <x:v>https://www.topuniversities.com/universities/university-leeds</x:v>
      </x:c>
      <x:c r="Q29" s="31" t="str">
        <x:v>https://www.timeshighereducation.com/world-university-rankings/university-leeds</x:v>
      </x:c>
      <x:c r="R29" s="31" t="str">
        <x:v>https://courses.leeds.ac.uk/j985/sustainability-environment-and-development-msc</x:v>
      </x:c>
    </x:row>
    <x:row r="30">
      <x:c r="A30" s="15" t="n">
        <x:v>26</x:v>
      </x:c>
      <x:c r="B30" s="15" t="str">
        <x:v>Western University</x:v>
      </x:c>
      <x:c r="C30" s="15" t="str">
        <x:v>Canada</x:v>
      </x:c>
      <x:c r="D30" s="15" t="str">
        <x:v>Both</x:v>
      </x:c>
      <x:c r="E30" s="15" t="str">
        <x:v>Master of Environment and Sustainability</x:v>
      </x:c>
      <x:c r="F30" s="32" t="str">
        <x:v>N/P</x:v>
      </x:c>
      <x:c r="G30" s="32" t="str">
        <x:v>17</x:v>
      </x:c>
      <x:c r="H30" s="32" t="str">
        <x:v>10</x:v>
      </x:c>
      <x:c r="I30" s="32" t="n">
        <x:f>30</x:f>
        <x:v>30</x:v>
      </x:c>
      <x:c r="J30" s="32" t="n">
        <x:f>24</x:f>
        <x:v>24</x:v>
      </x:c>
      <x:c r="K30" s="32" t="str">
        <x:v>3</x:v>
      </x:c>
      <x:c r="L30" s="32" t="n">
        <x:f>9</x:f>
        <x:v>9</x:v>
      </x:c>
      <x:c r="M30" s="32" t="n">
        <x:f>21</x:f>
        <x:v>21</x:v>
      </x:c>
      <x:c r="N30" s="32" t="n">
        <x:f>14</x:f>
        <x:v>14</x:v>
      </x:c>
      <x:c r="O30" s="32" t="n">
        <x:f>12</x:f>
        <x:v>12</x:v>
      </x:c>
      <x:c r="P30" s="31" t="str">
        <x:v>https://www.topuniversities.com/universities/western-university</x:v>
      </x:c>
      <x:c r="Q30" s="31" t="str">
        <x:v>https://www.timeshighereducation.com/world-university-rankings/western-university</x:v>
      </x:c>
      <x:c r="R30" s="31" t="str">
        <x:v>https://www.uwo.ca/mes/</x:v>
      </x:c>
    </x:row>
    <x:row r="31">
      <x:c r="A31" s="15" t="n">
        <x:v>27</x:v>
      </x:c>
      <x:c r="B31" s="15" t="str">
        <x:v>University of Glasgow</x:v>
      </x:c>
      <x:c r="C31" s="15" t="str">
        <x:v>United Kingdom</x:v>
      </x:c>
      <x:c r="D31" s="15" t="str">
        <x:v>Both</x:v>
      </x:c>
      <x:c r="E31" s="15" t="str">
        <x:v>MSc Environment &amp; Sustainable Development</x:v>
      </x:c>
      <x:c r="F31" s="32" t="str">
        <x:v>N/P</x:v>
      </x:c>
      <x:c r="G31" s="32" t="str">
        <x:v>13</x:v>
      </x:c>
      <x:c r="H31" s="32" t="str">
        <x:v>20</x:v>
      </x:c>
      <x:c r="I31" s="32" t="n">
        <x:f>19</x:f>
        <x:v>19</x:v>
      </x:c>
      <x:c r="J31" s="32" t="str">
        <x:v>27</x:v>
      </x:c>
      <x:c r="K31" s="32" t="n">
        <x:f>19</x:f>
        <x:v>19</x:v>
      </x:c>
      <x:c r="L31" s="32" t="str">
        <x:v>13</x:v>
      </x:c>
      <x:c r="M31" s="32" t="str">
        <x:v>12</x:v>
      </x:c>
      <x:c r="N31" s="32" t="str">
        <x:v>12</x:v>
      </x:c>
      <x:c r="O31" s="32" t="str">
        <x:v>14</x:v>
      </x:c>
      <x:c r="P31" s="31" t="str">
        <x:v>https://www.topuniversities.com/universities/university-glasgow</x:v>
      </x:c>
      <x:c r="Q31" s="31" t="str">
        <x:v>https://www.timeshighereducation.com/world-university-rankings/university-glasgow</x:v>
      </x:c>
      <x:c r="R31" s="31" t="str">
        <x:v>https://www.gla.ac.uk/postgraduate/taught/environmentsustainabledevelopment/</x:v>
      </x:c>
    </x:row>
    <x:row r="32">
      <x:c r="A32" s="15" t="n">
        <x:v>28</x:v>
      </x:c>
      <x:c r="B32" s="15" t="str">
        <x:v>The University of Auckland</x:v>
      </x:c>
      <x:c r="C32" s="15" t="str">
        <x:v>New Zealand</x:v>
      </x:c>
      <x:c r="D32" s="15" t="str">
        <x:v>QS Sustainability</x:v>
      </x:c>
      <x:c r="E32" s="15" t="str">
        <x:v>Master of Environmental Science</x:v>
      </x:c>
      <x:c r="F32" s="32" t="str">
        <x:v>N/P</x:v>
      </x:c>
      <x:c r="G32" s="32" t="str">
        <x:v>10</x:v>
      </x:c>
      <x:c r="H32" s="32" t="str">
        <x:v>5</x:v>
      </x:c>
      <x:c r="I32" s="32" t="str">
        <x:v>17</x:v>
      </x:c>
      <x:c r="J32" s="32" t="str">
        <x:v>28</x:v>
      </x:c>
      <x:c r="K32" s="32" t="str">
        <x:v>6</x:v>
      </x:c>
      <x:c r="L32" s="32" t="str">
        <x:v>12</x:v>
      </x:c>
      <x:c r="M32" s="32" t="n">
        <x:f>13</x:f>
        <x:v>13</x:v>
      </x:c>
      <x:c r="N32" s="32" t="n">
        <x:f>28</x:f>
        <x:v>28</x:v>
      </x:c>
      <x:c r="O32" s="32" t="n">
        <x:f>96</x:f>
        <x:v>96</x:v>
      </x:c>
      <x:c r="P32" s="31" t="str">
        <x:v>https://www.topuniversities.com/universities/university-auckland</x:v>
      </x:c>
      <x:c r="Q32" s="31" t="str">
        <x:v>https://www.timeshighereducation.com/world-university-rankings/university-auckland</x:v>
      </x:c>
      <x:c r="R32" s="31" t="str">
        <x:v>https://www.auckland.ac.nz/en/study/study-options/find-a-study-option/master-of-environmental-science-menvsci.html</x:v>
      </x:c>
    </x:row>
    <x:row r="33">
      <x:c r="A33" s="15" t="n">
        <x:v>29</x:v>
      </x:c>
      <x:c r="B33" s="15" t="str">
        <x:v>Trinity College Dublin, The University of Dublin</x:v>
      </x:c>
      <x:c r="C33" s="15" t="str">
        <x:v>Ireland</x:v>
      </x:c>
      <x:c r="D33" s="15" t="str">
        <x:v>QS Sustainability</x:v>
      </x:c>
      <x:c r="E33" s="15" t="str">
        <x:v>MSc Environmental Sciences</x:v>
      </x:c>
      <x:c r="F33" s="32" t="str">
        <x:v>N/P</x:v>
      </x:c>
      <x:c r="G33" s="32" t="str">
        <x:v>181-190</x:v>
      </x:c>
      <x:c r="H33" s="32" t="n">
        <x:f>277</x:f>
        <x:v>277</x:v>
      </x:c>
      <x:c r="I33" s="32" t="n">
        <x:f>265</x:f>
        <x:v>265</x:v>
      </x:c>
      <x:c r="J33" s="32" t="str">
        <x:v>29</x:v>
      </x:c>
      <x:c r="K33" s="32" t="str">
        <x:v>101–200</x:v>
      </x:c>
      <x:c r="L33" s="32" t="str">
        <x:v>101–200</x:v>
      </x:c>
      <x:c r="M33" s="32" t="str">
        <x:v>201–300</x:v>
      </x:c>
      <x:c r="N33" s="32" t="str">
        <x:v>401–600</x:v>
      </x:c>
      <x:c r="O33" s="32" t="str">
        <x:v>NR</x:v>
      </x:c>
      <x:c r="P33" s="31" t="str">
        <x:v>https://www.topuniversities.com/universities/trinity-college-dublin-university-dublin</x:v>
      </x:c>
      <x:c r="Q33" s="31" t="str"/>
      <x:c r="R33" s="31" t="str">
        <x:v>https://www.tcd.ie/courses/postgraduate/courses/environmental-sciences-msc--pgraddip/</x:v>
      </x:c>
    </x:row>
    <x:row r="34">
      <x:c r="A34" s="15" t="n">
        <x:v>30</x:v>
      </x:c>
      <x:c r="B34" s="15" t="str">
        <x:v>University of Pennsylvania</x:v>
      </x:c>
      <x:c r="C34" s="15" t="str">
        <x:v>United States</x:v>
      </x:c>
      <x:c r="D34" s="15" t="str">
        <x:v>QS Sustainability</x:v>
      </x:c>
      <x:c r="E34" s="15" t="str">
        <x:v>Master of Environmental Studies</x:v>
      </x:c>
      <x:c r="F34" s="32" t="str">
        <x:v>N/P</x:v>
      </x:c>
      <x:c r="G34" s="32" t="str">
        <x:v>8</x:v>
      </x:c>
      <x:c r="H34" s="32" t="str">
        <x:v>71</x:v>
      </x:c>
      <x:c r="I34" s="32" t="str">
        <x:v>24</x:v>
      </x:c>
      <x:c r="J34" s="32" t="n">
        <x:f>30</x:f>
        <x:v>30</x:v>
      </x:c>
      <x:c r="K34" s="32" t="str">
        <x:v>NR</x:v>
      </x:c>
      <x:c r="L34" s="32" t="str">
        <x:v>NR</x:v>
      </x:c>
      <x:c r="M34" s="32" t="str">
        <x:v>NR</x:v>
      </x:c>
      <x:c r="N34" s="32" t="str">
        <x:v>NR</x:v>
      </x:c>
      <x:c r="O34" s="32" t="str">
        <x:v>NR</x:v>
      </x:c>
      <x:c r="P34" s="31" t="str">
        <x:v>https://www.topuniversities.com/universities/university-pennsylvania</x:v>
      </x:c>
      <x:c r="Q34" s="31" t="str"/>
      <x:c r="R34" s="31" t="str">
        <x:v>https://www.lps.upenn.edu/degree-programs/mes</x:v>
      </x:c>
    </x:row>
    <x:row r="35">
      <x:c r="A35" s="15" t="n">
        <x:v>31</x:v>
      </x:c>
      <x:c r="B35" s="15" t="str">
        <x:v>University of Reading</x:v>
      </x:c>
      <x:c r="C35" s="15" t="str">
        <x:v>United Kingdom</x:v>
      </x:c>
      <x:c r="D35" s="15" t="str">
        <x:v>QS Sustainability</x:v>
      </x:c>
      <x:c r="E35" s="15" t="str">
        <x:v>MSc Environment, Climate Change and Development</x:v>
      </x:c>
      <x:c r="F35" s="32" t="str">
        <x:v>N/P</x:v>
      </x:c>
      <x:c r="G35" s="32" t="str">
        <x:v>171-180</x:v>
      </x:c>
      <x:c r="H35" s="32" t="str">
        <x:v>61</x:v>
      </x:c>
      <x:c r="I35" s="32" t="n">
        <x:f>42</x:f>
        <x:v>42</x:v>
      </x:c>
      <x:c r="J35" s="32" t="n">
        <x:f>30</x:f>
        <x:v>30</x:v>
      </x:c>
      <x:c r="K35" s="32" t="str">
        <x:v>101–200</x:v>
      </x:c>
      <x:c r="L35" s="32" t="n">
        <x:f>61</x:f>
        <x:v>61</x:v>
      </x:c>
      <x:c r="M35" s="32" t="n">
        <x:f>28</x:f>
        <x:v>28</x:v>
      </x:c>
      <x:c r="N35" s="32" t="n">
        <x:f>50</x:f>
        <x:v>50</x:v>
      </x:c>
      <x:c r="O35" s="32" t="n">
        <x:f>91</x:f>
        <x:v>91</x:v>
      </x:c>
      <x:c r="P35" s="31" t="str">
        <x:v>https://www.topuniversities.com/universities/university-reading</x:v>
      </x:c>
      <x:c r="Q35" s="31" t="str">
        <x:v>https://www.timeshighereducation.com/world-university-rankings/university-reading</x:v>
      </x:c>
      <x:c r="R35" s="31" t="str">
        <x:v>https://www.reading.ac.uk/ready-to-study/study/2026/international-development-and-applied-economics-pg/msc-climate-change-and-development</x:v>
      </x:c>
    </x:row>
    <x:row r="36">
      <x:c r="A36" s="15" t="n">
        <x:v>32</x:v>
      </x:c>
      <x:c r="B36" s="15" t="str">
        <x:v>Uppsala University</x:v>
      </x:c>
      <x:c r="C36" s="15" t="str">
        <x:v>Sweden</x:v>
      </x:c>
      <x:c r="D36" s="15" t="str">
        <x:v>QS Sustainability</x:v>
      </x:c>
      <x:c r="E36" s="15" t="str">
        <x:v>Master's Programme in Sustainable Development</x:v>
      </x:c>
      <x:c r="F36" s="32" t="str">
        <x:v>N/P</x:v>
      </x:c>
      <x:c r="G36" s="32" t="str">
        <x:v>11</x:v>
      </x:c>
      <x:c r="H36" s="32" t="n">
        <x:f>11</x:f>
        <x:v>11</x:v>
      </x:c>
      <x:c r="I36" s="32" t="str">
        <x:v>26</x:v>
      </x:c>
      <x:c r="J36" s="32" t="str">
        <x:v>32</x:v>
      </x:c>
      <x:c r="K36" s="32" t="str">
        <x:v>NR</x:v>
      </x:c>
      <x:c r="L36" s="32" t="str">
        <x:v>NR</x:v>
      </x:c>
      <x:c r="M36" s="32" t="str">
        <x:v>NR</x:v>
      </x:c>
      <x:c r="N36" s="32" t="str">
        <x:v>NR</x:v>
      </x:c>
      <x:c r="O36" s="32" t="str">
        <x:v>NR</x:v>
      </x:c>
      <x:c r="P36" s="31" t="str">
        <x:v>https://www.topuniversities.com/universities/uppsala-university</x:v>
      </x:c>
      <x:c r="Q36" s="31" t="str"/>
      <x:c r="R36" s="31" t="str">
        <x:v>https://www.uu.se/en/study/programme/masters-programme-sustainable-development.html</x:v>
      </x:c>
    </x:row>
    <x:row r="37">
      <x:c r="A37" s="15" t="n">
        <x:v>33</x:v>
      </x:c>
      <x:c r="B37" s="15" t="str">
        <x:v>Ghent University</x:v>
      </x:c>
      <x:c r="C37" s="15" t="str">
        <x:v>Belgium</x:v>
      </x:c>
      <x:c r="D37" s="15" t="str">
        <x:v>QS Sustainability</x:v>
      </x:c>
      <x:c r="E37" s="15" t="str">
        <x:v>International MSc in Sustainable and Innovative Natural Resource Management (SINReM)</x:v>
      </x:c>
      <x:c r="F37" s="32" t="str">
        <x:v>N/P</x:v>
      </x:c>
      <x:c r="G37" s="32" t="str">
        <x:v>58</x:v>
      </x:c>
      <x:c r="H37" s="32" t="str">
        <x:v>21</x:v>
      </x:c>
      <x:c r="I37" s="32" t="n">
        <x:f>30</x:f>
        <x:v>30</x:v>
      </x:c>
      <x:c r="J37" s="32" t="n">
        <x:f>33</x:f>
        <x:v>33</x:v>
      </x:c>
      <x:c r="K37" s="32" t="str">
        <x:v>NR</x:v>
      </x:c>
      <x:c r="L37" s="32" t="str">
        <x:v>NR</x:v>
      </x:c>
      <x:c r="M37" s="32" t="str">
        <x:v>NR</x:v>
      </x:c>
      <x:c r="N37" s="32" t="str">
        <x:v>NR</x:v>
      </x:c>
      <x:c r="O37" s="32" t="str">
        <x:v>NR</x:v>
      </x:c>
      <x:c r="P37" s="31" t="str">
        <x:v>https://www.topuniversities.com/universities/ghent-university</x:v>
      </x:c>
      <x:c r="Q37" s="31" t="str"/>
      <x:c r="R37" s="31" t="str">
        <x:v>https://studiekiezer.ugent.be/infobrochure/en/IMSINR/2026</x:v>
      </x:c>
    </x:row>
    <x:row r="38">
      <x:c r="A38" s="15" t="n">
        <x:v>34</x:v>
      </x:c>
      <x:c r="B38" s="15" t="str">
        <x:v>The University of Sheffield</x:v>
      </x:c>
      <x:c r="C38" s="15" t="str">
        <x:v>United Kingdom</x:v>
      </x:c>
      <x:c r="D38" s="15" t="str">
        <x:v>QS Sustainability</x:v>
      </x:c>
      <x:c r="E38" s="15" t="str">
        <x:v>MSc Environmental Change and International Development</x:v>
      </x:c>
      <x:c r="F38" s="32" t="str">
        <x:v>N/P</x:v>
      </x:c>
      <x:c r="G38" s="32" t="n">
        <x:f>116</x:f>
        <x:v>116</x:v>
      </x:c>
      <x:c r="H38" s="32" t="n">
        <x:f>24</x:f>
        <x:v>24</x:v>
      </x:c>
      <x:c r="I38" s="32" t="str">
        <x:v>27</x:v>
      </x:c>
      <x:c r="J38" s="32" t="n">
        <x:f>33</x:f>
        <x:v>33</x:v>
      </x:c>
      <x:c r="K38" s="32" t="str">
        <x:v>NR</x:v>
      </x:c>
      <x:c r="L38" s="32" t="n">
        <x:f>42</x:f>
        <x:v>42</x:v>
      </x:c>
      <x:c r="M38" s="32" t="n">
        <x:f>58</x:f>
        <x:v>58</x:v>
      </x:c>
      <x:c r="N38" s="32" t="str">
        <x:v>101–200</x:v>
      </x:c>
      <x:c r="O38" s="32" t="str">
        <x:v>NR</x:v>
      </x:c>
      <x:c r="P38" s="31" t="str">
        <x:v>https://www.topuniversities.com/universities/university-sheffield</x:v>
      </x:c>
      <x:c r="Q38" s="31" t="str"/>
      <x:c r="R38" s="31" t="str">
        <x:v>https://www.sheffield.ac.uk/postgraduate/taught/courses/2026/environmental-change-and-international-development-msc</x:v>
      </x:c>
    </x:row>
    <x:row r="39">
      <x:c r="A39" s="15" t="n">
        <x:v>35</x:v>
      </x:c>
      <x:c r="B39" s="15" t="str">
        <x:v>Delft University of Technology</x:v>
      </x:c>
      <x:c r="C39" s="15" t="str">
        <x:v>Netherlands</x:v>
      </x:c>
      <x:c r="D39" s="15" t="str">
        <x:v>QS Sustainability</x:v>
      </x:c>
      <x:c r="E39" s="15" t="str">
        <x:v>MSc Industrial Ecology (joint Leiden University-TU Delft)</x:v>
      </x:c>
      <x:c r="F39" s="32" t="str">
        <x:v>N/P</x:v>
      </x:c>
      <x:c r="G39" s="32" t="str">
        <x:v>23</x:v>
      </x:c>
      <x:c r="H39" s="32" t="str">
        <x:v>14</x:v>
      </x:c>
      <x:c r="I39" s="32" t="n">
        <x:f>15</x:f>
        <x:v>15</x:v>
      </x:c>
      <x:c r="J39" s="32" t="n">
        <x:f>35</x:f>
        <x:v>35</x:v>
      </x:c>
      <x:c r="K39" s="32" t="str">
        <x:v>NR</x:v>
      </x:c>
      <x:c r="L39" s="32" t="str">
        <x:v>101–200</x:v>
      </x:c>
      <x:c r="M39" s="32" t="str">
        <x:v>101–200</x:v>
      </x:c>
      <x:c r="N39" s="32" t="str">
        <x:v>101–200</x:v>
      </x:c>
      <x:c r="O39" s="32" t="str">
        <x:v>NR</x:v>
      </x:c>
      <x:c r="P39" s="31" t="str">
        <x:v>https://www.topuniversities.com/universities/delft-university-technology</x:v>
      </x:c>
      <x:c r="Q39" s="31" t="str"/>
      <x:c r="R39" s="31" t="str">
        <x:v>https://www.universiteitleiden.nl/en/education/study-programmes/master/industrial-ecology/about-the-programme/programme-structure</x:v>
      </x:c>
    </x:row>
    <x:row r="40">
      <x:c r="A40" s="15" t="n">
        <x:v>36</x:v>
      </x:c>
      <x:c r="B40" s="15" t="str">
        <x:v>Michigan State University</x:v>
      </x:c>
      <x:c r="C40" s="15" t="str">
        <x:v>United States</x:v>
      </x:c>
      <x:c r="D40" s="15" t="str">
        <x:v>QS Sustainability</x:v>
      </x:c>
      <x:c r="E40" s="15" t="str">
        <x:v>MS Community Sustainability</x:v>
      </x:c>
      <x:c r="F40" s="32" t="str">
        <x:v>N/P</x:v>
      </x:c>
      <x:c r="G40" s="32" t="str">
        <x:v>134</x:v>
      </x:c>
      <x:c r="H40" s="32" t="n">
        <x:f>41</x:f>
        <x:v>41</x:v>
      </x:c>
      <x:c r="I40" s="32" t="str">
        <x:v>28</x:v>
      </x:c>
      <x:c r="J40" s="32" t="n">
        <x:f>35</x:f>
        <x:v>35</x:v>
      </x:c>
      <x:c r="K40" s="32" t="n">
        <x:f>33</x:f>
        <x:v>33</x:v>
      </x:c>
      <x:c r="L40" s="32" t="n">
        <x:f>26</x:f>
        <x:v>26</x:v>
      </x:c>
      <x:c r="M40" s="32" t="n">
        <x:f>25</x:f>
        <x:v>25</x:v>
      </x:c>
      <x:c r="N40" s="32" t="n">
        <x:f>61</x:f>
        <x:v>61</x:v>
      </x:c>
      <x:c r="O40" s="32" t="str">
        <x:v>80</x:v>
      </x:c>
      <x:c r="P40" s="31" t="str">
        <x:v>https://www.topuniversities.com/universities/michigan-state-university</x:v>
      </x:c>
      <x:c r="Q40" s="31" t="str">
        <x:v>https://www.timeshighereducation.com/world-university-rankings/michigan-state-university</x:v>
      </x:c>
      <x:c r="R40" s="31" t="str">
        <x:v>https://www.canr.msu.edu/csus/graduate/programs/</x:v>
      </x:c>
    </x:row>
    <x:row r="41">
      <x:c r="A41" s="15" t="n">
        <x:v>37</x:v>
      </x:c>
      <x:c r="B41" s="15" t="str">
        <x:v>Monash University</x:v>
      </x:c>
      <x:c r="C41" s="15" t="str">
        <x:v>Australia</x:v>
      </x:c>
      <x:c r="D41" s="15" t="str">
        <x:v>QS Sustainability</x:v>
      </x:c>
      <x:c r="E41" s="15" t="str">
        <x:v>Master of Environment and Sustainability</x:v>
      </x:c>
      <x:c r="F41" s="32" t="str">
        <x:v>N/P</x:v>
      </x:c>
      <x:c r="G41" s="32" t="n">
        <x:f>112</x:f>
        <x:v>112</x:v>
      </x:c>
      <x:c r="H41" s="32" t="str">
        <x:v>23</x:v>
      </x:c>
      <x:c r="I41" s="32" t="n">
        <x:f>49</x:f>
        <x:v>49</x:v>
      </x:c>
      <x:c r="J41" s="32" t="str">
        <x:v>37</x:v>
      </x:c>
      <x:c r="K41" s="32" t="n">
        <x:f>42</x:f>
        <x:v>42</x:v>
      </x:c>
      <x:c r="L41" s="32" t="str">
        <x:v>21</x:v>
      </x:c>
      <x:c r="M41" s="32" t="str">
        <x:v>32</x:v>
      </x:c>
      <x:c r="N41" s="32" t="str">
        <x:v>NR</x:v>
      </x:c>
      <x:c r="O41" s="32" t="str">
        <x:v>NR</x:v>
      </x:c>
      <x:c r="P41" s="31" t="str">
        <x:v>https://www.topuniversities.com/universities/monash-university</x:v>
      </x:c>
      <x:c r="Q41" s="31" t="str"/>
      <x:c r="R41" s="31" t="str">
        <x:v>https://www.monash.edu/study/courses/find-a-course/environment-and-sustainability-s6002</x:v>
      </x:c>
    </x:row>
    <x:row r="42">
      <x:c r="A42" s="15" t="n">
        <x:v>38</x:v>
      </x:c>
      <x:c r="B42" s="15" t="str">
        <x:v>Seoul National University</x:v>
      </x:c>
      <x:c r="C42" s="15" t="str">
        <x:v>South Korea</x:v>
      </x:c>
      <x:c r="D42" s="15" t="str">
        <x:v>QS Sustainability</x:v>
      </x:c>
      <x:c r="E42" s="15" t="str">
        <x:v>Graduate School of Environmental Studies - Environmental Management</x:v>
      </x:c>
      <x:c r="F42" s="32" t="str">
        <x:v>N/P</x:v>
      </x:c>
      <x:c r="G42" s="32" t="n">
        <x:f>144</x:f>
        <x:v>144</x:v>
      </x:c>
      <x:c r="H42" s="32" t="n">
        <x:f>46</x:f>
        <x:v>46</x:v>
      </x:c>
      <x:c r="I42" s="32" t="str">
        <x:v>57</x:v>
      </x:c>
      <x:c r="J42" s="32" t="n">
        <x:f>37</x:f>
        <x:v>37</x:v>
      </x:c>
      <x:c r="K42" s="32" t="str">
        <x:v>NR</x:v>
      </x:c>
      <x:c r="L42" s="32" t="str">
        <x:v>NR</x:v>
      </x:c>
      <x:c r="M42" s="32" t="str">
        <x:v>NR</x:v>
      </x:c>
      <x:c r="N42" s="32" t="str">
        <x:v>NR</x:v>
      </x:c>
      <x:c r="O42" s="32" t="str">
        <x:v>NR</x:v>
      </x:c>
      <x:c r="P42" s="31" t="str">
        <x:v>https://www.topuniversities.com/universities/seoul-national-university</x:v>
      </x:c>
      <x:c r="Q42" s="31" t="str"/>
      <x:c r="R42" s="31" t="str">
        <x:v>https://gses.snu.ac.kr/</x:v>
      </x:c>
    </x:row>
    <x:row r="43">
      <x:c r="A43" s="15" t="n">
        <x:v>39</x:v>
      </x:c>
      <x:c r="B43" s="15" t="str">
        <x:v>University of Nottingham</x:v>
      </x:c>
      <x:c r="C43" s="15" t="str">
        <x:v>United Kingdom</x:v>
      </x:c>
      <x:c r="D43" s="15" t="str">
        <x:v>QS Sustainability</x:v>
      </x:c>
      <x:c r="E43" s="15" t="str">
        <x:v>MSc Environmental Leadership and Management</x:v>
      </x:c>
      <x:c r="F43" s="32" t="str">
        <x:v>N/P</x:v>
      </x:c>
      <x:c r="G43" s="32" t="n">
        <x:f>118</x:f>
        <x:v>118</x:v>
      </x:c>
      <x:c r="H43" s="32" t="str">
        <x:v>33</x:v>
      </x:c>
      <x:c r="I43" s="32" t="n">
        <x:f>36</x:f>
        <x:v>36</x:v>
      </x:c>
      <x:c r="J43" s="32" t="n">
        <x:f>37</x:f>
        <x:v>37</x:v>
      </x:c>
      <x:c r="K43" s="32" t="str">
        <x:v>NR</x:v>
      </x:c>
      <x:c r="L43" s="32" t="str">
        <x:v>NR</x:v>
      </x:c>
      <x:c r="M43" s="32" t="str">
        <x:v>101–200</x:v>
      </x:c>
      <x:c r="N43" s="32" t="str">
        <x:v>101–200</x:v>
      </x:c>
      <x:c r="O43" s="32" t="str">
        <x:v>101–200</x:v>
      </x:c>
      <x:c r="P43" s="31" t="str">
        <x:v>https://www.topuniversities.com/universities/university-nottingham</x:v>
      </x:c>
      <x:c r="Q43" s="31" t="str">
        <x:v>https://www.timeshighereducation.com/world-university-rankings/university-nottingham</x:v>
      </x:c>
      <x:c r="R43" s="31" t="str">
        <x:v>https://www.nottingham.ac.uk/pgstudy/course/taught/environmental-leadership-and-management-msc</x:v>
      </x:c>
    </x:row>
    <x:row r="44">
      <x:c r="A44" s="15" t="n">
        <x:v>40</x:v>
      </x:c>
      <x:c r="B44" s="15" t="str">
        <x:v>University of York</x:v>
      </x:c>
      <x:c r="C44" s="15" t="str">
        <x:v>United Kingdom</x:v>
      </x:c>
      <x:c r="D44" s="15" t="str">
        <x:v>QS Sustainability</x:v>
      </x:c>
      <x:c r="E44" s="15" t="str">
        <x:v>MSc Corporate Sustainability and Environmental Management</x:v>
      </x:c>
      <x:c r="F44" s="32" t="str">
        <x:v>N/P</x:v>
      </x:c>
      <x:c r="G44" s="32" t="n">
        <x:f>36</x:f>
        <x:v>36</x:v>
      </x:c>
      <x:c r="H44" s="32" t="str">
        <x:v>29</x:v>
      </x:c>
      <x:c r="I44" s="32" t="str">
        <x:v>34</x:v>
      </x:c>
      <x:c r="J44" s="32" t="str">
        <x:v>39</x:v>
      </x:c>
      <x:c r="K44" s="32" t="str">
        <x:v>101–200</x:v>
      </x:c>
      <x:c r="L44" s="32" t="str">
        <x:v>101–200</x:v>
      </x:c>
      <x:c r="M44" s="32" t="str">
        <x:v>101–200</x:v>
      </x:c>
      <x:c r="N44" s="32" t="str">
        <x:v>201–300</x:v>
      </x:c>
      <x:c r="O44" s="32" t="str">
        <x:v>301–400</x:v>
      </x:c>
      <x:c r="P44" s="31" t="str">
        <x:v>https://www.topuniversities.com/universities/university-york</x:v>
      </x:c>
      <x:c r="Q44" s="31" t="str">
        <x:v>https://www.timeshighereducation.com/world-university-rankings/university-york</x:v>
      </x:c>
      <x:c r="R44" s="31" t="str">
        <x:v>https://www.york.ac.uk/study/postgraduate-taught/courses/msc-corporate-sustainability-environment/</x:v>
      </x:c>
    </x:row>
    <x:row r="45">
      <x:c r="A45" s="15" t="n">
        <x:v>41</x:v>
      </x:c>
      <x:c r="B45" s="15" t="str">
        <x:v>Boston University</x:v>
      </x:c>
      <x:c r="C45" s="15" t="str">
        <x:v>United States</x:v>
      </x:c>
      <x:c r="D45" s="15" t="str">
        <x:v>QS Sustainability</x:v>
      </x:c>
      <x:c r="E45" s="15" t="str">
        <x:v>MS Innovation &amp; Entrepreneurship - Sustainability concentration</x:v>
      </x:c>
      <x:c r="F45" s="32" t="str">
        <x:v>N/P</x:v>
      </x:c>
      <x:c r="G45" s="32" t="str">
        <x:v>100</x:v>
      </x:c>
      <x:c r="H45" s="32" t="n">
        <x:f>237</x:f>
        <x:v>237</x:v>
      </x:c>
      <x:c r="I45" s="32" t="str">
        <x:v>267</x:v>
      </x:c>
      <x:c r="J45" s="32" t="str">
        <x:v>40</x:v>
      </x:c>
      <x:c r="K45" s="32" t="str">
        <x:v>NR</x:v>
      </x:c>
      <x:c r="L45" s="32" t="str">
        <x:v>NR</x:v>
      </x:c>
      <x:c r="M45" s="32" t="str">
        <x:v>NR</x:v>
      </x:c>
      <x:c r="N45" s="32" t="str">
        <x:v>NR</x:v>
      </x:c>
      <x:c r="O45" s="32" t="str">
        <x:v>NR</x:v>
      </x:c>
      <x:c r="P45" s="31" t="str">
        <x:v>https://www.topuniversities.com/universities/boston-university</x:v>
      </x:c>
      <x:c r="Q45" s="31" t="str"/>
      <x:c r="R45" s="31" t="str">
        <x:v>https://www.bu.edu/met/degrees-certificates/ms-innovation-entrepreneurship-sustainability/</x:v>
      </x:c>
    </x:row>
    <x:row r="46">
      <x:c r="A46" s="15" t="n">
        <x:v>42</x:v>
      </x:c>
      <x:c r="B46" s="15" t="str">
        <x:v>Johns Hopkins University</x:v>
      </x:c>
      <x:c r="C46" s="15" t="str">
        <x:v>United States</x:v>
      </x:c>
      <x:c r="D46" s="15" t="str">
        <x:v>QS Sustainability</x:v>
      </x:c>
      <x:c r="E46" s="15" t="str">
        <x:v>MS in Energy Policy and Climate</x:v>
      </x:c>
      <x:c r="F46" s="32" t="str">
        <x:v>N/P</x:v>
      </x:c>
      <x:c r="G46" s="32" t="str">
        <x:v>94</x:v>
      </x:c>
      <x:c r="H46" s="32" t="n">
        <x:f>259</x:f>
        <x:v>259</x:v>
      </x:c>
      <x:c r="I46" s="32" t="str">
        <x:v>35</x:v>
      </x:c>
      <x:c r="J46" s="32" t="n">
        <x:f>41</x:f>
        <x:v>41</x:v>
      </x:c>
      <x:c r="K46" s="32" t="str">
        <x:v>NR</x:v>
      </x:c>
      <x:c r="L46" s="32" t="str">
        <x:v>NR</x:v>
      </x:c>
      <x:c r="M46" s="32" t="str">
        <x:v>NR</x:v>
      </x:c>
      <x:c r="N46" s="32" t="str">
        <x:v>NR</x:v>
      </x:c>
      <x:c r="O46" s="32" t="str">
        <x:v>NR</x:v>
      </x:c>
      <x:c r="P46" s="31" t="str">
        <x:v>https://www.topuniversities.com/universities/johns-hopkins-university</x:v>
      </x:c>
      <x:c r="Q46" s="31" t="str"/>
      <x:c r="R46" s="31" t="str">
        <x:v>https://advanced.jhu.edu/academics/graduate/ms-energy-policy-climate/</x:v>
      </x:c>
    </x:row>
    <x:row r="47">
      <x:c r="A47" s="15" t="n">
        <x:v>43</x:v>
      </x:c>
      <x:c r="B47" s="15" t="str">
        <x:v>Massachusetts Institute of Technology (MIT)</x:v>
      </x:c>
      <x:c r="C47" s="15" t="str">
        <x:v>United States</x:v>
      </x:c>
      <x:c r="D47" s="15" t="str">
        <x:v>QS Sustainability</x:v>
      </x:c>
      <x:c r="E47" s="15" t="str">
        <x:v>Master in City Planning - Environmental Policy and Planning focus</x:v>
      </x:c>
      <x:c r="F47" s="32" t="str">
        <x:v>N/P</x:v>
      </x:c>
      <x:c r="G47" s="32" t="str">
        <x:v>32</x:v>
      </x:c>
      <x:c r="H47" s="32" t="n">
        <x:f>15</x:f>
        <x:v>15</x:v>
      </x:c>
      <x:c r="I47" s="32" t="str">
        <x:v>33</x:v>
      </x:c>
      <x:c r="J47" s="32" t="n">
        <x:f>43</x:f>
        <x:v>43</x:v>
      </x:c>
      <x:c r="K47" s="32" t="str">
        <x:v>101–200</x:v>
      </x:c>
      <x:c r="L47" s="32" t="str">
        <x:v>101–200</x:v>
      </x:c>
      <x:c r="M47" s="32" t="str">
        <x:v>101–200</x:v>
      </x:c>
      <x:c r="N47" s="32" t="str">
        <x:v>201–300</x:v>
      </x:c>
      <x:c r="O47" s="32" t="str">
        <x:v>201–300</x:v>
      </x:c>
      <x:c r="P47" s="31" t="str">
        <x:v>https://www.topuniversities.com/universities/massachusetts-institute-technology-mit</x:v>
      </x:c>
      <x:c r="Q47" s="31" t="str">
        <x:v>https://www.timeshighereducation.com/world-university-rankings/massachusetts-institute-technology</x:v>
      </x:c>
      <x:c r="R47" s="31" t="str">
        <x:v>https://dusp.mit.edu/masters</x:v>
      </x:c>
    </x:row>
    <x:row r="48">
      <x:c r="A48" s="15" t="n">
        <x:v>44</x:v>
      </x:c>
      <x:c r="B48" s="15" t="str">
        <x:v>University of Birmingham</x:v>
      </x:c>
      <x:c r="C48" s="15" t="str">
        <x:v>United Kingdom</x:v>
      </x:c>
      <x:c r="D48" s="15" t="str">
        <x:v>QS Sustainability</x:v>
      </x:c>
      <x:c r="E48" s="15" t="str">
        <x:v>MSc Environment, Development and Politics</x:v>
      </x:c>
      <x:c r="F48" s="32" t="str">
        <x:v>N/P</x:v>
      </x:c>
      <x:c r="G48" s="32" t="str">
        <x:v>101</x:v>
      </x:c>
      <x:c r="H48" s="32" t="str">
        <x:v>35</x:v>
      </x:c>
      <x:c r="I48" s="32" t="str">
        <x:v>38</x:v>
      </x:c>
      <x:c r="J48" s="32" t="n">
        <x:f>43</x:f>
        <x:v>43</x:v>
      </x:c>
      <x:c r="K48" s="32" t="str">
        <x:v>NR</x:v>
      </x:c>
      <x:c r="L48" s="32" t="str">
        <x:v>NR</x:v>
      </x:c>
      <x:c r="M48" s="32" t="str">
        <x:v>NR</x:v>
      </x:c>
      <x:c r="N48" s="32" t="str">
        <x:v>NR</x:v>
      </x:c>
      <x:c r="O48" s="32" t="str">
        <x:v>NR</x:v>
      </x:c>
      <x:c r="P48" s="31" t="str">
        <x:v>https://www.topuniversities.com/universities/university-birmingham</x:v>
      </x:c>
      <x:c r="Q48" s="31" t="str"/>
      <x:c r="R48" s="31" t="str">
        <x:v>https://www.birmingham.ac.uk/study/postgraduate/subjects/politics-development-and-international-relations-courses/environment-development-and-politics-msc</x:v>
      </x:c>
    </x:row>
    <x:row r="49">
      <x:c r="A49" s="15" t="n">
        <x:v>45</x:v>
      </x:c>
      <x:c r="B49" s="15" t="str">
        <x:v>Universite Paris-Saclay</x:v>
      </x:c>
      <x:c r="C49" s="15" t="str">
        <x:v>France</x:v>
      </x:c>
      <x:c r="D49" s="15" t="str">
        <x:v>QS Sustainability</x:v>
      </x:c>
      <x:c r="E49" s="15" t="str">
        <x:v>M1 Corporate Social Responsibility and Environment</x:v>
      </x:c>
      <x:c r="F49" s="32" t="str">
        <x:v>N/P</x:v>
      </x:c>
      <x:c r="G49" s="32" t="str">
        <x:v>135</x:v>
      </x:c>
      <x:c r="H49" s="32" t="n">
        <x:f>201</x:f>
        <x:v>201</x:v>
      </x:c>
      <x:c r="I49" s="32" t="n">
        <x:f>39</x:f>
        <x:v>39</x:v>
      </x:c>
      <x:c r="J49" s="32" t="str">
        <x:v>45</x:v>
      </x:c>
      <x:c r="K49" s="32" t="str">
        <x:v>NR</x:v>
      </x:c>
      <x:c r="L49" s="32" t="str">
        <x:v>NR</x:v>
      </x:c>
      <x:c r="M49" s="32" t="str">
        <x:v>NR</x:v>
      </x:c>
      <x:c r="N49" s="32" t="str">
        <x:v>NR</x:v>
      </x:c>
      <x:c r="O49" s="32" t="str">
        <x:v>NR</x:v>
      </x:c>
      <x:c r="P49" s="31" t="str">
        <x:v>https://www.topuniversities.com/universities/universite-paris-saclay</x:v>
      </x:c>
      <x:c r="Q49" s="31" t="str"/>
      <x:c r="R49" s="31" t="str">
        <x:v>https://www.universite-paris-saclay.fr/en/education/masters-degree/science-de-la-durabilite/m1-responsabilite-societale-des-entreprises-et-environnement-rsee</x:v>
      </x:c>
    </x:row>
    <x:row r="50">
      <x:c r="A50" s="15" t="n">
        <x:v>46</x:v>
      </x:c>
      <x:c r="B50" s="15" t="str">
        <x:v>Universitat Hamburg</x:v>
      </x:c>
      <x:c r="C50" s="15" t="str">
        <x:v>Germany</x:v>
      </x:c>
      <x:c r="D50" s="15" t="str">
        <x:v>QS Sustainability</x:v>
      </x:c>
      <x:c r="E50" s="15" t="str">
        <x:v>MSc Integrated Climate System Sciences</x:v>
      </x:c>
      <x:c r="F50" s="32" t="str">
        <x:v>N/P</x:v>
      </x:c>
      <x:c r="G50" s="32" t="str">
        <x:v>241-260</x:v>
      </x:c>
      <x:c r="H50" s="32" t="str">
        <x:v>91</x:v>
      </x:c>
      <x:c r="I50" s="32" t="str">
        <x:v>29</x:v>
      </x:c>
      <x:c r="J50" s="32" t="str">
        <x:v>46</x:v>
      </x:c>
      <x:c r="K50" s="32" t="str">
        <x:v>401–600</x:v>
      </x:c>
      <x:c r="L50" s="32" t="str">
        <x:v>401–600</x:v>
      </x:c>
      <x:c r="M50" s="32" t="str">
        <x:v>601–800</x:v>
      </x:c>
      <x:c r="N50" s="32" t="str">
        <x:v>601–800</x:v>
      </x:c>
      <x:c r="O50" s="32" t="str">
        <x:v>NR</x:v>
      </x:c>
      <x:c r="P50" s="31" t="str">
        <x:v>https://www.topuniversities.com/universities/universitat-hamburg</x:v>
      </x:c>
      <x:c r="Q50" s="31" t="str"/>
      <x:c r="R50" s="31" t="str">
        <x:v>https://www.geo.uni-hamburg.de/en/studium/master/msc-icss.html</x:v>
      </x:c>
    </x:row>
    <x:row r="51">
      <x:c r="A51" s="15" t="n">
        <x:v>47</x:v>
      </x:c>
      <x:c r="B51" s="15" t="str">
        <x:v>University College Dublin</x:v>
      </x:c>
      <x:c r="C51" s="15" t="str">
        <x:v>Ireland</x:v>
      </x:c>
      <x:c r="D51" s="15" t="str">
        <x:v>QS Sustainability</x:v>
      </x:c>
      <x:c r="E51" s="15" t="str">
        <x:v>MSc Environmental Policy, Strategy &amp; Leadership</x:v>
      </x:c>
      <x:c r="F51" s="32" t="str">
        <x:v>N/P</x:v>
      </x:c>
      <x:c r="G51" s="32" t="str">
        <x:v>171-180</x:v>
      </x:c>
      <x:c r="H51" s="32" t="n">
        <x:f>50</x:f>
        <x:v>50</x:v>
      </x:c>
      <x:c r="I51" s="32" t="n">
        <x:f>49</x:f>
        <x:v>49</x:v>
      </x:c>
      <x:c r="J51" s="32" t="str">
        <x:v>47</x:v>
      </x:c>
      <x:c r="K51" s="32" t="str">
        <x:v>101–200</x:v>
      </x:c>
      <x:c r="L51" s="32" t="str">
        <x:v>101–200</x:v>
      </x:c>
      <x:c r="M51" s="32" t="str">
        <x:v>201–300</x:v>
      </x:c>
      <x:c r="N51" s="32" t="str">
        <x:v>NR</x:v>
      </x:c>
      <x:c r="O51" s="32" t="str">
        <x:v>NR</x:v>
      </x:c>
      <x:c r="P51" s="31" t="str">
        <x:v>https://www.topuniversities.com/universities/university-college-dublin</x:v>
      </x:c>
      <x:c r="Q51" s="31" t="str"/>
      <x:c r="R51" s="31" t="str">
        <x:v>https://www.ucd.ie/envpolicy/study/</x:v>
      </x:c>
    </x:row>
    <x:row r="52">
      <x:c r="A52" s="15" t="n">
        <x:v>48</x:v>
      </x:c>
      <x:c r="B52" s="15" t="str">
        <x:v>The University of Tokyo</x:v>
      </x:c>
      <x:c r="C52" s="15" t="str">
        <x:v>Japan</x:v>
      </x:c>
      <x:c r="D52" s="15" t="str">
        <x:v>QS Sustainability</x:v>
      </x:c>
      <x:c r="E52" s="15" t="str">
        <x:v>Graduate Program in Sustainability Science - Global Leadership Initiative</x:v>
      </x:c>
      <x:c r="F52" s="32" t="str">
        <x:v>N/P</x:v>
      </x:c>
      <x:c r="G52" s="32" t="str">
        <x:v>7</x:v>
      </x:c>
      <x:c r="H52" s="32" t="str">
        <x:v>22</x:v>
      </x:c>
      <x:c r="I52" s="32" t="str">
        <x:v>44</x:v>
      </x:c>
      <x:c r="J52" s="32" t="n">
        <x:f>48</x:f>
        <x:v>48</x:v>
      </x:c>
      <x:c r="K52" s="32" t="str">
        <x:v>NR</x:v>
      </x:c>
      <x:c r="L52" s="32" t="str">
        <x:v>NR</x:v>
      </x:c>
      <x:c r="M52" s="32" t="str">
        <x:v>NR</x:v>
      </x:c>
      <x:c r="N52" s="32" t="str">
        <x:v>NR</x:v>
      </x:c>
      <x:c r="O52" s="32" t="str">
        <x:v>NR</x:v>
      </x:c>
      <x:c r="P52" s="31" t="str">
        <x:v>https://www.topuniversities.com/universities/university-tokyo</x:v>
      </x:c>
      <x:c r="Q52" s="31" t="str"/>
      <x:c r="R52" s="31" t="str">
        <x:v>https://www.sustainability.k.u-tokyo.ac.jp/</x:v>
      </x:c>
    </x:row>
    <x:row r="53">
      <x:c r="A53" s="15" t="n">
        <x:v>49</x:v>
      </x:c>
      <x:c r="B53" s="15" t="str">
        <x:v>University of Exeter</x:v>
      </x:c>
      <x:c r="C53" s="15" t="str">
        <x:v>United Kingdom</x:v>
      </x:c>
      <x:c r="D53" s="15" t="str">
        <x:v>Both</x:v>
      </x:c>
      <x:c r="E53" s="15" t="str">
        <x:v>MSc Global Sustainability Solutions</x:v>
      </x:c>
      <x:c r="F53" s="32" t="str">
        <x:v>N/P</x:v>
      </x:c>
      <x:c r="G53" s="32" t="str">
        <x:v>48</x:v>
      </x:c>
      <x:c r="H53" s="32" t="n">
        <x:f>30</x:f>
        <x:v>30</x:v>
      </x:c>
      <x:c r="I53" s="32" t="str">
        <x:v>32</x:v>
      </x:c>
      <x:c r="J53" s="32" t="n">
        <x:f>48</x:f>
        <x:v>48</x:v>
      </x:c>
      <x:c r="K53" s="32" t="n">
        <x:f>42</x:f>
        <x:v>42</x:v>
      </x:c>
      <x:c r="L53" s="32" t="n">
        <x:f>18</x:f>
        <x:v>18</x:v>
      </x:c>
      <x:c r="M53" s="32" t="str">
        <x:v>10</x:v>
      </x:c>
      <x:c r="N53" s="32" t="n">
        <x:f>28</x:f>
        <x:v>28</x:v>
      </x:c>
      <x:c r="O53" s="32" t="n">
        <x:f>20</x:f>
        <x:v>20</x:v>
      </x:c>
      <x:c r="P53" s="31" t="str">
        <x:v>https://www.topuniversities.com/universities/university-exeter</x:v>
      </x:c>
      <x:c r="Q53" s="31" t="str">
        <x:v>https://www.timeshighereducation.com/world-university-rankings/university-exeter</x:v>
      </x:c>
      <x:c r="R53" s="31" t="str">
        <x:v>https://www.exeter.ac.uk/masters-degrees/msc-global-sustainability-solutions/</x:v>
      </x:c>
    </x:row>
    <x:row r="54">
      <x:c r="A54" s="15" t="n">
        <x:v>50</x:v>
      </x:c>
      <x:c r="B54" s="15" t="str">
        <x:v>The University of Queensland</x:v>
      </x:c>
      <x:c r="C54" s="15" t="str">
        <x:v>Australia</x:v>
      </x:c>
      <x:c r="D54" s="15" t="str">
        <x:v>QS Sustainability</x:v>
      </x:c>
      <x:c r="E54" s="15" t="str">
        <x:v>Master of Environmental Management</x:v>
      </x:c>
      <x:c r="F54" s="32" t="str">
        <x:v>N/P</x:v>
      </x:c>
      <x:c r="G54" s="32" t="n">
        <x:f>105</x:f>
        <x:v>105</x:v>
      </x:c>
      <x:c r="H54" s="32" t="str">
        <x:v>36</x:v>
      </x:c>
      <x:c r="I54" s="32" t="str">
        <x:v>41</x:v>
      </x:c>
      <x:c r="J54" s="32" t="n">
        <x:f>50</x:f>
        <x:v>50</x:v>
      </x:c>
      <x:c r="K54" s="32" t="str">
        <x:v>101–200</x:v>
      </x:c>
      <x:c r="L54" s="32" t="str">
        <x:v>NR</x:v>
      </x:c>
      <x:c r="M54" s="32" t="str">
        <x:v>NR</x:v>
      </x:c>
      <x:c r="N54" s="32" t="str">
        <x:v>NR</x:v>
      </x:c>
      <x:c r="O54" s="32" t="str">
        <x:v>101–200</x:v>
      </x:c>
      <x:c r="P54" s="31" t="str">
        <x:v>https://www.topuniversities.com/universities/university-queensland</x:v>
      </x:c>
      <x:c r="Q54" s="31" t="str">
        <x:v>https://www.timeshighereducation.com/world-university-rankings/university-queensland</x:v>
      </x:c>
      <x:c r="R54" s="31" t="str">
        <x:v>https://study.uq.edu.au/study-options/programs/master-environmental-management-5609</x:v>
      </x:c>
    </x:row>
    <x:row r="55">
      <x:c r="A55" s="15" t="n">
        <x:v>51</x:v>
      </x:c>
      <x:c r="B55" s="15" t="str">
        <x:v>University of Gothenburg</x:v>
      </x:c>
      <x:c r="C55" s="15" t="str">
        <x:v>Sweden</x:v>
      </x:c>
      <x:c r="D55" s="15" t="str">
        <x:v>QS Sustainability</x:v>
      </x:c>
      <x:c r="E55" s="15" t="str">
        <x:v>Master's Programme in Environmental Sciences</x:v>
      </x:c>
      <x:c r="F55" s="32" t="str">
        <x:v>N/P</x:v>
      </x:c>
      <x:c r="G55" s="32" t="n">
        <x:f>28</x:f>
        <x:v>28</x:v>
      </x:c>
      <x:c r="H55" s="32" t="str">
        <x:v>73</x:v>
      </x:c>
      <x:c r="I55" s="32" t="n">
        <x:f>36</x:f>
        <x:v>36</x:v>
      </x:c>
      <x:c r="J55" s="32" t="n">
        <x:f>50</x:f>
        <x:v>50</x:v>
      </x:c>
      <x:c r="K55" s="32" t="str">
        <x:v>101–200</x:v>
      </x:c>
      <x:c r="L55" s="32" t="str">
        <x:v>NR</x:v>
      </x:c>
      <x:c r="M55" s="32" t="str">
        <x:v>NR</x:v>
      </x:c>
      <x:c r="N55" s="32" t="str">
        <x:v>NR</x:v>
      </x:c>
      <x:c r="O55" s="32" t="str">
        <x:v>NR</x:v>
      </x:c>
      <x:c r="P55" s="31" t="str">
        <x:v>https://www.topuniversities.com/universities/university-gothenburg</x:v>
      </x:c>
      <x:c r="Q55" s="31" t="str"/>
      <x:c r="R55" s="31" t="str">
        <x:v>https://www.gu.se/en/study-gothenburg/environmental-sciences-n2mvn</x:v>
      </x:c>
    </x:row>
    <x:row r="56">
      <x:c r="A56" s="15" t="n">
        <x:v>52</x:v>
      </x:c>
      <x:c r="B56" s="15" t="str">
        <x:v>Griffith University</x:v>
      </x:c>
      <x:c r="C56" s="15" t="str">
        <x:v>Australia</x:v>
      </x:c>
      <x:c r="D56" s="15" t="str">
        <x:v>THE Impact</x:v>
      </x:c>
      <x:c r="E56" s="15" t="str">
        <x:v>Master of Global Development - Sustainable Development major</x:v>
      </x:c>
      <x:c r="F56" s="32" t="str">
        <x:v>N/P</x:v>
      </x:c>
      <x:c r="G56" s="32" t="n">
        <x:f>66</x:f>
        <x:v>66</x:v>
      </x:c>
      <x:c r="H56" s="32" t="str">
        <x:v>40</x:v>
      </x:c>
      <x:c r="I56" s="32" t="n">
        <x:f>49</x:f>
        <x:v>49</x:v>
      </x:c>
      <x:c r="J56" s="32" t="str">
        <x:v>76</x:v>
      </x:c>
      <x:c r="K56" s="32" t="n">
        <x:f>92</x:f>
        <x:v>92</x:v>
      </x:c>
      <x:c r="L56" s="32" t="n">
        <x:f>72</x:f>
        <x:v>72</x:v>
      </x:c>
      <x:c r="M56" s="32" t="str">
        <x:v>24</x:v>
      </x:c>
      <x:c r="N56" s="32" t="n">
        <x:f>4</x:f>
        <x:v>4</x:v>
      </x:c>
      <x:c r="O56" s="32" t="str">
        <x:v>2</x:v>
      </x:c>
      <x:c r="P56" s="31" t="str">
        <x:v>https://www.topuniversities.com/universities/griffith-university</x:v>
      </x:c>
      <x:c r="Q56" s="31" t="str">
        <x:v>https://www.timeshighereducation.com/world-university-rankings/griffith-university</x:v>
      </x:c>
      <x:c r="R56" s="31" t="str">
        <x:v>https://www.griffith.edu.au/study/degrees/master-of-global-development-5724</x:v>
      </x:c>
    </x:row>
    <x:row r="57">
      <x:c r="A57" s="15" t="n">
        <x:v>53</x:v>
      </x:c>
      <x:c r="B57" s="15" t="str">
        <x:v>Western Sydney University</x:v>
      </x:c>
      <x:c r="C57" s="15" t="str">
        <x:v>Australia</x:v>
      </x:c>
      <x:c r="D57" s="15" t="str">
        <x:v>THE Impact</x:v>
      </x:c>
      <x:c r="E57" s="15" t="str">
        <x:v>Master of Sustainable Tourism, Hospitality and Event Management</x:v>
      </x:c>
      <x:c r="F57" s="32" t="str">
        <x:v>N/P</x:v>
      </x:c>
      <x:c r="G57" s="32" t="n">
        <x:f>112</x:f>
        <x:v>112</x:v>
      </x:c>
      <x:c r="H57" s="32" t="n">
        <x:f>101</x:f>
        <x:v>101</x:v>
      </x:c>
      <x:c r="I57" s="32" t="str">
        <x:v>139</x:v>
      </x:c>
      <x:c r="J57" s="32" t="n">
        <x:f>172</x:f>
        <x:v>172</x:v>
      </x:c>
      <x:c r="K57" s="32" t="str">
        <x:v>1</x:v>
      </x:c>
      <x:c r="L57" s="32" t="str">
        <x:v>1</x:v>
      </x:c>
      <x:c r="M57" s="32" t="str">
        <x:v>1</x:v>
      </x:c>
      <x:c r="N57" s="32" t="str">
        <x:v>1</x:v>
      </x:c>
      <x:c r="O57" s="32" t="str">
        <x:v>3</x:v>
      </x:c>
      <x:c r="P57" s="31" t="str">
        <x:v>https://www.topuniversities.com/universities/western-sydney-university</x:v>
      </x:c>
      <x:c r="Q57" s="31" t="str">
        <x:v>https://www.timeshighereducation.com/world-university-rankings/western-sydney-university</x:v>
      </x:c>
      <x:c r="R57" s="31" t="str">
        <x:v>https://www.westernsydney.edu.au/future/study/courses/postgraduate/master-of-sustainable-tourism-hospitality-and-event-management</x:v>
      </x:c>
    </x:row>
    <x:row r="58">
      <x:c r="A58" s="15" t="n">
        <x:v>54</x:v>
      </x:c>
      <x:c r="B58" s="15" t="str">
        <x:v>Queen's University</x:v>
      </x:c>
      <x:c r="C58" s="15" t="str">
        <x:v>Canada</x:v>
      </x:c>
      <x:c r="D58" s="15" t="str">
        <x:v>THE Impact</x:v>
      </x:c>
      <x:c r="E58" s="15" t="str">
        <x:v>Master of Environmental Studies</x:v>
      </x:c>
      <x:c r="F58" s="32" t="str">
        <x:v>N/P</x:v>
      </x:c>
      <x:c r="G58" s="32" t="str">
        <x:v>171-180</x:v>
      </x:c>
      <x:c r="H58" s="32" t="n">
        <x:f>64</x:f>
        <x:v>64</x:v>
      </x:c>
      <x:c r="I58" s="32" t="n">
        <x:f>93</x:f>
        <x:v>93</x:v>
      </x:c>
      <x:c r="J58" s="32" t="n">
        <x:f>59</x:f>
        <x:v>59</x:v>
      </x:c>
      <x:c r="K58" s="32" t="str">
        <x:v>7</x:v>
      </x:c>
      <x:c r="L58" s="32" t="str">
        <x:v>3</x:v>
      </x:c>
      <x:c r="M58" s="32" t="str">
        <x:v>8</x:v>
      </x:c>
      <x:c r="N58" s="32" t="n">
        <x:f>6</x:f>
        <x:v>6</x:v>
      </x:c>
      <x:c r="O58" s="32" t="str">
        <x:v>4</x:v>
      </x:c>
      <x:c r="P58" s="31" t="str">
        <x:v>https://www.topuniversities.com/universities/queens-university-kingston</x:v>
      </x:c>
      <x:c r="Q58" s="31" t="str">
        <x:v>https://www.timeshighereducation.com/world-university-rankings/queens-university</x:v>
      </x:c>
      <x:c r="R58" s="31" t="str">
        <x:v>https://www.queensu.ca/ensc/graduate/programs-overview</x:v>
      </x:c>
    </x:row>
    <x:row r="59">
      <x:c r="A59" s="15" t="n">
        <x:v>55</x:v>
      </x:c>
      <x:c r="B59" s="15" t="str">
        <x:v>Universiti Sains Malaysia</x:v>
      </x:c>
      <x:c r="C59" s="15" t="str">
        <x:v>Malaysia</x:v>
      </x:c>
      <x:c r="D59" s="15" t="str">
        <x:v>THE Impact</x:v>
      </x:c>
      <x:c r="E59" s="15" t="str">
        <x:v>Master in Sustainable Development Practice</x:v>
      </x:c>
      <x:c r="F59" s="32" t="str">
        <x:v>N/P</x:v>
      </x:c>
      <x:c r="G59" s="32" t="n">
        <x:f>136</x:f>
        <x:v>136</x:v>
      </x:c>
      <x:c r="H59" s="32" t="n">
        <x:f>214</x:f>
        <x:v>214</x:v>
      </x:c>
      <x:c r="I59" s="32" t="str">
        <x:v>251</x:v>
      </x:c>
      <x:c r="J59" s="32" t="n">
        <x:f>248</x:f>
        <x:v>248</x:v>
      </x:c>
      <x:c r="K59" s="32" t="n">
        <x:f>4</x:f>
        <x:v>4</x:v>
      </x:c>
      <x:c r="L59" s="32" t="str">
        <x:v>4</x:v>
      </x:c>
      <x:c r="M59" s="32" t="str">
        <x:v>18</x:v>
      </x:c>
      <x:c r="N59" s="32" t="n">
        <x:f>14</x:f>
        <x:v>14</x:v>
      </x:c>
      <x:c r="O59" s="32" t="str">
        <x:v>5</x:v>
      </x:c>
      <x:c r="P59" s="31" t="str">
        <x:v>https://www.topuniversities.com/universities/universiti-sains-malaysia-usm</x:v>
      </x:c>
      <x:c r="Q59" s="31" t="str">
        <x:v>https://www.timeshighereducation.com/world-university-rankings/universiti-sains-malaysia</x:v>
      </x:c>
      <x:c r="R59" s="31" t="str">
        <x:v>https://cgss.usm.my/programmes/postgraduate/coursework/masters-in-sustainable-development-practice-msdp</x:v>
      </x:c>
    </x:row>
    <x:row r="60">
      <x:c r="A60" s="15" t="n">
        <x:v>56</x:v>
      </x:c>
      <x:c r="B60" s="15" t="str">
        <x:v>Hanyang University</x:v>
      </x:c>
      <x:c r="C60" s="15" t="str">
        <x:v>South Korea</x:v>
      </x:c>
      <x:c r="D60" s="15" t="str">
        <x:v>THE Impact</x:v>
      </x:c>
      <x:c r="E60" s="15" t="str">
        <x:v>Master's majors in Global Climate and Environmental Studies</x:v>
      </x:c>
      <x:c r="F60" s="32" t="str">
        <x:v>N/P</x:v>
      </x:c>
      <x:c r="G60" s="32" t="str">
        <x:v>201-220</x:v>
      </x:c>
      <x:c r="H60" s="32" t="n">
        <x:f>121</x:f>
        <x:v>121</x:v>
      </x:c>
      <x:c r="I60" s="32" t="str">
        <x:v>136</x:v>
      </x:c>
      <x:c r="J60" s="32" t="n">
        <x:f>161</x:f>
        <x:v>161</x:v>
      </x:c>
      <x:c r="K60" s="32" t="n">
        <x:f>92</x:f>
        <x:v>92</x:v>
      </x:c>
      <x:c r="L60" s="32" t="str">
        <x:v>101–200</x:v>
      </x:c>
      <x:c r="M60" s="32" t="str">
        <x:v>101–200</x:v>
      </x:c>
      <x:c r="N60" s="32" t="n">
        <x:f>44</x:f>
        <x:v>44</x:v>
      </x:c>
      <x:c r="O60" s="32" t="str">
        <x:v>6</x:v>
      </x:c>
      <x:c r="P60" s="31" t="str">
        <x:v>https://www.topuniversities.com/universities/hanyang-university</x:v>
      </x:c>
      <x:c r="Q60" s="31" t="str">
        <x:v>https://www.timeshighereducation.com/world-university-rankings/hanyang-university</x:v>
      </x:c>
      <x:c r="R60" s="31" t="str">
        <x:v>https://hygce.hanyang.ac.kr/-eng-1</x:v>
      </x:c>
    </x:row>
    <x:row r="61">
      <x:c r="A61" s="15" t="n">
        <x:v>57</x:v>
      </x:c>
      <x:c r="B61" s="15" t="str">
        <x:v>Hokkaido University</x:v>
      </x:c>
      <x:c r="C61" s="15" t="str">
        <x:v>Japan</x:v>
      </x:c>
      <x:c r="D61" s="15" t="str">
        <x:v>THE Impact</x:v>
      </x:c>
      <x:c r="E61" s="15" t="str">
        <x:v>Master's Program, Graduate School of Environmental Science</x:v>
      </x:c>
      <x:c r="F61" s="32" t="str">
        <x:v>N/P</x:v>
      </x:c>
      <x:c r="G61" s="32" t="str">
        <x:v>361-380</x:v>
      </x:c>
      <x:c r="H61" s="32" t="str">
        <x:v>168</x:v>
      </x:c>
      <x:c r="I61" s="32" t="n">
        <x:f>192</x:f>
        <x:v>192</x:v>
      </x:c>
      <x:c r="J61" s="32" t="str">
        <x:v>229</x:v>
      </x:c>
      <x:c r="K61" s="32" t="str">
        <x:v>10</x:v>
      </x:c>
      <x:c r="L61" s="32" t="str">
        <x:v>22</x:v>
      </x:c>
      <x:c r="M61" s="32" t="n">
        <x:f>72</x:f>
        <x:v>72</x:v>
      </x:c>
      <x:c r="N61" s="32" t="n">
        <x:f>44</x:f>
        <x:v>44</x:v>
      </x:c>
      <x:c r="O61" s="32" t="n">
        <x:f>7</x:f>
        <x:v>7</x:v>
      </x:c>
      <x:c r="P61" s="31" t="str">
        <x:v>https://www.topuniversities.com/universities/hokkaido-university</x:v>
      </x:c>
      <x:c r="Q61" s="31" t="str">
        <x:v>https://www.timeshighereducation.com/world-university-rankings/hokkaido-university</x:v>
      </x:c>
      <x:c r="R61" s="31" t="str">
        <x:v>https://www.ees.hokudai.ac.jp/?lang=en</x:v>
      </x:c>
    </x:row>
    <x:row r="62">
      <x:c r="A62" s="15" t="n">
        <x:v>58</x:v>
      </x:c>
      <x:c r="B62" s="15" t="str">
        <x:v>Universiti Kebangsaan Malaysia</x:v>
      </x:c>
      <x:c r="C62" s="15" t="str">
        <x:v>Malaysia</x:v>
      </x:c>
      <x:c r="D62" s="15" t="str">
        <x:v>THE Impact</x:v>
      </x:c>
      <x:c r="E62" s="15" t="str">
        <x:v>Master of Science / Master of Arts in Environment and Development</x:v>
      </x:c>
      <x:c r="F62" s="32" t="str">
        <x:v>N/P</x:v>
      </x:c>
      <x:c r="G62" s="32" t="str">
        <x:v>381-400</x:v>
      </x:c>
      <x:c r="H62" s="32" t="n">
        <x:f>244</x:f>
        <x:v>244</x:v>
      </x:c>
      <x:c r="I62" s="32" t="n">
        <x:f>245</x:f>
        <x:v>245</x:v>
      </x:c>
      <x:c r="J62" s="32" t="n">
        <x:f>208</x:f>
        <x:v>208</x:v>
      </x:c>
      <x:c r="K62" s="32" t="str">
        <x:v>401–600</x:v>
      </x:c>
      <x:c r="L62" s="32" t="str">
        <x:v>401–600</x:v>
      </x:c>
      <x:c r="M62" s="32" t="str">
        <x:v>201–300</x:v>
      </x:c>
      <x:c r="N62" s="32" t="n">
        <x:f>53</x:f>
        <x:v>53</x:v>
      </x:c>
      <x:c r="O62" s="32" t="n">
        <x:f>7</x:f>
        <x:v>7</x:v>
      </x:c>
      <x:c r="P62" s="31" t="str">
        <x:v>https://www.topuniversities.com/universities/universiti-kebangsaan-malaysia-ukm</x:v>
      </x:c>
      <x:c r="Q62" s="31" t="str">
        <x:v>https://www.timeshighereducation.com/world-university-rankings/universiti-kebangsaan-malaysia</x:v>
      </x:c>
      <x:c r="R62" s="31" t="str">
        <x:v>https://www.ukm.my/lestari/program-siswazah/</x:v>
      </x:c>
    </x:row>
    <x:row r="63">
      <x:c r="A63" s="15" t="n">
        <x:v>59</x:v>
      </x:c>
      <x:c r="B63" s="15" t="str">
        <x:v>Institut Agro</x:v>
      </x:c>
      <x:c r="C63" s="15" t="str">
        <x:v>France</x:v>
      </x:c>
      <x:c r="D63" s="15" t="str">
        <x:v>THE Impact</x:v>
      </x:c>
      <x:c r="E63" s="15" t="str">
        <x:v>Master's pathway: Transitions in Environmental and Agrifood Systems Management</x:v>
      </x:c>
      <x:c r="F63" s="32" t="str">
        <x:v>N/P</x:v>
      </x:c>
      <x:c r="G63" s="32" t="str">
        <x:v>NR</x:v>
      </x:c>
      <x:c r="H63" s="32" t="str">
        <x:v>841-860</x:v>
      </x:c>
      <x:c r="I63" s="32" t="str">
        <x:v>921-930</x:v>
      </x:c>
      <x:c r="J63" s="32" t="str">
        <x:v>1051-1060</x:v>
      </x:c>
      <x:c r="K63" s="32" t="str">
        <x:v>NR</x:v>
      </x:c>
      <x:c r="L63" s="32" t="str">
        <x:v>NR</x:v>
      </x:c>
      <x:c r="M63" s="32" t="n">
        <x:f>21</x:f>
        <x:v>21</x:v>
      </x:c>
      <x:c r="N63" s="32" t="n">
        <x:f>23</x:f>
        <x:v>23</x:v>
      </x:c>
      <x:c r="O63" s="32" t="str">
        <x:v>9</x:v>
      </x:c>
      <x:c r="P63" s="31" t="str">
        <x:v>https://www.topuniversities.com/universities/linstitut-agro-linstitut-agro-dijon-linstitut-agro-montpellier-linstitut-agro-rennes-angers</x:v>
      </x:c>
      <x:c r="Q63" s="31" t="str">
        <x:v>https://www.timeshighereducation.com/world-university-rankings/institut-agro</x:v>
      </x:c>
      <x:c r="R63" s="31" t="str">
        <x:v>https://www.institut-agro.fr/fr/nos-formations</x:v>
      </x:c>
    </x:row>
    <x:row r="64">
      <x:c r="A64" s="15" t="n">
        <x:v>60</x:v>
      </x:c>
      <x:c r="B64" s="15" t="str">
        <x:v>National Taiwan University (NTU)</x:v>
      </x:c>
      <x:c r="C64" s="15" t="str">
        <x:v>Taiwan</x:v>
      </x:c>
      <x:c r="D64" s="15" t="str">
        <x:v>THE Impact</x:v>
      </x:c>
      <x:c r="E64" s="15" t="str">
        <x:v>Master's Program in Biodiversity</x:v>
      </x:c>
      <x:c r="F64" s="32" t="str">
        <x:v>N/P</x:v>
      </x:c>
      <x:c r="G64" s="32" t="n">
        <x:f>69</x:f>
        <x:v>69</x:v>
      </x:c>
      <x:c r="H64" s="32" t="n">
        <x:f>94</x:f>
        <x:v>94</x:v>
      </x:c>
      <x:c r="I64" s="32" t="n">
        <x:f>74</x:f>
        <x:v>74</x:v>
      </x:c>
      <x:c r="J64" s="32" t="n">
        <x:f>72</x:f>
        <x:v>72</x:v>
      </x:c>
      <x:c r="K64" s="32" t="n">
        <x:f>37</x:f>
        <x:v>37</x:v>
      </x:c>
      <x:c r="L64" s="32" t="n">
        <x:f>67</x:f>
        <x:v>67</x:v>
      </x:c>
      <x:c r="M64" s="32" t="n">
        <x:f>55</x:f>
        <x:v>55</x:v>
      </x:c>
      <x:c r="N64" s="32" t="n">
        <x:f>14</x:f>
        <x:v>14</x:v>
      </x:c>
      <x:c r="O64" s="32" t="n">
        <x:f>10</x:f>
        <x:v>10</x:v>
      </x:c>
      <x:c r="P64" s="31" t="str">
        <x:v>https://www.topuniversities.com/universities/national-taiwan-university-ntu</x:v>
      </x:c>
      <x:c r="Q64" s="31" t="str">
        <x:v>https://www.timeshighereducation.com/world-university-rankings/national-taiwan-university-ntu</x:v>
      </x:c>
      <x:c r="R64" s="31" t="str">
        <x:v>https://mpb.ntu.edu.tw/about/overview</x:v>
      </x:c>
    </x:row>
    <x:row r="65">
      <x:c r="A65" s="15" t="n">
        <x:v>61</x:v>
      </x:c>
      <x:c r="B65" s="15" t="str">
        <x:v>University of Alberta</x:v>
      </x:c>
      <x:c r="C65" s="15" t="str">
        <x:v>Canada</x:v>
      </x:c>
      <x:c r="D65" s="15" t="str">
        <x:v>THE Impact</x:v>
      </x:c>
      <x:c r="E65" s="15" t="str">
        <x:v>Master of Sustainability</x:v>
      </x:c>
      <x:c r="F65" s="32" t="str">
        <x:v>N/P</x:v>
      </x:c>
      <x:c r="G65" s="32" t="n">
        <x:f>118</x:f>
        <x:v>118</x:v>
      </x:c>
      <x:c r="H65" s="32" t="str">
        <x:v>28</x:v>
      </x:c>
      <x:c r="I65" s="32" t="str">
        <x:v>58</x:v>
      </x:c>
      <x:c r="J65" s="32" t="n">
        <x:f>74</x:f>
        <x:v>74</x:v>
      </x:c>
      <x:c r="K65" s="32" t="str">
        <x:v>11</x:v>
      </x:c>
      <x:c r="L65" s="32" t="n">
        <x:f>7</x:f>
        <x:v>7</x:v>
      </x:c>
      <x:c r="M65" s="32" t="str">
        <x:v>6</x:v>
      </x:c>
      <x:c r="N65" s="32" t="str">
        <x:v>8</x:v>
      </x:c>
      <x:c r="O65" s="32" t="n">
        <x:f>10</x:f>
        <x:v>10</x:v>
      </x:c>
      <x:c r="P65" s="31" t="str">
        <x:v>https://www.topuniversities.com/universities/university-alberta</x:v>
      </x:c>
      <x:c r="Q65" s="31" t="str">
        <x:v>https://www.timeshighereducation.com/world-university-rankings/university-alberta</x:v>
      </x:c>
      <x:c r="R65" s="31" t="str">
        <x:v>https://apps.ualberta.ca/catalogue/course/sust</x:v>
      </x:c>
    </x:row>
    <x:row r="66">
      <x:c r="A66" s="15" t="n">
        <x:v>62</x:v>
      </x:c>
      <x:c r="B66" s="15" t="str">
        <x:v>Korea University</x:v>
      </x:c>
      <x:c r="C66" s="15" t="str">
        <x:v>South Korea</x:v>
      </x:c>
      <x:c r="D66" s="15" t="str">
        <x:v>THE Impact</x:v>
      </x:c>
      <x:c r="E66" s="15" t="str">
        <x:v>Master's in Climatic Environment</x:v>
      </x:c>
      <x:c r="F66" s="32" t="str">
        <x:v>N/P</x:v>
      </x:c>
      <x:c r="G66" s="32" t="str">
        <x:v>241-260</x:v>
      </x:c>
      <x:c r="H66" s="32" t="n">
        <x:f>124</x:f>
        <x:v>124</x:v>
      </x:c>
      <x:c r="I66" s="32" t="str">
        <x:v>101</x:v>
      </x:c>
      <x:c r="J66" s="32" t="n">
        <x:f>92</x:f>
        <x:v>92</x:v>
      </x:c>
      <x:c r="K66" s="32" t="str">
        <x:v>NR</x:v>
      </x:c>
      <x:c r="L66" s="32" t="str">
        <x:v>401–600</x:v>
      </x:c>
      <x:c r="M66" s="32" t="str">
        <x:v>301–400</x:v>
      </x:c>
      <x:c r="N66" s="32" t="n">
        <x:f>71</x:f>
        <x:v>71</x:v>
      </x:c>
      <x:c r="O66" s="32" t="n">
        <x:f>12</x:f>
        <x:v>12</x:v>
      </x:c>
      <x:c r="P66" s="31" t="str">
        <x:v>https://www.topuniversities.com/universities/korea-university</x:v>
      </x:c>
      <x:c r="Q66" s="31" t="str">
        <x:v>https://www.timeshighereducation.com/world-university-rankings/korea-university</x:v>
      </x:c>
      <x:c r="R66" s="31" t="str">
        <x:v>https://gsles.korea.edu/gsles_en/master/subject07.do</x:v>
      </x:c>
    </x:row>
    <x:row r="67">
      <x:c r="A67" s="15" t="n">
        <x:v>63</x:v>
      </x:c>
      <x:c r="B67" s="15" t="str">
        <x:v>Universitas Airlangga</x:v>
      </x:c>
      <x:c r="C67" s="15" t="str">
        <x:v>Indonesia</x:v>
      </x:c>
      <x:c r="D67" s="15" t="str">
        <x:v>THE Impact</x:v>
      </x:c>
      <x:c r="E67" s="15" t="str">
        <x:v>Master of Environmental Health</x:v>
      </x:c>
      <x:c r="F67" s="32" t="str">
        <x:v>N/P</x:v>
      </x:c>
      <x:c r="G67" s="32" t="str">
        <x:v>NR</x:v>
      </x:c>
      <x:c r="H67" s="32" t="n">
        <x:f>579</x:f>
        <x:v>579</x:v>
      </x:c>
      <x:c r="I67" s="32" t="n">
        <x:f>580</x:f>
        <x:v>580</x:v>
      </x:c>
      <x:c r="J67" s="32" t="n">
        <x:f>606</x:f>
        <x:v>606</x:v>
      </x:c>
      <x:c r="K67" s="32" t="str">
        <x:v>201–300</x:v>
      </x:c>
      <x:c r="L67" s="32" t="str">
        <x:v>101–200</x:v>
      </x:c>
      <x:c r="M67" s="32" t="n">
        <x:f>81</x:f>
        <x:v>81</x:v>
      </x:c>
      <x:c r="N67" s="32" t="n">
        <x:f>9</x:f>
        <x:v>9</x:v>
      </x:c>
      <x:c r="O67" s="32" t="str">
        <x:v>15</x:v>
      </x:c>
      <x:c r="P67" s="31" t="str">
        <x:v>https://www.topuniversities.com/universities/universitas-airlangga</x:v>
      </x:c>
      <x:c r="Q67" s="31" t="str">
        <x:v>https://www.timeshighereducation.com/world-university-rankings/universitas-airlangga</x:v>
      </x:c>
      <x:c r="R67" s="31" t="str">
        <x:v>https://s2kesling.fkm.unair.ac.id/</x:v>
      </x:c>
    </x:row>
    <x:row r="68">
      <x:c r="A68" s="15" t="n">
        <x:v>64</x:v>
      </x:c>
      <x:c r="B68" s="15" t="str">
        <x:v>Pusan National University</x:v>
      </x:c>
      <x:c r="C68" s="15" t="str">
        <x:v>South Korea</x:v>
      </x:c>
      <x:c r="D68" s="15" t="str">
        <x:v>THE Impact</x:v>
      </x:c>
      <x:c r="E68" s="15" t="str">
        <x:v>Master's programs, Graduate School of Environment</x:v>
      </x:c>
      <x:c r="F68" s="32" t="str">
        <x:v>N/P</x:v>
      </x:c>
      <x:c r="G68" s="32" t="str">
        <x:v>601+</x:v>
      </x:c>
      <x:c r="H68" s="32" t="n">
        <x:f>242</x:f>
        <x:v>242</x:v>
      </x:c>
      <x:c r="I68" s="32" t="n">
        <x:f>268</x:f>
        <x:v>268</x:v>
      </x:c>
      <x:c r="J68" s="32" t="n">
        <x:f>238</x:f>
        <x:v>238</x:v>
      </x:c>
      <x:c r="K68" s="32" t="str">
        <x:v>301–400</x:v>
      </x:c>
      <x:c r="L68" s="32" t="str">
        <x:v>201–300</x:v>
      </x:c>
      <x:c r="M68" s="32" t="n">
        <x:f>67</x:f>
        <x:v>67</x:v>
      </x:c>
      <x:c r="N68" s="32" t="str">
        <x:v>13</x:v>
      </x:c>
      <x:c r="O68" s="32" t="n">
        <x:f>16</x:f>
        <x:v>16</x:v>
      </x:c>
      <x:c r="P68" s="31" t="str">
        <x:v>https://www.topuniversities.com/universities/pusan-national-university</x:v>
      </x:c>
      <x:c r="Q68" s="31" t="str">
        <x:v>https://www.timeshighereducation.com/world-university-rankings/pusan-national-university</x:v>
      </x:c>
      <x:c r="R68" s="31" t="str">
        <x:v>https://www.pusan.ac.kr/eng/CMS/OrganizationMgr/SpecialGraduateInfo.do?gc_code=280000&amp;gc_parent_code=NONE-009&amp;mCode=MN021</x:v>
      </x:c>
    </x:row>
    <x:row r="69">
      <x:c r="A69" s="15" t="n">
        <x:v>65</x:v>
      </x:c>
      <x:c r="B69" s="15" t="str">
        <x:v>University of Tasmania</x:v>
      </x:c>
      <x:c r="C69" s="15" t="str">
        <x:v>Australia</x:v>
      </x:c>
      <x:c r="D69" s="15" t="str">
        <x:v>THE Impact</x:v>
      </x:c>
      <x:c r="E69" s="15" t="str">
        <x:v>Master of Environmental Geospatial Science</x:v>
      </x:c>
      <x:c r="F69" s="32" t="str">
        <x:v>N/P</x:v>
      </x:c>
      <x:c r="G69" s="32" t="str">
        <x:v>241-260</x:v>
      </x:c>
      <x:c r="H69" s="32" t="str">
        <x:v>123</x:v>
      </x:c>
      <x:c r="I69" s="32" t="n">
        <x:f>124</x:f>
        <x:v>124</x:v>
      </x:c>
      <x:c r="J69" s="32" t="n">
        <x:f>141</x:f>
        <x:v>141</x:v>
      </x:c>
      <x:c r="K69" s="32" t="str">
        <x:v>25</x:v>
      </x:c>
      <x:c r="L69" s="32" t="str">
        <x:v>5</x:v>
      </x:c>
      <x:c r="M69" s="32" t="n">
        <x:f>2</x:f>
        <x:v>2</x:v>
      </x:c>
      <x:c r="N69" s="32" t="n">
        <x:f>4</x:f>
        <x:v>4</x:v>
      </x:c>
      <x:c r="O69" s="32" t="n">
        <x:f>16</x:f>
        <x:v>16</x:v>
      </x:c>
      <x:c r="P69" s="31" t="str">
        <x:v>https://www.topuniversities.com/universities/university-tasmania</x:v>
      </x:c>
      <x:c r="Q69" s="31" t="str">
        <x:v>https://www.timeshighereducation.com/world-university-rankings/university-tasmania</x:v>
      </x:c>
      <x:c r="R69" s="31" t="str">
        <x:v>https://www.utas.edu.au/courses/cse/courses/p7b-master-of-environmental-geospatial-science</x:v>
      </x:c>
    </x:row>
    <x:row r="70">
      <x:c r="A70" s="15" t="n">
        <x:v>66</x:v>
      </x:c>
      <x:c r="B70" s="15" t="str">
        <x:v>McMaster University</x:v>
      </x:c>
      <x:c r="C70" s="15" t="str">
        <x:v>Canada</x:v>
      </x:c>
      <x:c r="D70" s="15" t="str">
        <x:v>THE Impact</x:v>
      </x:c>
      <x:c r="E70" s="15" t="str">
        <x:v>No directly qualifying sustainability/environment master's confirmed</x:v>
      </x:c>
      <x:c r="F70" s="32" t="str">
        <x:v>N/P</x:v>
      </x:c>
      <x:c r="G70" s="32" t="str">
        <x:v>201-220</x:v>
      </x:c>
      <x:c r="H70" s="32" t="n">
        <x:f>78</x:f>
        <x:v>78</x:v>
      </x:c>
      <x:c r="I70" s="32" t="n">
        <x:f>93</x:f>
        <x:v>93</x:v>
      </x:c>
      <x:c r="J70" s="32" t="n">
        <x:f>92</x:f>
        <x:v>92</x:v>
      </x:c>
      <x:c r="K70" s="32" t="n">
        <x:f>37</x:f>
        <x:v>37</x:v>
      </x:c>
      <x:c r="L70" s="32" t="str">
        <x:v>33</x:v>
      </x:c>
      <x:c r="M70" s="32" t="str">
        <x:v>30</x:v>
      </x:c>
      <x:c r="N70" s="32" t="n">
        <x:f>14</x:f>
        <x:v>14</x:v>
      </x:c>
      <x:c r="O70" s="32" t="str">
        <x:v>18</x:v>
      </x:c>
      <x:c r="P70" s="31" t="str">
        <x:v>https://www.topuniversities.com/universities/mcmaster-university</x:v>
      </x:c>
      <x:c r="Q70" s="31" t="str">
        <x:v>https://www.timeshighereducation.com/world-university-rankings/mcmaster-university</x:v>
      </x:c>
      <x:c r="R70" s="31" t="str">
        <x:v>https://continuing.mcmaster.ca/programs/business/sustainability/</x:v>
      </x:c>
    </x:row>
    <x:row r="71">
      <x:c r="A71" s="15" t="n">
        <x:v>67</x:v>
      </x:c>
      <x:c r="B71" s="15" t="str">
        <x:v>Chulalongkorn University</x:v>
      </x:c>
      <x:c r="C71" s="15" t="str">
        <x:v>Thailand</x:v>
      </x:c>
      <x:c r="D71" s="15" t="str">
        <x:v>THE Impact</x:v>
      </x:c>
      <x:c r="E71" s="15" t="str">
        <x:v>MA Environment, Development and Sustainability</x:v>
      </x:c>
      <x:c r="F71" s="32" t="str">
        <x:v>N/P</x:v>
      </x:c>
      <x:c r="G71" s="32" t="str">
        <x:v>151-160</x:v>
      </x:c>
      <x:c r="H71" s="32" t="n">
        <x:f>197</x:f>
        <x:v>197</x:v>
      </x:c>
      <x:c r="I71" s="32" t="n">
        <x:f>168</x:f>
        <x:v>168</x:v>
      </x:c>
      <x:c r="J71" s="32" t="str">
        <x:v>165</x:v>
      </x:c>
      <x:c r="K71" s="32" t="n">
        <x:f>16</x:f>
        <x:v>16</x:v>
      </x:c>
      <x:c r="L71" s="32" t="str">
        <x:v>17</x:v>
      </x:c>
      <x:c r="M71" s="32" t="str">
        <x:v>43</x:v>
      </x:c>
      <x:c r="N71" s="32" t="n">
        <x:f>44</x:f>
        <x:v>44</x:v>
      </x:c>
      <x:c r="O71" s="32" t="str">
        <x:v>19</x:v>
      </x:c>
      <x:c r="P71" s="31" t="str">
        <x:v>https://www.topuniversities.com/universities/chulalongkorn-university</x:v>
      </x:c>
      <x:c r="Q71" s="31" t="str">
        <x:v>https://www.timeshighereducation.com/world-university-rankings/chulalongkorn-university</x:v>
      </x:c>
      <x:c r="R71" s="31" t="str">
        <x:v>https://www.eds.grad.chula.ac.th/academics/degree-program/</x:v>
      </x:c>
    </x:row>
    <x:row r="72">
      <x:c r="A72" s="15" t="n">
        <x:v>68</x:v>
      </x:c>
      <x:c r="B72" s="15" t="str">
        <x:v>Kyungpook National University (KNU)</x:v>
      </x:c>
      <x:c r="C72" s="15" t="str">
        <x:v>South Korea</x:v>
      </x:c>
      <x:c r="D72" s="15" t="str">
        <x:v>THE Impact</x:v>
      </x:c>
      <x:c r="E72" s="15" t="str">
        <x:v>Graduate major in Environmental and Energy Engineering</x:v>
      </x:c>
      <x:c r="F72" s="32" t="str">
        <x:v>N/P</x:v>
      </x:c>
      <x:c r="G72" s="32" t="str">
        <x:v>301-320</x:v>
      </x:c>
      <x:c r="H72" s="32" t="n">
        <x:f>267</x:f>
        <x:v>267</x:v>
      </x:c>
      <x:c r="I72" s="32" t="n">
        <x:f>346</x:f>
        <x:v>346</x:v>
      </x:c>
      <x:c r="J72" s="32" t="n">
        <x:f>357</x:f>
        <x:v>357</x:v>
      </x:c>
      <x:c r="K72" s="32" t="n">
        <x:f>13</x:f>
        <x:v>13</x:v>
      </x:c>
      <x:c r="L72" s="32" t="n">
        <x:f>42</x:f>
        <x:v>42</x:v>
      </x:c>
      <x:c r="M72" s="32" t="n">
        <x:f>39</x:f>
        <x:v>39</x:v>
      </x:c>
      <x:c r="N72" s="32" t="str">
        <x:v>3</x:v>
      </x:c>
      <x:c r="O72" s="32" t="n">
        <x:f>20</x:f>
        <x:v>20</x:v>
      </x:c>
      <x:c r="P72" s="31" t="str">
        <x:v>https://www.topuniversities.com/universities/kyungpook-national-university</x:v>
      </x:c>
      <x:c r="Q72" s="31" t="str">
        <x:v>https://www.timeshighereducation.com/world-university-rankings/kyungpook-national-university-knu</x:v>
      </x:c>
      <x:c r="R72" s="31" t="str">
        <x:v>https://en.knu.ac.kr/admission/foreign02_inc.htm</x:v>
      </x:c>
    </x:row>
    <x:row r="73">
      <x:c r="A73" s="15" t="n">
        <x:v>69</x:v>
      </x:c>
      <x:c r="B73" s="15" t="str">
        <x:v>The Hong Kong University of Science and Technology</x:v>
      </x:c>
      <x:c r="C73" s="15" t="str">
        <x:v>Hong Kong</x:v>
      </x:c>
      <x:c r="D73" s="15" t="str">
        <x:v>THE Impact</x:v>
      </x:c>
      <x:c r="E73" s="15" t="str">
        <x:v>MSc in Environmental Engineering and Management</x:v>
      </x:c>
      <x:c r="F73" s="32" t="str">
        <x:v>N/P</x:v>
      </x:c>
      <x:c r="G73" s="32" t="str">
        <x:v>401-450</x:v>
      </x:c>
      <x:c r="H73" s="32" t="n">
        <x:f>177</x:f>
        <x:v>177</x:v>
      </x:c>
      <x:c r="I73" s="32" t="n">
        <x:f>175</x:f>
        <x:v>175</x:v>
      </x:c>
      <x:c r="J73" s="32" t="n">
        <x:f>210</x:f>
        <x:v>210</x:v>
      </x:c>
      <x:c r="K73" s="32" t="str">
        <x:v>NR</x:v>
      </x:c>
      <x:c r="L73" s="32" t="str">
        <x:v>NR</x:v>
      </x:c>
      <x:c r="M73" s="32" t="n">
        <x:f>19</x:f>
        <x:v>19</x:v>
      </x:c>
      <x:c r="N73" s="32" t="n">
        <x:f>19</x:f>
        <x:v>19</x:v>
      </x:c>
      <x:c r="O73" s="32" t="n">
        <x:f>20</x:f>
        <x:v>20</x:v>
      </x:c>
      <x:c r="P73" s="31" t="str">
        <x:v>https://www.topuniversities.com/universities/hong-kong-university-science-technology</x:v>
      </x:c>
      <x:c r="Q73" s="31" t="str">
        <x:v>https://www.timeshighereducation.com/world-university-rankings/hong-kong-university-science-and-technology</x:v>
      </x:c>
      <x:c r="R73" s="31" t="str">
        <x:v>https://cee.hkust.edu.hk/msc-environmental-engineering-and-management</x:v>
      </x:c>
    </x:row>
    <x:row r="74">
      <x:c r="A74" s="15" t="n">
        <x:v>70</x:v>
      </x:c>
      <x:c r="B74" s="15" t="str">
        <x:v>Lovely Professional University</x:v>
      </x:c>
      <x:c r="C74" s="15" t="str">
        <x:v>India</x:v>
      </x:c>
      <x:c r="D74" s="15" t="str">
        <x:v>THE Impact</x:v>
      </x:c>
      <x:c r="E74" s="15" t="str">
        <x:v>MSc Environmental Sciences</x:v>
      </x:c>
      <x:c r="F74" s="32" t="str">
        <x:v>N/P</x:v>
      </x:c>
      <x:c r="G74" s="32" t="str">
        <x:v>NR</x:v>
      </x:c>
      <x:c r="H74" s="32" t="n">
        <x:f>672</x:f>
        <x:v>672</x:v>
      </x:c>
      <x:c r="I74" s="32" t="n">
        <x:f>749</x:f>
        <x:v>749</x:v>
      </x:c>
      <x:c r="J74" s="32" t="n">
        <x:f>544</x:f>
        <x:v>544</x:v>
      </x:c>
      <x:c r="K74" s="32" t="n">
        <x:f>74</x:f>
        <x:v>74</x:v>
      </x:c>
      <x:c r="L74" s="32" t="str">
        <x:v>101–200</x:v>
      </x:c>
      <x:c r="M74" s="32" t="str">
        <x:v>101–200</x:v>
      </x:c>
      <x:c r="N74" s="32" t="n">
        <x:f>48</x:f>
        <x:v>48</x:v>
      </x:c>
      <x:c r="O74" s="32" t="str">
        <x:v>23</x:v>
      </x:c>
      <x:c r="P74" s="31" t="str">
        <x:v>https://www.topuniversities.com/universities/lovely-professional-university-lpu</x:v>
      </x:c>
      <x:c r="Q74" s="31" t="str">
        <x:v>https://www.timeshighereducation.com/world-university-rankings/lovely-professional-university</x:v>
      </x:c>
      <x:c r="R74" s="31" t="str">
        <x:v>https://www.lpu.in/international/programmes/msc-environmental-sciences</x:v>
      </x:c>
    </x:row>
    <x:row r="75">
      <x:c r="A75" s="15" t="n">
        <x:v>71</x:v>
      </x:c>
      <x:c r="B75" s="15" t="str">
        <x:v>University of Malaya</x:v>
      </x:c>
      <x:c r="C75" s="15" t="str">
        <x:v>Malaysia</x:v>
      </x:c>
      <x:c r="D75" s="15" t="str">
        <x:v>THE Impact</x:v>
      </x:c>
      <x:c r="E75" s="15" t="str">
        <x:v>Master of Sustainability Science</x:v>
      </x:c>
      <x:c r="F75" s="32" t="str">
        <x:v>N/P</x:v>
      </x:c>
      <x:c r="G75" s="32" t="n">
        <x:f>66</x:f>
        <x:v>66</x:v>
      </x:c>
      <x:c r="H75" s="32" t="n">
        <x:f>132</x:f>
        <x:v>132</x:v>
      </x:c>
      <x:c r="I75" s="32" t="n">
        <x:f>115</x:f>
        <x:v>115</x:v>
      </x:c>
      <x:c r="J75" s="32" t="n">
        <x:f>166</x:f>
        <x:v>166</x:v>
      </x:c>
      <x:c r="K75" s="32" t="str">
        <x:v>201–300</x:v>
      </x:c>
      <x:c r="L75" s="32" t="str">
        <x:v>101–200</x:v>
      </x:c>
      <x:c r="M75" s="32" t="str">
        <x:v>63</x:v>
      </x:c>
      <x:c r="N75" s="32" t="n">
        <x:f>25</x:f>
        <x:v>25</x:v>
      </x:c>
      <x:c r="O75" s="32" t="str">
        <x:v>24</x:v>
      </x:c>
      <x:c r="P75" s="31" t="str">
        <x:v>https://www.topuniversities.com/universities/universiti-malaya-um</x:v>
      </x:c>
      <x:c r="Q75" s="31" t="str">
        <x:v>https://www.timeshighereducation.com/world-university-rankings/university-malaya</x:v>
      </x:c>
      <x:c r="R75" s="31" t="str">
        <x:v>https://sts.um.edu.my/master-of-sustainability-science.html</x:v>
      </x:c>
    </x:row>
    <x:row r="76">
      <x:c r="A76" s="15" t="n">
        <x:v>72</x:v>
      </x:c>
      <x:c r="B76" s="15" t="str">
        <x:v>Aalborg University</x:v>
      </x:c>
      <x:c r="C76" s="15" t="str">
        <x:v>Denmark</x:v>
      </x:c>
      <x:c r="D76" s="15" t="str">
        <x:v>THE Impact</x:v>
      </x:c>
      <x:c r="E76" s="15" t="str">
        <x:v>MSc Engineering in Sustainable Cities</x:v>
      </x:c>
      <x:c r="F76" s="32" t="str">
        <x:v>N/P</x:v>
      </x:c>
      <x:c r="G76" s="32" t="str">
        <x:v>341-360</x:v>
      </x:c>
      <x:c r="H76" s="32" t="str">
        <x:v>183</x:v>
      </x:c>
      <x:c r="I76" s="32" t="n">
        <x:f>185</x:f>
        <x:v>185</x:v>
      </x:c>
      <x:c r="J76" s="32" t="n">
        <x:f>148</x:f>
        <x:v>148</x:v>
      </x:c>
      <x:c r="K76" s="32" t="n">
        <x:f>31</x:f>
        <x:v>31</x:v>
      </x:c>
      <x:c r="L76" s="32" t="n">
        <x:f>9</x:f>
        <x:v>9</x:v>
      </x:c>
      <x:c r="M76" s="32" t="str">
        <x:v>4</x:v>
      </x:c>
      <x:c r="N76" s="32" t="n">
        <x:f>9</x:f>
        <x:v>9</x:v>
      </x:c>
      <x:c r="O76" s="32" t="str">
        <x:v>25</x:v>
      </x:c>
      <x:c r="P76" s="31" t="str">
        <x:v>https://www.topuniversities.com/universities/aalborg-university</x:v>
      </x:c>
      <x:c r="Q76" s="31" t="str">
        <x:v>https://www.timeshighereducation.com/world-university-rankings/aalborg-university</x:v>
      </x:c>
      <x:c r="R76" s="31" t="str">
        <x:v>https://www.en.aau.dk/education/master/sustainable-cities</x:v>
      </x:c>
    </x:row>
    <x:row r="77">
      <x:c r="A77" s="15" t="n">
        <x:v>73</x:v>
      </x:c>
      <x:c r="B77" s="15" t="str">
        <x:v>Kyung Hee University</x:v>
      </x:c>
      <x:c r="C77" s="15" t="str">
        <x:v>South Korea</x:v>
      </x:c>
      <x:c r="D77" s="15" t="str">
        <x:v>THE Impact</x:v>
      </x:c>
      <x:c r="E77" s="15" t="str">
        <x:v>Graduate pathway in Environmental Science and Engineering</x:v>
      </x:c>
      <x:c r="F77" s="32" t="str">
        <x:v>N/P</x:v>
      </x:c>
      <x:c r="G77" s="32" t="str">
        <x:v>501-550</x:v>
      </x:c>
      <x:c r="H77" s="32" t="n">
        <x:f>152</x:f>
        <x:v>152</x:v>
      </x:c>
      <x:c r="I77" s="32" t="n">
        <x:f>239</x:f>
        <x:v>239</x:v>
      </x:c>
      <x:c r="J77" s="32" t="n">
        <x:f>244</x:f>
        <x:v>244</x:v>
      </x:c>
      <x:c r="K77" s="32" t="n">
        <x:f>74</x:f>
        <x:v>74</x:v>
      </x:c>
      <x:c r="L77" s="32" t="n">
        <x:f>42</x:f>
        <x:v>42</x:v>
      </x:c>
      <x:c r="M77" s="32" t="str">
        <x:v>23</x:v>
      </x:c>
      <x:c r="N77" s="32" t="n">
        <x:f>19</x:f>
        <x:v>19</x:v>
      </x:c>
      <x:c r="O77" s="32" t="str">
        <x:v>26</x:v>
      </x:c>
      <x:c r="P77" s="31" t="str">
        <x:v>https://www.topuniversities.com/universities/kyung-hee-university</x:v>
      </x:c>
      <x:c r="Q77" s="31" t="str">
        <x:v>https://www.timeshighereducation.com/world-university-rankings/kyung-hee-university</x:v>
      </x:c>
      <x:c r="R77" s="31" t="str">
        <x:v>https://eng.khu.ac.kr/eng_eng/user/contents/view.do?menuNo=17200012</x:v>
      </x:c>
    </x:row>
    <x:row r="78">
      <x:c r="A78" s="15" t="n">
        <x:v>74</x:v>
      </x:c>
      <x:c r="B78" s="15" t="str">
        <x:v>University of Victoria</x:v>
      </x:c>
      <x:c r="C78" s="15" t="str">
        <x:v>Canada</x:v>
      </x:c>
      <x:c r="D78" s="15" t="str">
        <x:v>THE Impact</x:v>
      </x:c>
      <x:c r="E78" s="15" t="str">
        <x:v>MA/MSc Environmental Studies</x:v>
      </x:c>
      <x:c r="F78" s="32" t="str">
        <x:v>N/P</x:v>
      </x:c>
      <x:c r="G78" s="32" t="str">
        <x:v>151-160</x:v>
      </x:c>
      <x:c r="H78" s="32" t="n">
        <x:f>139</x:f>
        <x:v>139</x:v>
      </x:c>
      <x:c r="I78" s="32" t="n">
        <x:f>171</x:f>
        <x:v>171</x:v>
      </x:c>
      <x:c r="J78" s="32" t="n">
        <x:f>197</x:f>
        <x:v>197</x:v>
      </x:c>
      <x:c r="K78" s="32" t="str">
        <x:v>12</x:v>
      </x:c>
      <x:c r="L78" s="32" t="n">
        <x:f>9</x:f>
        <x:v>9</x:v>
      </x:c>
      <x:c r="M78" s="32" t="n">
        <x:f>13</x:f>
        <x:v>13</x:v>
      </x:c>
      <x:c r="N78" s="32" t="n">
        <x:f>14</x:f>
        <x:v>14</x:v>
      </x:c>
      <x:c r="O78" s="32" t="str">
        <x:v>27</x:v>
      </x:c>
      <x:c r="P78" s="31" t="str">
        <x:v>https://www.topuniversities.com/universities/university-victoria-uvic</x:v>
      </x:c>
      <x:c r="Q78" s="31" t="str">
        <x:v>https://www.timeshighereducation.com/world-university-rankings/university-victoria</x:v>
      </x:c>
      <x:c r="R78" s="31" t="str">
        <x:v>https://www.uvic.ca/socialsciences/environmental/programs/graduate/index.php</x:v>
      </x:c>
    </x:row>
    <x:row r="79">
      <x:c r="A79" s="15" t="n">
        <x:v>76</x:v>
      </x:c>
      <x:c r="B79" s="15" t="str">
        <x:v>Central Queensland University</x:v>
      </x:c>
      <x:c r="C79" s="15" t="str">
        <x:v>Australia</x:v>
      </x:c>
      <x:c r="D79" s="15" t="str">
        <x:v>THE Impact</x:v>
      </x:c>
      <x:c r="E79" s="15" t="str">
        <x:v>Master of Sustainable Development</x:v>
      </x:c>
      <x:c r="F79" s="32" t="str">
        <x:v>N/P</x:v>
      </x:c>
      <x:c r="G79" s="32" t="str">
        <x:v>NR</x:v>
      </x:c>
      <x:c r="H79" s="32" t="n">
        <x:f>320</x:f>
        <x:v>320</x:v>
      </x:c>
      <x:c r="I79" s="32" t="n">
        <x:f>420</x:f>
        <x:v>420</x:v>
      </x:c>
      <x:c r="J79" s="32" t="n">
        <x:f>389</x:f>
        <x:v>389</x:v>
      </x:c>
      <x:c r="K79" s="32" t="n">
        <x:f>83</x:f>
        <x:v>83</x:v>
      </x:c>
      <x:c r="L79" s="32" t="n">
        <x:f>74</x:f>
        <x:v>74</x:v>
      </x:c>
      <x:c r="M79" s="32" t="n">
        <x:f>52</x:f>
        <x:v>52</x:v>
      </x:c>
      <x:c r="N79" s="32" t="n">
        <x:f>25</x:f>
        <x:v>25</x:v>
      </x:c>
      <x:c r="O79" s="32" t="str">
        <x:v>29</x:v>
      </x:c>
      <x:c r="P79" s="31" t="str">
        <x:v>https://www.topuniversities.com/universities/central-queensland-university-cquniversity-australia</x:v>
      </x:c>
      <x:c r="Q79" s="31" t="str">
        <x:v>https://www.timeshighereducation.com/world-university-rankings/central-queensland-university</x:v>
      </x:c>
      <x:c r="R79" s="31" t="str">
        <x:v>https://handbook.cqu.edu.au/he/courses/view/CM82/HT1/2025</x:v>
      </x:c>
    </x:row>
    <x:row r="80">
      <x:c r="A80" s="15" t="n">
        <x:v>77</x:v>
      </x:c>
      <x:c r="B80" s="15" t="str">
        <x:v>University of Newcastle</x:v>
      </x:c>
      <x:c r="C80" s="15" t="str">
        <x:v>Australia</x:v>
      </x:c>
      <x:c r="D80" s="15" t="str">
        <x:v>THE Impact</x:v>
      </x:c>
      <x:c r="E80" s="15" t="str">
        <x:v>Master of Environmental Management and Sustainability</x:v>
      </x:c>
      <x:c r="F80" s="32" t="str">
        <x:v>N/P</x:v>
      </x:c>
      <x:c r="G80" s="32" t="str">
        <x:v>89</x:v>
      </x:c>
      <x:c r="H80" s="32" t="str">
        <x:v>74</x:v>
      </x:c>
      <x:c r="I80" s="32" t="n">
        <x:f>112</x:f>
        <x:v>112</x:v>
      </x:c>
      <x:c r="J80" s="32" t="str">
        <x:v>132</x:v>
      </x:c>
      <x:c r="K80" s="32" t="str">
        <x:v>30</x:v>
      </x:c>
      <x:c r="L80" s="32" t="str">
        <x:v>28</x:v>
      </x:c>
      <x:c r="M80" s="32" t="n">
        <x:f>39</x:f>
        <x:v>39</x:v>
      </x:c>
      <x:c r="N80" s="32" t="str">
        <x:v>39</x:v>
      </x:c>
      <x:c r="O80" s="32" t="str">
        <x:v>30</x:v>
      </x:c>
      <x:c r="P80" s="31" t="str">
        <x:v>https://www.topuniversities.com/universities/university-newcastle-australia-uon</x:v>
      </x:c>
      <x:c r="Q80" s="31" t="str">
        <x:v>https://www.timeshighereducation.com/world-university-rankings/university-newcastle</x:v>
      </x:c>
      <x:c r="R80" s="31" t="str">
        <x:v>https://www.newcastle.edu.au/degrees/master-environmental-management-sustainability</x:v>
      </x:c>
    </x:row>
    <x:row r="81">
      <x:c r="A81" s="15" t="n">
        <x:v>78</x:v>
      </x:c>
      <x:c r="B81" s="15" t="str">
        <x:v>Northumbria University</x:v>
      </x:c>
      <x:c r="C81" s="15" t="str">
        <x:v>United Kingdom</x:v>
      </x:c>
      <x:c r="D81" s="15" t="str">
        <x:v>THE Impact</x:v>
      </x:c>
      <x:c r="E81" s="15" t="str">
        <x:v>MSc Disaster Management and Sustainable Development</x:v>
      </x:c>
      <x:c r="F81" s="32" t="str">
        <x:v>N/P</x:v>
      </x:c>
      <x:c r="G81" s="32" t="str">
        <x:v>501-550</x:v>
      </x:c>
      <x:c r="H81" s="32" t="n">
        <x:f>183</x:f>
        <x:v>183</x:v>
      </x:c>
      <x:c r="I81" s="32" t="n">
        <x:f>202</x:f>
        <x:v>202</x:v>
      </x:c>
      <x:c r="J81" s="32" t="n">
        <x:f>161</x:f>
        <x:v>161</x:v>
      </x:c>
      <x:c r="K81" s="32" t="str">
        <x:v>101–200</x:v>
      </x:c>
      <x:c r="L81" s="32" t="n">
        <x:f>79</x:f>
        <x:v>79</x:v>
      </x:c>
      <x:c r="M81" s="32" t="n">
        <x:f>48</x:f>
        <x:v>48</x:v>
      </x:c>
      <x:c r="N81" s="32" t="n">
        <x:f>53</x:f>
        <x:v>53</x:v>
      </x:c>
      <x:c r="O81" s="32" t="n">
        <x:f>31</x:f>
        <x:v>31</x:v>
      </x:c>
      <x:c r="P81" s="31" t="str">
        <x:v>https://www.topuniversities.com/universities/northumbria-university-newcastle</x:v>
      </x:c>
      <x:c r="Q81" s="31" t="str">
        <x:v>https://www.timeshighereducation.com/world-university-rankings/northumbria-university</x:v>
      </x:c>
      <x:c r="R81" s="31" t="str">
        <x:v>https://www.northumbria.ac.uk/study-at-northumbria/courses/disaster-management-and-sustainable-development-with-advanced-practice-msc-ft-dtsdds6/</x:v>
      </x:c>
    </x:row>
    <x:row r="82">
      <x:c r="A82" s="15" t="n">
        <x:v>79</x:v>
      </x:c>
      <x:c r="B82" s="15" t="str">
        <x:v>University of Indonesia</x:v>
      </x:c>
      <x:c r="C82" s="15" t="str">
        <x:v>Indonesia</x:v>
      </x:c>
      <x:c r="D82" s="15" t="str">
        <x:v>THE Impact</x:v>
      </x:c>
      <x:c r="E82" s="15" t="str">
        <x:v>Master of Environmental Science</x:v>
      </x:c>
      <x:c r="F82" s="32" t="str">
        <x:v>N/P</x:v>
      </x:c>
      <x:c r="G82" s="32" t="str">
        <x:v>281-300</x:v>
      </x:c>
      <x:c r="H82" s="32" t="n">
        <x:f>426</x:f>
        <x:v>426</x:v>
      </x:c>
      <x:c r="I82" s="32" t="n">
        <x:f>492</x:f>
        <x:v>492</x:v>
      </x:c>
      <x:c r="J82" s="32" t="n">
        <x:f>431</x:f>
        <x:v>431</x:v>
      </x:c>
      <x:c r="K82" s="32" t="str">
        <x:v>18</x:v>
      </x:c>
      <x:c r="L82" s="32" t="str">
        <x:v>20</x:v>
      </x:c>
      <x:c r="M82" s="32" t="str">
        <x:v>31</x:v>
      </x:c>
      <x:c r="N82" s="32" t="str">
        <x:v>30</x:v>
      </x:c>
      <x:c r="O82" s="32" t="n">
        <x:f>31</x:f>
        <x:v>31</x:v>
      </x:c>
      <x:c r="P82" s="31" t="str">
        <x:v>https://www.topuniversities.com/universities/universitas-indonesia</x:v>
      </x:c>
      <x:c r="Q82" s="31" t="str">
        <x:v>https://www.timeshighereducation.com/world-university-rankings/university-indonesia</x:v>
      </x:c>
      <x:c r="R82" s="31" t="str">
        <x:v>https://sil.ui.ac.id/en/master-of-environmental-science/</x:v>
      </x:c>
    </x:row>
    <x:row r="83">
      <x:c r="A83" s="15" t="n">
        <x:v>80</x:v>
      </x:c>
      <x:c r="B83" s="15" t="str">
        <x:v>An-Najah National University</x:v>
      </x:c>
      <x:c r="C83" s="15" t="str">
        <x:v>Palestine</x:v>
      </x:c>
      <x:c r="D83" s="15" t="str">
        <x:v>THE Impact</x:v>
      </x:c>
      <x:c r="E83" s="15" t="str">
        <x:v>MSc Environmental Sciences</x:v>
      </x:c>
      <x:c r="F83" s="32" t="str">
        <x:v>N/P</x:v>
      </x:c>
      <x:c r="G83" s="32" t="str">
        <x:v>NR</x:v>
      </x:c>
      <x:c r="H83" s="32" t="str">
        <x:v>NR</x:v>
      </x:c>
      <x:c r="I83" s="32" t="n">
        <x:f>820</x:f>
        <x:v>820</x:v>
      </x:c>
      <x:c r="J83" s="32" t="n">
        <x:f>787</x:f>
        <x:v>787</x:v>
      </x:c>
      <x:c r="K83" s="32" t="str">
        <x:v>101–200</x:v>
      </x:c>
      <x:c r="L83" s="32" t="str">
        <x:v>201–300</x:v>
      </x:c>
      <x:c r="M83" s="32" t="str">
        <x:v>201–300</x:v>
      </x:c>
      <x:c r="N83" s="32" t="n">
        <x:f>82</x:f>
        <x:v>82</x:v>
      </x:c>
      <x:c r="O83" s="32" t="n">
        <x:f>33</x:f>
        <x:v>33</x:v>
      </x:c>
      <x:c r="P83" s="31" t="str">
        <x:v>https://www.topuniversities.com/universities/najah-national-university</x:v>
      </x:c>
      <x:c r="Q83" s="31" t="str">
        <x:v>https://www.timeshighereducation.com/world-university-rankings/najah-national-university</x:v>
      </x:c>
      <x:c r="R83" s="31" t="str">
        <x:v>https://www.najah.edu/en/academic/postgraduate-programs/program/environmental-sciences/info-card/</x:v>
      </x:c>
    </x:row>
    <x:row r="84">
      <x:c r="A84" s="15" t="n">
        <x:v>81</x:v>
      </x:c>
      <x:c r="B84" s="15" t="str">
        <x:v>Arizona State University (Tempe)</x:v>
      </x:c>
      <x:c r="C84" s="15" t="str">
        <x:v>United States</x:v>
      </x:c>
      <x:c r="D84" s="15" t="str">
        <x:v>THE Impact</x:v>
      </x:c>
      <x:c r="E84" s="15" t="str">
        <x:v>Master of Sustainability Solutions</x:v>
      </x:c>
      <x:c r="F84" s="32" t="str">
        <x:v>N/P</x:v>
      </x:c>
      <x:c r="G84" s="32" t="str">
        <x:v>24</x:v>
      </x:c>
      <x:c r="H84" s="32" t="n">
        <x:f>41</x:f>
        <x:v>41</x:v>
      </x:c>
      <x:c r="I84" s="32" t="n">
        <x:f>102</x:f>
        <x:v>102</x:v>
      </x:c>
      <x:c r="J84" s="32" t="n">
        <x:f>110</x:f>
        <x:v>110</x:v>
      </x:c>
      <x:c r="K84" s="32" t="str">
        <x:v>2</x:v>
      </x:c>
      <x:c r="L84" s="32" t="str">
        <x:v>6</x:v>
      </x:c>
      <x:c r="M84" s="32" t="str">
        <x:v>9</x:v>
      </x:c>
      <x:c r="N84" s="32" t="n">
        <x:f>6</x:f>
        <x:v>6</x:v>
      </x:c>
      <x:c r="O84" s="32" t="n">
        <x:f>33</x:f>
        <x:v>33</x:v>
      </x:c>
      <x:c r="P84" s="31" t="str">
        <x:v>https://www.topuniversities.com/universities/arizona-state-university</x:v>
      </x:c>
      <x:c r="Q84" s="31" t="str">
        <x:v>https://www.timeshighereducation.com/world-university-rankings/arizona-state-university-tempe</x:v>
      </x:c>
      <x:c r="R84" s="31" t="str">
        <x:v>https://degrees.apps.asu.edu/masters-phd/major/ASU00/SUSUSOMSUS/sustainability-solutions-msus?init=false&amp;nopassive=true</x:v>
      </x:c>
    </x:row>
    <x:row r="85">
      <x:c r="A85" s="15" t="n">
        <x:v>82</x:v>
      </x:c>
      <x:c r="B85" s="15" t="str">
        <x:v>King Faisal University</x:v>
      </x:c>
      <x:c r="C85" s="15" t="str">
        <x:v>Saudi Arabia</x:v>
      </x:c>
      <x:c r="D85" s="15" t="str">
        <x:v>THE Impact</x:v>
      </x:c>
      <x:c r="E85" s="15" t="str">
        <x:v>MSc Agricultural Systems Engineering - Environmental Systems discipline</x:v>
      </x:c>
      <x:c r="F85" s="32" t="str">
        <x:v>N/P</x:v>
      </x:c>
      <x:c r="G85" s="32" t="str">
        <x:v>NR</x:v>
      </x:c>
      <x:c r="H85" s="32" t="str">
        <x:v>1201+</x:v>
      </x:c>
      <x:c r="I85" s="32" t="n">
        <x:f>631</x:f>
        <x:v>631</x:v>
      </x:c>
      <x:c r="J85" s="32" t="n">
        <x:f>488</x:f>
        <x:v>488</x:v>
      </x:c>
      <x:c r="K85" s="32" t="str">
        <x:v>201–300</x:v>
      </x:c>
      <x:c r="L85" s="32" t="str">
        <x:v>101–200</x:v>
      </x:c>
      <x:c r="M85" s="32" t="str">
        <x:v>99</x:v>
      </x:c>
      <x:c r="N85" s="32" t="str">
        <x:v>40</x:v>
      </x:c>
      <x:c r="O85" s="32" t="str">
        <x:v>35</x:v>
      </x:c>
      <x:c r="P85" s="31" t="str">
        <x:v>https://www.topuniversities.com/universities/king-faisal-university</x:v>
      </x:c>
      <x:c r="Q85" s="31" t="str">
        <x:v>https://www.timeshighereducation.com/world-university-rankings/king-faisal-university</x:v>
      </x:c>
      <x:c r="R85" s="31" t="str">
        <x:v>https://www.kfu.edu.sa/ar/Deans/HigherStudies/Documents/custompages/studyplans/MSc_Agriculture_Engineering_Information.pdf</x:v>
      </x:c>
    </x:row>
    <x:row r="86">
      <x:c r="A86" s="15" t="n">
        <x:v>83</x:v>
      </x:c>
      <x:c r="B86" s="15" t="str">
        <x:v>Flinders University</x:v>
      </x:c>
      <x:c r="C86" s="15" t="str">
        <x:v>Australia</x:v>
      </x:c>
      <x:c r="D86" s="15" t="str">
        <x:v>THE Impact</x:v>
      </x:c>
      <x:c r="E86" s="15" t="str">
        <x:v>Master of Environmental Management and Sustainability</x:v>
      </x:c>
      <x:c r="F86" s="32" t="str">
        <x:v>N/P</x:v>
      </x:c>
      <x:c r="G86" s="32" t="str">
        <x:v>221-240</x:v>
      </x:c>
      <x:c r="H86" s="32" t="str">
        <x:v>112</x:v>
      </x:c>
      <x:c r="I86" s="32" t="n">
        <x:f>153</x:f>
        <x:v>153</x:v>
      </x:c>
      <x:c r="J86" s="32" t="n">
        <x:f>205</x:f>
        <x:v>205</x:v>
      </x:c>
      <x:c r="K86" s="32" t="str">
        <x:v>NR</x:v>
      </x:c>
      <x:c r="L86" s="32" t="str">
        <x:v>NR</x:v>
      </x:c>
      <x:c r="M86" s="32" t="str">
        <x:v>NR</x:v>
      </x:c>
      <x:c r="N86" s="32" t="n">
        <x:f>21</x:f>
        <x:v>21</x:v>
      </x:c>
      <x:c r="O86" s="32" t="str">
        <x:v>36</x:v>
      </x:c>
      <x:c r="P86" s="31" t="str">
        <x:v>https://www.topuniversities.com/universities/flinders-university</x:v>
      </x:c>
      <x:c r="Q86" s="31" t="str">
        <x:v>https://www.timeshighereducation.com/world-university-rankings/flinders-university</x:v>
      </x:c>
      <x:c r="R86" s="31" t="str">
        <x:v>https://www.flinders.edu.au/study/courses/postgraduate-environmental-management-sustainability</x:v>
      </x:c>
    </x:row>
    <x:row r="87">
      <x:c r="A87" s="15" t="n">
        <x:v>84</x:v>
      </x:c>
      <x:c r="B87" s="15" t="str">
        <x:v>Amrita Vishwa Vidyapeetham</x:v>
      </x:c>
      <x:c r="C87" s="15" t="str">
        <x:v>India</x:v>
      </x:c>
      <x:c r="D87" s="15" t="str">
        <x:v>THE Impact</x:v>
      </x:c>
      <x:c r="E87" s="15" t="str">
        <x:v>No standalone sustainability/environment master's confirmed</x:v>
      </x:c>
      <x:c r="F87" s="32" t="str">
        <x:v>N/P</x:v>
      </x:c>
      <x:c r="G87" s="32" t="str">
        <x:v>NR</x:v>
      </x:c>
      <x:c r="H87" s="32" t="str">
        <x:v>NR</x:v>
      </x:c>
      <x:c r="I87" s="32" t="str">
        <x:v>1501+</x:v>
      </x:c>
      <x:c r="J87" s="32" t="str">
        <x:v>1501+</x:v>
      </x:c>
      <x:c r="K87" s="32" t="str">
        <x:v>41</x:v>
      </x:c>
      <x:c r="L87" s="32" t="n">
        <x:f>52</x:f>
        <x:v>52</x:v>
      </x:c>
      <x:c r="M87" s="32" t="n">
        <x:f>81</x:f>
        <x:v>81</x:v>
      </x:c>
      <x:c r="N87" s="32" t="n">
        <x:f>41</x:f>
        <x:v>41</x:v>
      </x:c>
      <x:c r="O87" s="32" t="n">
        <x:f>37</x:f>
        <x:v>37</x:v>
      </x:c>
      <x:c r="P87" s="31" t="str">
        <x:v>https://www.topuniversities.com/universities/amrita-vishwa-vidyapeetham</x:v>
      </x:c>
      <x:c r="Q87" s="31" t="str">
        <x:v>https://www.timeshighereducation.com/world-university-rankings/amrita-vishwa-vidyapeetham</x:v>
      </x:c>
      <x:c r="R87" s="31" t="str">
        <x:v>https://www.amrita.edu/course/environmental-science-and-sustainability-6/</x:v>
      </x:c>
    </x:row>
    <x:row r="88">
      <x:c r="A88" s="15" t="n">
        <x:v>85</x:v>
      </x:c>
      <x:c r="B88" s="15" t="str">
        <x:v>Queen's University Belfast</x:v>
      </x:c>
      <x:c r="C88" s="15" t="str">
        <x:v>United Kingdom</x:v>
      </x:c>
      <x:c r="D88" s="15" t="str">
        <x:v>THE Impact</x:v>
      </x:c>
      <x:c r="E88" s="15" t="str">
        <x:v>MSc Leadership for Sustainable Development</x:v>
      </x:c>
      <x:c r="F88" s="32" t="str">
        <x:v>N/P</x:v>
      </x:c>
      <x:c r="G88" s="32" t="str">
        <x:v>108</x:v>
      </x:c>
      <x:c r="H88" s="32" t="n">
        <x:f>103</x:f>
        <x:v>103</x:v>
      </x:c>
      <x:c r="I88" s="32" t="str">
        <x:v>67</x:v>
      </x:c>
      <x:c r="J88" s="32" t="n">
        <x:f>86</x:f>
        <x:v>86</x:v>
      </x:c>
      <x:c r="K88" s="32" t="n">
        <x:f>85</x:f>
        <x:v>85</x:v>
      </x:c>
      <x:c r="L88" s="32" t="str">
        <x:v>85</x:v>
      </x:c>
      <x:c r="M88" s="32" t="str">
        <x:v>101–200</x:v>
      </x:c>
      <x:c r="N88" s="32" t="str">
        <x:v>79</x:v>
      </x:c>
      <x:c r="O88" s="32" t="n">
        <x:f>37</x:f>
        <x:v>37</x:v>
      </x:c>
      <x:c r="P88" s="31" t="str">
        <x:v>https://www.topuniversities.com/universities/queens-university-belfast</x:v>
      </x:c>
      <x:c r="Q88" s="31" t="str">
        <x:v>https://www.timeshighereducation.com/world-university-rankings/queens-university-belfast</x:v>
      </x:c>
      <x:c r="R88" s="31" t="str">
        <x:v>https://www.qub.ac.uk/courses/postgraduate-taught/leadership-sustainable-development-msc/</x:v>
      </x:c>
    </x:row>
    <x:row r="89">
      <x:c r="A89" s="15" t="n">
        <x:v>86</x:v>
      </x:c>
      <x:c r="B89" s="15" t="str">
        <x:v>Near East University</x:v>
      </x:c>
      <x:c r="C89" s="15" t="str">
        <x:v>Northern Cyprus</x:v>
      </x:c>
      <x:c r="D89" s="15" t="str">
        <x:v>THE Impact</x:v>
      </x:c>
      <x:c r="E89" s="15" t="str">
        <x:v>Master's in Environmental Education</x:v>
      </x:c>
      <x:c r="F89" s="32" t="str">
        <x:v>N/P</x:v>
      </x:c>
      <x:c r="G89" s="32" t="str">
        <x:v>NR</x:v>
      </x:c>
      <x:c r="H89" s="32" t="str">
        <x:v>NR</x:v>
      </x:c>
      <x:c r="I89" s="32" t="str">
        <x:v>1201-1250</x:v>
      </x:c>
      <x:c r="J89" s="32" t="str">
        <x:v>1101-1150</x:v>
      </x:c>
      <x:c r="K89" s="32" t="str">
        <x:v>401–600</x:v>
      </x:c>
      <x:c r="L89" s="32" t="str">
        <x:v>401–600</x:v>
      </x:c>
      <x:c r="M89" s="32" t="str">
        <x:v>201–300</x:v>
      </x:c>
      <x:c r="N89" s="32" t="str">
        <x:v>43</x:v>
      </x:c>
      <x:c r="O89" s="32" t="n">
        <x:f>39</x:f>
        <x:v>39</x:v>
      </x:c>
      <x:c r="P89" s="31" t="str">
        <x:v>https://www.topuniversities.com/universities/near-east-university</x:v>
      </x:c>
      <x:c r="Q89" s="31" t="str">
        <x:v>https://www.timeshighereducation.com/world-university-rankings/near-east-university</x:v>
      </x:c>
      <x:c r="R89" s="31" t="str">
        <x:v>https://sustainability.neu.edu.tr/education/sustainability-programmes/</x:v>
      </x:c>
    </x:row>
    <x:row r="90">
      <x:c r="A90" s="15" t="n">
        <x:v>87</x:v>
      </x:c>
      <x:c r="B90" s="15" t="str">
        <x:v>University of Johannesburg</x:v>
      </x:c>
      <x:c r="C90" s="15" t="str">
        <x:v>South Africa</x:v>
      </x:c>
      <x:c r="D90" s="15" t="str">
        <x:v>THE Impact</x:v>
      </x:c>
      <x:c r="E90" s="15" t="str">
        <x:v>Master's in Sustainability Management</x:v>
      </x:c>
      <x:c r="F90" s="32" t="str">
        <x:v>N/P</x:v>
      </x:c>
      <x:c r="G90" s="32" t="str">
        <x:v>171-180</x:v>
      </x:c>
      <x:c r="H90" s="32" t="str">
        <x:v>239</x:v>
      </x:c>
      <x:c r="I90" s="32" t="n">
        <x:f>243</x:f>
        <x:v>243</x:v>
      </x:c>
      <x:c r="J90" s="32" t="n">
        <x:f>255</x:f>
        <x:v>255</x:v>
      </x:c>
      <x:c r="K90" s="32" t="str">
        <x:v>69</x:v>
      </x:c>
      <x:c r="L90" s="32" t="n">
        <x:f>46</x:f>
        <x:v>46</x:v>
      </x:c>
      <x:c r="M90" s="32" t="n">
        <x:f>36</x:f>
        <x:v>36</x:v>
      </x:c>
      <x:c r="N90" s="32" t="n">
        <x:f>23</x:f>
        <x:v>23</x:v>
      </x:c>
      <x:c r="O90" s="32" t="n">
        <x:f>39</x:f>
        <x:v>39</x:v>
      </x:c>
      <x:c r="P90" s="31" t="str">
        <x:v>https://www.topuniversities.com/universities/university-johannesburg</x:v>
      </x:c>
      <x:c r="Q90" s="31" t="str">
        <x:v>https://www.timeshighereducation.com/world-university-rankings/university-johannesburg</x:v>
      </x:c>
      <x:c r="R90" s="31" t="str">
        <x:v>https://www.uj.ac.za/university-courses/masters-in-sustainability-management/</x:v>
      </x:c>
    </x:row>
    <x:row r="91">
      <x:c r="A91" s="15" t="n">
        <x:v>88</x:v>
      </x:c>
      <x:c r="B91" s="15" t="str">
        <x:v>Universitas Gadjah Mada</x:v>
      </x:c>
      <x:c r="C91" s="15" t="str">
        <x:v>Indonesia</x:v>
      </x:c>
      <x:c r="D91" s="15" t="str">
        <x:v>THE Impact</x:v>
      </x:c>
      <x:c r="E91" s="15" t="str">
        <x:v>Master in Environmental Science</x:v>
      </x:c>
      <x:c r="F91" s="32" t="str">
        <x:v>N/P</x:v>
      </x:c>
      <x:c r="G91" s="32" t="str">
        <x:v>281-300</x:v>
      </x:c>
      <x:c r="H91" s="32" t="n">
        <x:f>476</x:f>
        <x:v>476</x:v>
      </x:c>
      <x:c r="I91" s="32" t="n">
        <x:f>383</x:f>
        <x:v>383</x:v>
      </x:c>
      <x:c r="J91" s="32" t="n">
        <x:f>409</x:f>
        <x:v>409</x:v>
      </x:c>
      <x:c r="K91" s="32" t="str">
        <x:v>87</x:v>
      </x:c>
      <x:c r="L91" s="32" t="str">
        <x:v>101–200</x:v>
      </x:c>
      <x:c r="M91" s="32" t="str">
        <x:v>101–200</x:v>
      </x:c>
      <x:c r="N91" s="32" t="n">
        <x:f>82</x:f>
        <x:v>82</x:v>
      </x:c>
      <x:c r="O91" s="32" t="n">
        <x:f>41</x:f>
        <x:v>41</x:v>
      </x:c>
      <x:c r="P91" s="31" t="str">
        <x:v>https://www.topuniversities.com/universities/gadjah-mada-university</x:v>
      </x:c>
      <x:c r="Q91" s="31" t="str">
        <x:v>https://www.timeshighereducation.com/world-university-rankings/universitas-gadjah-mada</x:v>
      </x:c>
      <x:c r="R91" s="31" t="str">
        <x:v>https://admissions.ugm.ac.id/v26/program-studi/magister-ilmu-lingkungan-master-in-environmental-science/</x:v>
      </x:c>
    </x:row>
    <x:row r="92">
      <x:c r="A92" s="15" t="n">
        <x:v>89</x:v>
      </x:c>
      <x:c r="B92" s="15" t="str">
        <x:v>University of Wollongong</x:v>
      </x:c>
      <x:c r="C92" s="15" t="str">
        <x:v>Australia</x:v>
      </x:c>
      <x:c r="D92" s="15" t="str">
        <x:v>THE Impact</x:v>
      </x:c>
      <x:c r="E92" s="15" t="str">
        <x:v>Master of Earth and Environmental Sciences</x:v>
      </x:c>
      <x:c r="F92" s="32" t="str">
        <x:v>N/P</x:v>
      </x:c>
      <x:c r="G92" s="32" t="str">
        <x:v>85</x:v>
      </x:c>
      <x:c r="H92" s="32" t="n">
        <x:f>62</x:f>
        <x:v>62</x:v>
      </x:c>
      <x:c r="I92" s="32" t="n">
        <x:f>98</x:f>
        <x:v>98</x:v>
      </x:c>
      <x:c r="J92" s="32" t="str">
        <x:v>138</x:v>
      </x:c>
      <x:c r="K92" s="32" t="n">
        <x:f>70</x:f>
        <x:v>70</x:v>
      </x:c>
      <x:c r="L92" s="32" t="n">
        <x:f>61</x:f>
        <x:v>61</x:v>
      </x:c>
      <x:c r="M92" s="32" t="n">
        <x:f>44</x:f>
        <x:v>44</x:v>
      </x:c>
      <x:c r="N92" s="32" t="n">
        <x:f>31</x:f>
        <x:v>31</x:v>
      </x:c>
      <x:c r="O92" s="32" t="n">
        <x:f>41</x:f>
        <x:v>41</x:v>
      </x:c>
      <x:c r="P92" s="31" t="str">
        <x:v>https://www.topuniversities.com/universities/university-wollongong</x:v>
      </x:c>
      <x:c r="Q92" s="31" t="str">
        <x:v>https://www.timeshighereducation.com/world-university-rankings/university-wollongong</x:v>
      </x:c>
      <x:c r="R92" s="31" t="str">
        <x:v>https://www.uow.edu.au/study/courses/master-of-earth-and-environmental-sciences/</x:v>
      </x:c>
    </x:row>
    <x:row r="93">
      <x:c r="A93" s="15" t="n">
        <x:v>90</x:v>
      </x:c>
      <x:c r="B93" s="15" t="str">
        <x:v>Yonsei University (Seoul campus)</x:v>
      </x:c>
      <x:c r="C93" s="15" t="str">
        <x:v>South Korea</x:v>
      </x:c>
      <x:c r="D93" s="15" t="str">
        <x:v>THE Impact</x:v>
      </x:c>
      <x:c r="E93" s="15" t="str">
        <x:v>Master of Global Civic Studies - Global Citizenship and Sustainable Development</x:v>
      </x:c>
      <x:c r="F93" s="32" t="str">
        <x:v>N/P</x:v>
      </x:c>
      <x:c r="G93" s="32" t="str">
        <x:v>341-360</x:v>
      </x:c>
      <x:c r="H93" s="32" t="n">
        <x:f>103</x:f>
        <x:v>103</x:v>
      </x:c>
      <x:c r="I93" s="32" t="str">
        <x:v>86</x:v>
      </x:c>
      <x:c r="J93" s="32" t="n">
        <x:f>92</x:f>
        <x:v>92</x:v>
      </x:c>
      <x:c r="K93" s="32" t="n">
        <x:f>27</x:f>
        <x:v>27</x:v>
      </x:c>
      <x:c r="L93" s="32" t="n">
        <x:f>14</x:f>
        <x:v>14</x:v>
      </x:c>
      <x:c r="M93" s="32" t="str">
        <x:v>11</x:v>
      </x:c>
      <x:c r="N93" s="32" t="n">
        <x:f>21</x:f>
        <x:v>21</x:v>
      </x:c>
      <x:c r="O93" s="32" t="n">
        <x:f>41</x:f>
        <x:v>41</x:v>
      </x:c>
      <x:c r="P93" s="31" t="str">
        <x:v>https://www.topuniversities.com/universities/yonsei-university</x:v>
      </x:c>
      <x:c r="Q93" s="31" t="str">
        <x:v>https://www.timeshighereducation.com/world-university-rankings/yonsei-university-seoul-campus</x:v>
      </x:c>
      <x:c r="R93" s="31" t="str">
        <x:v>https://lawschool.yonsei.ac.kr/gsis/intro/status.do</x:v>
      </x:c>
    </x:row>
    <x:row r="94">
      <x:c r="A94" s="15" t="n">
        <x:v>91</x:v>
      </x:c>
      <x:c r="B94" s="15" t="str">
        <x:v>Sunway University</x:v>
      </x:c>
      <x:c r="C94" s="15" t="str">
        <x:v>Malaysia</x:v>
      </x:c>
      <x:c r="D94" s="15" t="str">
        <x:v>THE Impact</x:v>
      </x:c>
      <x:c r="E94" s="15" t="str">
        <x:v>Master in Sustainable Development Management</x:v>
      </x:c>
      <x:c r="F94" s="32" t="str">
        <x:v>N/P</x:v>
      </x:c>
      <x:c r="G94" s="32" t="str">
        <x:v>NR</x:v>
      </x:c>
      <x:c r="H94" s="32" t="n">
        <x:f>470</x:f>
        <x:v>470</x:v>
      </x:c>
      <x:c r="I94" s="32" t="n">
        <x:f>480</x:f>
        <x:v>480</x:v>
      </x:c>
      <x:c r="J94" s="32" t="n">
        <x:f>338</x:f>
        <x:v>338</x:v>
      </x:c>
      <x:c r="K94" s="32" t="str">
        <x:v>301–400</x:v>
      </x:c>
      <x:c r="L94" s="32" t="str">
        <x:v>301–400</x:v>
      </x:c>
      <x:c r="M94" s="32" t="str">
        <x:v>201–300</x:v>
      </x:c>
      <x:c r="N94" s="32" t="str">
        <x:v>81</x:v>
      </x:c>
      <x:c r="O94" s="32" t="str">
        <x:v>45</x:v>
      </x:c>
      <x:c r="P94" s="31" t="str">
        <x:v>https://www.topuniversities.com/universities/sunway-university</x:v>
      </x:c>
      <x:c r="Q94" s="31" t="str">
        <x:v>https://www.timeshighereducation.com/world-university-rankings/sunway-university</x:v>
      </x:c>
      <x:c r="R94" s="31" t="str">
        <x:v>https://sunwayuniversity.edu.my/jsc/courses/master-sustainable-development-management-0</x:v>
      </x:c>
    </x:row>
    <x:row r="95">
      <x:c r="A95" s="15" t="n">
        <x:v>92</x:v>
      </x:c>
      <x:c r="B95" s="15" t="str">
        <x:v>Thammasat University</x:v>
      </x:c>
      <x:c r="C95" s="15" t="str">
        <x:v>Thailand</x:v>
      </x:c>
      <x:c r="D95" s="15" t="str">
        <x:v>THE Impact</x:v>
      </x:c>
      <x:c r="E95" s="15" t="str">
        <x:v>MA Social Innovation and Sustainability</x:v>
      </x:c>
      <x:c r="F95" s="32" t="str">
        <x:v>N/P</x:v>
      </x:c>
      <x:c r="G95" s="32" t="str">
        <x:v>451-500</x:v>
      </x:c>
      <x:c r="H95" s="32" t="n">
        <x:f>418</x:f>
        <x:v>418</x:v>
      </x:c>
      <x:c r="I95" s="32" t="n">
        <x:f>500</x:f>
        <x:v>500</x:v>
      </x:c>
      <x:c r="J95" s="32" t="str">
        <x:v>430</x:v>
      </x:c>
      <x:c r="K95" s="32" t="str">
        <x:v>101–200</x:v>
      </x:c>
      <x:c r="L95" s="32" t="str">
        <x:v>101–200</x:v>
      </x:c>
      <x:c r="M95" s="32" t="n">
        <x:f>81</x:f>
        <x:v>81</x:v>
      </x:c>
      <x:c r="N95" s="32" t="n">
        <x:f>64</x:f>
        <x:v>64</x:v>
      </x:c>
      <x:c r="O95" s="32" t="str">
        <x:v>46</x:v>
      </x:c>
      <x:c r="P95" s="31" t="str">
        <x:v>https://www.topuniversities.com/universities/thammasat-university</x:v>
      </x:c>
      <x:c r="Q95" s="31" t="str">
        <x:v>https://www.timeshighereducation.com/world-university-rankings/thammasat-university</x:v>
      </x:c>
      <x:c r="R95" s="31" t="str">
        <x:v>https://sgs.tu.ac.th/ma-program/</x:v>
      </x:c>
    </x:row>
    <x:row r="96">
      <x:c r="A96" s="15" t="n">
        <x:v>93</x:v>
      </x:c>
      <x:c r="B96" s="15" t="str">
        <x:v>Walailak University</x:v>
      </x:c>
      <x:c r="C96" s="15" t="str">
        <x:v>Thailand</x:v>
      </x:c>
      <x:c r="D96" s="15" t="str">
        <x:v>THE Impact</x:v>
      </x:c>
      <x:c r="E96" s="15" t="str">
        <x:v>MSc Environmental, Safety Technology and Health</x:v>
      </x:c>
      <x:c r="F96" s="32" t="str">
        <x:v>N/P</x:v>
      </x:c>
      <x:c r="G96" s="32" t="str">
        <x:v>NR</x:v>
      </x:c>
      <x:c r="H96" s="32" t="str">
        <x:v>1201+</x:v>
      </x:c>
      <x:c r="I96" s="32" t="str">
        <x:v>951-960</x:v>
      </x:c>
      <x:c r="J96" s="32" t="n">
        <x:f>737</x:f>
        <x:v>737</x:v>
      </x:c>
      <x:c r="K96" s="32" t="str">
        <x:v>601–800</x:v>
      </x:c>
      <x:c r="L96" s="32" t="str">
        <x:v>401–600</x:v>
      </x:c>
      <x:c r="M96" s="32" t="str">
        <x:v>101–200</x:v>
      </x:c>
      <x:c r="N96" s="32" t="n">
        <x:f>93</x:f>
        <x:v>93</x:v>
      </x:c>
      <x:c r="O96" s="32" t="str">
        <x:v>47</x:v>
      </x:c>
      <x:c r="P96" s="31" t="str">
        <x:v>https://www.topuniversities.com/universities/walailak-university</x:v>
      </x:c>
      <x:c r="Q96" s="31" t="str">
        <x:v>https://www.timeshighereducation.com/world-university-rankings/walailak-university</x:v>
      </x:c>
      <x:c r="R96" s="31" t="str">
        <x:v>https://www.wu.ac.th/en/news/21010/School-College</x:v>
      </x:c>
    </x:row>
    <x:row r="97">
      <x:c r="A97" s="15" t="n">
        <x:v>94</x:v>
      </x:c>
      <x:c r="B97" s="15" t="str">
        <x:v>King Abdullah University of Science and Technology (KAUST)</x:v>
      </x:c>
      <x:c r="C97" s="15" t="str">
        <x:v>Saudi Arabia</x:v>
      </x:c>
      <x:c r="D97" s="15" t="str">
        <x:v>THE Impact</x:v>
      </x:c>
      <x:c r="E97" s="15" t="str">
        <x:v>MS Environmental Science and Engineering</x:v>
      </x:c>
      <x:c r="F97" s="32" t="str">
        <x:v>N/P</x:v>
      </x:c>
      <x:c r="G97" s="32" t="str">
        <x:v>NR</x:v>
      </x:c>
      <x:c r="H97" s="32" t="str">
        <x:v>841-860</x:v>
      </x:c>
      <x:c r="I97" s="32" t="n">
        <x:f>465</x:f>
        <x:v>465</x:v>
      </x:c>
      <x:c r="J97" s="32" t="n">
        <x:f>533</x:f>
        <x:v>533</x:v>
      </x:c>
      <x:c r="K97" s="32" t="str">
        <x:v>201–300</x:v>
      </x:c>
      <x:c r="L97" s="32" t="str">
        <x:v>101–200</x:v>
      </x:c>
      <x:c r="M97" s="32" t="str">
        <x:v>101–200</x:v>
      </x:c>
      <x:c r="N97" s="32" t="n">
        <x:f>90</x:f>
        <x:v>90</x:v>
      </x:c>
      <x:c r="O97" s="32" t="str">
        <x:v>48</x:v>
      </x:c>
      <x:c r="P97" s="31" t="str">
        <x:v>https://www.topuniversities.com/universities/king-abdullah-university-science-technology-kaust</x:v>
      </x:c>
      <x:c r="Q97" s="31" t="str">
        <x:v>https://www.timeshighereducation.com/world-university-rankings/king-abdullah-university-science-and-technology-kaust</x:v>
      </x:c>
      <x:c r="R97" s="31" t="str">
        <x:v>https://bese.kaust.edu.sa/study/academic-programs/ense</x:v>
      </x:c>
    </x:row>
    <x:row r="98">
      <x:c r="A98" s="15" t="n">
        <x:v>95</x:v>
      </x:c>
      <x:c r="B98" s="15" t="str">
        <x:v>Chiang Mai University</x:v>
      </x:c>
      <x:c r="C98" s="15" t="str">
        <x:v>Thailand</x:v>
      </x:c>
      <x:c r="D98" s="15" t="str">
        <x:v>THE Impact</x:v>
      </x:c>
      <x:c r="E98" s="15" t="str">
        <x:v>MSc Environmental Science</x:v>
      </x:c>
      <x:c r="F98" s="32" t="str">
        <x:v>N/P</x:v>
      </x:c>
      <x:c r="G98" s="32" t="str">
        <x:v>301-320</x:v>
      </x:c>
      <x:c r="H98" s="32" t="n">
        <x:f>283</x:f>
        <x:v>283</x:v>
      </x:c>
      <x:c r="I98" s="32" t="n">
        <x:f>357</x:f>
        <x:v>357</x:v>
      </x:c>
      <x:c r="J98" s="32" t="str">
        <x:v>302</x:v>
      </x:c>
      <x:c r="K98" s="32" t="n">
        <x:f>70</x:f>
        <x:v>70</x:v>
      </x:c>
      <x:c r="L98" s="32" t="n">
        <x:f>74</x:f>
        <x:v>74</x:v>
      </x:c>
      <x:c r="M98" s="32" t="n">
        <x:f>75</x:f>
        <x:v>75</x:v>
      </x:c>
      <x:c r="N98" s="32" t="n">
        <x:f>44</x:f>
        <x:v>44</x:v>
      </x:c>
      <x:c r="O98" s="32" t="n">
        <x:f>49</x:f>
        <x:v>49</x:v>
      </x:c>
      <x:c r="P98" s="31" t="str">
        <x:v>https://www.topuniversities.com/universities/chiang-mai-university</x:v>
      </x:c>
      <x:c r="Q98" s="31" t="str">
        <x:v>https://www.timeshighereducation.com/world-university-rankings/chiang-mai-university</x:v>
      </x:c>
      <x:c r="R98" s="31" t="str">
        <x:v>https://www.science.cmu.ac.th/english/master.php</x:v>
      </x:c>
    </x:row>
    <x:row r="99">
      <x:c r="A99" s="15" t="n">
        <x:v>96</x:v>
      </x:c>
      <x:c r="B99" s="15" t="str">
        <x:v>Jeonbuk National University</x:v>
      </x:c>
      <x:c r="C99" s="15" t="str">
        <x:v>South Korea</x:v>
      </x:c>
      <x:c r="D99" s="15" t="str">
        <x:v>THE Impact</x:v>
      </x:c>
      <x:c r="E99" s="15" t="str">
        <x:v>Master of Engineering in Environmental Engineering</x:v>
      </x:c>
      <x:c r="F99" s="32" t="str">
        <x:v>N/P</x:v>
      </x:c>
      <x:c r="G99" s="32" t="str">
        <x:v>NR</x:v>
      </x:c>
      <x:c r="H99" s="32" t="str">
        <x:v>327</x:v>
      </x:c>
      <x:c r="I99" s="32" t="n">
        <x:f>410</x:f>
        <x:v>410</x:v>
      </x:c>
      <x:c r="J99" s="32" t="n">
        <x:f>440</x:f>
        <x:v>440</x:v>
      </x:c>
      <x:c r="K99" s="32" t="str">
        <x:v>95</x:v>
      </x:c>
      <x:c r="L99" s="32" t="str">
        <x:v>101–200</x:v>
      </x:c>
      <x:c r="M99" s="32" t="str">
        <x:v>101–200</x:v>
      </x:c>
      <x:c r="N99" s="32" t="str">
        <x:v>101–200</x:v>
      </x:c>
      <x:c r="O99" s="32" t="n">
        <x:f>49</x:f>
        <x:v>49</x:v>
      </x:c>
      <x:c r="P99" s="31" t="str">
        <x:v>https://www.topuniversities.com/universities/jeonbuk-national-university</x:v>
      </x:c>
      <x:c r="Q99" s="31" t="str">
        <x:v>https://www.timeshighereducation.com/world-university-rankings/jeonbuk-national-university</x:v>
      </x:c>
      <x:c r="R99" s="31" t="str">
        <x:v>https://gse.jbnu.ac.kr/gse/1394/subview.do</x:v>
      </x:c>
    </x:row>
    <x:row r="100">
      <x:c r="A100" s="15" t="n">
        <x:v>97</x:v>
      </x:c>
      <x:c r="B100" s="15" t="str">
        <x:v>National Yang Ming Chiao Tung University (NYCU Taiwan)</x:v>
      </x:c>
      <x:c r="C100" s="15" t="str">
        <x:v>Taiwan</x:v>
      </x:c>
      <x:c r="D100" s="15" t="str">
        <x:v>THE Impact</x:v>
      </x:c>
      <x:c r="E100" s="15" t="str">
        <x:v>Master Program in Environmental Engineering</x:v>
      </x:c>
      <x:c r="F100" s="32" t="str">
        <x:v>N/P</x:v>
      </x:c>
      <x:c r="G100" s="32" t="str">
        <x:v>361-380</x:v>
      </x:c>
      <x:c r="H100" s="32" t="n">
        <x:f>380</x:f>
        <x:v>380</x:v>
      </x:c>
      <x:c r="I100" s="32" t="n">
        <x:f>257</x:f>
        <x:v>257</x:v>
      </x:c>
      <x:c r="J100" s="32" t="n">
        <x:f>212</x:f>
        <x:v>212</x:v>
      </x:c>
      <x:c r="K100" s="32" t="str">
        <x:v>101–200</x:v>
      </x:c>
      <x:c r="L100" s="32" t="n">
        <x:f>83</x:f>
        <x:v>83</x:v>
      </x:c>
      <x:c r="M100" s="32" t="str">
        <x:v>50</x:v>
      </x:c>
      <x:c r="N100" s="32" t="n">
        <x:f>41</x:f>
        <x:v>41</x:v>
      </x:c>
      <x:c r="O100" s="32" t="n">
        <x:f>49</x:f>
        <x:v>49</x:v>
      </x:c>
      <x:c r="P100" s="31" t="str">
        <x:v>https://www.topuniversities.com/universities/national-yang-ming-chiao-tung-university-nycu-taiwan</x:v>
      </x:c>
      <x:c r="Q100" s="31" t="str">
        <x:v>https://www.timeshighereducation.com/world-university-rankings/national-yang-ming-chiao-tung-university-nycu-taiwan</x:v>
      </x:c>
      <x:c r="R100" s="31" t="str">
        <x:v>https://sdgs.nycu.edu.tw/archives/27449/</x:v>
      </x:c>
    </x:row>
  </x:sheetData>
  <x:mergeCells>
    <x:mergeCell ref="A1:R1"/>
    <x:mergeCell ref="A2:R2"/>
  </x:mergeCells>
  <x:conditionalFormatting sqref="F5:O100">
    <x:cfRule type="containsText" dxfId="0" priority="1" operator="containsText" text="NR"/>
    <x:cfRule type="containsText" dxfId="1" priority="2" operator="containsText" text="N/P"/>
    <x:cfRule type="containsText" dxfId="2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164965b2cfa14d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20" hidden="0" customWidth="1"/>
    <x:col min="5" max="5" width="4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48" hidden="0" customWidth="1"/>
    <x:col min="17" max="17" width="48" hidden="0" customWidth="1"/>
    <x:col min="18" max="18" width="52" hidden="0" customWidth="1"/>
  </x:cols>
  <x:sheetData>
    <x:row r="1" ht="30" customHeight="1">
      <x:c r="A1" s="3" t="str">
        <x:v>Overall School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Overall university rankings for the institution that owns each selected program. Ranks after 200 are reported as 200+; this is not a program ranking.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12" t="str">
        <x:v>ID</x:v>
      </x:c>
      <x:c r="B4" s="12" t="str">
        <x:v>Institution</x:v>
      </x:c>
      <x:c r="C4" s="12" t="str">
        <x:v>Country</x:v>
      </x:c>
      <x:c r="D4" s="12" t="str">
        <x:v>Candidate Source</x:v>
      </x:c>
      <x:c r="E4" s="12" t="str">
        <x:v>Selected Program</x:v>
      </x:c>
      <x:c r="F4" s="27" t="str">
        <x:v>QS WUR 2023</x:v>
      </x:c>
      <x:c r="G4" s="27" t="str">
        <x:v>QS WUR 2024</x:v>
      </x:c>
      <x:c r="H4" s="27" t="str">
        <x:v>QS WUR 2025</x:v>
      </x:c>
      <x:c r="I4" s="27" t="str">
        <x:v>QS WUR 2026</x:v>
      </x:c>
      <x:c r="J4" s="27" t="str">
        <x:v>QS WUR 2027</x:v>
      </x:c>
      <x:c r="K4" s="28" t="str">
        <x:v>THE WUR 2022</x:v>
      </x:c>
      <x:c r="L4" s="28" t="str">
        <x:v>THE WUR 2023</x:v>
      </x:c>
      <x:c r="M4" s="28" t="str">
        <x:v>THE WUR 2024</x:v>
      </x:c>
      <x:c r="N4" s="28" t="str">
        <x:v>THE WUR 2025</x:v>
      </x:c>
      <x:c r="O4" s="28" t="str">
        <x:v>THE WUR 2026</x:v>
      </x:c>
      <x:c r="P4" s="12" t="str">
        <x:v>QS Profile URL</x:v>
      </x:c>
      <x:c r="Q4" s="12" t="str">
        <x:v>THE Profile URL</x:v>
      </x:c>
      <x:c r="R4" s="12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QS Sustainability</x:v>
      </x:c>
      <x:c r="E5" s="15" t="str">
        <x:v>MSc Environmental Studies and Sustainability Science (LUMES)</x:v>
      </x:c>
      <x:c r="F5" s="32" t="str">
        <x:v>95</x:v>
      </x:c>
      <x:c r="G5" s="32" t="n">
        <x:f>85</x:f>
        <x:v>85</x:v>
      </x:c>
      <x:c r="H5" s="32" t="str">
        <x:v>75</x:v>
      </x:c>
      <x:c r="I5" s="32" t="n">
        <x:f>72</x:f>
        <x:v>72</x:v>
      </x:c>
      <x:c r="J5" s="32" t="str">
        <x:v>71</x:v>
      </x:c>
      <x:c r="K5" s="32" t="str">
        <x:v>116</x:v>
      </x:c>
      <x:c r="L5" s="32" t="n">
        <x:f>119</x:f>
        <x:v>119</x:v>
      </x:c>
      <x:c r="M5" s="32" t="n">
        <x:f>106</x:f>
        <x:v>106</x:v>
      </x:c>
      <x:c r="N5" s="32" t="n">
        <x:f>95</x:f>
        <x:v>95</x:v>
      </x:c>
      <x:c r="O5" s="32" t="n">
        <x:f>95</x:f>
        <x:v>95</x:v>
      </x:c>
      <x:c r="P5" s="31" t="str">
        <x:v>https://www.topuniversities.com/universities/lund-university</x:v>
      </x:c>
      <x:c r="Q5" s="31" t="str">
        <x:v>https://www.timeshighereducation.com/world-university-rankings/lund-university</x:v>
      </x:c>
      <x:c r="R5" s="31" t="str">
        <x:v>https://www.lunduniversity.lu.se/study/environmental-studies-and-sustainability-science-master-of-science-programme-SAESS</x:v>
      </x:c>
    </x:row>
    <x:row r="6">
      <x:c r="A6" s="15" t="n">
        <x:v>2</x:v>
      </x:c>
      <x:c r="B6" s="15" t="str">
        <x:v>University of Toronto</x:v>
      </x:c>
      <x:c r="C6" s="15" t="str">
        <x:v>Canada</x:v>
      </x:c>
      <x:c r="D6" s="15" t="str">
        <x:v>QS Sustainability</x:v>
      </x:c>
      <x:c r="E6" s="15" t="str">
        <x:v>Master of Environment &amp; Sustainability</x:v>
      </x:c>
      <x:c r="F6" s="32" t="n">
        <x:f>34</x:f>
        <x:v>34</x:v>
      </x:c>
      <x:c r="G6" s="32" t="str">
        <x:v>21</x:v>
      </x:c>
      <x:c r="H6" s="32" t="str">
        <x:v>25</x:v>
      </x:c>
      <x:c r="I6" s="32" t="str">
        <x:v>29</x:v>
      </x:c>
      <x:c r="J6" s="32" t="str">
        <x:v>32</x:v>
      </x:c>
      <x:c r="K6" s="32" t="n">
        <x:f>18</x:f>
        <x:v>18</x:v>
      </x:c>
      <x:c r="L6" s="32" t="str">
        <x:v>18</x:v>
      </x:c>
      <x:c r="M6" s="32" t="str">
        <x:v>21</x:v>
      </x:c>
      <x:c r="N6" s="32" t="str">
        <x:v>21</x:v>
      </x:c>
      <x:c r="O6" s="32" t="str">
        <x:v>21</x:v>
      </x:c>
      <x:c r="P6" s="31" t="str">
        <x:v>https://www.topuniversities.com/universities/university-toronto</x:v>
      </x:c>
      <x:c r="Q6" s="31" t="str">
        <x:v>https://www.timeshighereducation.com/world-university-rankings/university-toronto</x:v>
      </x:c>
      <x:c r="R6" s="31" t="str">
        <x:v>https://www.environment.utoronto.ca/graduate/mes</x:v>
      </x:c>
    </x:row>
    <x:row r="7">
      <x:c r="A7" s="15" t="n">
        <x:v>3</x:v>
      </x:c>
      <x:c r="B7" s="15" t="str">
        <x:v>UCL</x:v>
      </x:c>
      <x:c r="C7" s="15" t="str">
        <x:v>United Kingdom</x:v>
      </x:c>
      <x:c r="D7" s="15" t="str">
        <x:v>QS Sustainability</x:v>
      </x:c>
      <x:c r="E7" s="15" t="str">
        <x:v>Sustainable Resources: Economics, Policy and Transitions MSc</x:v>
      </x:c>
      <x:c r="F7" s="32" t="str">
        <x:v>8</x:v>
      </x:c>
      <x:c r="G7" s="32" t="str">
        <x:v>9</x:v>
      </x:c>
      <x:c r="H7" s="32" t="str">
        <x:v>9</x:v>
      </x:c>
      <x:c r="I7" s="32" t="str">
        <x:v>9</x:v>
      </x:c>
      <x:c r="J7" s="32" t="n">
        <x:f>8</x:f>
        <x:v>8</x:v>
      </x:c>
      <x:c r="K7" s="32" t="n">
        <x:f>18</x:f>
        <x:v>18</x:v>
      </x:c>
      <x:c r="L7" s="32" t="str">
        <x:v>22</x:v>
      </x:c>
      <x:c r="M7" s="32" t="str">
        <x:v>22</x:v>
      </x:c>
      <x:c r="N7" s="32" t="n">
        <x:f>22</x:f>
        <x:v>22</x:v>
      </x:c>
      <x:c r="O7" s="32" t="str">
        <x:v>22</x:v>
      </x:c>
      <x:c r="P7" s="31" t="str">
        <x:v>https://www.topuniversities.com/universities/ucl</x:v>
      </x:c>
      <x:c r="Q7" s="31" t="str">
        <x:v>https://www.timeshighereducation.com/world-university-rankings/ucl</x:v>
      </x:c>
      <x:c r="R7" s="31" t="str">
        <x:v>https://www.ucl.ac.uk/prospective-students/graduate/taught-degrees/sustainable-resources-economics-policy-and-transitions-msc</x:v>
      </x:c>
    </x:row>
    <x:row r="8">
      <x:c r="A8" s="15" t="n">
        <x:v>4</x:v>
      </x:c>
      <x:c r="B8" s="15" t="str">
        <x:v>The University of Edinburgh</x:v>
      </x:c>
      <x:c r="C8" s="15" t="str">
        <x:v>United Kingdom</x:v>
      </x:c>
      <x:c r="D8" s="15" t="str">
        <x:v>QS Sustainability</x:v>
      </x:c>
      <x:c r="E8" s="15" t="str">
        <x:v>MSc Global Strategy and Sustainability</x:v>
      </x:c>
      <x:c r="F8" s="32" t="str">
        <x:v>15</x:v>
      </x:c>
      <x:c r="G8" s="32" t="str">
        <x:v>22</x:v>
      </x:c>
      <x:c r="H8" s="32" t="str">
        <x:v>27</x:v>
      </x:c>
      <x:c r="I8" s="32" t="str">
        <x:v>34</x:v>
      </x:c>
      <x:c r="J8" s="32" t="str">
        <x:v>35</x:v>
      </x:c>
      <x:c r="K8" s="32" t="n">
        <x:f>30</x:f>
        <x:v>30</x:v>
      </x:c>
      <x:c r="L8" s="32" t="str">
        <x:v>29</x:v>
      </x:c>
      <x:c r="M8" s="32" t="n">
        <x:f>30</x:f>
        <x:v>30</x:v>
      </x:c>
      <x:c r="N8" s="32" t="str">
        <x:v>29</x:v>
      </x:c>
      <x:c r="O8" s="32" t="str">
        <x:v>29</x:v>
      </x:c>
      <x:c r="P8" s="31" t="str">
        <x:v>https://www.topuniversities.com/universities/university-edinburgh</x:v>
      </x:c>
      <x:c r="Q8" s="31" t="str">
        <x:v>https://www.timeshighereducation.com/world-university-rankings/university-edinburgh</x:v>
      </x:c>
      <x:c r="R8" s="31" t="str">
        <x:v>https://www.business-school.ed.ac.uk/msc/global-strategy-sustainability</x:v>
      </x:c>
    </x:row>
    <x:row r="9">
      <x:c r="A9" s="15" t="n">
        <x:v>5</x:v>
      </x:c>
      <x:c r="B9" s="15" t="str">
        <x:v>University of British Columbia</x:v>
      </x:c>
      <x:c r="C9" s="15" t="str">
        <x:v>Canada</x:v>
      </x:c>
      <x:c r="D9" s="15" t="str">
        <x:v>QS Sustainability</x:v>
      </x:c>
      <x:c r="E9" s="15" t="str">
        <x:v>Master of Engineering Leadership in Clean Energy Engineering</x:v>
      </x:c>
      <x:c r="F9" s="32" t="str">
        <x:v>47</x:v>
      </x:c>
      <x:c r="G9" s="32" t="n">
        <x:f>34</x:f>
        <x:v>34</x:v>
      </x:c>
      <x:c r="H9" s="32" t="str">
        <x:v>38</x:v>
      </x:c>
      <x:c r="I9" s="32" t="str">
        <x:v>40</x:v>
      </x:c>
      <x:c r="J9" s="32" t="n">
        <x:f>45</x:f>
        <x:v>45</x:v>
      </x:c>
      <x:c r="K9" s="32" t="str">
        <x:v>37</x:v>
      </x:c>
      <x:c r="L9" s="32" t="str">
        <x:v>40</x:v>
      </x:c>
      <x:c r="M9" s="32" t="str">
        <x:v>41</x:v>
      </x:c>
      <x:c r="N9" s="32" t="str">
        <x:v>41</x:v>
      </x:c>
      <x:c r="O9" s="32" t="str">
        <x:v>45</x:v>
      </x:c>
      <x:c r="P9" s="31" t="str">
        <x:v>https://www.topuniversities.com/universities/university-british-columbia</x:v>
      </x:c>
      <x:c r="Q9" s="31" t="str">
        <x:v>https://www.timeshighereducation.com/world-university-rankings/university-british-columbia</x:v>
      </x:c>
      <x:c r="R9" s="31" t="str">
        <x:v>https://apscpp.ubc.ca/programs/mel/clean-energy-engineering</x:v>
      </x:c>
    </x:row>
    <x:row r="10">
      <x:c r="A10" s="15" t="n">
        <x:v>6</x:v>
      </x:c>
      <x:c r="B10" s="15" t="str">
        <x:v>The London School of Economics and Political Science (LSE)</x:v>
      </x:c>
      <x:c r="C10" s="15" t="str">
        <x:v>United Kingdom</x:v>
      </x:c>
      <x:c r="D10" s="15" t="str">
        <x:v>QS Sustainability</x:v>
      </x:c>
      <x:c r="E10" s="15" t="str">
        <x:v>MSc Environmental Policy and Regulation</x:v>
      </x:c>
      <x:c r="F10" s="32" t="str">
        <x:v>56</x:v>
      </x:c>
      <x:c r="G10" s="32" t="str">
        <x:v>45</x:v>
      </x:c>
      <x:c r="H10" s="32" t="n">
        <x:f>50</x:f>
        <x:v>50</x:v>
      </x:c>
      <x:c r="I10" s="32" t="str">
        <x:v>56</x:v>
      </x:c>
      <x:c r="J10" s="32" t="str">
        <x:v>62</x:v>
      </x:c>
      <x:c r="K10" s="32" t="str">
        <x:v>27</x:v>
      </x:c>
      <x:c r="L10" s="32" t="str">
        <x:v>37</x:v>
      </x:c>
      <x:c r="M10" s="32" t="str">
        <x:v>46</x:v>
      </x:c>
      <x:c r="N10" s="32" t="n">
        <x:f>50</x:f>
        <x:v>50</x:v>
      </x:c>
      <x:c r="O10" s="32" t="str">
        <x:v>52</x:v>
      </x:c>
      <x:c r="P10" s="31" t="str">
        <x:v>https://www.topuniversities.com/universities/london-school-economics-political-science-lse</x:v>
      </x:c>
      <x:c r="Q10" s="31" t="str">
        <x:v>https://www.timeshighereducation.com/world-university-rankings/london-school-economics-and-political-science</x:v>
      </x:c>
      <x:c r="R10" s="31" t="str">
        <x:v>https://www.lse.ac.uk/study-at-lse/graduate/msc-environmental-policy-and-regulation</x:v>
      </x:c>
    </x:row>
    <x:row r="11">
      <x:c r="A11" s="15" t="n">
        <x:v>7</x:v>
      </x:c>
      <x:c r="B11" s="15" t="str">
        <x:v>Imperial College London</x:v>
      </x:c>
      <x:c r="C11" s="15" t="str">
        <x:v>United Kingdom</x:v>
      </x:c>
      <x:c r="D11" s="15" t="str">
        <x:v>QS Sustainability</x:v>
      </x:c>
      <x:c r="E11" s="15" t="str">
        <x:v>MSc Climate Change, Management &amp; Finance</x:v>
      </x:c>
      <x:c r="F11" s="32" t="n">
        <x:f>6</x:f>
        <x:v>6</x:v>
      </x:c>
      <x:c r="G11" s="32" t="str">
        <x:v>6</x:v>
      </x:c>
      <x:c r="H11" s="32" t="str">
        <x:v>2</x:v>
      </x:c>
      <x:c r="I11" s="32" t="str">
        <x:v>2</x:v>
      </x:c>
      <x:c r="J11" s="32" t="n">
        <x:f>2</x:f>
        <x:v>2</x:v>
      </x:c>
      <x:c r="K11" s="32" t="str">
        <x:v>12</x:v>
      </x:c>
      <x:c r="L11" s="32" t="str">
        <x:v>10</x:v>
      </x:c>
      <x:c r="M11" s="32" t="str">
        <x:v>8</x:v>
      </x:c>
      <x:c r="N11" s="32" t="str">
        <x:v>9</x:v>
      </x:c>
      <x:c r="O11" s="32" t="str">
        <x:v>8</x:v>
      </x:c>
      <x:c r="P11" s="31" t="str">
        <x:v>https://www.topuniversities.com/universities/imperial-college-london</x:v>
      </x:c>
      <x:c r="Q11" s="31" t="str">
        <x:v>https://www.timeshighereducation.com/world-university-rankings/imperial-college-london</x:v>
      </x:c>
      <x:c r="R11" s="31" t="str">
        <x:v>https://www.imperial.ac.uk/business-school/masters/climate-change-management-finance/</x:v>
      </x:c>
    </x:row>
    <x:row r="12">
      <x:c r="A12" s="15" t="n">
        <x:v>8</x:v>
      </x:c>
      <x:c r="B12" s="15" t="str">
        <x:v>The University of New South Wales (UNSW Sydney)</x:v>
      </x:c>
      <x:c r="C12" s="15" t="str">
        <x:v>Australia</x:v>
      </x:c>
      <x:c r="D12" s="15" t="str">
        <x:v>Both</x:v>
      </x:c>
      <x:c r="E12" s="15" t="str">
        <x:v>Master of Environmental Management</x:v>
      </x:c>
      <x:c r="F12" s="32" t="str">
        <x:v>45</x:v>
      </x:c>
      <x:c r="G12" s="32" t="n">
        <x:f>19</x:f>
        <x:v>19</x:v>
      </x:c>
      <x:c r="H12" s="32" t="str">
        <x:v>19</x:v>
      </x:c>
      <x:c r="I12" s="32" t="str">
        <x:v>20</x:v>
      </x:c>
      <x:c r="J12" s="32" t="str">
        <x:v>19</x:v>
      </x:c>
      <x:c r="K12" s="32" t="str">
        <x:v>70</x:v>
      </x:c>
      <x:c r="L12" s="32" t="n">
        <x:f>71</x:f>
        <x:v>71</x:v>
      </x:c>
      <x:c r="M12" s="32" t="str">
        <x:v>84</x:v>
      </x:c>
      <x:c r="N12" s="32" t="str">
        <x:v>83</x:v>
      </x:c>
      <x:c r="O12" s="32" t="str">
        <x:v>79</x:v>
      </x:c>
      <x:c r="P12" s="31" t="str">
        <x:v>https://www.topuniversities.com/universities/university-new-south-wales-unsw-sydney</x:v>
      </x:c>
      <x:c r="Q12" s="31" t="str">
        <x:v>https://www.timeshighereducation.com/world-university-rankings/unsw-sydney</x:v>
      </x:c>
      <x:c r="R12" s="31" t="str">
        <x:v>https://www.unsw.edu.au/study/postgraduate/master-of-environmental-management</x:v>
      </x:c>
    </x:row>
    <x:row r="13">
      <x:c r="A13" s="15" t="n">
        <x:v>9</x:v>
      </x:c>
      <x:c r="B13" s="15" t="str">
        <x:v>McGill University</x:v>
      </x:c>
      <x:c r="C13" s="15" t="str">
        <x:v>Canada</x:v>
      </x:c>
      <x:c r="D13" s="15" t="str">
        <x:v>QS Sustainability</x:v>
      </x:c>
      <x:c r="E13" s="15" t="str">
        <x:v>MSc Geography - Sustainability Science and Environmental Management research theme</x:v>
      </x:c>
      <x:c r="F13" s="32" t="str">
        <x:v>31</x:v>
      </x:c>
      <x:c r="G13" s="32" t="str">
        <x:v>30</x:v>
      </x:c>
      <x:c r="H13" s="32" t="str">
        <x:v>29</x:v>
      </x:c>
      <x:c r="I13" s="32" t="str">
        <x:v>27</x:v>
      </x:c>
      <x:c r="J13" s="32" t="str">
        <x:v>30</x:v>
      </x:c>
      <x:c r="K13" s="32" t="str">
        <x:v>44</x:v>
      </x:c>
      <x:c r="L13" s="32" t="str">
        <x:v>46</x:v>
      </x:c>
      <x:c r="M13" s="32" t="str">
        <x:v>49</x:v>
      </x:c>
      <x:c r="N13" s="32" t="str">
        <x:v>45</x:v>
      </x:c>
      <x:c r="O13" s="32" t="n">
        <x:f>41</x:f>
        <x:v>41</x:v>
      </x:c>
      <x:c r="P13" s="31" t="str">
        <x:v>https://www.topuniversities.com/universities/mcgill-university</x:v>
      </x:c>
      <x:c r="Q13" s="31" t="str">
        <x:v>https://www.timeshighereducation.com/world-university-rankings/mcgill-university</x:v>
      </x:c>
      <x:c r="R13" s="31" t="str">
        <x:v>https://www.mcgill.ca/gradapplicants/program/geography-msc</x:v>
      </x:c>
    </x:row>
    <x:row r="14">
      <x:c r="A14" s="15" t="n">
        <x:v>10</x:v>
      </x:c>
      <x:c r="B14" s="15" t="str">
        <x:v>The University of Manchester</x:v>
      </x:c>
      <x:c r="C14" s="15" t="str">
        <x:v>United Kingdom</x:v>
      </x:c>
      <x:c r="D14" s="15" t="str">
        <x:v>Both</x:v>
      </x:c>
      <x:c r="E14" s="15" t="str">
        <x:v>MSc Environmental Governance</x:v>
      </x:c>
      <x:c r="F14" s="32" t="str">
        <x:v>28</x:v>
      </x:c>
      <x:c r="G14" s="32" t="str">
        <x:v>32</x:v>
      </x:c>
      <x:c r="H14" s="32" t="n">
        <x:f>34</x:f>
        <x:v>34</x:v>
      </x:c>
      <x:c r="I14" s="32" t="str">
        <x:v>35</x:v>
      </x:c>
      <x:c r="J14" s="32" t="n">
        <x:f>40</x:f>
        <x:v>40</x:v>
      </x:c>
      <x:c r="K14" s="32" t="str">
        <x:v>50</x:v>
      </x:c>
      <x:c r="L14" s="32" t="n">
        <x:f>54</x:f>
        <x:v>54</x:v>
      </x:c>
      <x:c r="M14" s="32" t="str">
        <x:v>51</x:v>
      </x:c>
      <x:c r="N14" s="32" t="n">
        <x:f>53</x:f>
        <x:v>53</x:v>
      </x:c>
      <x:c r="O14" s="32" t="str">
        <x:v>56</x:v>
      </x:c>
      <x:c r="P14" s="31" t="str">
        <x:v>https://www.topuniversities.com/universities/university-manchester</x:v>
      </x:c>
      <x:c r="Q14" s="31" t="str">
        <x:v>https://www.timeshighereducation.com/world-university-rankings/university-manchester</x:v>
      </x:c>
      <x:c r="R14" s="31" t="str">
        <x:v>https://www.manchester.ac.uk/study/masters/courses/list/06967/msc-environmental-governance/</x:v>
      </x:c>
    </x:row>
    <x:row r="15">
      <x:c r="A15" s="15" t="n">
        <x:v>11</x:v>
      </x:c>
      <x:c r="B15" s="15" t="str">
        <x:v>ETH Zurich</x:v>
      </x:c>
      <x:c r="C15" s="15" t="str">
        <x:v>Switzerland</x:v>
      </x:c>
      <x:c r="D15" s="15" t="str">
        <x:v>QS Sustainability</x:v>
      </x:c>
      <x:c r="E15" s="15" t="str">
        <x:v>MSc Environmental Sciences</x:v>
      </x:c>
      <x:c r="F15" s="32" t="str">
        <x:v>9</x:v>
      </x:c>
      <x:c r="G15" s="32" t="str">
        <x:v>7</x:v>
      </x:c>
      <x:c r="H15" s="32" t="str">
        <x:v>7</x:v>
      </x:c>
      <x:c r="I15" s="32" t="str">
        <x:v>7</x:v>
      </x:c>
      <x:c r="J15" s="32" t="n">
        <x:f>8</x:f>
        <x:v>8</x:v>
      </x:c>
      <x:c r="K15" s="32" t="str">
        <x:v>15</x:v>
      </x:c>
      <x:c r="L15" s="32" t="n">
        <x:f>11</x:f>
        <x:v>11</x:v>
      </x:c>
      <x:c r="M15" s="32" t="str">
        <x:v>11</x:v>
      </x:c>
      <x:c r="N15" s="32" t="str">
        <x:v>11</x:v>
      </x:c>
      <x:c r="O15" s="32" t="str">
        <x:v>11</x:v>
      </x:c>
      <x:c r="P15" s="31" t="str">
        <x:v>https://www.topuniversities.com/universities/eth-zurich</x:v>
      </x:c>
      <x:c r="Q15" s="31" t="str">
        <x:v>https://www.timeshighereducation.com/world-university-rankings/eth-zurich</x:v>
      </x:c>
      <x:c r="R15" s="31" t="str">
        <x:v>https://ethz.ch/en/studies/master/degree-programmes/system-oriented-natural-sciences/environmental-sciences.html</x:v>
      </x:c>
    </x:row>
    <x:row r="16">
      <x:c r="A16" s="15" t="n">
        <x:v>12</x:v>
      </x:c>
      <x:c r="B16" s="15" t="str">
        <x:v>The University of Melbourne</x:v>
      </x:c>
      <x:c r="C16" s="15" t="str">
        <x:v>Australia</x:v>
      </x:c>
      <x:c r="D16" s="15" t="str">
        <x:v>QS Sustainability</x:v>
      </x:c>
      <x:c r="E16" s="15" t="str">
        <x:v>Master of Environment</x:v>
      </x:c>
      <x:c r="F16" s="32" t="str">
        <x:v>33</x:v>
      </x:c>
      <x:c r="G16" s="32" t="str">
        <x:v>14</x:v>
      </x:c>
      <x:c r="H16" s="32" t="str">
        <x:v>13</x:v>
      </x:c>
      <x:c r="I16" s="32" t="str">
        <x:v>19</x:v>
      </x:c>
      <x:c r="J16" s="32" t="n">
        <x:f>22</x:f>
        <x:v>22</x:v>
      </x:c>
      <x:c r="K16" s="32" t="str">
        <x:v>33</x:v>
      </x:c>
      <x:c r="L16" s="32" t="str">
        <x:v>34</x:v>
      </x:c>
      <x:c r="M16" s="32" t="str">
        <x:v>37</x:v>
      </x:c>
      <x:c r="N16" s="32" t="str">
        <x:v>39</x:v>
      </x:c>
      <x:c r="O16" s="32" t="str">
        <x:v>37</x:v>
      </x:c>
      <x:c r="P16" s="31" t="str">
        <x:v>https://www.topuniversities.com/universities/university-melbourne</x:v>
      </x:c>
      <x:c r="Q16" s="31" t="str">
        <x:v>https://www.timeshighereducation.com/world-university-rankings/university-melbourne</x:v>
      </x:c>
      <x:c r="R16" s="31" t="str">
        <x:v>https://study.unimelb.edu.au/find/courses/graduate/master-of-environment/</x:v>
      </x:c>
    </x:row>
    <x:row r="17">
      <x:c r="A17" s="15" t="n">
        <x:v>13</x:v>
      </x:c>
      <x:c r="B17" s="15" t="str">
        <x:v>University of California, Berkeley (UCB)</x:v>
      </x:c>
      <x:c r="C17" s="15" t="str">
        <x:v>United States</x:v>
      </x:c>
      <x:c r="D17" s="15" t="str">
        <x:v>QS Sustainability</x:v>
      </x:c>
      <x:c r="E17" s="15" t="str">
        <x:v>Master of Climate Solutions</x:v>
      </x:c>
      <x:c r="F17" s="32" t="str">
        <x:v>27</x:v>
      </x:c>
      <x:c r="G17" s="32" t="str">
        <x:v>10</x:v>
      </x:c>
      <x:c r="H17" s="32" t="str">
        <x:v>12</x:v>
      </x:c>
      <x:c r="I17" s="32" t="n">
        <x:f>17</x:f>
        <x:v>17</x:v>
      </x:c>
      <x:c r="J17" s="32" t="n">
        <x:f>20</x:f>
        <x:v>20</x:v>
      </x:c>
      <x:c r="K17" s="32" t="str">
        <x:v>8</x:v>
      </x:c>
      <x:c r="L17" s="32" t="str">
        <x:v>8</x:v>
      </x:c>
      <x:c r="M17" s="32" t="str">
        <x:v>9</x:v>
      </x:c>
      <x:c r="N17" s="32" t="str">
        <x:v>8</x:v>
      </x:c>
      <x:c r="O17" s="32" t="str">
        <x:v>9</x:v>
      </x:c>
      <x:c r="P17" s="31" t="str">
        <x:v>https://www.topuniversities.com/universities/university-california-berkeley-ucb</x:v>
      </x:c>
      <x:c r="Q17" s="31" t="str">
        <x:v>https://www.timeshighereducation.com/world-university-rankings/university-california-berkeley</x:v>
      </x:c>
      <x:c r="R17" s="31" t="str">
        <x:v>https://climatesolutions.berkeley.edu/</x:v>
      </x:c>
    </x:row>
    <x:row r="18">
      <x:c r="A18" s="15" t="n">
        <x:v>14</x:v>
      </x:c>
      <x:c r="B18" s="15" t="str">
        <x:v>Stanford University</x:v>
      </x:c>
      <x:c r="C18" s="15" t="str">
        <x:v>United States</x:v>
      </x:c>
      <x:c r="D18" s="15" t="str">
        <x:v>QS Sustainability</x:v>
      </x:c>
      <x:c r="E18" s="15" t="str">
        <x:v>MS Sustainability Science and Practice</x:v>
      </x:c>
      <x:c r="F18" s="32" t="str">
        <x:v>3</x:v>
      </x:c>
      <x:c r="G18" s="32" t="str">
        <x:v>5</x:v>
      </x:c>
      <x:c r="H18" s="32" t="str">
        <x:v>6</x:v>
      </x:c>
      <x:c r="I18" s="32" t="str">
        <x:v>3</x:v>
      </x:c>
      <x:c r="J18" s="32" t="n">
        <x:f>2</x:f>
        <x:v>2</x:v>
      </x:c>
      <x:c r="K18" s="32" t="str">
        <x:v>4</x:v>
      </x:c>
      <x:c r="L18" s="32" t="n">
        <x:f>3</x:f>
        <x:v>3</x:v>
      </x:c>
      <x:c r="M18" s="32" t="str">
        <x:v>2</x:v>
      </x:c>
      <x:c r="N18" s="32" t="str">
        <x:v>6</x:v>
      </x:c>
      <x:c r="O18" s="32" t="n">
        <x:f>5</x:f>
        <x:v>5</x:v>
      </x:c>
      <x:c r="P18" s="31" t="str">
        <x:v>https://www.topuniversities.com/universities/stanford-university</x:v>
      </x:c>
      <x:c r="Q18" s="31" t="str">
        <x:v>https://www.timeshighereducation.com/world-university-rankings/stanford-university</x:v>
      </x:c>
      <x:c r="R18" s="31" t="str">
        <x:v>https://bulletin.stanford.edu/programs/SUSTSCI-MS/general-aoYks</x:v>
      </x:c>
    </x:row>
    <x:row r="19">
      <x:c r="A19" s="15" t="n">
        <x:v>15</x:v>
      </x:c>
      <x:c r="B19" s="15" t="str">
        <x:v>University of Oxford</x:v>
      </x:c>
      <x:c r="C19" s="15" t="str">
        <x:v>United Kingdom</x:v>
      </x:c>
      <x:c r="D19" s="15" t="str">
        <x:v>QS Sustainability</x:v>
      </x:c>
      <x:c r="E19" s="15" t="str">
        <x:v>MSc in Sustainability, Enterprise and the Environment</x:v>
      </x:c>
      <x:c r="F19" s="32" t="str">
        <x:v>4</x:v>
      </x:c>
      <x:c r="G19" s="32" t="str">
        <x:v>3</x:v>
      </x:c>
      <x:c r="H19" s="32" t="str">
        <x:v>3</x:v>
      </x:c>
      <x:c r="I19" s="32" t="str">
        <x:v>4</x:v>
      </x:c>
      <x:c r="J19" s="32" t="str">
        <x:v>4</x:v>
      </x:c>
      <x:c r="K19" s="32" t="str">
        <x:v>1</x:v>
      </x:c>
      <x:c r="L19" s="32" t="str">
        <x:v>1</x:v>
      </x:c>
      <x:c r="M19" s="32" t="str">
        <x:v>1</x:v>
      </x:c>
      <x:c r="N19" s="32" t="str">
        <x:v>1</x:v>
      </x:c>
      <x:c r="O19" s="32" t="str">
        <x:v>1</x:v>
      </x:c>
      <x:c r="P19" s="31" t="str">
        <x:v>https://www.topuniversities.com/universities/university-oxford</x:v>
      </x:c>
      <x:c r="Q19" s="31" t="str">
        <x:v>https://www.timeshighereducation.com/world-university-rankings/university-oxford</x:v>
      </x:c>
      <x:c r="R19" s="31" t="str">
        <x:v>https://www.smithschool.ox.ac.uk/course/msc-sustainability-enterprise-and-environment</x:v>
      </x:c>
    </x:row>
    <x:row r="20">
      <x:c r="A20" s="15" t="n">
        <x:v>16</x:v>
      </x:c>
      <x:c r="B20" s="15" t="str">
        <x:v>The University of Sydney</x:v>
      </x:c>
      <x:c r="C20" s="15" t="str">
        <x:v>Australia</x:v>
      </x:c>
      <x:c r="D20" s="15" t="str">
        <x:v>QS Sustainability</x:v>
      </x:c>
      <x:c r="E20" s="15" t="str">
        <x:v>Master of Sustainability</x:v>
      </x:c>
      <x:c r="F20" s="32" t="str">
        <x:v>41</x:v>
      </x:c>
      <x:c r="G20" s="32" t="n">
        <x:f>19</x:f>
        <x:v>19</x:v>
      </x:c>
      <x:c r="H20" s="32" t="str">
        <x:v>18</x:v>
      </x:c>
      <x:c r="I20" s="32" t="n">
        <x:f>25</x:f>
        <x:v>25</x:v>
      </x:c>
      <x:c r="J20" s="32" t="str">
        <x:v>28</x:v>
      </x:c>
      <x:c r="K20" s="32" t="n">
        <x:f>58</x:f>
        <x:v>58</x:v>
      </x:c>
      <x:c r="L20" s="32" t="n">
        <x:f>54</x:f>
        <x:v>54</x:v>
      </x:c>
      <x:c r="M20" s="32" t="str">
        <x:v>60</x:v>
      </x:c>
      <x:c r="N20" s="32" t="str">
        <x:v>61</x:v>
      </x:c>
      <x:c r="O20" s="32" t="n">
        <x:f>53</x:f>
        <x:v>53</x:v>
      </x:c>
      <x:c r="P20" s="31" t="str">
        <x:v>https://www.topuniversities.com/universities/university-sydney</x:v>
      </x:c>
      <x:c r="Q20" s="31" t="str">
        <x:v>https://www.timeshighereducation.com/world-university-rankings/university-sydney</x:v>
      </x:c>
      <x:c r="R20" s="31" t="str">
        <x:v>https://www.sydney.edu.au/courses/courses/pc/master-of-sustainability.html</x:v>
      </x:c>
    </x:row>
    <x:row r="21">
      <x:c r="A21" s="15" t="n">
        <x:v>17</x:v>
      </x:c>
      <x:c r="B21" s="15" t="str">
        <x:v>Australian National University (ANU)</x:v>
      </x:c>
      <x:c r="C21" s="15" t="str">
        <x:v>Australia</x:v>
      </x:c>
      <x:c r="D21" s="15" t="str">
        <x:v>QS Sustainability</x:v>
      </x:c>
      <x:c r="E21" s="15" t="str">
        <x:v>Master of Climate Change</x:v>
      </x:c>
      <x:c r="F21" s="32" t="str">
        <x:v>30</x:v>
      </x:c>
      <x:c r="G21" s="32" t="n">
        <x:f>34</x:f>
        <x:v>34</x:v>
      </x:c>
      <x:c r="H21" s="32" t="str">
        <x:v>30</x:v>
      </x:c>
      <x:c r="I21" s="32" t="n">
        <x:f>32</x:f>
        <x:v>32</x:v>
      </x:c>
      <x:c r="J21" s="32" t="str">
        <x:v>29</x:v>
      </x:c>
      <x:c r="K21" s="32" t="n">
        <x:f>54</x:f>
        <x:v>54</x:v>
      </x:c>
      <x:c r="L21" s="32" t="str">
        <x:v>62</x:v>
      </x:c>
      <x:c r="M21" s="32" t="str">
        <x:v>67</x:v>
      </x:c>
      <x:c r="N21" s="32" t="n">
        <x:f>73</x:f>
        <x:v>73</x:v>
      </x:c>
      <x:c r="O21" s="32" t="n">
        <x:f>73</x:f>
        <x:v>73</x:v>
      </x:c>
      <x:c r="P21" s="31" t="str">
        <x:v>https://www.topuniversities.com/universities/australian-national-university-anu</x:v>
      </x:c>
      <x:c r="Q21" s="31" t="str">
        <x:v>https://www.timeshighereducation.com/world-university-rankings/australian-national-university</x:v>
      </x:c>
      <x:c r="R21" s="31" t="str">
        <x:v>https://programsandcourses.anu.edu.au/program/MCLCH</x:v>
      </x:c>
    </x:row>
    <x:row r="22">
      <x:c r="A22" s="15" t="n">
        <x:v>18</x:v>
      </x:c>
      <x:c r="B22" s="15" t="str">
        <x:v>King's College London</x:v>
      </x:c>
      <x:c r="C22" s="15" t="str">
        <x:v>United Kingdom</x:v>
      </x:c>
      <x:c r="D22" s="15" t="str">
        <x:v>QS Sustainability</x:v>
      </x:c>
      <x:c r="E22" s="15" t="str">
        <x:v>Environment, Politics and Development MSc</x:v>
      </x:c>
      <x:c r="F22" s="32" t="str">
        <x:v>37</x:v>
      </x:c>
      <x:c r="G22" s="32" t="str">
        <x:v>40</x:v>
      </x:c>
      <x:c r="H22" s="32" t="n">
        <x:f>40</x:f>
        <x:v>40</x:v>
      </x:c>
      <x:c r="I22" s="32" t="str">
        <x:v>31</x:v>
      </x:c>
      <x:c r="J22" s="32" t="str">
        <x:v>37</x:v>
      </x:c>
      <x:c r="K22" s="32" t="n">
        <x:f>35</x:f>
        <x:v>35</x:v>
      </x:c>
      <x:c r="L22" s="32" t="str">
        <x:v>35</x:v>
      </x:c>
      <x:c r="M22" s="32" t="n">
        <x:f>38</x:f>
        <x:v>38</x:v>
      </x:c>
      <x:c r="N22" s="32" t="n">
        <x:f>36</x:f>
        <x:v>36</x:v>
      </x:c>
      <x:c r="O22" s="32" t="str">
        <x:v>38</x:v>
      </x:c>
      <x:c r="P22" s="31" t="str">
        <x:v>https://www.topuniversities.com/universities/kings-college-london</x:v>
      </x:c>
      <x:c r="Q22" s="31" t="str">
        <x:v>https://www.timeshighereducation.com/world-university-rankings/kings-college-london</x:v>
      </x:c>
      <x:c r="R22" s="31" t="str">
        <x:v>https://www.kcl.ac.uk/study/postgraduate-taught/courses/environment-politics-and-development-msc</x:v>
      </x:c>
    </x:row>
    <x:row r="23">
      <x:c r="A23" s="15" t="n">
        <x:v>19</x:v>
      </x:c>
      <x:c r="B23" s="15" t="str">
        <x:v>University of Bristol</x:v>
      </x:c>
      <x:c r="C23" s="15" t="str">
        <x:v>United Kingdom</x:v>
      </x:c>
      <x:c r="D23" s="15" t="str">
        <x:v>QS Sustainability</x:v>
      </x:c>
      <x:c r="E23" s="15" t="str">
        <x:v>MSc Environmental Policy and Management</x:v>
      </x:c>
      <x:c r="F23" s="32" t="n">
        <x:f>61</x:f>
        <x:v>61</x:v>
      </x:c>
      <x:c r="G23" s="32" t="str">
        <x:v>55</x:v>
      </x:c>
      <x:c r="H23" s="32" t="str">
        <x:v>54</x:v>
      </x:c>
      <x:c r="I23" s="32" t="str">
        <x:v>51</x:v>
      </x:c>
      <x:c r="J23" s="32" t="str">
        <x:v>57</x:v>
      </x:c>
      <x:c r="K23" s="32" t="str">
        <x:v>92</x:v>
      </x:c>
      <x:c r="L23" s="32" t="str">
        <x:v>76</x:v>
      </x:c>
      <x:c r="M23" s="32" t="str">
        <x:v>81</x:v>
      </x:c>
      <x:c r="N23" s="32" t="str">
        <x:v>78</x:v>
      </x:c>
      <x:c r="O23" s="32" t="n">
        <x:f>80</x:f>
        <x:v>80</x:v>
      </x:c>
      <x:c r="P23" s="31" t="str">
        <x:v>https://www.topuniversities.com/universities/university-bristol</x:v>
      </x:c>
      <x:c r="Q23" s="31" t="str">
        <x:v>https://www.timeshighereducation.com/world-university-rankings/university-bristol</x:v>
      </x:c>
      <x:c r="R23" s="31" t="str">
        <x:v>https://www.bristol.ac.uk/study/postgraduate/taught/msc-environmental-policy-and-management/</x:v>
      </x:c>
    </x:row>
    <x:row r="24">
      <x:c r="A24" s="15" t="n">
        <x:v>20</x:v>
      </x:c>
      <x:c r="B24" s="15" t="str">
        <x:v>New York University (NYU)</x:v>
      </x:c>
      <x:c r="C24" s="15" t="str">
        <x:v>United States</x:v>
      </x:c>
      <x:c r="D24" s="15" t="str">
        <x:v>QS Sustainability</x:v>
      </x:c>
      <x:c r="E24" s="15" t="str">
        <x:v>MS in Environmental Policy and Sustainability Management</x:v>
      </x:c>
      <x:c r="F24" s="32" t="str">
        <x:v>39</x:v>
      </x:c>
      <x:c r="G24" s="32" t="n">
        <x:f>38</x:f>
        <x:v>38</x:v>
      </x:c>
      <x:c r="H24" s="32" t="str">
        <x:v>43</x:v>
      </x:c>
      <x:c r="I24" s="32" t="str">
        <x:v>55</x:v>
      </x:c>
      <x:c r="J24" s="32" t="str">
        <x:v>58</x:v>
      </x:c>
      <x:c r="K24" s="32" t="str">
        <x:v>26</x:v>
      </x:c>
      <x:c r="L24" s="32" t="str">
        <x:v>24</x:v>
      </x:c>
      <x:c r="M24" s="32" t="str">
        <x:v>27</x:v>
      </x:c>
      <x:c r="N24" s="32" t="str">
        <x:v>33</x:v>
      </x:c>
      <x:c r="O24" s="32" t="n">
        <x:f>31</x:f>
        <x:v>31</x:v>
      </x:c>
      <x:c r="P24" s="31" t="str">
        <x:v>https://www.topuniversities.com/universities/new-york-university-nyu</x:v>
      </x:c>
      <x:c r="Q24" s="31" t="str">
        <x:v>https://www.timeshighereducation.com/world-university-rankings/new-york-university</x:v>
      </x:c>
      <x:c r="R24" s="31" t="str">
        <x:v>https://www.sps.nyu.edu/homepage/academics/masters-degrees/ms-in-environmental-policy-and-sustainability-management.html</x:v>
      </x:c>
    </x:row>
    <x:row r="25">
      <x:c r="A25" s="15" t="n">
        <x:v>21</x:v>
      </x:c>
      <x:c r="B25" s="15" t="str">
        <x:v>Pennsylvania State University</x:v>
      </x:c>
      <x:c r="C25" s="15" t="str">
        <x:v>United States</x:v>
      </x:c>
      <x:c r="D25" s="15" t="str">
        <x:v>QS Sustainability</x:v>
      </x:c>
      <x:c r="E25" s="15" t="str">
        <x:v>Master of Professional Studies in Renewable Energy and Sustainability Systems</x:v>
      </x:c>
      <x:c r="F25" s="32" t="str">
        <x:v>93</x:v>
      </x:c>
      <x:c r="G25" s="32" t="str">
        <x:v>83</x:v>
      </x:c>
      <x:c r="H25" s="32" t="n">
        <x:f>89</x:f>
        <x:v>89</x:v>
      </x:c>
      <x:c r="I25" s="32" t="n">
        <x:f>82</x:f>
        <x:v>82</x:v>
      </x:c>
      <x:c r="J25" s="32" t="n">
        <x:f>92</x:f>
        <x:v>92</x:v>
      </x:c>
      <x:c r="K25" s="32" t="n">
        <x:f>119</x:f>
        <x:v>119</x:v>
      </x:c>
      <x:c r="L25" s="32" t="n">
        <x:f>151</x:f>
        <x:v>151</x:v>
      </x:c>
      <x:c r="M25" s="32" t="str">
        <x:v>122</x:v>
      </x:c>
      <x:c r="N25" s="32" t="n">
        <x:f>100</x:f>
        <x:v>100</x:v>
      </x:c>
      <x:c r="O25" s="32" t="n">
        <x:f>108</x:f>
        <x:v>108</x:v>
      </x:c>
      <x:c r="P25" s="31" t="str">
        <x:v>https://www.topuniversities.com/universities/pennsylvania-state-university</x:v>
      </x:c>
      <x:c r="Q25" s="31" t="str">
        <x:v>https://www.timeshighereducation.com/world-university-rankings/penn-state-main-campus</x:v>
      </x:c>
      <x:c r="R25" s="31" t="str">
        <x:v>https://www.ems.psu.edu/academics/find-program-study/renewable-energy-and-sustainability-systems-mps</x:v>
      </x:c>
    </x:row>
    <x:row r="26">
      <x:c r="A26" s="15" t="n">
        <x:v>22</x:v>
      </x:c>
      <x:c r="B26" s="15" t="str">
        <x:v>KU Leuven</x:v>
      </x:c>
      <x:c r="C26" s="15" t="str">
        <x:v>Belgium</x:v>
      </x:c>
      <x:c r="D26" s="15" t="str">
        <x:v>QS Sustainability</x:v>
      </x:c>
      <x:c r="E26" s="15" t="str">
        <x:v>Master of Sustainable Development</x:v>
      </x:c>
      <x:c r="F26" s="32" t="str">
        <x:v>76</x:v>
      </x:c>
      <x:c r="G26" s="32" t="str">
        <x:v>61</x:v>
      </x:c>
      <x:c r="H26" s="32" t="n">
        <x:f>63</x:f>
        <x:v>63</x:v>
      </x:c>
      <x:c r="I26" s="32" t="str">
        <x:v>60</x:v>
      </x:c>
      <x:c r="J26" s="32" t="str">
        <x:v>59</x:v>
      </x:c>
      <x:c r="K26" s="32" t="n">
        <x:f>42</x:f>
        <x:v>42</x:v>
      </x:c>
      <x:c r="L26" s="32" t="str">
        <x:v>42</x:v>
      </x:c>
      <x:c r="M26" s="32" t="str">
        <x:v>45</x:v>
      </x:c>
      <x:c r="N26" s="32" t="str">
        <x:v>43</x:v>
      </x:c>
      <x:c r="O26" s="32" t="str">
        <x:v>46</x:v>
      </x:c>
      <x:c r="P26" s="31" t="str">
        <x:v>https://www.topuniversities.com/universities/ku-leuven</x:v>
      </x:c>
      <x:c r="Q26" s="31" t="str">
        <x:v>https://www.timeshighereducation.com/world-university-rankings/ku-leuven</x:v>
      </x:c>
      <x:c r="R26" s="31" t="str">
        <x:v>https://www.kuleuven.be/programmes/master-sustainable-development</x:v>
      </x:c>
    </x:row>
    <x:row r="27">
      <x:c r="A27" s="15" t="n">
        <x:v>23</x:v>
      </x:c>
      <x:c r="B27" s="15" t="str">
        <x:v>University of Helsinki</x:v>
      </x:c>
      <x:c r="C27" s="15" t="str">
        <x:v>Finland</x:v>
      </x:c>
      <x:c r="D27" s="15" t="str">
        <x:v>QS Sustainability</x:v>
      </x:c>
      <x:c r="E27" s="15" t="str">
        <x:v>Master's Programme in Environmental Change and Global Sustainability</x:v>
      </x:c>
      <x:c r="F27" s="32" t="n">
        <x:f>106</x:f>
        <x:v>106</x:v>
      </x:c>
      <x:c r="G27" s="32" t="str">
        <x:v>115</x:v>
      </x:c>
      <x:c r="H27" s="32" t="str">
        <x:v>117</x:v>
      </x:c>
      <x:c r="I27" s="32" t="n">
        <x:f>116</x:f>
        <x:v>116</x:v>
      </x:c>
      <x:c r="J27" s="32" t="n">
        <x:f>123</x:f>
        <x:v>123</x:v>
      </x:c>
      <x:c r="K27" s="32" t="n">
        <x:f>101</x:f>
        <x:v>101</x:v>
      </x:c>
      <x:c r="L27" s="32" t="str">
        <x:v>110</x:v>
      </x:c>
      <x:c r="M27" s="32" t="str">
        <x:v>121</x:v>
      </x:c>
      <x:c r="N27" s="32" t="n">
        <x:f>107</x:f>
        <x:v>107</x:v>
      </x:c>
      <x:c r="O27" s="32" t="n">
        <x:f>105</x:f>
        <x:v>105</x:v>
      </x:c>
      <x:c r="P27" s="31" t="str">
        <x:v>https://www.topuniversities.com/universities/university-helsinki</x:v>
      </x:c>
      <x:c r="Q27" s="31" t="str">
        <x:v>https://www.timeshighereducation.com/world-university-rankings/university-helsinki</x:v>
      </x:c>
      <x:c r="R27" s="31" t="str">
        <x:v>https://www.helsinki.fi/en/degree-programmes/environmental-change-and-global-sustainability-masters-programme</x:v>
      </x:c>
    </x:row>
    <x:row r="28">
      <x:c r="A28" s="15" t="n">
        <x:v>24</x:v>
      </x:c>
      <x:c r="B28" s="15" t="str">
        <x:v>Durham University</x:v>
      </x:c>
      <x:c r="C28" s="15" t="str">
        <x:v>United Kingdom</x:v>
      </x:c>
      <x:c r="D28" s="15" t="str">
        <x:v>QS Sustainability</x:v>
      </x:c>
      <x:c r="E28" s="15" t="str">
        <x:v>MSc Climate Change, Environmental Processes and Sustainable Futures</x:v>
      </x:c>
      <x:c r="F28" s="32" t="str">
        <x:v>92</x:v>
      </x:c>
      <x:c r="G28" s="32" t="str">
        <x:v>78</x:v>
      </x:c>
      <x:c r="H28" s="32" t="n">
        <x:f>89</x:f>
        <x:v>89</x:v>
      </x:c>
      <x:c r="I28" s="32" t="n">
        <x:f>94</x:f>
        <x:v>94</x:v>
      </x:c>
      <x:c r="J28" s="32" t="str">
        <x:v>85</x:v>
      </x:c>
      <x:c r="K28" s="32" t="n">
        <x:f>162</x:f>
        <x:v>162</x:v>
      </x:c>
      <x:c r="L28" s="32" t="n">
        <x:f>198</x:f>
        <x:v>198</x:v>
      </x:c>
      <x:c r="M28" s="32" t="str">
        <x:v>174</x:v>
      </x:c>
      <x:c r="N28" s="32" t="n">
        <x:f>172</x:f>
        <x:v>172</x:v>
      </x:c>
      <x:c r="O28" s="32" t="str">
        <x:v>175</x:v>
      </x:c>
      <x:c r="P28" s="31" t="str">
        <x:v>https://www.topuniversities.com/universities/durham-university</x:v>
      </x:c>
      <x:c r="Q28" s="31" t="str">
        <x:v>https://www.timeshighereducation.com/world-university-rankings/durham-university</x:v>
      </x:c>
      <x:c r="R28" s="31" t="str">
        <x:v>https://www.durham.ac.uk/departments/academic/geography/postgraduate-study/taught-masters/</x:v>
      </x:c>
    </x:row>
    <x:row r="29">
      <x:c r="A29" s="15" t="n">
        <x:v>25</x:v>
      </x:c>
      <x:c r="B29" s="15" t="str">
        <x:v>University of Leeds</x:v>
      </x:c>
      <x:c r="C29" s="15" t="str">
        <x:v>United Kingdom</x:v>
      </x:c>
      <x:c r="D29" s="15" t="str">
        <x:v>QS Sustainability</x:v>
      </x:c>
      <x:c r="E29" s="15" t="str">
        <x:v>MSc Sustainability, Environment and Development</x:v>
      </x:c>
      <x:c r="F29" s="32" t="str">
        <x:v>86</x:v>
      </x:c>
      <x:c r="G29" s="32" t="str">
        <x:v>75</x:v>
      </x:c>
      <x:c r="H29" s="32" t="n">
        <x:f>82</x:f>
        <x:v>82</x:v>
      </x:c>
      <x:c r="I29" s="32" t="str">
        <x:v>86</x:v>
      </x:c>
      <x:c r="J29" s="32" t="n">
        <x:f>77</x:f>
        <x:v>77</x:v>
      </x:c>
      <x:c r="K29" s="32" t="n">
        <x:f>127</x:f>
        <x:v>127</x:v>
      </x:c>
      <x:c r="L29" s="32" t="n">
        <x:f>128</x:f>
        <x:v>128</x:v>
      </x:c>
      <x:c r="M29" s="32" t="str">
        <x:v>129</x:v>
      </x:c>
      <x:c r="N29" s="32" t="str">
        <x:v>123</x:v>
      </x:c>
      <x:c r="O29" s="32" t="str">
        <x:v>118</x:v>
      </x:c>
      <x:c r="P29" s="31" t="str">
        <x:v>https://www.topuniversities.com/universities/university-leeds</x:v>
      </x:c>
      <x:c r="Q29" s="31" t="str">
        <x:v>https://www.timeshighereducation.com/world-university-rankings/university-leeds</x:v>
      </x:c>
      <x:c r="R29" s="31" t="str">
        <x:v>https://courses.leeds.ac.uk/j985/sustainability-environment-and-development-msc</x:v>
      </x:c>
    </x:row>
    <x:row r="30">
      <x:c r="A30" s="15" t="n">
        <x:v>26</x:v>
      </x:c>
      <x:c r="B30" s="15" t="str">
        <x:v>Western University</x:v>
      </x:c>
      <x:c r="C30" s="15" t="str">
        <x:v>Canada</x:v>
      </x:c>
      <x:c r="D30" s="15" t="str">
        <x:v>Both</x:v>
      </x:c>
      <x:c r="E30" s="15" t="str">
        <x:v>Master of Environment and Sustainability</x:v>
      </x:c>
      <x:c r="F30" s="32" t="n">
        <x:f>172</x:f>
        <x:v>172</x:v>
      </x:c>
      <x:c r="G30" s="32" t="str">
        <x:v>114</x:v>
      </x:c>
      <x:c r="H30" s="32" t="n">
        <x:f>120</x:f>
        <x:v>120</x:v>
      </x:c>
      <x:c r="I30" s="32" t="str">
        <x:v>151</x:v>
      </x:c>
      <x:c r="J30" s="32" t="n">
        <x:f>142</x:f>
        <x:v>142</x:v>
      </x:c>
      <x:c r="K30" s="32" t="str">
        <x:v>200+</x:v>
      </x:c>
      <x:c r="L30" s="32" t="str">
        <x:v>200+</x:v>
      </x:c>
      <x:c r="M30" s="32" t="str">
        <x:v>200+</x:v>
      </x:c>
      <x:c r="N30" s="32" t="str">
        <x:v>200+</x:v>
      </x:c>
      <x:c r="O30" s="32" t="str">
        <x:v>200+</x:v>
      </x:c>
      <x:c r="P30" s="31" t="str">
        <x:v>https://www.topuniversities.com/universities/western-university</x:v>
      </x:c>
      <x:c r="Q30" s="31" t="str">
        <x:v>https://www.timeshighereducation.com/world-university-rankings/western-university</x:v>
      </x:c>
      <x:c r="R30" s="31" t="str">
        <x:v>https://www.uwo.ca/mes/</x:v>
      </x:c>
    </x:row>
    <x:row r="31">
      <x:c r="A31" s="15" t="n">
        <x:v>27</x:v>
      </x:c>
      <x:c r="B31" s="15" t="str">
        <x:v>University of Glasgow</x:v>
      </x:c>
      <x:c r="C31" s="15" t="str">
        <x:v>United Kingdom</x:v>
      </x:c>
      <x:c r="D31" s="15" t="str">
        <x:v>Both</x:v>
      </x:c>
      <x:c r="E31" s="15" t="str">
        <x:v>MSc Environment &amp; Sustainable Development</x:v>
      </x:c>
      <x:c r="F31" s="32" t="str">
        <x:v>81</x:v>
      </x:c>
      <x:c r="G31" s="32" t="n">
        <x:f>76</x:f>
        <x:v>76</x:v>
      </x:c>
      <x:c r="H31" s="32" t="str">
        <x:v>78</x:v>
      </x:c>
      <x:c r="I31" s="32" t="str">
        <x:v>79</x:v>
      </x:c>
      <x:c r="J31" s="32" t="str">
        <x:v>80</x:v>
      </x:c>
      <x:c r="K31" s="32" t="n">
        <x:f>86</x:f>
        <x:v>86</x:v>
      </x:c>
      <x:c r="L31" s="32" t="n">
        <x:f>82</x:f>
        <x:v>82</x:v>
      </x:c>
      <x:c r="M31" s="32" t="n">
        <x:f>87</x:f>
        <x:v>87</x:v>
      </x:c>
      <x:c r="N31" s="32" t="n">
        <x:f>87</x:f>
        <x:v>87</x:v>
      </x:c>
      <x:c r="O31" s="32" t="str">
        <x:v>84</x:v>
      </x:c>
      <x:c r="P31" s="31" t="str">
        <x:v>https://www.topuniversities.com/universities/university-glasgow</x:v>
      </x:c>
      <x:c r="Q31" s="31" t="str">
        <x:v>https://www.timeshighereducation.com/world-university-rankings/university-glasgow</x:v>
      </x:c>
      <x:c r="R31" s="31" t="str">
        <x:v>https://www.gla.ac.uk/postgraduate/taught/environmentsustainabledevelopment/</x:v>
      </x:c>
    </x:row>
    <x:row r="32">
      <x:c r="A32" s="15" t="n">
        <x:v>28</x:v>
      </x:c>
      <x:c r="B32" s="15" t="str">
        <x:v>The University of Auckland</x:v>
      </x:c>
      <x:c r="C32" s="15" t="str">
        <x:v>New Zealand</x:v>
      </x:c>
      <x:c r="D32" s="15" t="str">
        <x:v>QS Sustainability</x:v>
      </x:c>
      <x:c r="E32" s="15" t="str">
        <x:v>Master of Environmental Science</x:v>
      </x:c>
      <x:c r="F32" s="32" t="str">
        <x:v>87</x:v>
      </x:c>
      <x:c r="G32" s="32" t="str">
        <x:v>68</x:v>
      </x:c>
      <x:c r="H32" s="32" t="str">
        <x:v>65</x:v>
      </x:c>
      <x:c r="I32" s="32" t="str">
        <x:v>65</x:v>
      </x:c>
      <x:c r="J32" s="32" t="str">
        <x:v>67</x:v>
      </x:c>
      <x:c r="K32" s="32" t="n">
        <x:f>137</x:f>
        <x:v>137</x:v>
      </x:c>
      <x:c r="L32" s="32" t="n">
        <x:f>139</x:f>
        <x:v>139</x:v>
      </x:c>
      <x:c r="M32" s="32" t="n">
        <x:f>150</x:f>
        <x:v>150</x:v>
      </x:c>
      <x:c r="N32" s="32" t="n">
        <x:f>152</x:f>
        <x:v>152</x:v>
      </x:c>
      <x:c r="O32" s="32" t="n">
        <x:f>156</x:f>
        <x:v>156</x:v>
      </x:c>
      <x:c r="P32" s="31" t="str">
        <x:v>https://www.topuniversities.com/universities/university-auckland</x:v>
      </x:c>
      <x:c r="Q32" s="31" t="str">
        <x:v>https://www.timeshighereducation.com/world-university-rankings/university-auckland</x:v>
      </x:c>
      <x:c r="R32" s="31" t="str">
        <x:v>https://www.auckland.ac.nz/en/study/study-options/find-a-study-option/master-of-environmental-science-menvsci.html</x:v>
      </x:c>
    </x:row>
    <x:row r="33">
      <x:c r="A33" s="15" t="n">
        <x:v>29</x:v>
      </x:c>
      <x:c r="B33" s="15" t="str">
        <x:v>Trinity College Dublin, The University of Dublin</x:v>
      </x:c>
      <x:c r="C33" s="15" t="str">
        <x:v>Ireland</x:v>
      </x:c>
      <x:c r="D33" s="15" t="str">
        <x:v>QS Sustainability</x:v>
      </x:c>
      <x:c r="E33" s="15" t="str">
        <x:v>MSc Environmental Sciences</x:v>
      </x:c>
      <x:c r="F33" s="32" t="str">
        <x:v>98</x:v>
      </x:c>
      <x:c r="G33" s="32" t="n">
        <x:f>81</x:f>
        <x:v>81</x:v>
      </x:c>
      <x:c r="H33" s="32" t="str">
        <x:v>87</x:v>
      </x:c>
      <x:c r="I33" s="32" t="str">
        <x:v>75</x:v>
      </x:c>
      <x:c r="J33" s="32" t="str">
        <x:v>75</x:v>
      </x:c>
      <x:c r="K33" s="32" t="n">
        <x:f>146</x:f>
        <x:v>146</x:v>
      </x:c>
      <x:c r="L33" s="32" t="n">
        <x:f>161</x:f>
        <x:v>161</x:v>
      </x:c>
      <x:c r="M33" s="32" t="str">
        <x:v>134</x:v>
      </x:c>
      <x:c r="N33" s="32" t="str">
        <x:v>139</x:v>
      </x:c>
      <x:c r="O33" s="32" t="str">
        <x:v>173</x:v>
      </x:c>
      <x:c r="P33" s="31" t="str">
        <x:v>https://www.topuniversities.com/universities/trinity-college-dublin-university-dublin</x:v>
      </x:c>
      <x:c r="Q33" s="31" t="str">
        <x:v>https://www.timeshighereducation.com/world-university-rankings/trinity-college-dublin</x:v>
      </x:c>
      <x:c r="R33" s="31" t="str">
        <x:v>https://www.tcd.ie/courses/postgraduate/courses/environmental-sciences-msc--pgraddip/</x:v>
      </x:c>
    </x:row>
    <x:row r="34">
      <x:c r="A34" s="15" t="n">
        <x:v>30</x:v>
      </x:c>
      <x:c r="B34" s="15" t="str">
        <x:v>University of Pennsylvania</x:v>
      </x:c>
      <x:c r="C34" s="15" t="str">
        <x:v>United States</x:v>
      </x:c>
      <x:c r="D34" s="15" t="str">
        <x:v>QS Sustainability</x:v>
      </x:c>
      <x:c r="E34" s="15" t="str">
        <x:v>Master of Environmental Studies</x:v>
      </x:c>
      <x:c r="F34" s="32" t="str">
        <x:v>13</x:v>
      </x:c>
      <x:c r="G34" s="32" t="str">
        <x:v>12</x:v>
      </x:c>
      <x:c r="H34" s="32" t="str">
        <x:v>11</x:v>
      </x:c>
      <x:c r="I34" s="32" t="str">
        <x:v>15</x:v>
      </x:c>
      <x:c r="J34" s="32" t="str">
        <x:v>15</x:v>
      </x:c>
      <x:c r="K34" s="32" t="n">
        <x:f>13</x:f>
        <x:v>13</x:v>
      </x:c>
      <x:c r="L34" s="32" t="str">
        <x:v>14</x:v>
      </x:c>
      <x:c r="M34" s="32" t="str">
        <x:v>16</x:v>
      </x:c>
      <x:c r="N34" s="32" t="n">
        <x:f>14</x:f>
        <x:v>14</x:v>
      </x:c>
      <x:c r="O34" s="32" t="str">
        <x:v>14</x:v>
      </x:c>
      <x:c r="P34" s="31" t="str">
        <x:v>https://www.topuniversities.com/universities/university-pennsylvania</x:v>
      </x:c>
      <x:c r="Q34" s="31" t="str">
        <x:v>https://www.timeshighereducation.com/world-university-rankings/university-pennsylvania</x:v>
      </x:c>
      <x:c r="R34" s="31" t="str">
        <x:v>https://www.lps.upenn.edu/degree-programs/mes</x:v>
      </x:c>
    </x:row>
    <x:row r="35">
      <x:c r="A35" s="15" t="n">
        <x:v>31</x:v>
      </x:c>
      <x:c r="B35" s="15" t="str">
        <x:v>University of Reading</x:v>
      </x:c>
      <x:c r="C35" s="15" t="str">
        <x:v>United Kingdom</x:v>
      </x:c>
      <x:c r="D35" s="15" t="str">
        <x:v>QS Sustainability</x:v>
      </x:c>
      <x:c r="E35" s="15" t="str">
        <x:v>MSc Environment, Climate Change and Development</x:v>
      </x:c>
      <x:c r="F35" s="32" t="str">
        <x:v>200+</x:v>
      </x:c>
      <x:c r="G35" s="32" t="n">
        <x:f>169</x:f>
        <x:v>169</x:v>
      </x:c>
      <x:c r="H35" s="32" t="str">
        <x:v>172</x:v>
      </x:c>
      <x:c r="I35" s="32" t="n">
        <x:f>194</x:f>
        <x:v>194</x:v>
      </x:c>
      <x:c r="J35" s="32" t="n">
        <x:f>196</x:f>
        <x:v>196</x:v>
      </x:c>
      <x:c r="K35" s="32" t="str">
        <x:v>200+</x:v>
      </x:c>
      <x:c r="L35" s="32" t="n">
        <x:f>198</x:f>
        <x:v>198</x:v>
      </x:c>
      <x:c r="M35" s="32" t="str">
        <x:v>200+</x:v>
      </x:c>
      <x:c r="N35" s="32" t="str">
        <x:v>200+</x:v>
      </x:c>
      <x:c r="O35" s="32" t="str">
        <x:v>200+</x:v>
      </x:c>
      <x:c r="P35" s="31" t="str">
        <x:v>https://www.topuniversities.com/universities/university-reading</x:v>
      </x:c>
      <x:c r="Q35" s="31" t="str">
        <x:v>https://www.timeshighereducation.com/world-university-rankings/university-reading</x:v>
      </x:c>
      <x:c r="R35" s="31" t="str">
        <x:v>https://www.reading.ac.uk/ready-to-study/study/2026/international-development-and-applied-economics-pg/msc-climate-change-and-development</x:v>
      </x:c>
    </x:row>
    <x:row r="36">
      <x:c r="A36" s="15" t="n">
        <x:v>32</x:v>
      </x:c>
      <x:c r="B36" s="15" t="str">
        <x:v>Uppsala University</x:v>
      </x:c>
      <x:c r="C36" s="15" t="str">
        <x:v>Sweden</x:v>
      </x:c>
      <x:c r="D36" s="15" t="str">
        <x:v>QS Sustainability</x:v>
      </x:c>
      <x:c r="E36" s="15" t="str">
        <x:v>Master's Programme in Sustainable Development</x:v>
      </x:c>
      <x:c r="F36" s="32" t="str">
        <x:v>128</x:v>
      </x:c>
      <x:c r="G36" s="32" t="str">
        <x:v>105</x:v>
      </x:c>
      <x:c r="H36" s="32" t="str">
        <x:v>103</x:v>
      </x:c>
      <x:c r="I36" s="32" t="str">
        <x:v>93</x:v>
      </x:c>
      <x:c r="J36" s="32" t="n">
        <x:f>87</x:f>
        <x:v>87</x:v>
      </x:c>
      <x:c r="K36" s="32" t="str">
        <x:v>131</x:v>
      </x:c>
      <x:c r="L36" s="32" t="n">
        <x:f>148</x:f>
        <x:v>148</x:v>
      </x:c>
      <x:c r="M36" s="32" t="n">
        <x:f>140</x:f>
        <x:v>140</x:v>
      </x:c>
      <x:c r="N36" s="32" t="n">
        <x:f>130</x:f>
        <x:v>130</x:v>
      </x:c>
      <x:c r="O36" s="32" t="str">
        <x:v>128</x:v>
      </x:c>
      <x:c r="P36" s="31" t="str">
        <x:v>https://www.topuniversities.com/universities/uppsala-university</x:v>
      </x:c>
      <x:c r="Q36" s="31" t="str">
        <x:v>https://www.timeshighereducation.com/world-university-rankings/uppsala-university</x:v>
      </x:c>
      <x:c r="R36" s="31" t="str">
        <x:v>https://www.uu.se/en/study/programme/masters-programme-sustainable-development.html</x:v>
      </x:c>
    </x:row>
    <x:row r="37">
      <x:c r="A37" s="15" t="n">
        <x:v>33</x:v>
      </x:c>
      <x:c r="B37" s="15" t="str">
        <x:v>Ghent University</x:v>
      </x:c>
      <x:c r="C37" s="15" t="str">
        <x:v>Belgium</x:v>
      </x:c>
      <x:c r="D37" s="15" t="str">
        <x:v>QS Sustainability</x:v>
      </x:c>
      <x:c r="E37" s="15" t="str">
        <x:v>International MSc in Sustainable and Innovative Natural Resource Management (SINReM)</x:v>
      </x:c>
      <x:c r="F37" s="32" t="n">
        <x:f>143</x:f>
        <x:v>143</x:v>
      </x:c>
      <x:c r="G37" s="32" t="n">
        <x:f>159</x:f>
        <x:v>159</x:v>
      </x:c>
      <x:c r="H37" s="32" t="n">
        <x:f>169</x:f>
        <x:v>169</x:v>
      </x:c>
      <x:c r="I37" s="32" t="str">
        <x:v>162</x:v>
      </x:c>
      <x:c r="J37" s="32" t="n">
        <x:f>150</x:f>
        <x:v>150</x:v>
      </x:c>
      <x:c r="K37" s="32" t="n">
        <x:f>96</x:f>
        <x:v>96</x:v>
      </x:c>
      <x:c r="L37" s="32" t="str">
        <x:v>107</x:v>
      </x:c>
      <x:c r="M37" s="32" t="str">
        <x:v>115</x:v>
      </x:c>
      <x:c r="N37" s="32" t="n">
        <x:f>112</x:f>
        <x:v>112</x:v>
      </x:c>
      <x:c r="O37" s="32" t="str">
        <x:v>115</x:v>
      </x:c>
      <x:c r="P37" s="31" t="str">
        <x:v>https://www.topuniversities.com/universities/ghent-university</x:v>
      </x:c>
      <x:c r="Q37" s="31" t="str">
        <x:v>https://www.timeshighereducation.com/world-university-rankings/ghent-university</x:v>
      </x:c>
      <x:c r="R37" s="31" t="str">
        <x:v>https://studiekiezer.ugent.be/infobrochure/en/IMSINR/2026</x:v>
      </x:c>
    </x:row>
    <x:row r="38">
      <x:c r="A38" s="15" t="n">
        <x:v>34</x:v>
      </x:c>
      <x:c r="B38" s="15" t="str">
        <x:v>The University of Sheffield</x:v>
      </x:c>
      <x:c r="C38" s="15" t="str">
        <x:v>United Kingdom</x:v>
      </x:c>
      <x:c r="D38" s="15" t="str">
        <x:v>QS Sustainability</x:v>
      </x:c>
      <x:c r="E38" s="15" t="str">
        <x:v>MSc Environmental Change and International Development</x:v>
      </x:c>
      <x:c r="F38" s="32" t="n">
        <x:f>96</x:f>
        <x:v>96</x:v>
      </x:c>
      <x:c r="G38" s="32" t="str">
        <x:v>104</x:v>
      </x:c>
      <x:c r="H38" s="32" t="n">
        <x:f>105</x:f>
        <x:v>105</x:v>
      </x:c>
      <x:c r="I38" s="32" t="str">
        <x:v>92</x:v>
      </x:c>
      <x:c r="J38" s="32" t="n">
        <x:f>82</x:f>
        <x:v>82</x:v>
      </x:c>
      <x:c r="K38" s="32" t="str">
        <x:v>110</x:v>
      </x:c>
      <x:c r="L38" s="32" t="n">
        <x:f>114</x:f>
        <x:v>114</x:v>
      </x:c>
      <x:c r="M38" s="32" t="str">
        <x:v>105</x:v>
      </x:c>
      <x:c r="N38" s="32" t="n">
        <x:f>98</x:f>
        <x:v>98</x:v>
      </x:c>
      <x:c r="O38" s="32" t="n">
        <x:f>108</x:f>
        <x:v>108</x:v>
      </x:c>
      <x:c r="P38" s="31" t="str">
        <x:v>https://www.topuniversities.com/universities/university-sheffield</x:v>
      </x:c>
      <x:c r="Q38" s="31" t="str">
        <x:v>https://www.timeshighereducation.com/world-university-rankings/university-sheffield</x:v>
      </x:c>
      <x:c r="R38" s="31" t="str">
        <x:v>https://www.sheffield.ac.uk/postgraduate/taught/courses/2026/environmental-change-and-international-development-msc</x:v>
      </x:c>
    </x:row>
    <x:row r="39">
      <x:c r="A39" s="15" t="n">
        <x:v>35</x:v>
      </x:c>
      <x:c r="B39" s="15" t="str">
        <x:v>Delft University of Technology</x:v>
      </x:c>
      <x:c r="C39" s="15" t="str">
        <x:v>Netherlands</x:v>
      </x:c>
      <x:c r="D39" s="15" t="str">
        <x:v>QS Sustainability</x:v>
      </x:c>
      <x:c r="E39" s="15" t="str">
        <x:v>MSc Industrial Ecology (joint Leiden University-TU Delft)</x:v>
      </x:c>
      <x:c r="F39" s="32" t="n">
        <x:f>61</x:f>
        <x:v>61</x:v>
      </x:c>
      <x:c r="G39" s="32" t="n">
        <x:f>47</x:f>
        <x:v>47</x:v>
      </x:c>
      <x:c r="H39" s="32" t="str">
        <x:v>49</x:v>
      </x:c>
      <x:c r="I39" s="32" t="n">
        <x:f>47</x:f>
        <x:v>47</x:v>
      </x:c>
      <x:c r="J39" s="32" t="str">
        <x:v>48</x:v>
      </x:c>
      <x:c r="K39" s="32" t="n">
        <x:f>75</x:f>
        <x:v>75</x:v>
      </x:c>
      <x:c r="L39" s="32" t="str">
        <x:v>70</x:v>
      </x:c>
      <x:c r="M39" s="32" t="str">
        <x:v>48</x:v>
      </x:c>
      <x:c r="N39" s="32" t="n">
        <x:f>56</x:f>
        <x:v>56</x:v>
      </x:c>
      <x:c r="O39" s="32" t="str">
        <x:v>57</x:v>
      </x:c>
      <x:c r="P39" s="31" t="str">
        <x:v>https://www.topuniversities.com/universities/delft-university-technology</x:v>
      </x:c>
      <x:c r="Q39" s="31" t="str">
        <x:v>https://www.timeshighereducation.com/world-university-rankings/delft-university-technology</x:v>
      </x:c>
      <x:c r="R39" s="31" t="str">
        <x:v>https://www.universiteitleiden.nl/en/education/study-programmes/master/industrial-ecology/about-the-programme/programme-structure</x:v>
      </x:c>
    </x:row>
    <x:row r="40">
      <x:c r="A40" s="15" t="n">
        <x:v>36</x:v>
      </x:c>
      <x:c r="B40" s="15" t="str">
        <x:v>Michigan State University</x:v>
      </x:c>
      <x:c r="C40" s="15" t="str">
        <x:v>United States</x:v>
      </x:c>
      <x:c r="D40" s="15" t="str">
        <x:v>QS Sustainability</x:v>
      </x:c>
      <x:c r="E40" s="15" t="str">
        <x:v>MS Community Sustainability</x:v>
      </x:c>
      <x:c r="F40" s="32" t="str">
        <x:v>159</x:v>
      </x:c>
      <x:c r="G40" s="32" t="str">
        <x:v>136</x:v>
      </x:c>
      <x:c r="H40" s="32" t="n">
        <x:f>152</x:f>
        <x:v>152</x:v>
      </x:c>
      <x:c r="I40" s="32" t="str">
        <x:v>161</x:v>
      </x:c>
      <x:c r="J40" s="32" t="str">
        <x:v>182</x:v>
      </x:c>
      <x:c r="K40" s="32" t="n">
        <x:f>93</x:f>
        <x:v>93</x:v>
      </x:c>
      <x:c r="L40" s="32" t="str">
        <x:v>106</x:v>
      </x:c>
      <x:c r="M40" s="32" t="n">
        <x:f>116</x:f>
        <x:v>116</x:v>
      </x:c>
      <x:c r="N40" s="32" t="str">
        <x:v>122</x:v>
      </x:c>
      <x:c r="O40" s="32" t="n">
        <x:f>105</x:f>
        <x:v>105</x:v>
      </x:c>
      <x:c r="P40" s="31" t="str">
        <x:v>https://www.topuniversities.com/universities/michigan-state-university</x:v>
      </x:c>
      <x:c r="Q40" s="31" t="str">
        <x:v>https://www.timeshighereducation.com/world-university-rankings/michigan-state-university</x:v>
      </x:c>
      <x:c r="R40" s="31" t="str">
        <x:v>https://www.canr.msu.edu/csus/graduate/programs/</x:v>
      </x:c>
    </x:row>
    <x:row r="41">
      <x:c r="A41" s="15" t="n">
        <x:v>37</x:v>
      </x:c>
      <x:c r="B41" s="15" t="str">
        <x:v>Monash University</x:v>
      </x:c>
      <x:c r="C41" s="15" t="str">
        <x:v>Australia</x:v>
      </x:c>
      <x:c r="D41" s="15" t="str">
        <x:v>QS Sustainability</x:v>
      </x:c>
      <x:c r="E41" s="15" t="str">
        <x:v>Master of Environment and Sustainability</x:v>
      </x:c>
      <x:c r="F41" s="32" t="str">
        <x:v>57</x:v>
      </x:c>
      <x:c r="G41" s="32" t="str">
        <x:v>42</x:v>
      </x:c>
      <x:c r="H41" s="32" t="str">
        <x:v>37</x:v>
      </x:c>
      <x:c r="I41" s="32" t="n">
        <x:f>36</x:f>
        <x:v>36</x:v>
      </x:c>
      <x:c r="J41" s="32" t="str">
        <x:v>31</x:v>
      </x:c>
      <x:c r="K41" s="32" t="str">
        <x:v>57</x:v>
      </x:c>
      <x:c r="L41" s="32" t="str">
        <x:v>44</x:v>
      </x:c>
      <x:c r="M41" s="32" t="str">
        <x:v>54</x:v>
      </x:c>
      <x:c r="N41" s="32" t="n">
        <x:f>58</x:f>
        <x:v>58</x:v>
      </x:c>
      <x:c r="O41" s="32" t="n">
        <x:f>58</x:f>
        <x:v>58</x:v>
      </x:c>
      <x:c r="P41" s="31" t="str">
        <x:v>https://www.topuniversities.com/universities/monash-university</x:v>
      </x:c>
      <x:c r="Q41" s="31" t="str">
        <x:v>https://www.timeshighereducation.com/world-university-rankings/monash-university</x:v>
      </x:c>
      <x:c r="R41" s="31" t="str">
        <x:v>https://www.monash.edu/study/courses/find-a-course/environment-and-sustainability-s6002</x:v>
      </x:c>
    </x:row>
    <x:row r="42">
      <x:c r="A42" s="15" t="n">
        <x:v>38</x:v>
      </x:c>
      <x:c r="B42" s="15" t="str">
        <x:v>Seoul National University</x:v>
      </x:c>
      <x:c r="C42" s="15" t="str">
        <x:v>South Korea</x:v>
      </x:c>
      <x:c r="D42" s="15" t="str">
        <x:v>QS Sustainability</x:v>
      </x:c>
      <x:c r="E42" s="15" t="str">
        <x:v>Graduate School of Environmental Studies - Environmental Management</x:v>
      </x:c>
      <x:c r="F42" s="32" t="str">
        <x:v>29</x:v>
      </x:c>
      <x:c r="G42" s="32" t="str">
        <x:v>41</x:v>
      </x:c>
      <x:c r="H42" s="32" t="str">
        <x:v>31</x:v>
      </x:c>
      <x:c r="I42" s="32" t="n">
        <x:f>38</x:f>
        <x:v>38</x:v>
      </x:c>
      <x:c r="J42" s="32" t="str">
        <x:v>38</x:v>
      </x:c>
      <x:c r="K42" s="32" t="n">
        <x:f>54</x:f>
        <x:v>54</x:v>
      </x:c>
      <x:c r="L42" s="32" t="str">
        <x:v>56</x:v>
      </x:c>
      <x:c r="M42" s="32" t="str">
        <x:v>62</x:v>
      </x:c>
      <x:c r="N42" s="32" t="n">
        <x:f>62</x:f>
        <x:v>62</x:v>
      </x:c>
      <x:c r="O42" s="32" t="n">
        <x:f>58</x:f>
        <x:v>58</x:v>
      </x:c>
      <x:c r="P42" s="31" t="str">
        <x:v>https://www.topuniversities.com/universities/seoul-national-university</x:v>
      </x:c>
      <x:c r="Q42" s="31" t="str">
        <x:v>https://www.timeshighereducation.com/world-university-rankings/seoul-national-university</x:v>
      </x:c>
      <x:c r="R42" s="31" t="str">
        <x:v>https://gses.snu.ac.kr/</x:v>
      </x:c>
    </x:row>
    <x:row r="43">
      <x:c r="A43" s="15" t="n">
        <x:v>39</x:v>
      </x:c>
      <x:c r="B43" s="15" t="str">
        <x:v>University of Nottingham</x:v>
      </x:c>
      <x:c r="C43" s="15" t="str">
        <x:v>United Kingdom</x:v>
      </x:c>
      <x:c r="D43" s="15" t="str">
        <x:v>QS Sustainability</x:v>
      </x:c>
      <x:c r="E43" s="15" t="str">
        <x:v>MSc Environmental Leadership and Management</x:v>
      </x:c>
      <x:c r="F43" s="32" t="str">
        <x:v>114</x:v>
      </x:c>
      <x:c r="G43" s="32" t="n">
        <x:f>100</x:f>
        <x:v>100</x:v>
      </x:c>
      <x:c r="H43" s="32" t="str">
        <x:v>108</x:v>
      </x:c>
      <x:c r="I43" s="32" t="str">
        <x:v>97</x:v>
      </x:c>
      <x:c r="J43" s="32" t="n">
        <x:f>97</x:f>
        <x:v>97</x:v>
      </x:c>
      <x:c r="K43" s="32" t="str">
        <x:v>141</x:v>
      </x:c>
      <x:c r="L43" s="32" t="str">
        <x:v>130</x:v>
      </x:c>
      <x:c r="M43" s="32" t="n">
        <x:f>130</x:f>
        <x:v>130</x:v>
      </x:c>
      <x:c r="N43" s="32" t="n">
        <x:f>136</x:f>
        <x:v>136</x:v>
      </x:c>
      <x:c r="O43" s="32" t="n">
        <x:f>145</x:f>
        <x:v>145</x:v>
      </x:c>
      <x:c r="P43" s="31" t="str">
        <x:v>https://www.topuniversities.com/universities/university-nottingham</x:v>
      </x:c>
      <x:c r="Q43" s="31" t="str">
        <x:v>https://www.timeshighereducation.com/world-university-rankings/university-nottingham</x:v>
      </x:c>
      <x:c r="R43" s="31" t="str">
        <x:v>https://www.nottingham.ac.uk/pgstudy/course/taught/environmental-leadership-and-management-msc</x:v>
      </x:c>
    </x:row>
    <x:row r="44">
      <x:c r="A44" s="15" t="n">
        <x:v>40</x:v>
      </x:c>
      <x:c r="B44" s="15" t="str">
        <x:v>University of York</x:v>
      </x:c>
      <x:c r="C44" s="15" t="str">
        <x:v>United Kingdom</x:v>
      </x:c>
      <x:c r="D44" s="15" t="str">
        <x:v>QS Sustainability</x:v>
      </x:c>
      <x:c r="E44" s="15" t="str">
        <x:v>MSc Corporate Sustainability and Environmental Management</x:v>
      </x:c>
      <x:c r="F44" s="32" t="str">
        <x:v>162</x:v>
      </x:c>
      <x:c r="G44" s="32" t="str">
        <x:v>167</x:v>
      </x:c>
      <x:c r="H44" s="32" t="str">
        <x:v>184</x:v>
      </x:c>
      <x:c r="I44" s="32" t="str">
        <x:v>169</x:v>
      </x:c>
      <x:c r="J44" s="32" t="n">
        <x:f>158</x:f>
        <x:v>158</x:v>
      </x:c>
      <x:c r="K44" s="32" t="str">
        <x:v>169</x:v>
      </x:c>
      <x:c r="L44" s="32" t="n">
        <x:f>139</x:f>
        <x:v>139</x:v>
      </x:c>
      <x:c r="M44" s="32" t="str">
        <x:v>147</x:v>
      </x:c>
      <x:c r="N44" s="32" t="n">
        <x:f>146</x:f>
        <x:v>146</x:v>
      </x:c>
      <x:c r="O44" s="32" t="n">
        <x:f>154</x:f>
        <x:v>154</x:v>
      </x:c>
      <x:c r="P44" s="31" t="str">
        <x:v>https://www.topuniversities.com/universities/university-york</x:v>
      </x:c>
      <x:c r="Q44" s="31" t="str">
        <x:v>https://www.timeshighereducation.com/world-university-rankings/university-york</x:v>
      </x:c>
      <x:c r="R44" s="31" t="str">
        <x:v>https://www.york.ac.uk/study/postgraduate-taught/courses/msc-corporate-sustainability-environment/</x:v>
      </x:c>
    </x:row>
    <x:row r="45">
      <x:c r="A45" s="15" t="n">
        <x:v>41</x:v>
      </x:c>
      <x:c r="B45" s="15" t="str">
        <x:v>Boston University</x:v>
      </x:c>
      <x:c r="C45" s="15" t="str">
        <x:v>United States</x:v>
      </x:c>
      <x:c r="D45" s="15" t="str">
        <x:v>QS Sustainability</x:v>
      </x:c>
      <x:c r="E45" s="15" t="str">
        <x:v>MS Innovation &amp; Entrepreneurship - Sustainability concentration</x:v>
      </x:c>
      <x:c r="F45" s="32" t="str">
        <x:v>108</x:v>
      </x:c>
      <x:c r="G45" s="32" t="n">
        <x:f>93</x:f>
        <x:v>93</x:v>
      </x:c>
      <x:c r="H45" s="32" t="str">
        <x:v>108</x:v>
      </x:c>
      <x:c r="I45" s="32" t="n">
        <x:f>88</x:f>
        <x:v>88</x:v>
      </x:c>
      <x:c r="J45" s="32" t="str">
        <x:v>94</x:v>
      </x:c>
      <x:c r="K45" s="32" t="str">
        <x:v>62</x:v>
      </x:c>
      <x:c r="L45" s="32" t="n">
        <x:f>71</x:f>
        <x:v>71</x:v>
      </x:c>
      <x:c r="M45" s="32" t="str">
        <x:v>78</x:v>
      </x:c>
      <x:c r="N45" s="32" t="str">
        <x:v>75</x:v>
      </x:c>
      <x:c r="O45" s="32" t="n">
        <x:f>76</x:f>
        <x:v>76</x:v>
      </x:c>
      <x:c r="P45" s="31" t="str">
        <x:v>https://www.topuniversities.com/universities/boston-university</x:v>
      </x:c>
      <x:c r="Q45" s="31" t="str">
        <x:v>https://www.timeshighereducation.com/world-university-rankings/boston-university</x:v>
      </x:c>
      <x:c r="R45" s="31" t="str">
        <x:v>https://www.bu.edu/met/degrees-certificates/ms-innovation-entrepreneurship-sustainability/</x:v>
      </x:c>
    </x:row>
    <x:row r="46">
      <x:c r="A46" s="15" t="n">
        <x:v>42</x:v>
      </x:c>
      <x:c r="B46" s="15" t="str">
        <x:v>Johns Hopkins University</x:v>
      </x:c>
      <x:c r="C46" s="15" t="str">
        <x:v>United States</x:v>
      </x:c>
      <x:c r="D46" s="15" t="str">
        <x:v>QS Sustainability</x:v>
      </x:c>
      <x:c r="E46" s="15" t="str">
        <x:v>MS in Energy Policy and Climate</x:v>
      </x:c>
      <x:c r="F46" s="32" t="str">
        <x:v>24</x:v>
      </x:c>
      <x:c r="G46" s="32" t="str">
        <x:v>28</x:v>
      </x:c>
      <x:c r="H46" s="32" t="n">
        <x:f>32</x:f>
        <x:v>32</x:v>
      </x:c>
      <x:c r="I46" s="32" t="str">
        <x:v>24</x:v>
      </x:c>
      <x:c r="J46" s="32" t="n">
        <x:f>20</x:f>
        <x:v>20</x:v>
      </x:c>
      <x:c r="K46" s="32" t="n">
        <x:f>13</x:f>
        <x:v>13</x:v>
      </x:c>
      <x:c r="L46" s="32" t="str">
        <x:v>15</x:v>
      </x:c>
      <x:c r="M46" s="32" t="str">
        <x:v>15</x:v>
      </x:c>
      <x:c r="N46" s="32" t="str">
        <x:v>16</x:v>
      </x:c>
      <x:c r="O46" s="32" t="str">
        <x:v>16</x:v>
      </x:c>
      <x:c r="P46" s="31" t="str">
        <x:v>https://www.topuniversities.com/universities/johns-hopkins-university</x:v>
      </x:c>
      <x:c r="Q46" s="31" t="str">
        <x:v>https://www.timeshighereducation.com/world-university-rankings/johns-hopkins-university</x:v>
      </x:c>
      <x:c r="R46" s="31" t="str">
        <x:v>https://advanced.jhu.edu/academics/graduate/ms-energy-policy-climate/</x:v>
      </x:c>
    </x:row>
    <x:row r="47">
      <x:c r="A47" s="15" t="n">
        <x:v>43</x:v>
      </x:c>
      <x:c r="B47" s="15" t="str">
        <x:v>Massachusetts Institute of Technology (MIT)</x:v>
      </x:c>
      <x:c r="C47" s="15" t="str">
        <x:v>United States</x:v>
      </x:c>
      <x:c r="D47" s="15" t="str">
        <x:v>QS Sustainability</x:v>
      </x:c>
      <x:c r="E47" s="15" t="str">
        <x:v>Master in City Planning - Environmental Policy and Planning focus</x:v>
      </x:c>
      <x:c r="F47" s="32" t="str">
        <x:v>1</x:v>
      </x:c>
      <x:c r="G47" s="32" t="str">
        <x:v>1</x:v>
      </x:c>
      <x:c r="H47" s="32" t="str">
        <x:v>1</x:v>
      </x:c>
      <x:c r="I47" s="32" t="str">
        <x:v>1</x:v>
      </x:c>
      <x:c r="J47" s="32" t="str">
        <x:v>1</x:v>
      </x:c>
      <x:c r="K47" s="32" t="n">
        <x:f>5</x:f>
        <x:v>5</x:v>
      </x:c>
      <x:c r="L47" s="32" t="str">
        <x:v>5</x:v>
      </x:c>
      <x:c r="M47" s="32" t="str">
        <x:v>3</x:v>
      </x:c>
      <x:c r="N47" s="32" t="str">
        <x:v>2</x:v>
      </x:c>
      <x:c r="O47" s="32" t="str">
        <x:v>2</x:v>
      </x:c>
      <x:c r="P47" s="31" t="str">
        <x:v>https://www.topuniversities.com/universities/massachusetts-institute-technology-mit</x:v>
      </x:c>
      <x:c r="Q47" s="31" t="str">
        <x:v>https://www.timeshighereducation.com/world-university-rankings/massachusetts-institute-technology</x:v>
      </x:c>
      <x:c r="R47" s="31" t="str">
        <x:v>https://dusp.mit.edu/masters</x:v>
      </x:c>
    </x:row>
    <x:row r="48">
      <x:c r="A48" s="15" t="n">
        <x:v>44</x:v>
      </x:c>
      <x:c r="B48" s="15" t="str">
        <x:v>University of Birmingham</x:v>
      </x:c>
      <x:c r="C48" s="15" t="str">
        <x:v>United Kingdom</x:v>
      </x:c>
      <x:c r="D48" s="15" t="str">
        <x:v>QS Sustainability</x:v>
      </x:c>
      <x:c r="E48" s="15" t="str">
        <x:v>MSc Environment, Development and Politics</x:v>
      </x:c>
      <x:c r="F48" s="32" t="str">
        <x:v>91</x:v>
      </x:c>
      <x:c r="G48" s="32" t="str">
        <x:v>84</x:v>
      </x:c>
      <x:c r="H48" s="32" t="n">
        <x:f>80</x:f>
        <x:v>80</x:v>
      </x:c>
      <x:c r="I48" s="32" t="str">
        <x:v>76</x:v>
      </x:c>
      <x:c r="J48" s="32" t="n">
        <x:f>68</x:f>
        <x:v>68</x:v>
      </x:c>
      <x:c r="K48" s="32" t="n">
        <x:f>105</x:f>
        <x:v>105</x:v>
      </x:c>
      <x:c r="L48" s="32" t="n">
        <x:f>108</x:f>
        <x:v>108</x:v>
      </x:c>
      <x:c r="M48" s="32" t="str">
        <x:v>101</x:v>
      </x:c>
      <x:c r="N48" s="32" t="n">
        <x:f>93</x:f>
        <x:v>93</x:v>
      </x:c>
      <x:c r="O48" s="32" t="n">
        <x:f>98</x:f>
        <x:v>98</x:v>
      </x:c>
      <x:c r="P48" s="31" t="str">
        <x:v>https://www.topuniversities.com/universities/university-birmingham</x:v>
      </x:c>
      <x:c r="Q48" s="31" t="str">
        <x:v>https://www.timeshighereducation.com/world-university-rankings/university-birmingham</x:v>
      </x:c>
      <x:c r="R48" s="31" t="str">
        <x:v>https://www.birmingham.ac.uk/study/postgraduate/subjects/politics-development-and-international-relations-courses/environment-development-and-politics-msc</x:v>
      </x:c>
    </x:row>
    <x:row r="49">
      <x:c r="A49" s="15" t="n">
        <x:v>45</x:v>
      </x:c>
      <x:c r="B49" s="15" t="str">
        <x:v>Universite Paris-Saclay</x:v>
      </x:c>
      <x:c r="C49" s="15" t="str">
        <x:v>France</x:v>
      </x:c>
      <x:c r="D49" s="15" t="str">
        <x:v>QS Sustainability</x:v>
      </x:c>
      <x:c r="E49" s="15" t="str">
        <x:v>M1 Corporate Social Responsibility and Environment</x:v>
      </x:c>
      <x:c r="F49" s="32" t="str">
        <x:v>69</x:v>
      </x:c>
      <x:c r="G49" s="32" t="str">
        <x:v>71</x:v>
      </x:c>
      <x:c r="H49" s="32" t="str">
        <x:v>73</x:v>
      </x:c>
      <x:c r="I49" s="32" t="n">
        <x:f>70</x:f>
        <x:v>70</x:v>
      </x:c>
      <x:c r="J49" s="32" t="str">
        <x:v>76</x:v>
      </x:c>
      <x:c r="K49" s="32" t="n">
        <x:f>117</x:f>
        <x:v>117</x:v>
      </x:c>
      <x:c r="L49" s="32" t="str">
        <x:v>93</x:v>
      </x:c>
      <x:c r="M49" s="32" t="str">
        <x:v>58</x:v>
      </x:c>
      <x:c r="N49" s="32" t="str">
        <x:v>64</x:v>
      </x:c>
      <x:c r="O49" s="32" t="n">
        <x:f>68</x:f>
        <x:v>68</x:v>
      </x:c>
      <x:c r="P49" s="31" t="str">
        <x:v>https://www.topuniversities.com/universities/universite-paris-saclay</x:v>
      </x:c>
      <x:c r="Q49" s="31" t="str">
        <x:v>https://www.timeshighereducation.com/world-university-rankings/universite-paris-saclay</x:v>
      </x:c>
      <x:c r="R49" s="31" t="str">
        <x:v>https://www.universite-paris-saclay.fr/en/education/masters-degree/science-de-la-durabilite/m1-responsabilite-societale-des-entreprises-et-environnement-rsee</x:v>
      </x:c>
    </x:row>
    <x:row r="50">
      <x:c r="A50" s="15" t="n">
        <x:v>46</x:v>
      </x:c>
      <x:c r="B50" s="15" t="str">
        <x:v>Universitat Hamburg</x:v>
      </x:c>
      <x:c r="C50" s="15" t="str">
        <x:v>Germany</x:v>
      </x:c>
      <x:c r="D50" s="15" t="str">
        <x:v>QS Sustainability</x:v>
      </x:c>
      <x:c r="E50" s="15" t="str">
        <x:v>MSc Integrated Climate System Sciences</x:v>
      </x:c>
      <x:c r="F50" s="32" t="str">
        <x:v>200+</x:v>
      </x:c>
      <x:c r="G50" s="32" t="str">
        <x:v>200+</x:v>
      </x:c>
      <x:c r="H50" s="32" t="str">
        <x:v>191</x:v>
      </x:c>
      <x:c r="I50" s="32" t="str">
        <x:v>193</x:v>
      </x:c>
      <x:c r="J50" s="32" t="str">
        <x:v>200+</x:v>
      </x:c>
      <x:c r="K50" s="32" t="n">
        <x:f>132</x:f>
        <x:v>132</x:v>
      </x:c>
      <x:c r="L50" s="32" t="n">
        <x:f>128</x:f>
        <x:v>128</x:v>
      </x:c>
      <x:c r="M50" s="32" t="n">
        <x:f>136</x:f>
        <x:v>136</x:v>
      </x:c>
      <x:c r="N50" s="32" t="n">
        <x:f>132</x:f>
        <x:v>132</x:v>
      </x:c>
      <x:c r="O50" s="32" t="n">
        <x:f>125</x:f>
        <x:v>125</x:v>
      </x:c>
      <x:c r="P50" s="31" t="str">
        <x:v>https://www.topuniversities.com/universities/universitat-hamburg</x:v>
      </x:c>
      <x:c r="Q50" s="31" t="str">
        <x:v>https://www.timeshighereducation.com/world-university-rankings/university-hamburg</x:v>
      </x:c>
      <x:c r="R50" s="31" t="str">
        <x:v>https://www.geo.uni-hamburg.de/en/studium/master/msc-icss.html</x:v>
      </x:c>
    </x:row>
    <x:row r="51">
      <x:c r="A51" s="15" t="n">
        <x:v>47</x:v>
      </x:c>
      <x:c r="B51" s="15" t="str">
        <x:v>University College Dublin</x:v>
      </x:c>
      <x:c r="C51" s="15" t="str">
        <x:v>Ireland</x:v>
      </x:c>
      <x:c r="D51" s="15" t="str">
        <x:v>QS Sustainability</x:v>
      </x:c>
      <x:c r="E51" s="15" t="str">
        <x:v>MSc Environmental Policy, Strategy &amp; Leadership</x:v>
      </x:c>
      <x:c r="F51" s="32" t="n">
        <x:f>181</x:f>
        <x:v>181</x:v>
      </x:c>
      <x:c r="G51" s="32" t="n">
        <x:f>171</x:f>
        <x:v>171</x:v>
      </x:c>
      <x:c r="H51" s="32" t="n">
        <x:f>126</x:f>
        <x:v>126</x:v>
      </x:c>
      <x:c r="I51" s="32" t="str">
        <x:v>118</x:v>
      </x:c>
      <x:c r="J51" s="32" t="n">
        <x:f>100</x:f>
        <x:v>100</x:v>
      </x:c>
      <x:c r="K51" s="32" t="str">
        <x:v>200+</x:v>
      </x:c>
      <x:c r="L51" s="32" t="str">
        <x:v>200+</x:v>
      </x:c>
      <x:c r="M51" s="32" t="str">
        <x:v>200+</x:v>
      </x:c>
      <x:c r="N51" s="32" t="str">
        <x:v>200+</x:v>
      </x:c>
      <x:c r="O51" s="32" t="str">
        <x:v>200+</x:v>
      </x:c>
      <x:c r="P51" s="31" t="str">
        <x:v>https://www.topuniversities.com/universities/university-college-dublin</x:v>
      </x:c>
      <x:c r="Q51" s="31" t="str">
        <x:v>https://www.timeshighereducation.com/world-university-rankings/university-college-dublin</x:v>
      </x:c>
      <x:c r="R51" s="31" t="str">
        <x:v>https://www.ucd.ie/envpolicy/study/</x:v>
      </x:c>
    </x:row>
    <x:row r="52">
      <x:c r="A52" s="15" t="n">
        <x:v>48</x:v>
      </x:c>
      <x:c r="B52" s="15" t="str">
        <x:v>The University of Tokyo</x:v>
      </x:c>
      <x:c r="C52" s="15" t="str">
        <x:v>Japan</x:v>
      </x:c>
      <x:c r="D52" s="15" t="str">
        <x:v>QS Sustainability</x:v>
      </x:c>
      <x:c r="E52" s="15" t="str">
        <x:v>Graduate Program in Sustainability Science - Global Leadership Initiative</x:v>
      </x:c>
      <x:c r="F52" s="32" t="str">
        <x:v>23</x:v>
      </x:c>
      <x:c r="G52" s="32" t="str">
        <x:v>28</x:v>
      </x:c>
      <x:c r="H52" s="32" t="n">
        <x:f>32</x:f>
        <x:v>32</x:v>
      </x:c>
      <x:c r="I52" s="32" t="n">
        <x:f>36</x:f>
        <x:v>36</x:v>
      </x:c>
      <x:c r="J52" s="32" t="str">
        <x:v>39</x:v>
      </x:c>
      <x:c r="K52" s="32" t="n">
        <x:f>35</x:f>
        <x:v>35</x:v>
      </x:c>
      <x:c r="L52" s="32" t="str">
        <x:v>39</x:v>
      </x:c>
      <x:c r="M52" s="32" t="str">
        <x:v>29</x:v>
      </x:c>
      <x:c r="N52" s="32" t="str">
        <x:v>28</x:v>
      </x:c>
      <x:c r="O52" s="32" t="str">
        <x:v>26</x:v>
      </x:c>
      <x:c r="P52" s="31" t="str">
        <x:v>https://www.topuniversities.com/universities/university-tokyo</x:v>
      </x:c>
      <x:c r="Q52" s="31" t="str">
        <x:v>https://www.timeshighereducation.com/world-university-rankings/university-tokyo</x:v>
      </x:c>
      <x:c r="R52" s="31" t="str">
        <x:v>https://www.sustainability.k.u-tokyo.ac.jp/</x:v>
      </x:c>
    </x:row>
    <x:row r="53">
      <x:c r="A53" s="15" t="n">
        <x:v>49</x:v>
      </x:c>
      <x:c r="B53" s="15" t="str">
        <x:v>University of Exeter</x:v>
      </x:c>
      <x:c r="C53" s="15" t="str">
        <x:v>United Kingdom</x:v>
      </x:c>
      <x:c r="D53" s="15" t="str">
        <x:v>Both</x:v>
      </x:c>
      <x:c r="E53" s="15" t="str">
        <x:v>MSc Global Sustainability Solutions</x:v>
      </x:c>
      <x:c r="F53" s="32" t="str">
        <x:v>163</x:v>
      </x:c>
      <x:c r="G53" s="32" t="str">
        <x:v>153</x:v>
      </x:c>
      <x:c r="H53" s="32" t="n">
        <x:f>169</x:f>
        <x:v>169</x:v>
      </x:c>
      <x:c r="I53" s="32" t="n">
        <x:f>155</x:f>
        <x:v>155</x:v>
      </x:c>
      <x:c r="J53" s="32" t="str">
        <x:v>136</x:v>
      </x:c>
      <x:c r="K53" s="32" t="n">
        <x:f>143</x:f>
        <x:v>143</x:v>
      </x:c>
      <x:c r="L53" s="32" t="n">
        <x:f>137</x:f>
        <x:v>137</x:v>
      </x:c>
      <x:c r="M53" s="32" t="n">
        <x:f>177</x:f>
        <x:v>177</x:v>
      </x:c>
      <x:c r="N53" s="32" t="n">
        <x:f>172</x:f>
        <x:v>172</x:v>
      </x:c>
      <x:c r="O53" s="32" t="n">
        <x:f>170</x:f>
        <x:v>170</x:v>
      </x:c>
      <x:c r="P53" s="31" t="str">
        <x:v>https://www.topuniversities.com/universities/university-exeter</x:v>
      </x:c>
      <x:c r="Q53" s="31" t="str">
        <x:v>https://www.timeshighereducation.com/world-university-rankings/university-exeter</x:v>
      </x:c>
      <x:c r="R53" s="31" t="str">
        <x:v>https://www.exeter.ac.uk/masters-degrees/msc-global-sustainability-solutions/</x:v>
      </x:c>
    </x:row>
    <x:row r="54">
      <x:c r="A54" s="15" t="n">
        <x:v>50</x:v>
      </x:c>
      <x:c r="B54" s="15" t="str">
        <x:v>The University of Queensland</x:v>
      </x:c>
      <x:c r="C54" s="15" t="str">
        <x:v>Australia</x:v>
      </x:c>
      <x:c r="D54" s="15" t="str">
        <x:v>QS Sustainability</x:v>
      </x:c>
      <x:c r="E54" s="15" t="str">
        <x:v>Master of Environmental Management</x:v>
      </x:c>
      <x:c r="F54" s="32" t="n">
        <x:f>50</x:f>
        <x:v>50</x:v>
      </x:c>
      <x:c r="G54" s="32" t="str">
        <x:v>43</x:v>
      </x:c>
      <x:c r="H54" s="32" t="n">
        <x:f>40</x:f>
        <x:v>40</x:v>
      </x:c>
      <x:c r="I54" s="32" t="n">
        <x:f>42</x:f>
        <x:v>42</x:v>
      </x:c>
      <x:c r="J54" s="32" t="n">
        <x:f>40</x:f>
        <x:v>40</x:v>
      </x:c>
      <x:c r="K54" s="32" t="n">
        <x:f>54</x:f>
        <x:v>54</x:v>
      </x:c>
      <x:c r="L54" s="32" t="str">
        <x:v>53</x:v>
      </x:c>
      <x:c r="M54" s="32" t="str">
        <x:v>70</x:v>
      </x:c>
      <x:c r="N54" s="32" t="str">
        <x:v>77</x:v>
      </x:c>
      <x:c r="O54" s="32" t="n">
        <x:f>80</x:f>
        <x:v>80</x:v>
      </x:c>
      <x:c r="P54" s="31" t="str">
        <x:v>https://www.topuniversities.com/universities/university-queensland</x:v>
      </x:c>
      <x:c r="Q54" s="31" t="str">
        <x:v>https://www.timeshighereducation.com/world-university-rankings/university-queensland</x:v>
      </x:c>
      <x:c r="R54" s="31" t="str">
        <x:v>https://study.uq.edu.au/study-options/programs/master-environmental-management-5609</x:v>
      </x:c>
    </x:row>
    <x:row r="55">
      <x:c r="A55" s="15" t="n">
        <x:v>51</x:v>
      </x:c>
      <x:c r="B55" s="15" t="str">
        <x:v>University of Gothenburg</x:v>
      </x:c>
      <x:c r="C55" s="15" t="str">
        <x:v>Sweden</x:v>
      </x:c>
      <x:c r="D55" s="15" t="str">
        <x:v>QS Sustainability</x:v>
      </x:c>
      <x:c r="E55" s="15" t="str">
        <x:v>Master's Programme in Environmental Sciences</x:v>
      </x:c>
      <x:c r="F55" s="32" t="n">
        <x:f>185</x:f>
        <x:v>185</x:v>
      </x:c>
      <x:c r="G55" s="32" t="str">
        <x:v>187</x:v>
      </x:c>
      <x:c r="H55" s="32" t="n">
        <x:f>194</x:f>
        <x:v>194</x:v>
      </x:c>
      <x:c r="I55" s="32" t="str">
        <x:v>200+</x:v>
      </x:c>
      <x:c r="J55" s="32" t="str">
        <x:v>200+</x:v>
      </x:c>
      <x:c r="K55" s="32" t="n">
        <x:f>185</x:f>
        <x:v>185</x:v>
      </x:c>
      <x:c r="L55" s="32" t="str">
        <x:v>200+</x:v>
      </x:c>
      <x:c r="M55" s="32" t="str">
        <x:v>200+</x:v>
      </x:c>
      <x:c r="N55" s="32" t="str">
        <x:v>200+</x:v>
      </x:c>
      <x:c r="O55" s="32" t="str">
        <x:v>200+</x:v>
      </x:c>
      <x:c r="P55" s="31" t="str">
        <x:v>https://www.topuniversities.com/universities/university-gothenburg</x:v>
      </x:c>
      <x:c r="Q55" s="31" t="str">
        <x:v>https://www.timeshighereducation.com/world-university-rankings/university-gothenburg</x:v>
      </x:c>
      <x:c r="R55" s="31" t="str">
        <x:v>https://www.gu.se/en/study-gothenburg/environmental-sciences-n2mvn</x:v>
      </x:c>
    </x:row>
    <x:row r="56">
      <x:c r="A56" s="15" t="n">
        <x:v>52</x:v>
      </x:c>
      <x:c r="B56" s="15" t="str">
        <x:v>Griffith University</x:v>
      </x:c>
      <x:c r="C56" s="15" t="str">
        <x:v>Australia</x:v>
      </x:c>
      <x:c r="D56" s="15" t="str">
        <x:v>THE Impact</x:v>
      </x:c>
      <x:c r="E56" s="15" t="str">
        <x:v>Master of Global Development - Sustainable Development major</x:v>
      </x:c>
      <x:c r="F56" s="32" t="str">
        <x:v>200+</x:v>
      </x:c>
      <x:c r="G56" s="32" t="str">
        <x:v>200+</x:v>
      </x:c>
      <x:c r="H56" s="32" t="str">
        <x:v>200+</x:v>
      </x:c>
      <x:c r="I56" s="32" t="str">
        <x:v>200+</x:v>
      </x:c>
      <x:c r="J56" s="32" t="str">
        <x:v>200+</x:v>
      </x:c>
      <x:c r="K56" s="32" t="str">
        <x:v>200+</x:v>
      </x:c>
      <x:c r="L56" s="32" t="str">
        <x:v>200+</x:v>
      </x:c>
      <x:c r="M56" s="32" t="str">
        <x:v>200+</x:v>
      </x:c>
      <x:c r="N56" s="32" t="str">
        <x:v>200+</x:v>
      </x:c>
      <x:c r="O56" s="32" t="str">
        <x:v>200+</x:v>
      </x:c>
      <x:c r="P56" s="31" t="str">
        <x:v>https://www.topuniversities.com/universities/griffith-university</x:v>
      </x:c>
      <x:c r="Q56" s="31" t="str">
        <x:v>https://www.timeshighereducation.com/world-university-rankings/griffith-university</x:v>
      </x:c>
      <x:c r="R56" s="31" t="str">
        <x:v>https://www.griffith.edu.au/study/degrees/master-of-global-development-5724</x:v>
      </x:c>
    </x:row>
    <x:row r="57">
      <x:c r="A57" s="15" t="n">
        <x:v>53</x:v>
      </x:c>
      <x:c r="B57" s="15" t="str">
        <x:v>Western Sydney University</x:v>
      </x:c>
      <x:c r="C57" s="15" t="str">
        <x:v>Australia</x:v>
      </x:c>
      <x:c r="D57" s="15" t="str">
        <x:v>THE Impact</x:v>
      </x:c>
      <x:c r="E57" s="15" t="str">
        <x:v>Master of Sustainable Tourism, Hospitality and Event Management</x:v>
      </x:c>
      <x:c r="F57" s="32" t="str">
        <x:v>200+</x:v>
      </x:c>
      <x:c r="G57" s="32" t="str">
        <x:v>200+</x:v>
      </x:c>
      <x:c r="H57" s="32" t="str">
        <x:v>200+</x:v>
      </x:c>
      <x:c r="I57" s="32" t="str">
        <x:v>200+</x:v>
      </x:c>
      <x:c r="J57" s="32" t="str">
        <x:v>200+</x:v>
      </x:c>
      <x:c r="K57" s="32" t="str">
        <x:v>200+</x:v>
      </x:c>
      <x:c r="L57" s="32" t="str">
        <x:v>200+</x:v>
      </x:c>
      <x:c r="M57" s="32" t="str">
        <x:v>200+</x:v>
      </x:c>
      <x:c r="N57" s="32" t="str">
        <x:v>200+</x:v>
      </x:c>
      <x:c r="O57" s="32" t="str">
        <x:v>200+</x:v>
      </x:c>
      <x:c r="P57" s="31" t="str">
        <x:v>https://www.topuniversities.com/universities/western-sydney-university</x:v>
      </x:c>
      <x:c r="Q57" s="31" t="str">
        <x:v>https://www.timeshighereducation.com/world-university-rankings/western-sydney-university</x:v>
      </x:c>
      <x:c r="R57" s="31" t="str">
        <x:v>https://www.westernsydney.edu.au/future/study/courses/postgraduate/master-of-sustainable-tourism-hospitality-and-event-management</x:v>
      </x:c>
    </x:row>
    <x:row r="58">
      <x:c r="A58" s="15" t="n">
        <x:v>54</x:v>
      </x:c>
      <x:c r="B58" s="15" t="str">
        <x:v>Queen's University</x:v>
      </x:c>
      <x:c r="C58" s="15" t="str">
        <x:v>Canada</x:v>
      </x:c>
      <x:c r="D58" s="15" t="str">
        <x:v>THE Impact</x:v>
      </x:c>
      <x:c r="E58" s="15" t="str">
        <x:v>Master of Environmental Studies</x:v>
      </x:c>
      <x:c r="F58" s="32" t="str">
        <x:v>200+</x:v>
      </x:c>
      <x:c r="G58" s="32" t="str">
        <x:v>200+</x:v>
      </x:c>
      <x:c r="H58" s="32" t="str">
        <x:v>193</x:v>
      </x:c>
      <x:c r="I58" s="32" t="n">
        <x:f>191</x:f>
        <x:v>191</x:v>
      </x:c>
      <x:c r="J58" s="32" t="n">
        <x:f>179</x:f>
        <x:v>179</x:v>
      </x:c>
      <x:c r="K58" s="32" t="str">
        <x:v>200+</x:v>
      </x:c>
      <x:c r="L58" s="32" t="str">
        <x:v>200+</x:v>
      </x:c>
      <x:c r="M58" s="32" t="str">
        <x:v>200+</x:v>
      </x:c>
      <x:c r="N58" s="32" t="str">
        <x:v>200+</x:v>
      </x:c>
      <x:c r="O58" s="32" t="str">
        <x:v>200+</x:v>
      </x:c>
      <x:c r="P58" s="31" t="str">
        <x:v>https://www.topuniversities.com/universities/queens-university-kingston</x:v>
      </x:c>
      <x:c r="Q58" s="31" t="str">
        <x:v>https://www.timeshighereducation.com/world-university-rankings/queens-university</x:v>
      </x:c>
      <x:c r="R58" s="31" t="str">
        <x:v>https://www.queensu.ca/ensc/graduate/programs-overview</x:v>
      </x:c>
    </x:row>
    <x:row r="59">
      <x:c r="A59" s="15" t="n">
        <x:v>55</x:v>
      </x:c>
      <x:c r="B59" s="15" t="str">
        <x:v>Universiti Sains Malaysia</x:v>
      </x:c>
      <x:c r="C59" s="15" t="str">
        <x:v>Malaysia</x:v>
      </x:c>
      <x:c r="D59" s="15" t="str">
        <x:v>THE Impact</x:v>
      </x:c>
      <x:c r="E59" s="15" t="str">
        <x:v>Master in Sustainable Development Practice</x:v>
      </x:c>
      <x:c r="F59" s="32" t="n">
        <x:f>143</x:f>
        <x:v>143</x:v>
      </x:c>
      <x:c r="G59" s="32" t="n">
        <x:f>137</x:f>
        <x:v>137</x:v>
      </x:c>
      <x:c r="H59" s="32" t="str">
        <x:v>146</x:v>
      </x:c>
      <x:c r="I59" s="32" t="n">
        <x:f>134</x:f>
        <x:v>134</x:v>
      </x:c>
      <x:c r="J59" s="32" t="n">
        <x:f>128</x:f>
        <x:v>128</x:v>
      </x:c>
      <x:c r="K59" s="32" t="str">
        <x:v>200+</x:v>
      </x:c>
      <x:c r="L59" s="32" t="str">
        <x:v>200+</x:v>
      </x:c>
      <x:c r="M59" s="32" t="str">
        <x:v>200+</x:v>
      </x:c>
      <x:c r="N59" s="32" t="str">
        <x:v>200+</x:v>
      </x:c>
      <x:c r="O59" s="32" t="str">
        <x:v>200+</x:v>
      </x:c>
      <x:c r="P59" s="31" t="str">
        <x:v>https://www.topuniversities.com/universities/universiti-sains-malaysia-usm</x:v>
      </x:c>
      <x:c r="Q59" s="31" t="str">
        <x:v>https://www.timeshighereducation.com/world-university-rankings/universiti-sains-malaysia</x:v>
      </x:c>
      <x:c r="R59" s="31" t="str">
        <x:v>https://cgss.usm.my/programmes/postgraduate/coursework/masters-in-sustainable-development-practice-msdp</x:v>
      </x:c>
    </x:row>
    <x:row r="60">
      <x:c r="A60" s="15" t="n">
        <x:v>56</x:v>
      </x:c>
      <x:c r="B60" s="15" t="str">
        <x:v>Hanyang University</x:v>
      </x:c>
      <x:c r="C60" s="15" t="str">
        <x:v>South Korea</x:v>
      </x:c>
      <x:c r="D60" s="15" t="str">
        <x:v>THE Impact</x:v>
      </x:c>
      <x:c r="E60" s="15" t="str">
        <x:v>Master's majors in Global Climate and Environmental Studies</x:v>
      </x:c>
      <x:c r="F60" s="32" t="str">
        <x:v>157</x:v>
      </x:c>
      <x:c r="G60" s="32" t="n">
        <x:f>164</x:f>
        <x:v>164</x:v>
      </x:c>
      <x:c r="H60" s="32" t="str">
        <x:v>162</x:v>
      </x:c>
      <x:c r="I60" s="32" t="str">
        <x:v>159</x:v>
      </x:c>
      <x:c r="J60" s="32" t="str">
        <x:v>155</x:v>
      </x:c>
      <x:c r="K60" s="32" t="str">
        <x:v>200+</x:v>
      </x:c>
      <x:c r="L60" s="32" t="str">
        <x:v>200+</x:v>
      </x:c>
      <x:c r="M60" s="32" t="str">
        <x:v>200+</x:v>
      </x:c>
      <x:c r="N60" s="32" t="str">
        <x:v>200+</x:v>
      </x:c>
      <x:c r="O60" s="32" t="str">
        <x:v>200+</x:v>
      </x:c>
      <x:c r="P60" s="31" t="str">
        <x:v>https://www.topuniversities.com/universities/hanyang-university</x:v>
      </x:c>
      <x:c r="Q60" s="31" t="str">
        <x:v>https://www.timeshighereducation.com/world-university-rankings/hanyang-university</x:v>
      </x:c>
      <x:c r="R60" s="31" t="str">
        <x:v>https://hygce.hanyang.ac.kr/-eng-1</x:v>
      </x:c>
    </x:row>
    <x:row r="61">
      <x:c r="A61" s="15" t="n">
        <x:v>57</x:v>
      </x:c>
      <x:c r="B61" s="15" t="str">
        <x:v>Hokkaido University</x:v>
      </x:c>
      <x:c r="C61" s="15" t="str">
        <x:v>Japan</x:v>
      </x:c>
      <x:c r="D61" s="15" t="str">
        <x:v>THE Impact</x:v>
      </x:c>
      <x:c r="E61" s="15" t="str">
        <x:v>Master's Program, Graduate School of Environmental Science</x:v>
      </x:c>
      <x:c r="F61" s="32" t="n">
        <x:f>141</x:f>
        <x:v>141</x:v>
      </x:c>
      <x:c r="G61" s="32" t="str">
        <x:v>196</x:v>
      </x:c>
      <x:c r="H61" s="32" t="str">
        <x:v>173</x:v>
      </x:c>
      <x:c r="I61" s="32" t="n">
        <x:f>170</x:f>
        <x:v>170</x:v>
      </x:c>
      <x:c r="J61" s="32" t="n">
        <x:f>179</x:f>
        <x:v>179</x:v>
      </x:c>
      <x:c r="K61" s="32" t="str">
        <x:v>200+</x:v>
      </x:c>
      <x:c r="L61" s="32" t="str">
        <x:v>200+</x:v>
      </x:c>
      <x:c r="M61" s="32" t="str">
        <x:v>200+</x:v>
      </x:c>
      <x:c r="N61" s="32" t="str">
        <x:v>200+</x:v>
      </x:c>
      <x:c r="O61" s="32" t="str">
        <x:v>200+</x:v>
      </x:c>
      <x:c r="P61" s="31" t="str">
        <x:v>https://www.topuniversities.com/universities/hokkaido-university</x:v>
      </x:c>
      <x:c r="Q61" s="31" t="str">
        <x:v>https://www.timeshighereducation.com/world-university-rankings/hokkaido-university</x:v>
      </x:c>
      <x:c r="R61" s="31" t="str">
        <x:v>https://www.ees.hokudai.ac.jp/?lang=en</x:v>
      </x:c>
    </x:row>
    <x:row r="62">
      <x:c r="A62" s="15" t="n">
        <x:v>58</x:v>
      </x:c>
      <x:c r="B62" s="15" t="str">
        <x:v>Universiti Kebangsaan Malaysia</x:v>
      </x:c>
      <x:c r="C62" s="15" t="str">
        <x:v>Malaysia</x:v>
      </x:c>
      <x:c r="D62" s="15" t="str">
        <x:v>THE Impact</x:v>
      </x:c>
      <x:c r="E62" s="15" t="str">
        <x:v>Master of Science / Master of Arts in Environment and Development</x:v>
      </x:c>
      <x:c r="F62" s="32" t="n">
        <x:f>129</x:f>
        <x:v>129</x:v>
      </x:c>
      <x:c r="G62" s="32" t="n">
        <x:f>159</x:f>
        <x:v>159</x:v>
      </x:c>
      <x:c r="H62" s="32" t="str">
        <x:v>138</x:v>
      </x:c>
      <x:c r="I62" s="32" t="n">
        <x:f>126</x:f>
        <x:v>126</x:v>
      </x:c>
      <x:c r="J62" s="32" t="str">
        <x:v>130</x:v>
      </x:c>
      <x:c r="K62" s="32" t="str">
        <x:v>200+</x:v>
      </x:c>
      <x:c r="L62" s="32" t="str">
        <x:v>200+</x:v>
      </x:c>
      <x:c r="M62" s="32" t="str">
        <x:v>200+</x:v>
      </x:c>
      <x:c r="N62" s="32" t="str">
        <x:v>200+</x:v>
      </x:c>
      <x:c r="O62" s="32" t="str">
        <x:v>200+</x:v>
      </x:c>
      <x:c r="P62" s="31" t="str">
        <x:v>https://www.topuniversities.com/universities/universiti-kebangsaan-malaysia-ukm</x:v>
      </x:c>
      <x:c r="Q62" s="31" t="str">
        <x:v>https://www.timeshighereducation.com/world-university-rankings/universiti-kebangsaan-malaysia</x:v>
      </x:c>
      <x:c r="R62" s="31" t="str">
        <x:v>https://www.ukm.my/lestari/program-siswazah/</x:v>
      </x:c>
    </x:row>
    <x:row r="63">
      <x:c r="A63" s="15" t="n">
        <x:v>59</x:v>
      </x:c>
      <x:c r="B63" s="15" t="str">
        <x:v>Institut Agro</x:v>
      </x:c>
      <x:c r="C63" s="15" t="str">
        <x:v>France</x:v>
      </x:c>
      <x:c r="D63" s="15" t="str">
        <x:v>THE Impact</x:v>
      </x:c>
      <x:c r="E63" s="15" t="str">
        <x:v>Master's pathway: Transitions in Environmental and Agrifood Systems Management</x:v>
      </x:c>
      <x:c r="F63" s="32" t="str">
        <x:v>200+</x:v>
      </x:c>
      <x:c r="G63" s="32" t="str">
        <x:v>200+</x:v>
      </x:c>
      <x:c r="H63" s="32" t="str">
        <x:v>200+</x:v>
      </x:c>
      <x:c r="I63" s="32" t="str">
        <x:v>200+</x:v>
      </x:c>
      <x:c r="J63" s="32" t="str">
        <x:v>200+</x:v>
      </x:c>
      <x:c r="K63" s="32" t="str">
        <x:v>200+</x:v>
      </x:c>
      <x:c r="L63" s="32" t="str">
        <x:v>200+</x:v>
      </x:c>
      <x:c r="M63" s="32" t="str">
        <x:v>200+</x:v>
      </x:c>
      <x:c r="N63" s="32" t="str">
        <x:v>200+</x:v>
      </x:c>
      <x:c r="O63" s="32" t="str">
        <x:v>200+</x:v>
      </x:c>
      <x:c r="P63" s="31" t="str"/>
      <x:c r="Q63" s="31" t="str">
        <x:v>https://www.timeshighereducation.com/world-university-rankings/institut-agro</x:v>
      </x:c>
      <x:c r="R63" s="31" t="str">
        <x:v>https://www.institut-agro.fr/fr/nos-formations</x:v>
      </x:c>
    </x:row>
    <x:row r="64">
      <x:c r="A64" s="15" t="n">
        <x:v>60</x:v>
      </x:c>
      <x:c r="B64" s="15" t="str">
        <x:v>National Taiwan University (NTU)</x:v>
      </x:c>
      <x:c r="C64" s="15" t="str">
        <x:v>Taiwan</x:v>
      </x:c>
      <x:c r="D64" s="15" t="str">
        <x:v>THE Impact</x:v>
      </x:c>
      <x:c r="E64" s="15" t="str">
        <x:v>Master's Program in Biodiversity</x:v>
      </x:c>
      <x:c r="F64" s="32" t="str">
        <x:v>77</x:v>
      </x:c>
      <x:c r="G64" s="32" t="str">
        <x:v>69</x:v>
      </x:c>
      <x:c r="H64" s="32" t="str">
        <x:v>68</x:v>
      </x:c>
      <x:c r="I64" s="32" t="n">
        <x:f>63</x:f>
        <x:v>63</x:v>
      </x:c>
      <x:c r="J64" s="32" t="str">
        <x:v>54</x:v>
      </x:c>
      <x:c r="K64" s="32" t="n">
        <x:f>113</x:f>
        <x:v>113</x:v>
      </x:c>
      <x:c r="L64" s="32" t="n">
        <x:f>187</x:f>
        <x:v>187</x:v>
      </x:c>
      <x:c r="M64" s="32" t="n">
        <x:f>152</x:f>
        <x:v>152</x:v>
      </x:c>
      <x:c r="N64" s="32" t="n">
        <x:f>172</x:f>
        <x:v>172</x:v>
      </x:c>
      <x:c r="O64" s="32" t="str">
        <x:v>140</x:v>
      </x:c>
      <x:c r="P64" s="31" t="str">
        <x:v>https://www.topuniversities.com/universities/national-taiwan-university-ntu</x:v>
      </x:c>
      <x:c r="Q64" s="31" t="str">
        <x:v>https://www.timeshighereducation.com/world-university-rankings/national-taiwan-university-ntu</x:v>
      </x:c>
      <x:c r="R64" s="31" t="str">
        <x:v>https://mpb.ntu.edu.tw/about/overview</x:v>
      </x:c>
    </x:row>
    <x:row r="65">
      <x:c r="A65" s="15" t="n">
        <x:v>61</x:v>
      </x:c>
      <x:c r="B65" s="15" t="str">
        <x:v>University of Alberta</x:v>
      </x:c>
      <x:c r="C65" s="15" t="str">
        <x:v>Canada</x:v>
      </x:c>
      <x:c r="D65" s="15" t="str">
        <x:v>THE Impact</x:v>
      </x:c>
      <x:c r="E65" s="15" t="str">
        <x:v>Master of Sustainability</x:v>
      </x:c>
      <x:c r="F65" s="32" t="str">
        <x:v>110</x:v>
      </x:c>
      <x:c r="G65" s="32" t="str">
        <x:v>111</x:v>
      </x:c>
      <x:c r="H65" s="32" t="str">
        <x:v>96</x:v>
      </x:c>
      <x:c r="I65" s="32" t="n">
        <x:f>94</x:f>
        <x:v>94</x:v>
      </x:c>
      <x:c r="J65" s="32" t="str">
        <x:v>96</x:v>
      </x:c>
      <x:c r="K65" s="32" t="str">
        <x:v>125</x:v>
      </x:c>
      <x:c r="L65" s="32" t="str">
        <x:v>118</x:v>
      </x:c>
      <x:c r="M65" s="32" t="n">
        <x:f>109</x:f>
        <x:v>109</x:v>
      </x:c>
      <x:c r="N65" s="32" t="n">
        <x:f>116</x:f>
        <x:v>116</x:v>
      </x:c>
      <x:c r="O65" s="32" t="str">
        <x:v>119</x:v>
      </x:c>
      <x:c r="P65" s="31" t="str">
        <x:v>https://www.topuniversities.com/universities/university-alberta</x:v>
      </x:c>
      <x:c r="Q65" s="31" t="str">
        <x:v>https://www.timeshighereducation.com/world-university-rankings/university-alberta</x:v>
      </x:c>
      <x:c r="R65" s="31" t="str">
        <x:v>https://apps.ualberta.ca/catalogue/course/sust</x:v>
      </x:c>
    </x:row>
    <x:row r="66">
      <x:c r="A66" s="15" t="n">
        <x:v>62</x:v>
      </x:c>
      <x:c r="B66" s="15" t="str">
        <x:v>Korea University</x:v>
      </x:c>
      <x:c r="C66" s="15" t="str">
        <x:v>South Korea</x:v>
      </x:c>
      <x:c r="D66" s="15" t="str">
        <x:v>THE Impact</x:v>
      </x:c>
      <x:c r="E66" s="15" t="str">
        <x:v>Master's in Climatic Environment</x:v>
      </x:c>
      <x:c r="F66" s="32" t="str">
        <x:v>74</x:v>
      </x:c>
      <x:c r="G66" s="32" t="str">
        <x:v>79</x:v>
      </x:c>
      <x:c r="H66" s="32" t="str">
        <x:v>67</x:v>
      </x:c>
      <x:c r="I66" s="32" t="str">
        <x:v>61</x:v>
      </x:c>
      <x:c r="J66" s="32" t="n">
        <x:f>52</x:f>
        <x:v>52</x:v>
      </x:c>
      <x:c r="K66" s="32" t="str">
        <x:v>200+</x:v>
      </x:c>
      <x:c r="L66" s="32" t="str">
        <x:v>200+</x:v>
      </x:c>
      <x:c r="M66" s="32" t="str">
        <x:v>200+</x:v>
      </x:c>
      <x:c r="N66" s="32" t="n">
        <x:f>189</x:f>
        <x:v>189</x:v>
      </x:c>
      <x:c r="O66" s="32" t="n">
        <x:f>156</x:f>
        <x:v>156</x:v>
      </x:c>
      <x:c r="P66" s="31" t="str">
        <x:v>https://www.topuniversities.com/universities/korea-university</x:v>
      </x:c>
      <x:c r="Q66" s="31" t="str">
        <x:v>https://www.timeshighereducation.com/world-university-rankings/korea-university</x:v>
      </x:c>
      <x:c r="R66" s="31" t="str">
        <x:v>https://gsles.korea.edu/gsles_en/master/subject07.do</x:v>
      </x:c>
    </x:row>
    <x:row r="67">
      <x:c r="A67" s="15" t="n">
        <x:v>63</x:v>
      </x:c>
      <x:c r="B67" s="15" t="str">
        <x:v>Universitas Airlangga</x:v>
      </x:c>
      <x:c r="C67" s="15" t="str">
        <x:v>Indonesia</x:v>
      </x:c>
      <x:c r="D67" s="15" t="str">
        <x:v>THE Impact</x:v>
      </x:c>
      <x:c r="E67" s="15" t="str">
        <x:v>Master of Environmental Health</x:v>
      </x:c>
      <x:c r="F67" s="32" t="str">
        <x:v>200+</x:v>
      </x:c>
      <x:c r="G67" s="32" t="str">
        <x:v>200+</x:v>
      </x:c>
      <x:c r="H67" s="32" t="str">
        <x:v>200+</x:v>
      </x:c>
      <x:c r="I67" s="32" t="str">
        <x:v>200+</x:v>
      </x:c>
      <x:c r="J67" s="32" t="str">
        <x:v>200+</x:v>
      </x:c>
      <x:c r="K67" s="32" t="str">
        <x:v>200+</x:v>
      </x:c>
      <x:c r="L67" s="32" t="str">
        <x:v>200+</x:v>
      </x:c>
      <x:c r="M67" s="32" t="str">
        <x:v>200+</x:v>
      </x:c>
      <x:c r="N67" s="32" t="str">
        <x:v>200+</x:v>
      </x:c>
      <x:c r="O67" s="32" t="str">
        <x:v>200+</x:v>
      </x:c>
      <x:c r="P67" s="31" t="str">
        <x:v>https://www.topuniversities.com/universities/universitas-airlangga</x:v>
      </x:c>
      <x:c r="Q67" s="31" t="str">
        <x:v>https://www.timeshighereducation.com/world-university-rankings/universitas-airlangga</x:v>
      </x:c>
      <x:c r="R67" s="31" t="str">
        <x:v>https://s2kesling.fkm.unair.ac.id/</x:v>
      </x:c>
    </x:row>
    <x:row r="68">
      <x:c r="A68" s="15" t="n">
        <x:v>64</x:v>
      </x:c>
      <x:c r="B68" s="15" t="str">
        <x:v>Pusan National University</x:v>
      </x:c>
      <x:c r="C68" s="15" t="str">
        <x:v>South Korea</x:v>
      </x:c>
      <x:c r="D68" s="15" t="str">
        <x:v>THE Impact</x:v>
      </x:c>
      <x:c r="E68" s="15" t="str">
        <x:v>Master's programs, Graduate School of Environment</x:v>
      </x:c>
      <x:c r="F68" s="32" t="str">
        <x:v>200+</x:v>
      </x:c>
      <x:c r="G68" s="32" t="str">
        <x:v>200+</x:v>
      </x:c>
      <x:c r="H68" s="32" t="str">
        <x:v>200+</x:v>
      </x:c>
      <x:c r="I68" s="32" t="str">
        <x:v>200+</x:v>
      </x:c>
      <x:c r="J68" s="32" t="str">
        <x:v>200+</x:v>
      </x:c>
      <x:c r="K68" s="32" t="str">
        <x:v>200+</x:v>
      </x:c>
      <x:c r="L68" s="32" t="str">
        <x:v>200+</x:v>
      </x:c>
      <x:c r="M68" s="32" t="str">
        <x:v>200+</x:v>
      </x:c>
      <x:c r="N68" s="32" t="str">
        <x:v>200+</x:v>
      </x:c>
      <x:c r="O68" s="32" t="str">
        <x:v>200+</x:v>
      </x:c>
      <x:c r="P68" s="31" t="str">
        <x:v>https://www.topuniversities.com/universities/pusan-national-university</x:v>
      </x:c>
      <x:c r="Q68" s="31" t="str">
        <x:v>https://www.timeshighereducation.com/world-university-rankings/pusan-national-university</x:v>
      </x:c>
      <x:c r="R68" s="31" t="str">
        <x:v>https://www.pusan.ac.kr/eng/CMS/OrganizationMgr/SpecialGraduateInfo.do?gc_code=280000&amp;gc_parent_code=NONE-009&amp;mCode=MN021</x:v>
      </x:c>
    </x:row>
    <x:row r="69">
      <x:c r="A69" s="15" t="n">
        <x:v>65</x:v>
      </x:c>
      <x:c r="B69" s="15" t="str">
        <x:v>University of Tasmania</x:v>
      </x:c>
      <x:c r="C69" s="15" t="str">
        <x:v>Australia</x:v>
      </x:c>
      <x:c r="D69" s="15" t="str">
        <x:v>THE Impact</x:v>
      </x:c>
      <x:c r="E69" s="15" t="str">
        <x:v>Master of Environmental Geospatial Science</x:v>
      </x:c>
      <x:c r="F69" s="32" t="str">
        <x:v>200+</x:v>
      </x:c>
      <x:c r="G69" s="32" t="str">
        <x:v>200+</x:v>
      </x:c>
      <x:c r="H69" s="32" t="str">
        <x:v>200+</x:v>
      </x:c>
      <x:c r="I69" s="32" t="str">
        <x:v>200+</x:v>
      </x:c>
      <x:c r="J69" s="32" t="str">
        <x:v>200+</x:v>
      </x:c>
      <x:c r="K69" s="32" t="str">
        <x:v>200+</x:v>
      </x:c>
      <x:c r="L69" s="32" t="str">
        <x:v>200+</x:v>
      </x:c>
      <x:c r="M69" s="32" t="str">
        <x:v>200+</x:v>
      </x:c>
      <x:c r="N69" s="32" t="str">
        <x:v>200+</x:v>
      </x:c>
      <x:c r="O69" s="32" t="str">
        <x:v>200+</x:v>
      </x:c>
      <x:c r="P69" s="31" t="str">
        <x:v>https://www.topuniversities.com/universities/university-tasmania</x:v>
      </x:c>
      <x:c r="Q69" s="31" t="str">
        <x:v>https://www.timeshighereducation.com/world-university-rankings/university-tasmania</x:v>
      </x:c>
      <x:c r="R69" s="31" t="str">
        <x:v>https://www.utas.edu.au/courses/cse/courses/p7b-master-of-environmental-geospatial-science</x:v>
      </x:c>
    </x:row>
    <x:row r="70">
      <x:c r="A70" s="15" t="n">
        <x:v>66</x:v>
      </x:c>
      <x:c r="B70" s="15" t="str">
        <x:v>McMaster University</x:v>
      </x:c>
      <x:c r="C70" s="15" t="str">
        <x:v>Canada</x:v>
      </x:c>
      <x:c r="D70" s="15" t="str">
        <x:v>THE Impact</x:v>
      </x:c>
      <x:c r="E70" s="15" t="str">
        <x:v>No directly qualifying sustainability/environment master's confirmed</x:v>
      </x:c>
      <x:c r="F70" s="32" t="str">
        <x:v>152</x:v>
      </x:c>
      <x:c r="G70" s="32" t="n">
        <x:f>189</x:f>
        <x:v>189</x:v>
      </x:c>
      <x:c r="H70" s="32" t="n">
        <x:f>176</x:f>
        <x:v>176</x:v>
      </x:c>
      <x:c r="I70" s="32" t="n">
        <x:f>173</x:f>
        <x:v>173</x:v>
      </x:c>
      <x:c r="J70" s="32" t="n">
        <x:f>174</x:f>
        <x:v>174</x:v>
      </x:c>
      <x:c r="K70" s="32" t="n">
        <x:f>80</x:f>
        <x:v>80</x:v>
      </x:c>
      <x:c r="L70" s="32" t="str">
        <x:v>85</x:v>
      </x:c>
      <x:c r="M70" s="32" t="n">
        <x:f>103</x:f>
        <x:v>103</x:v>
      </x:c>
      <x:c r="N70" s="32" t="n">
        <x:f>116</x:f>
        <x:v>116</x:v>
      </x:c>
      <x:c r="O70" s="32" t="n">
        <x:f>116</x:f>
        <x:v>116</x:v>
      </x:c>
      <x:c r="P70" s="31" t="str">
        <x:v>https://www.topuniversities.com/universities/mcmaster-university</x:v>
      </x:c>
      <x:c r="Q70" s="31" t="str">
        <x:v>https://www.timeshighereducation.com/world-university-rankings/mcmaster-university</x:v>
      </x:c>
      <x:c r="R70" s="31" t="str">
        <x:v>https://continuing.mcmaster.ca/programs/business/sustainability/</x:v>
      </x:c>
    </x:row>
    <x:row r="71">
      <x:c r="A71" s="15" t="n">
        <x:v>67</x:v>
      </x:c>
      <x:c r="B71" s="15" t="str">
        <x:v>Chulalongkorn University</x:v>
      </x:c>
      <x:c r="C71" s="15" t="str">
        <x:v>Thailand</x:v>
      </x:c>
      <x:c r="D71" s="15" t="str">
        <x:v>THE Impact</x:v>
      </x:c>
      <x:c r="E71" s="15" t="str">
        <x:v>MA Environment, Development and Sustainability</x:v>
      </x:c>
      <x:c r="F71" s="32" t="str">
        <x:v>200+</x:v>
      </x:c>
      <x:c r="G71" s="32" t="str">
        <x:v>200+</x:v>
      </x:c>
      <x:c r="H71" s="32" t="str">
        <x:v>200+</x:v>
      </x:c>
      <x:c r="I71" s="32" t="str">
        <x:v>200+</x:v>
      </x:c>
      <x:c r="J71" s="32" t="str">
        <x:v>200+</x:v>
      </x:c>
      <x:c r="K71" s="32" t="str">
        <x:v>200+</x:v>
      </x:c>
      <x:c r="L71" s="32" t="str">
        <x:v>200+</x:v>
      </x:c>
      <x:c r="M71" s="32" t="str">
        <x:v>200+</x:v>
      </x:c>
      <x:c r="N71" s="32" t="str">
        <x:v>200+</x:v>
      </x:c>
      <x:c r="O71" s="32" t="str">
        <x:v>200+</x:v>
      </x:c>
      <x:c r="P71" s="31" t="str">
        <x:v>https://www.topuniversities.com/universities/chulalongkorn-university</x:v>
      </x:c>
      <x:c r="Q71" s="31" t="str">
        <x:v>https://www.timeshighereducation.com/world-university-rankings/chulalongkorn-university</x:v>
      </x:c>
      <x:c r="R71" s="31" t="str">
        <x:v>https://www.eds.grad.chula.ac.th/academics/degree-program/</x:v>
      </x:c>
    </x:row>
    <x:row r="72">
      <x:c r="A72" s="15" t="n">
        <x:v>68</x:v>
      </x:c>
      <x:c r="B72" s="15" t="str">
        <x:v>Kyungpook National University (KNU)</x:v>
      </x:c>
      <x:c r="C72" s="15" t="str">
        <x:v>South Korea</x:v>
      </x:c>
      <x:c r="D72" s="15" t="str">
        <x:v>THE Impact</x:v>
      </x:c>
      <x:c r="E72" s="15" t="str">
        <x:v>Graduate major in Environmental and Energy Engineering</x:v>
      </x:c>
      <x:c r="F72" s="32" t="str">
        <x:v>200+</x:v>
      </x:c>
      <x:c r="G72" s="32" t="str">
        <x:v>200+</x:v>
      </x:c>
      <x:c r="H72" s="32" t="str">
        <x:v>200+</x:v>
      </x:c>
      <x:c r="I72" s="32" t="str">
        <x:v>200+</x:v>
      </x:c>
      <x:c r="J72" s="32" t="str">
        <x:v>200+</x:v>
      </x:c>
      <x:c r="K72" s="32" t="str">
        <x:v>200+</x:v>
      </x:c>
      <x:c r="L72" s="32" t="str">
        <x:v>200+</x:v>
      </x:c>
      <x:c r="M72" s="32" t="str">
        <x:v>200+</x:v>
      </x:c>
      <x:c r="N72" s="32" t="str">
        <x:v>200+</x:v>
      </x:c>
      <x:c r="O72" s="32" t="str">
        <x:v>200+</x:v>
      </x:c>
      <x:c r="P72" s="31" t="str">
        <x:v>https://www.topuniversities.com/universities/kyungpook-national-university</x:v>
      </x:c>
      <x:c r="Q72" s="31" t="str">
        <x:v>https://www.timeshighereducation.com/world-university-rankings/kyungpook-national-university-knu</x:v>
      </x:c>
      <x:c r="R72" s="31" t="str">
        <x:v>https://en.knu.ac.kr/admission/foreign02_inc.htm</x:v>
      </x:c>
    </x:row>
    <x:row r="73">
      <x:c r="A73" s="15" t="n">
        <x:v>69</x:v>
      </x:c>
      <x:c r="B73" s="15" t="str">
        <x:v>The Hong Kong University of Science and Technology</x:v>
      </x:c>
      <x:c r="C73" s="15" t="str">
        <x:v>Hong Kong</x:v>
      </x:c>
      <x:c r="D73" s="15" t="str">
        <x:v>THE Impact</x:v>
      </x:c>
      <x:c r="E73" s="15" t="str">
        <x:v>MSc in Environmental Engineering and Management</x:v>
      </x:c>
      <x:c r="F73" s="32" t="str">
        <x:v>40</x:v>
      </x:c>
      <x:c r="G73" s="32" t="str">
        <x:v>60</x:v>
      </x:c>
      <x:c r="H73" s="32" t="n">
        <x:f>47</x:f>
        <x:v>47</x:v>
      </x:c>
      <x:c r="I73" s="32" t="str">
        <x:v>44</x:v>
      </x:c>
      <x:c r="J73" s="32" t="str">
        <x:v>33</x:v>
      </x:c>
      <x:c r="K73" s="32" t="str">
        <x:v>66</x:v>
      </x:c>
      <x:c r="L73" s="32" t="str">
        <x:v>58</x:v>
      </x:c>
      <x:c r="M73" s="32" t="n">
        <x:f>64</x:f>
        <x:v>64</x:v>
      </x:c>
      <x:c r="N73" s="32" t="str">
        <x:v>66</x:v>
      </x:c>
      <x:c r="O73" s="32" t="n">
        <x:f>58</x:f>
        <x:v>58</x:v>
      </x:c>
      <x:c r="P73" s="31" t="str">
        <x:v>https://www.topuniversities.com/universities/hong-kong-university-science-technology</x:v>
      </x:c>
      <x:c r="Q73" s="31" t="str">
        <x:v>https://www.timeshighereducation.com/world-university-rankings/hong-kong-university-science-and-technology</x:v>
      </x:c>
      <x:c r="R73" s="31" t="str">
        <x:v>https://cee.hkust.edu.hk/msc-environmental-engineering-and-management</x:v>
      </x:c>
    </x:row>
    <x:row r="74">
      <x:c r="A74" s="15" t="n">
        <x:v>70</x:v>
      </x:c>
      <x:c r="B74" s="15" t="str">
        <x:v>Lovely Professional University</x:v>
      </x:c>
      <x:c r="C74" s="15" t="str">
        <x:v>India</x:v>
      </x:c>
      <x:c r="D74" s="15" t="str">
        <x:v>THE Impact</x:v>
      </x:c>
      <x:c r="E74" s="15" t="str">
        <x:v>MSc Environmental Sciences</x:v>
      </x:c>
      <x:c r="F74" s="32" t="str">
        <x:v>200+</x:v>
      </x:c>
      <x:c r="G74" s="32" t="str">
        <x:v>200+</x:v>
      </x:c>
      <x:c r="H74" s="32" t="str">
        <x:v>200+</x:v>
      </x:c>
      <x:c r="I74" s="32" t="str">
        <x:v>200+</x:v>
      </x:c>
      <x:c r="J74" s="32" t="str">
        <x:v>200+</x:v>
      </x:c>
      <x:c r="K74" s="32" t="str">
        <x:v>200+</x:v>
      </x:c>
      <x:c r="L74" s="32" t="str">
        <x:v>200+</x:v>
      </x:c>
      <x:c r="M74" s="32" t="str">
        <x:v>200+</x:v>
      </x:c>
      <x:c r="N74" s="32" t="str">
        <x:v>200+</x:v>
      </x:c>
      <x:c r="O74" s="32" t="str">
        <x:v>200+</x:v>
      </x:c>
      <x:c r="P74" s="31" t="str">
        <x:v>https://www.topuniversities.com/universities/lovely-professional-university-lpu</x:v>
      </x:c>
      <x:c r="Q74" s="31" t="str">
        <x:v>https://www.timeshighereducation.com/world-university-rankings/lovely-professional-university</x:v>
      </x:c>
      <x:c r="R74" s="31" t="str">
        <x:v>https://www.lpu.in/international/programmes/msc-environmental-sciences</x:v>
      </x:c>
    </x:row>
    <x:row r="75">
      <x:c r="A75" s="15" t="n">
        <x:v>71</x:v>
      </x:c>
      <x:c r="B75" s="15" t="str">
        <x:v>University of Malaya</x:v>
      </x:c>
      <x:c r="C75" s="15" t="str">
        <x:v>Malaysia</x:v>
      </x:c>
      <x:c r="D75" s="15" t="str">
        <x:v>THE Impact</x:v>
      </x:c>
      <x:c r="E75" s="15" t="str">
        <x:v>Master of Sustainability Science</x:v>
      </x:c>
      <x:c r="F75" s="32" t="str">
        <x:v>70</x:v>
      </x:c>
      <x:c r="G75" s="32" t="n">
        <x:f>65</x:f>
        <x:v>65</x:v>
      </x:c>
      <x:c r="H75" s="32" t="str">
        <x:v>60</x:v>
      </x:c>
      <x:c r="I75" s="32" t="n">
        <x:f>58</x:f>
        <x:v>58</x:v>
      </x:c>
      <x:c r="J75" s="32" t="str">
        <x:v>56</x:v>
      </x:c>
      <x:c r="K75" s="32" t="str">
        <x:v>200+</x:v>
      </x:c>
      <x:c r="L75" s="32" t="str">
        <x:v>200+</x:v>
      </x:c>
      <x:c r="M75" s="32" t="str">
        <x:v>200+</x:v>
      </x:c>
      <x:c r="N75" s="32" t="str">
        <x:v>200+</x:v>
      </x:c>
      <x:c r="O75" s="32" t="str">
        <x:v>200+</x:v>
      </x:c>
      <x:c r="P75" s="31" t="str">
        <x:v>https://www.topuniversities.com/universities/universiti-malaya-um</x:v>
      </x:c>
      <x:c r="Q75" s="31" t="str">
        <x:v>https://www.timeshighereducation.com/world-university-rankings/university-malaya</x:v>
      </x:c>
      <x:c r="R75" s="31" t="str">
        <x:v>https://sts.um.edu.my/master-of-sustainability-science.html</x:v>
      </x:c>
    </x:row>
    <x:row r="76">
      <x:c r="A76" s="15" t="n">
        <x:v>72</x:v>
      </x:c>
      <x:c r="B76" s="15" t="str">
        <x:v>Aalborg University</x:v>
      </x:c>
      <x:c r="C76" s="15" t="str">
        <x:v>Denmark</x:v>
      </x:c>
      <x:c r="D76" s="15" t="str">
        <x:v>THE Impact</x:v>
      </x:c>
      <x:c r="E76" s="15" t="str">
        <x:v>MSc Engineering in Sustainable Cities</x:v>
      </x:c>
      <x:c r="F76" s="32" t="str">
        <x:v>200+</x:v>
      </x:c>
      <x:c r="G76" s="32" t="str">
        <x:v>200+</x:v>
      </x:c>
      <x:c r="H76" s="32" t="str">
        <x:v>200+</x:v>
      </x:c>
      <x:c r="I76" s="32" t="str">
        <x:v>200+</x:v>
      </x:c>
      <x:c r="J76" s="32" t="str">
        <x:v>200+</x:v>
      </x:c>
      <x:c r="K76" s="32" t="str">
        <x:v>200+</x:v>
      </x:c>
      <x:c r="L76" s="32" t="str">
        <x:v>200+</x:v>
      </x:c>
      <x:c r="M76" s="32" t="str">
        <x:v>200+</x:v>
      </x:c>
      <x:c r="N76" s="32" t="str">
        <x:v>200+</x:v>
      </x:c>
      <x:c r="O76" s="32" t="str">
        <x:v>200+</x:v>
      </x:c>
      <x:c r="P76" s="31" t="str">
        <x:v>https://www.topuniversities.com/universities/aalborg-university</x:v>
      </x:c>
      <x:c r="Q76" s="31" t="str">
        <x:v>https://www.timeshighereducation.com/world-university-rankings/aalborg-university</x:v>
      </x:c>
      <x:c r="R76" s="31" t="str">
        <x:v>https://www.en.aau.dk/education/master/sustainable-cities</x:v>
      </x:c>
    </x:row>
    <x:row r="77">
      <x:c r="A77" s="15" t="n">
        <x:v>73</x:v>
      </x:c>
      <x:c r="B77" s="15" t="str">
        <x:v>Kyung Hee University</x:v>
      </x:c>
      <x:c r="C77" s="15" t="str">
        <x:v>South Korea</x:v>
      </x:c>
      <x:c r="D77" s="15" t="str">
        <x:v>THE Impact</x:v>
      </x:c>
      <x:c r="E77" s="15" t="str">
        <x:v>Graduate pathway in Environmental Science and Engineering</x:v>
      </x:c>
      <x:c r="F77" s="32" t="str">
        <x:v>200+</x:v>
      </x:c>
      <x:c r="G77" s="32" t="str">
        <x:v>200+</x:v>
      </x:c>
      <x:c r="H77" s="32" t="str">
        <x:v>200+</x:v>
      </x:c>
      <x:c r="I77" s="32" t="str">
        <x:v>200+</x:v>
      </x:c>
      <x:c r="J77" s="32" t="str">
        <x:v>200+</x:v>
      </x:c>
      <x:c r="K77" s="32" t="str">
        <x:v>200+</x:v>
      </x:c>
      <x:c r="L77" s="32" t="str">
        <x:v>200+</x:v>
      </x:c>
      <x:c r="M77" s="32" t="str">
        <x:v>200+</x:v>
      </x:c>
      <x:c r="N77" s="32" t="str">
        <x:v>200+</x:v>
      </x:c>
      <x:c r="O77" s="32" t="str">
        <x:v>200+</x:v>
      </x:c>
      <x:c r="P77" s="31" t="str">
        <x:v>https://www.topuniversities.com/universities/kyung-hee-university</x:v>
      </x:c>
      <x:c r="Q77" s="31" t="str">
        <x:v>https://www.timeshighereducation.com/world-university-rankings/kyung-hee-university</x:v>
      </x:c>
      <x:c r="R77" s="31" t="str">
        <x:v>https://eng.khu.ac.kr/eng_eng/user/contents/view.do?menuNo=17200012</x:v>
      </x:c>
    </x:row>
    <x:row r="78">
      <x:c r="A78" s="15" t="n">
        <x:v>74</x:v>
      </x:c>
      <x:c r="B78" s="15" t="str">
        <x:v>University of Victoria</x:v>
      </x:c>
      <x:c r="C78" s="15" t="str">
        <x:v>Canada</x:v>
      </x:c>
      <x:c r="D78" s="15" t="str">
        <x:v>THE Impact</x:v>
      </x:c>
      <x:c r="E78" s="15" t="str">
        <x:v>MA/MSc Environmental Studies</x:v>
      </x:c>
      <x:c r="F78" s="32" t="str">
        <x:v>200+</x:v>
      </x:c>
      <x:c r="G78" s="32" t="str">
        <x:v>200+</x:v>
      </x:c>
      <x:c r="H78" s="32" t="str">
        <x:v>200+</x:v>
      </x:c>
      <x:c r="I78" s="32" t="str">
        <x:v>200+</x:v>
      </x:c>
      <x:c r="J78" s="32" t="str">
        <x:v>200+</x:v>
      </x:c>
      <x:c r="K78" s="32" t="str">
        <x:v>200+</x:v>
      </x:c>
      <x:c r="L78" s="32" t="str">
        <x:v>200+</x:v>
      </x:c>
      <x:c r="M78" s="32" t="str">
        <x:v>200+</x:v>
      </x:c>
      <x:c r="N78" s="32" t="str">
        <x:v>200+</x:v>
      </x:c>
      <x:c r="O78" s="32" t="str">
        <x:v>200+</x:v>
      </x:c>
      <x:c r="P78" s="31" t="str">
        <x:v>https://www.topuniversities.com/universities/university-victoria-uvic</x:v>
      </x:c>
      <x:c r="Q78" s="31" t="str">
        <x:v>https://www.timeshighereducation.com/world-university-rankings/university-victoria</x:v>
      </x:c>
      <x:c r="R78" s="31" t="str">
        <x:v>https://www.uvic.ca/socialsciences/environmental/programs/graduate/index.php</x:v>
      </x:c>
    </x:row>
    <x:row r="79">
      <x:c r="A79" s="15" t="n">
        <x:v>76</x:v>
      </x:c>
      <x:c r="B79" s="15" t="str">
        <x:v>Central Queensland University</x:v>
      </x:c>
      <x:c r="C79" s="15" t="str">
        <x:v>Australia</x:v>
      </x:c>
      <x:c r="D79" s="15" t="str">
        <x:v>THE Impact</x:v>
      </x:c>
      <x:c r="E79" s="15" t="str">
        <x:v>Master of Sustainable Development</x:v>
      </x:c>
      <x:c r="F79" s="32" t="str">
        <x:v>200+</x:v>
      </x:c>
      <x:c r="G79" s="32" t="str">
        <x:v>200+</x:v>
      </x:c>
      <x:c r="H79" s="32" t="str">
        <x:v>200+</x:v>
      </x:c>
      <x:c r="I79" s="32" t="str">
        <x:v>200+</x:v>
      </x:c>
      <x:c r="J79" s="32" t="str">
        <x:v>200+</x:v>
      </x:c>
      <x:c r="K79" s="32" t="str">
        <x:v>200+</x:v>
      </x:c>
      <x:c r="L79" s="32" t="str">
        <x:v>200+</x:v>
      </x:c>
      <x:c r="M79" s="32" t="str">
        <x:v>200+</x:v>
      </x:c>
      <x:c r="N79" s="32" t="str">
        <x:v>200+</x:v>
      </x:c>
      <x:c r="O79" s="32" t="str">
        <x:v>200+</x:v>
      </x:c>
      <x:c r="P79" s="31" t="str">
        <x:v>https://www.topuniversities.com/universities/central-queensland-university-cquniversity-australia</x:v>
      </x:c>
      <x:c r="Q79" s="31" t="str">
        <x:v>https://www.timeshighereducation.com/world-university-rankings/central-queensland-university</x:v>
      </x:c>
      <x:c r="R79" s="31" t="str">
        <x:v>https://handbook.cqu.edu.au/he/courses/view/CM82/HT1/2025</x:v>
      </x:c>
    </x:row>
    <x:row r="80">
      <x:c r="A80" s="15" t="n">
        <x:v>77</x:v>
      </x:c>
      <x:c r="B80" s="15" t="str">
        <x:v>University of Newcastle</x:v>
      </x:c>
      <x:c r="C80" s="15" t="str">
        <x:v>Australia</x:v>
      </x:c>
      <x:c r="D80" s="15" t="str">
        <x:v>THE Impact</x:v>
      </x:c>
      <x:c r="E80" s="15" t="str">
        <x:v>Master of Environmental Management and Sustainability</x:v>
      </x:c>
      <x:c r="F80" s="32" t="str">
        <x:v>192</x:v>
      </x:c>
      <x:c r="G80" s="32" t="n">
        <x:f>173</x:f>
        <x:v>173</x:v>
      </x:c>
      <x:c r="H80" s="32" t="n">
        <x:f>179</x:f>
        <x:v>179</x:v>
      </x:c>
      <x:c r="I80" s="32" t="str">
        <x:v>200+</x:v>
      </x:c>
      <x:c r="J80" s="32" t="str">
        <x:v>200+</x:v>
      </x:c>
      <x:c r="K80" s="32" t="str">
        <x:v>200+</x:v>
      </x:c>
      <x:c r="L80" s="32" t="str">
        <x:v>200+</x:v>
      </x:c>
      <x:c r="M80" s="32" t="str">
        <x:v>200+</x:v>
      </x:c>
      <x:c r="N80" s="32" t="str">
        <x:v>200+</x:v>
      </x:c>
      <x:c r="O80" s="32" t="str">
        <x:v>200+</x:v>
      </x:c>
      <x:c r="P80" s="31" t="str">
        <x:v>https://www.topuniversities.com/universities/university-newcastle-australia-uon</x:v>
      </x:c>
      <x:c r="Q80" s="31" t="str">
        <x:v>https://www.timeshighereducation.com/world-university-rankings/university-newcastle</x:v>
      </x:c>
      <x:c r="R80" s="31" t="str">
        <x:v>https://www.newcastle.edu.au/degrees/master-environmental-management-sustainability</x:v>
      </x:c>
    </x:row>
    <x:row r="81">
      <x:c r="A81" s="15" t="n">
        <x:v>78</x:v>
      </x:c>
      <x:c r="B81" s="15" t="str">
        <x:v>Northumbria University</x:v>
      </x:c>
      <x:c r="C81" s="15" t="str">
        <x:v>United Kingdom</x:v>
      </x:c>
      <x:c r="D81" s="15" t="str">
        <x:v>THE Impact</x:v>
      </x:c>
      <x:c r="E81" s="15" t="str">
        <x:v>MSc Disaster Management and Sustainable Development</x:v>
      </x:c>
      <x:c r="F81" s="32" t="str">
        <x:v>200+</x:v>
      </x:c>
      <x:c r="G81" s="32" t="str">
        <x:v>200+</x:v>
      </x:c>
      <x:c r="H81" s="32" t="str">
        <x:v>200+</x:v>
      </x:c>
      <x:c r="I81" s="32" t="str">
        <x:v>200+</x:v>
      </x:c>
      <x:c r="J81" s="32" t="str">
        <x:v>200+</x:v>
      </x:c>
      <x:c r="K81" s="32" t="str">
        <x:v>200+</x:v>
      </x:c>
      <x:c r="L81" s="32" t="str">
        <x:v>200+</x:v>
      </x:c>
      <x:c r="M81" s="32" t="str">
        <x:v>200+</x:v>
      </x:c>
      <x:c r="N81" s="32" t="str">
        <x:v>200+</x:v>
      </x:c>
      <x:c r="O81" s="32" t="str">
        <x:v>200+</x:v>
      </x:c>
      <x:c r="P81" s="31" t="str">
        <x:v>https://www.topuniversities.com/universities/northumbria-university-newcastle</x:v>
      </x:c>
      <x:c r="Q81" s="31" t="str">
        <x:v>https://www.timeshighereducation.com/world-university-rankings/northumbria-university</x:v>
      </x:c>
      <x:c r="R81" s="31" t="str">
        <x:v>https://www.northumbria.ac.uk/study-at-northumbria/courses/disaster-management-and-sustainable-development-with-advanced-practice-msc-ft-dtsdds6/</x:v>
      </x:c>
    </x:row>
    <x:row r="82">
      <x:c r="A82" s="15" t="n">
        <x:v>79</x:v>
      </x:c>
      <x:c r="B82" s="15" t="str">
        <x:v>University of Indonesia</x:v>
      </x:c>
      <x:c r="C82" s="15" t="str">
        <x:v>Indonesia</x:v>
      </x:c>
      <x:c r="D82" s="15" t="str">
        <x:v>THE Impact</x:v>
      </x:c>
      <x:c r="E82" s="15" t="str">
        <x:v>Master of Environmental Science</x:v>
      </x:c>
      <x:c r="F82" s="32" t="str">
        <x:v>200+</x:v>
      </x:c>
      <x:c r="G82" s="32" t="str">
        <x:v>200+</x:v>
      </x:c>
      <x:c r="H82" s="32" t="str">
        <x:v>200+</x:v>
      </x:c>
      <x:c r="I82" s="32" t="str">
        <x:v>189</x:v>
      </x:c>
      <x:c r="J82" s="32" t="n">
        <x:f>191</x:f>
        <x:v>191</x:v>
      </x:c>
      <x:c r="K82" s="32" t="str">
        <x:v>200+</x:v>
      </x:c>
      <x:c r="L82" s="32" t="str">
        <x:v>200+</x:v>
      </x:c>
      <x:c r="M82" s="32" t="str">
        <x:v>200+</x:v>
      </x:c>
      <x:c r="N82" s="32" t="str">
        <x:v>200+</x:v>
      </x:c>
      <x:c r="O82" s="32" t="str">
        <x:v>200+</x:v>
      </x:c>
      <x:c r="P82" s="31" t="str">
        <x:v>https://www.topuniversities.com/universities/universitas-indonesia</x:v>
      </x:c>
      <x:c r="Q82" s="31" t="str">
        <x:v>https://www.timeshighereducation.com/world-university-rankings/university-indonesia</x:v>
      </x:c>
      <x:c r="R82" s="31" t="str">
        <x:v>https://sil.ui.ac.id/en/master-of-environmental-science/</x:v>
      </x:c>
    </x:row>
    <x:row r="83">
      <x:c r="A83" s="15" t="n">
        <x:v>80</x:v>
      </x:c>
      <x:c r="B83" s="15" t="str">
        <x:v>An-Najah National University</x:v>
      </x:c>
      <x:c r="C83" s="15" t="str">
        <x:v>Palestine</x:v>
      </x:c>
      <x:c r="D83" s="15" t="str">
        <x:v>THE Impact</x:v>
      </x:c>
      <x:c r="E83" s="15" t="str">
        <x:v>MSc Environmental Sciences</x:v>
      </x:c>
      <x:c r="F83" s="32" t="str">
        <x:v>200+</x:v>
      </x:c>
      <x:c r="G83" s="32" t="str">
        <x:v>200+</x:v>
      </x:c>
      <x:c r="H83" s="32" t="str">
        <x:v>200+</x:v>
      </x:c>
      <x:c r="I83" s="32" t="str">
        <x:v>200+</x:v>
      </x:c>
      <x:c r="J83" s="32" t="str">
        <x:v>200+</x:v>
      </x:c>
      <x:c r="K83" s="32" t="str">
        <x:v>200+</x:v>
      </x:c>
      <x:c r="L83" s="32" t="str">
        <x:v>200+</x:v>
      </x:c>
      <x:c r="M83" s="32" t="str">
        <x:v>200+</x:v>
      </x:c>
      <x:c r="N83" s="32" t="str">
        <x:v>200+</x:v>
      </x:c>
      <x:c r="O83" s="32" t="str">
        <x:v>200+</x:v>
      </x:c>
      <x:c r="P83" s="31" t="str">
        <x:v>https://www.topuniversities.com/universities/najah-national-university</x:v>
      </x:c>
      <x:c r="Q83" s="31" t="str">
        <x:v>https://www.timeshighereducation.com/world-university-rankings/najah-national-university</x:v>
      </x:c>
      <x:c r="R83" s="31" t="str">
        <x:v>https://www.najah.edu/en/academic/postgraduate-programs/program/environmental-sciences/info-card/</x:v>
      </x:c>
    </x:row>
    <x:row r="84">
      <x:c r="A84" s="15" t="n">
        <x:v>81</x:v>
      </x:c>
      <x:c r="B84" s="15" t="str">
        <x:v>Arizona State University (Tempe)</x:v>
      </x:c>
      <x:c r="C84" s="15" t="str">
        <x:v>United States</x:v>
      </x:c>
      <x:c r="D84" s="15" t="str">
        <x:v>THE Impact</x:v>
      </x:c>
      <x:c r="E84" s="15" t="str">
        <x:v>Master of Sustainability Solutions</x:v>
      </x:c>
      <x:c r="F84" s="32" t="str">
        <x:v>200+</x:v>
      </x:c>
      <x:c r="G84" s="32" t="str">
        <x:v>179</x:v>
      </x:c>
      <x:c r="H84" s="32" t="n">
        <x:f>200</x:f>
        <x:v>200</x:v>
      </x:c>
      <x:c r="I84" s="32" t="n">
        <x:f>173</x:f>
        <x:v>173</x:v>
      </x:c>
      <x:c r="J84" s="32" t="str">
        <x:v>172</x:v>
      </x:c>
      <x:c r="K84" s="32" t="n">
        <x:f>132</x:f>
        <x:v>132</x:v>
      </x:c>
      <x:c r="L84" s="32" t="n">
        <x:f>156</x:f>
        <x:v>156</x:v>
      </x:c>
      <x:c r="M84" s="32" t="str">
        <x:v>182</x:v>
      </x:c>
      <x:c r="N84" s="32" t="str">
        <x:v>200+</x:v>
      </x:c>
      <x:c r="O84" s="32" t="str">
        <x:v>200+</x:v>
      </x:c>
      <x:c r="P84" s="31" t="str">
        <x:v>https://www.topuniversities.com/universities/arizona-state-university</x:v>
      </x:c>
      <x:c r="Q84" s="31" t="str">
        <x:v>https://www.timeshighereducation.com/world-university-rankings/arizona-state-university-tempe</x:v>
      </x:c>
      <x:c r="R84" s="31" t="str">
        <x:v>https://degrees.apps.asu.edu/masters-phd/major/ASU00/SUSUSOMSUS/sustainability-solutions-msus?init=false&amp;nopassive=true</x:v>
      </x:c>
    </x:row>
    <x:row r="85">
      <x:c r="A85" s="15" t="n">
        <x:v>82</x:v>
      </x:c>
      <x:c r="B85" s="15" t="str">
        <x:v>King Faisal University</x:v>
      </x:c>
      <x:c r="C85" s="15" t="str">
        <x:v>Saudi Arabia</x:v>
      </x:c>
      <x:c r="D85" s="15" t="str">
        <x:v>THE Impact</x:v>
      </x:c>
      <x:c r="E85" s="15" t="str">
        <x:v>MSc Agricultural Systems Engineering - Environmental Systems discipline</x:v>
      </x:c>
      <x:c r="F85" s="32" t="str">
        <x:v>200+</x:v>
      </x:c>
      <x:c r="G85" s="32" t="str">
        <x:v>200+</x:v>
      </x:c>
      <x:c r="H85" s="32" t="str">
        <x:v>200+</x:v>
      </x:c>
      <x:c r="I85" s="32" t="str">
        <x:v>200+</x:v>
      </x:c>
      <x:c r="J85" s="32" t="str">
        <x:v>200+</x:v>
      </x:c>
      <x:c r="K85" s="32" t="str">
        <x:v>200+</x:v>
      </x:c>
      <x:c r="L85" s="32" t="str">
        <x:v>200+</x:v>
      </x:c>
      <x:c r="M85" s="32" t="str">
        <x:v>200+</x:v>
      </x:c>
      <x:c r="N85" s="32" t="str">
        <x:v>200+</x:v>
      </x:c>
      <x:c r="O85" s="32" t="str">
        <x:v>200+</x:v>
      </x:c>
      <x:c r="P85" s="31" t="str">
        <x:v>https://www.topuniversities.com/universities/king-faisal-university</x:v>
      </x:c>
      <x:c r="Q85" s="31" t="str">
        <x:v>https://www.timeshighereducation.com/world-university-rankings/king-faisal-university</x:v>
      </x:c>
      <x:c r="R85" s="31" t="str">
        <x:v>https://www.kfu.edu.sa/ar/Deans/HigherStudies/Documents/custompages/studyplans/MSc_Agriculture_Engineering_Information.pdf</x:v>
      </x:c>
    </x:row>
    <x:row r="86">
      <x:c r="A86" s="15" t="n">
        <x:v>83</x:v>
      </x:c>
      <x:c r="B86" s="15" t="str">
        <x:v>Flinders University</x:v>
      </x:c>
      <x:c r="C86" s="15" t="str">
        <x:v>Australia</x:v>
      </x:c>
      <x:c r="D86" s="15" t="str">
        <x:v>THE Impact</x:v>
      </x:c>
      <x:c r="E86" s="15" t="str">
        <x:v>Master of Environmental Management and Sustainability</x:v>
      </x:c>
      <x:c r="F86" s="32" t="str">
        <x:v>200+</x:v>
      </x:c>
      <x:c r="G86" s="32" t="str">
        <x:v>200+</x:v>
      </x:c>
      <x:c r="H86" s="32" t="str">
        <x:v>200+</x:v>
      </x:c>
      <x:c r="I86" s="32" t="str">
        <x:v>200+</x:v>
      </x:c>
      <x:c r="J86" s="32" t="str">
        <x:v>200+</x:v>
      </x:c>
      <x:c r="K86" s="32" t="str">
        <x:v>200+</x:v>
      </x:c>
      <x:c r="L86" s="32" t="str">
        <x:v>200+</x:v>
      </x:c>
      <x:c r="M86" s="32" t="str">
        <x:v>200+</x:v>
      </x:c>
      <x:c r="N86" s="32" t="str">
        <x:v>200+</x:v>
      </x:c>
      <x:c r="O86" s="32" t="str">
        <x:v>200+</x:v>
      </x:c>
      <x:c r="P86" s="31" t="str">
        <x:v>https://www.topuniversities.com/universities/flinders-university</x:v>
      </x:c>
      <x:c r="Q86" s="31" t="str">
        <x:v>https://www.timeshighereducation.com/world-university-rankings/flinders-university</x:v>
      </x:c>
      <x:c r="R86" s="31" t="str">
        <x:v>https://www.flinders.edu.au/study/courses/postgraduate-environmental-management-sustainability</x:v>
      </x:c>
    </x:row>
    <x:row r="87">
      <x:c r="A87" s="15" t="n">
        <x:v>84</x:v>
      </x:c>
      <x:c r="B87" s="15" t="str">
        <x:v>Amrita Vishwa Vidyapeetham</x:v>
      </x:c>
      <x:c r="C87" s="15" t="str">
        <x:v>India</x:v>
      </x:c>
      <x:c r="D87" s="15" t="str">
        <x:v>THE Impact</x:v>
      </x:c>
      <x:c r="E87" s="15" t="str">
        <x:v>No standalone sustainability/environment master's confirmed</x:v>
      </x:c>
      <x:c r="F87" s="32" t="str">
        <x:v>200+</x:v>
      </x:c>
      <x:c r="G87" s="32" t="str">
        <x:v>200+</x:v>
      </x:c>
      <x:c r="H87" s="32" t="str">
        <x:v>200+</x:v>
      </x:c>
      <x:c r="I87" s="32" t="str">
        <x:v>200+</x:v>
      </x:c>
      <x:c r="J87" s="32" t="str">
        <x:v>200+</x:v>
      </x:c>
      <x:c r="K87" s="32" t="str">
        <x:v>200+</x:v>
      </x:c>
      <x:c r="L87" s="32" t="str">
        <x:v>NR</x:v>
      </x:c>
      <x:c r="M87" s="32" t="str">
        <x:v>200+</x:v>
      </x:c>
      <x:c r="N87" s="32" t="str">
        <x:v>NR</x:v>
      </x:c>
      <x:c r="O87" s="32" t="str">
        <x:v>NR</x:v>
      </x:c>
      <x:c r="P87" s="31" t="str">
        <x:v>https://www.topuniversities.com/universities/amrita-vishwa-vidyapeetham</x:v>
      </x:c>
      <x:c r="Q87" s="31" t="str">
        <x:v>https://www.timeshighereducation.com/world-university-rankings/amrita-vishwa-vidyapeetham</x:v>
      </x:c>
      <x:c r="R87" s="31" t="str">
        <x:v>https://www.amrita.edu/course/environmental-science-and-sustainability-6/</x:v>
      </x:c>
    </x:row>
    <x:row r="88">
      <x:c r="A88" s="15" t="n">
        <x:v>85</x:v>
      </x:c>
      <x:c r="B88" s="15" t="str">
        <x:v>Queen's University Belfast</x:v>
      </x:c>
      <x:c r="C88" s="15" t="str">
        <x:v>United Kingdom</x:v>
      </x:c>
      <x:c r="D88" s="15" t="str">
        <x:v>THE Impact</x:v>
      </x:c>
      <x:c r="E88" s="15" t="str">
        <x:v>MSc Leadership for Sustainable Development</x:v>
      </x:c>
      <x:c r="F88" s="32" t="str">
        <x:v>200+</x:v>
      </x:c>
      <x:c r="G88" s="32" t="str">
        <x:v>200+</x:v>
      </x:c>
      <x:c r="H88" s="32" t="str">
        <x:v>200+</x:v>
      </x:c>
      <x:c r="I88" s="32" t="n">
        <x:f>199</x:f>
        <x:v>199</x:v>
      </x:c>
      <x:c r="J88" s="32" t="n">
        <x:f>174</x:f>
        <x:v>174</x:v>
      </x:c>
      <x:c r="K88" s="32" t="str">
        <x:v>200+</x:v>
      </x:c>
      <x:c r="L88" s="32" t="n">
        <x:f>198</x:f>
        <x:v>198</x:v>
      </x:c>
      <x:c r="M88" s="32" t="str">
        <x:v>200+</x:v>
      </x:c>
      <x:c r="N88" s="32" t="str">
        <x:v>200+</x:v>
      </x:c>
      <x:c r="O88" s="32" t="n">
        <x:f>198</x:f>
        <x:v>198</x:v>
      </x:c>
      <x:c r="P88" s="31" t="str">
        <x:v>https://www.topuniversities.com/universities/queens-university-belfast</x:v>
      </x:c>
      <x:c r="Q88" s="31" t="str">
        <x:v>https://www.timeshighereducation.com/world-university-rankings/queens-university-belfast</x:v>
      </x:c>
      <x:c r="R88" s="31" t="str">
        <x:v>https://www.qub.ac.uk/courses/postgraduate-taught/leadership-sustainable-development-msc/</x:v>
      </x:c>
    </x:row>
    <x:row r="89">
      <x:c r="A89" s="15" t="n">
        <x:v>86</x:v>
      </x:c>
      <x:c r="B89" s="15" t="str">
        <x:v>Near East University</x:v>
      </x:c>
      <x:c r="C89" s="15" t="str">
        <x:v>Northern Cyprus</x:v>
      </x:c>
      <x:c r="D89" s="15" t="str">
        <x:v>THE Impact</x:v>
      </x:c>
      <x:c r="E89" s="15" t="str">
        <x:v>Master's in Environmental Education</x:v>
      </x:c>
      <x:c r="F89" s="32" t="str">
        <x:v>200+</x:v>
      </x:c>
      <x:c r="G89" s="32" t="str">
        <x:v>200+</x:v>
      </x:c>
      <x:c r="H89" s="32" t="str">
        <x:v>200+</x:v>
      </x:c>
      <x:c r="I89" s="32" t="str">
        <x:v>200+</x:v>
      </x:c>
      <x:c r="J89" s="32" t="str">
        <x:v>200+</x:v>
      </x:c>
      <x:c r="K89" s="32" t="str">
        <x:v>200+</x:v>
      </x:c>
      <x:c r="L89" s="32" t="str">
        <x:v>200+</x:v>
      </x:c>
      <x:c r="M89" s="32" t="str">
        <x:v>200+</x:v>
      </x:c>
      <x:c r="N89" s="32" t="str">
        <x:v>200+</x:v>
      </x:c>
      <x:c r="O89" s="32" t="str">
        <x:v>200+</x:v>
      </x:c>
      <x:c r="P89" s="31" t="str">
        <x:v>https://www.topuniversities.com/universities/near-east-university</x:v>
      </x:c>
      <x:c r="Q89" s="31" t="str">
        <x:v>https://www.timeshighereducation.com/world-university-rankings/near-east-university</x:v>
      </x:c>
      <x:c r="R89" s="31" t="str">
        <x:v>https://sustainability.neu.edu.tr/education/sustainability-programmes/</x:v>
      </x:c>
    </x:row>
    <x:row r="90">
      <x:c r="A90" s="15" t="n">
        <x:v>87</x:v>
      </x:c>
      <x:c r="B90" s="15" t="str">
        <x:v>University of Johannesburg</x:v>
      </x:c>
      <x:c r="C90" s="15" t="str">
        <x:v>South Africa</x:v>
      </x:c>
      <x:c r="D90" s="15" t="str">
        <x:v>THE Impact</x:v>
      </x:c>
      <x:c r="E90" s="15" t="str">
        <x:v>Master's in Sustainability Management</x:v>
      </x:c>
      <x:c r="F90" s="32" t="str">
        <x:v>200+</x:v>
      </x:c>
      <x:c r="G90" s="32" t="str">
        <x:v>200+</x:v>
      </x:c>
      <x:c r="H90" s="32" t="str">
        <x:v>200+</x:v>
      </x:c>
      <x:c r="I90" s="32" t="str">
        <x:v>200+</x:v>
      </x:c>
      <x:c r="J90" s="32" t="str">
        <x:v>200+</x:v>
      </x:c>
      <x:c r="K90" s="32" t="str">
        <x:v>200+</x:v>
      </x:c>
      <x:c r="L90" s="32" t="str">
        <x:v>200+</x:v>
      </x:c>
      <x:c r="M90" s="32" t="str">
        <x:v>200+</x:v>
      </x:c>
      <x:c r="N90" s="32" t="str">
        <x:v>200+</x:v>
      </x:c>
      <x:c r="O90" s="32" t="str">
        <x:v>200+</x:v>
      </x:c>
      <x:c r="P90" s="31" t="str">
        <x:v>https://www.topuniversities.com/universities/university-johannesburg</x:v>
      </x:c>
      <x:c r="Q90" s="31" t="str">
        <x:v>https://www.timeshighereducation.com/world-university-rankings/university-johannesburg</x:v>
      </x:c>
      <x:c r="R90" s="31" t="str">
        <x:v>https://www.uj.ac.za/university-courses/masters-in-sustainability-management/</x:v>
      </x:c>
    </x:row>
    <x:row r="91">
      <x:c r="A91" s="15" t="n">
        <x:v>88</x:v>
      </x:c>
      <x:c r="B91" s="15" t="str">
        <x:v>Universitas Gadjah Mada</x:v>
      </x:c>
      <x:c r="C91" s="15" t="str">
        <x:v>Indonesia</x:v>
      </x:c>
      <x:c r="D91" s="15" t="str">
        <x:v>THE Impact</x:v>
      </x:c>
      <x:c r="E91" s="15" t="str">
        <x:v>Master in Environmental Science</x:v>
      </x:c>
      <x:c r="F91" s="32" t="str">
        <x:v>200+</x:v>
      </x:c>
      <x:c r="G91" s="32" t="str">
        <x:v>200+</x:v>
      </x:c>
      <x:c r="H91" s="32" t="str">
        <x:v>200+</x:v>
      </x:c>
      <x:c r="I91" s="32" t="str">
        <x:v>200+</x:v>
      </x:c>
      <x:c r="J91" s="32" t="str">
        <x:v>200+</x:v>
      </x:c>
      <x:c r="K91" s="32" t="str">
        <x:v>200+</x:v>
      </x:c>
      <x:c r="L91" s="32" t="str">
        <x:v>200+</x:v>
      </x:c>
      <x:c r="M91" s="32" t="str">
        <x:v>200+</x:v>
      </x:c>
      <x:c r="N91" s="32" t="str">
        <x:v>200+</x:v>
      </x:c>
      <x:c r="O91" s="32" t="str">
        <x:v>200+</x:v>
      </x:c>
      <x:c r="P91" s="31" t="str">
        <x:v>https://www.topuniversities.com/universities/gadjah-mada-university</x:v>
      </x:c>
      <x:c r="Q91" s="31" t="str">
        <x:v>https://www.timeshighereducation.com/world-university-rankings/universitas-gadjah-mada</x:v>
      </x:c>
      <x:c r="R91" s="31" t="str">
        <x:v>https://admissions.ugm.ac.id/v26/program-studi/magister-ilmu-lingkungan-master-in-environmental-science/</x:v>
      </x:c>
    </x:row>
    <x:row r="92">
      <x:c r="A92" s="15" t="n">
        <x:v>89</x:v>
      </x:c>
      <x:c r="B92" s="15" t="str">
        <x:v>University of Wollongong</x:v>
      </x:c>
      <x:c r="C92" s="15" t="str">
        <x:v>Australia</x:v>
      </x:c>
      <x:c r="D92" s="15" t="str">
        <x:v>THE Impact</x:v>
      </x:c>
      <x:c r="E92" s="15" t="str">
        <x:v>Master of Earth and Environmental Sciences</x:v>
      </x:c>
      <x:c r="F92" s="32" t="n">
        <x:f>185</x:f>
        <x:v>185</x:v>
      </x:c>
      <x:c r="G92" s="32" t="str">
        <x:v>162</x:v>
      </x:c>
      <x:c r="H92" s="32" t="n">
        <x:f>167</x:f>
        <x:v>167</x:v>
      </x:c>
      <x:c r="I92" s="32" t="n">
        <x:f>184</x:f>
        <x:v>184</x:v>
      </x:c>
      <x:c r="J92" s="32" t="str">
        <x:v>195</x:v>
      </x:c>
      <x:c r="K92" s="32" t="str">
        <x:v>200+</x:v>
      </x:c>
      <x:c r="L92" s="32" t="str">
        <x:v>200+</x:v>
      </x:c>
      <x:c r="M92" s="32" t="str">
        <x:v>200+</x:v>
      </x:c>
      <x:c r="N92" s="32" t="str">
        <x:v>200+</x:v>
      </x:c>
      <x:c r="O92" s="32" t="str">
        <x:v>200+</x:v>
      </x:c>
      <x:c r="P92" s="31" t="str">
        <x:v>https://www.topuniversities.com/universities/university-wollongong</x:v>
      </x:c>
      <x:c r="Q92" s="31" t="str">
        <x:v>https://www.timeshighereducation.com/world-university-rankings/university-wollongong</x:v>
      </x:c>
      <x:c r="R92" s="31" t="str">
        <x:v>https://www.uow.edu.au/study/courses/master-of-earth-and-environmental-sciences/</x:v>
      </x:c>
    </x:row>
    <x:row r="93">
      <x:c r="A93" s="15" t="n">
        <x:v>90</x:v>
      </x:c>
      <x:c r="B93" s="15" t="str">
        <x:v>Yonsei University (Seoul campus)</x:v>
      </x:c>
      <x:c r="C93" s="15" t="str">
        <x:v>South Korea</x:v>
      </x:c>
      <x:c r="D93" s="15" t="str">
        <x:v>THE Impact</x:v>
      </x:c>
      <x:c r="E93" s="15" t="str">
        <x:v>Master of Global Civic Studies - Global Citizenship and Sustainable Development</x:v>
      </x:c>
      <x:c r="F93" s="32" t="str">
        <x:v>73</x:v>
      </x:c>
      <x:c r="G93" s="32" t="n">
        <x:f>76</x:f>
        <x:v>76</x:v>
      </x:c>
      <x:c r="H93" s="32" t="str">
        <x:v>56</x:v>
      </x:c>
      <x:c r="I93" s="32" t="str">
        <x:v>50</x:v>
      </x:c>
      <x:c r="J93" s="32" t="str">
        <x:v>42</x:v>
      </x:c>
      <x:c r="K93" s="32" t="n">
        <x:f>151</x:f>
        <x:v>151</x:v>
      </x:c>
      <x:c r="L93" s="32" t="str">
        <x:v>78</x:v>
      </x:c>
      <x:c r="M93" s="32" t="str">
        <x:v>76</x:v>
      </x:c>
      <x:c r="N93" s="32" t="n">
        <x:f>102</x:f>
        <x:v>102</x:v>
      </x:c>
      <x:c r="O93" s="32" t="str">
        <x:v>86</x:v>
      </x:c>
      <x:c r="P93" s="31" t="str">
        <x:v>https://www.topuniversities.com/universities/yonsei-university</x:v>
      </x:c>
      <x:c r="Q93" s="31" t="str">
        <x:v>https://www.timeshighereducation.com/world-university-rankings/yonsei-university-seoul-campus</x:v>
      </x:c>
      <x:c r="R93" s="31" t="str">
        <x:v>https://lawschool.yonsei.ac.kr/gsis/intro/status.do</x:v>
      </x:c>
    </x:row>
    <x:row r="94">
      <x:c r="A94" s="15" t="n">
        <x:v>91</x:v>
      </x:c>
      <x:c r="B94" s="15" t="str">
        <x:v>Sunway University</x:v>
      </x:c>
      <x:c r="C94" s="15" t="str">
        <x:v>Malaysia</x:v>
      </x:c>
      <x:c r="D94" s="15" t="str">
        <x:v>THE Impact</x:v>
      </x:c>
      <x:c r="E94" s="15" t="str">
        <x:v>Master in Sustainable Development Management</x:v>
      </x:c>
      <x:c r="F94" s="32" t="str">
        <x:v>200+</x:v>
      </x:c>
      <x:c r="G94" s="32" t="str">
        <x:v>200+</x:v>
      </x:c>
      <x:c r="H94" s="32" t="str">
        <x:v>200+</x:v>
      </x:c>
      <x:c r="I94" s="32" t="str">
        <x:v>200+</x:v>
      </x:c>
      <x:c r="J94" s="32" t="str">
        <x:v>200+</x:v>
      </x:c>
      <x:c r="K94" s="32" t="str">
        <x:v>NR</x:v>
      </x:c>
      <x:c r="L94" s="32" t="str">
        <x:v>200+</x:v>
      </x:c>
      <x:c r="M94" s="32" t="str">
        <x:v>200+</x:v>
      </x:c>
      <x:c r="N94" s="32" t="str">
        <x:v>200+</x:v>
      </x:c>
      <x:c r="O94" s="32" t="str">
        <x:v>200+</x:v>
      </x:c>
      <x:c r="P94" s="31" t="str">
        <x:v>https://www.topuniversities.com/universities/sunway-university</x:v>
      </x:c>
      <x:c r="Q94" s="31" t="str">
        <x:v>https://www.timeshighereducation.com/world-university-rankings/sunway-university</x:v>
      </x:c>
      <x:c r="R94" s="31" t="str">
        <x:v>https://sunwayuniversity.edu.my/jsc/courses/master-sustainable-development-management-0</x:v>
      </x:c>
    </x:row>
    <x:row r="95">
      <x:c r="A95" s="15" t="n">
        <x:v>92</x:v>
      </x:c>
      <x:c r="B95" s="15" t="str">
        <x:v>Thammasat University</x:v>
      </x:c>
      <x:c r="C95" s="15" t="str">
        <x:v>Thailand</x:v>
      </x:c>
      <x:c r="D95" s="15" t="str">
        <x:v>THE Impact</x:v>
      </x:c>
      <x:c r="E95" s="15" t="str">
        <x:v>MA Social Innovation and Sustainability</x:v>
      </x:c>
      <x:c r="F95" s="32" t="str">
        <x:v>200+</x:v>
      </x:c>
      <x:c r="G95" s="32" t="str">
        <x:v>200+</x:v>
      </x:c>
      <x:c r="H95" s="32" t="str">
        <x:v>200+</x:v>
      </x:c>
      <x:c r="I95" s="32" t="str">
        <x:v>200+</x:v>
      </x:c>
      <x:c r="J95" s="32" t="str">
        <x:v>200+</x:v>
      </x:c>
      <x:c r="K95" s="32" t="str">
        <x:v>200+</x:v>
      </x:c>
      <x:c r="L95" s="32" t="str">
        <x:v>200+</x:v>
      </x:c>
      <x:c r="M95" s="32" t="str">
        <x:v>200+</x:v>
      </x:c>
      <x:c r="N95" s="32" t="str">
        <x:v>200+</x:v>
      </x:c>
      <x:c r="O95" s="32" t="str">
        <x:v>200+</x:v>
      </x:c>
      <x:c r="P95" s="31" t="str">
        <x:v>https://www.topuniversities.com/universities/thammasat-university</x:v>
      </x:c>
      <x:c r="Q95" s="31" t="str">
        <x:v>https://www.timeshighereducation.com/world-university-rankings/thammasat-university</x:v>
      </x:c>
      <x:c r="R95" s="31" t="str">
        <x:v>https://sgs.tu.ac.th/ma-program/</x:v>
      </x:c>
    </x:row>
    <x:row r="96">
      <x:c r="A96" s="15" t="n">
        <x:v>93</x:v>
      </x:c>
      <x:c r="B96" s="15" t="str">
        <x:v>Walailak University</x:v>
      </x:c>
      <x:c r="C96" s="15" t="str">
        <x:v>Thailand</x:v>
      </x:c>
      <x:c r="D96" s="15" t="str">
        <x:v>THE Impact</x:v>
      </x:c>
      <x:c r="E96" s="15" t="str">
        <x:v>MSc Environmental, Safety Technology and Health</x:v>
      </x:c>
      <x:c r="F96" s="32" t="str">
        <x:v>200+</x:v>
      </x:c>
      <x:c r="G96" s="32" t="str">
        <x:v>200+</x:v>
      </x:c>
      <x:c r="H96" s="32" t="str">
        <x:v>200+</x:v>
      </x:c>
      <x:c r="I96" s="32" t="str">
        <x:v>200+</x:v>
      </x:c>
      <x:c r="J96" s="32" t="str">
        <x:v>200+</x:v>
      </x:c>
      <x:c r="K96" s="32" t="str">
        <x:v>200+</x:v>
      </x:c>
      <x:c r="L96" s="32" t="str">
        <x:v>200+</x:v>
      </x:c>
      <x:c r="M96" s="32" t="str">
        <x:v>200+</x:v>
      </x:c>
      <x:c r="N96" s="32" t="str">
        <x:v>200+</x:v>
      </x:c>
      <x:c r="O96" s="32" t="str">
        <x:v>200+</x:v>
      </x:c>
      <x:c r="P96" s="31" t="str">
        <x:v>https://www.topuniversities.com/universities/walailak-university</x:v>
      </x:c>
      <x:c r="Q96" s="31" t="str">
        <x:v>https://www.timeshighereducation.com/world-university-rankings/walailak-university</x:v>
      </x:c>
      <x:c r="R96" s="31" t="str">
        <x:v>https://www.wu.ac.th/en/news/21010/School-College</x:v>
      </x:c>
    </x:row>
    <x:row r="97">
      <x:c r="A97" s="15" t="n">
        <x:v>94</x:v>
      </x:c>
      <x:c r="B97" s="15" t="str">
        <x:v>King Abdullah University of Science and Technology (KAUST)</x:v>
      </x:c>
      <x:c r="C97" s="15" t="str">
        <x:v>Saudi Arabia</x:v>
      </x:c>
      <x:c r="D97" s="15" t="str">
        <x:v>THE Impact</x:v>
      </x:c>
      <x:c r="E97" s="15" t="str">
        <x:v>MS Environmental Science and Engineering</x:v>
      </x:c>
      <x:c r="F97" s="32" t="str">
        <x:v>200+</x:v>
      </x:c>
      <x:c r="G97" s="32" t="str">
        <x:v>200+</x:v>
      </x:c>
      <x:c r="H97" s="32" t="str">
        <x:v>200+</x:v>
      </x:c>
      <x:c r="I97" s="32" t="str">
        <x:v>200+</x:v>
      </x:c>
      <x:c r="J97" s="32" t="str">
        <x:v>200+</x:v>
      </x:c>
      <x:c r="K97" s="32" t="str">
        <x:v>NR</x:v>
      </x:c>
      <x:c r="L97" s="32" t="str">
        <x:v>NR</x:v>
      </x:c>
      <x:c r="M97" s="32" t="str">
        <x:v>200+</x:v>
      </x:c>
      <x:c r="N97" s="32" t="str">
        <x:v>200+</x:v>
      </x:c>
      <x:c r="O97" s="32" t="str">
        <x:v>200+</x:v>
      </x:c>
      <x:c r="P97" s="31" t="str"/>
      <x:c r="Q97" s="31" t="str">
        <x:v>https://www.timeshighereducation.com/world-university-rankings/king-abdullah-university-science-and-technology-kaust</x:v>
      </x:c>
      <x:c r="R97" s="31" t="str">
        <x:v>https://bese.kaust.edu.sa/study/academic-programs/ense</x:v>
      </x:c>
    </x:row>
    <x:row r="98">
      <x:c r="A98" s="15" t="n">
        <x:v>95</x:v>
      </x:c>
      <x:c r="B98" s="15" t="str">
        <x:v>Chiang Mai University</x:v>
      </x:c>
      <x:c r="C98" s="15" t="str">
        <x:v>Thailand</x:v>
      </x:c>
      <x:c r="D98" s="15" t="str">
        <x:v>THE Impact</x:v>
      </x:c>
      <x:c r="E98" s="15" t="str">
        <x:v>MSc Environmental Science</x:v>
      </x:c>
      <x:c r="F98" s="32" t="str">
        <x:v>200+</x:v>
      </x:c>
      <x:c r="G98" s="32" t="str">
        <x:v>200+</x:v>
      </x:c>
      <x:c r="H98" s="32" t="str">
        <x:v>200+</x:v>
      </x:c>
      <x:c r="I98" s="32" t="str">
        <x:v>200+</x:v>
      </x:c>
      <x:c r="J98" s="32" t="str">
        <x:v>200+</x:v>
      </x:c>
      <x:c r="K98" s="32" t="str">
        <x:v>200+</x:v>
      </x:c>
      <x:c r="L98" s="32" t="str">
        <x:v>200+</x:v>
      </x:c>
      <x:c r="M98" s="32" t="str">
        <x:v>200+</x:v>
      </x:c>
      <x:c r="N98" s="32" t="str">
        <x:v>200+</x:v>
      </x:c>
      <x:c r="O98" s="32" t="str">
        <x:v>200+</x:v>
      </x:c>
      <x:c r="P98" s="31" t="str">
        <x:v>https://www.topuniversities.com/universities/chiang-mai-university</x:v>
      </x:c>
      <x:c r="Q98" s="31" t="str">
        <x:v>https://www.timeshighereducation.com/world-university-rankings/chiang-mai-university</x:v>
      </x:c>
      <x:c r="R98" s="31" t="str">
        <x:v>https://www.science.cmu.ac.th/english/master.php</x:v>
      </x:c>
    </x:row>
    <x:row r="99">
      <x:c r="A99" s="15" t="n">
        <x:v>96</x:v>
      </x:c>
      <x:c r="B99" s="15" t="str">
        <x:v>Jeonbuk National University</x:v>
      </x:c>
      <x:c r="C99" s="15" t="str">
        <x:v>South Korea</x:v>
      </x:c>
      <x:c r="D99" s="15" t="str">
        <x:v>THE Impact</x:v>
      </x:c>
      <x:c r="E99" s="15" t="str">
        <x:v>Master of Engineering in Environmental Engineering</x:v>
      </x:c>
      <x:c r="F99" s="32" t="str">
        <x:v>200+</x:v>
      </x:c>
      <x:c r="G99" s="32" t="str">
        <x:v>200+</x:v>
      </x:c>
      <x:c r="H99" s="32" t="str">
        <x:v>200+</x:v>
      </x:c>
      <x:c r="I99" s="32" t="str">
        <x:v>200+</x:v>
      </x:c>
      <x:c r="J99" s="32" t="str">
        <x:v>200+</x:v>
      </x:c>
      <x:c r="K99" s="32" t="str">
        <x:v>200+</x:v>
      </x:c>
      <x:c r="L99" s="32" t="str">
        <x:v>200+</x:v>
      </x:c>
      <x:c r="M99" s="32" t="str">
        <x:v>200+</x:v>
      </x:c>
      <x:c r="N99" s="32" t="str">
        <x:v>200+</x:v>
      </x:c>
      <x:c r="O99" s="32" t="str">
        <x:v>200+</x:v>
      </x:c>
      <x:c r="P99" s="31" t="str">
        <x:v>https://www.topuniversities.com/universities/jeonbuk-national-university</x:v>
      </x:c>
      <x:c r="Q99" s="31" t="str">
        <x:v>https://www.timeshighereducation.com/world-university-rankings/jeonbuk-national-university</x:v>
      </x:c>
      <x:c r="R99" s="31" t="str">
        <x:v>https://gse.jbnu.ac.kr/gse/1394/subview.do</x:v>
      </x:c>
    </x:row>
    <x:row r="100">
      <x:c r="A100" s="15" t="n">
        <x:v>97</x:v>
      </x:c>
      <x:c r="B100" s="15" t="str">
        <x:v>National Yang Ming Chiao Tung University (NYCU Taiwan)</x:v>
      </x:c>
      <x:c r="C100" s="15" t="str">
        <x:v>Taiwan</x:v>
      </x:c>
      <x:c r="D100" s="15" t="str">
        <x:v>THE Impact</x:v>
      </x:c>
      <x:c r="E100" s="15" t="str">
        <x:v>Master Program in Environmental Engineering</x:v>
      </x:c>
      <x:c r="F100" s="32" t="str">
        <x:v>200+</x:v>
      </x:c>
      <x:c r="G100" s="32" t="str">
        <x:v>200+</x:v>
      </x:c>
      <x:c r="H100" s="32" t="str">
        <x:v>200+</x:v>
      </x:c>
      <x:c r="I100" s="32" t="n">
        <x:f>199</x:f>
        <x:v>199</x:v>
      </x:c>
      <x:c r="J100" s="32" t="n">
        <x:f>177</x:f>
        <x:v>177</x:v>
      </x:c>
      <x:c r="K100" s="32" t="str">
        <x:v>200+</x:v>
      </x:c>
      <x:c r="L100" s="32" t="str">
        <x:v>200+</x:v>
      </x:c>
      <x:c r="M100" s="32" t="str">
        <x:v>200+</x:v>
      </x:c>
      <x:c r="N100" s="32" t="str">
        <x:v>200+</x:v>
      </x:c>
      <x:c r="O100" s="32" t="str">
        <x:v>200+</x:v>
      </x:c>
      <x:c r="P100" s="31" t="str">
        <x:v>https://www.topuniversities.com/universities/national-yang-ming-chiao-tung-university-nycu-taiwan</x:v>
      </x:c>
      <x:c r="Q100" s="31" t="str">
        <x:v>https://www.timeshighereducation.com/world-university-rankings/national-yang-ming-chiao-tung-university-nycu-taiwan</x:v>
      </x:c>
      <x:c r="R100" s="31" t="str">
        <x:v>https://sdgs.nycu.edu.tw/archives/27449/</x:v>
      </x:c>
    </x:row>
  </x:sheetData>
  <x:mergeCells>
    <x:mergeCell ref="A1:R1"/>
    <x:mergeCell ref="A2:R2"/>
  </x:mergeCells>
  <x:conditionalFormatting sqref="F5:O100">
    <x:cfRule type="containsText" dxfId="3" priority="1" operator="containsText" text="NR"/>
    <x:cfRule type="containsText" dxfId="4" priority="2" operator="containsText" text="N/P"/>
    <x:cfRule type="containsText" dxfId="5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ca3afc7535ec4b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QS Sustainability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Five requested calendar labels are shown. QS Sustainability began with the 2023 edition, so every 2022 row is marked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7" t="str">
        <x:v>ID</x:v>
      </x:c>
      <x:c r="B4" s="27" t="str">
        <x:v>Institution</x:v>
      </x:c>
      <x:c r="C4" s="27" t="str">
        <x:v>Country</x:v>
      </x:c>
      <x:c r="D4" s="27" t="str">
        <x:v>Selected Program</x:v>
      </x:c>
      <x:c r="E4" s="27" t="str">
        <x:v>Edition</x:v>
      </x:c>
      <x:c r="F4" s="27" t="str">
        <x:v>Rank</x:v>
      </x:c>
      <x:c r="G4" s="27" t="str">
        <x:v>Score</x:v>
      </x:c>
      <x:c r="H4" s="27" t="str">
        <x:v>Status</x:v>
      </x:c>
      <x:c r="I4" s="27" t="str">
        <x:v>Official Ranked Name</x:v>
      </x:c>
      <x:c r="J4" s="27" t="str">
        <x:v>Profile URL</x:v>
      </x:c>
      <x:c r="K4" s="27" t="str">
        <x:v>Official Ranking Page</x:v>
      </x:c>
      <x:c r="L4" s="27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N/P</x:v>
      </x:c>
      <x:c r="G5" s="36"/>
      <x:c r="H5" s="15" t="str">
        <x:v>QS Sustainability ranking was not published for 2022</x:v>
      </x:c>
      <x:c r="I5" s="15" t="str"/>
      <x:c r="J5" s="31" t="str">
        <x:v>https://www.topuniversities.com/universities/lund-university</x:v>
      </x:c>
      <x:c r="K5" s="31" t="str"/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str">
        <x:v>12</x:v>
      </x:c>
      <x:c r="G6" s="36" t="n">
        <x:v>84</x:v>
      </x:c>
      <x:c r="H6" s="15" t="str">
        <x:v>Ranked</x:v>
      </x:c>
      <x:c r="I6" s="15" t="str">
        <x:v>Lund University</x:v>
      </x:c>
      <x:c r="J6" s="31" t="str">
        <x:v>https://www.topuniversities.com/universities/lund-university</x:v>
      </x:c>
      <x:c r="K6" s="31" t="str">
        <x:v>https://www.topuniversities.com/sustainability-rankings/2023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str">
        <x:v>8</x:v>
      </x:c>
      <x:c r="G7" s="36" t="n">
        <x:v>96.5</x:v>
      </x:c>
      <x:c r="H7" s="15" t="str">
        <x:v>Ranked</x:v>
      </x:c>
      <x:c r="I7" s="15" t="str">
        <x:v>Lund University</x:v>
      </x:c>
      <x:c r="J7" s="31" t="str">
        <x:v>https://www.topuniversities.com/universities/lund-university</x:v>
      </x:c>
      <x:c r="K7" s="31" t="str">
        <x:v>https://www.topuniversities.com/sustainability-rankings/2024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n">
        <x:f>3</x:f>
        <x:v>3</x:v>
      </x:c>
      <x:c r="G8" s="36" t="n">
        <x:v>98.8</x:v>
      </x:c>
      <x:c r="H8" s="15" t="str">
        <x:v>Ranked</x:v>
      </x:c>
      <x:c r="I8" s="15" t="str">
        <x:v>Lund University</x:v>
      </x:c>
      <x:c r="J8" s="31" t="str">
        <x:v>https://www.topuniversities.com/universities/lund-university</x:v>
      </x:c>
      <x:c r="K8" s="31" t="str">
        <x:v>https://www.topuniversities.com/sustainability-rankings/2025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str">
        <x:v>1</x:v>
      </x:c>
      <x:c r="G9" s="36" t="n">
        <x:v>100</x:v>
      </x:c>
      <x:c r="H9" s="15" t="str">
        <x:v>Ranked</x:v>
      </x:c>
      <x:c r="I9" s="15" t="str">
        <x:v>Lund University</x:v>
      </x:c>
      <x:c r="J9" s="31" t="str">
        <x:v>https://www.topuniversities.com/universities/lund-university</x:v>
      </x:c>
      <x:c r="K9" s="31" t="str">
        <x:v>https://www.topuniversities.com/sustainability-rankings/2026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str">
        <x:v>N/P</x:v>
      </x:c>
      <x:c r="G10" s="36"/>
      <x:c r="H10" s="15" t="str">
        <x:v>QS Sustainability ranking was not published for 2022</x:v>
      </x:c>
      <x:c r="I10" s="15" t="str"/>
      <x:c r="J10" s="31" t="str">
        <x:v>https://www.topuniversities.com/universities/university-toronto</x:v>
      </x:c>
      <x:c r="K10" s="31" t="str"/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2</x:v>
      </x:c>
      <x:c r="G11" s="36" t="n">
        <x:v>94.9</x:v>
      </x:c>
      <x:c r="H11" s="15" t="str">
        <x:v>Ranked</x:v>
      </x:c>
      <x:c r="I11" s="15" t="str">
        <x:v>University of Toronto</x:v>
      </x:c>
      <x:c r="J11" s="31" t="str">
        <x:v>https://www.topuniversities.com/universities/university-toronto</x:v>
      </x:c>
      <x:c r="K11" s="31" t="str">
        <x:v>https://www.topuniversities.com/sustainability-rankings/2023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1</x:v>
      </x:c>
      <x:c r="G12" s="36" t="n">
        <x:v>100</x:v>
      </x:c>
      <x:c r="H12" s="15" t="str">
        <x:v>Ranked</x:v>
      </x:c>
      <x:c r="I12" s="15" t="str">
        <x:v>University of Toronto</x:v>
      </x:c>
      <x:c r="J12" s="31" t="str">
        <x:v>https://www.topuniversities.com/universities/university-toronto</x:v>
      </x:c>
      <x:c r="K12" s="31" t="str">
        <x:v>https://www.topuniversities.com/sustainability-rankings/2024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1</x:v>
      </x:c>
      <x:c r="G13" s="36" t="n">
        <x:v>100</x:v>
      </x:c>
      <x:c r="H13" s="15" t="str">
        <x:v>Ranked</x:v>
      </x:c>
      <x:c r="I13" s="15" t="str">
        <x:v>University of Toronto</x:v>
      </x:c>
      <x:c r="J13" s="31" t="str">
        <x:v>https://www.topuniversities.com/universities/university-toronto</x:v>
      </x:c>
      <x:c r="K13" s="31" t="str">
        <x:v>https://www.topuniversities.com/sustainability-rankings/2025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2</x:v>
      </x:c>
      <x:c r="G14" s="36" t="n">
        <x:v>99.8</x:v>
      </x:c>
      <x:c r="H14" s="15" t="str">
        <x:v>Ranked</x:v>
      </x:c>
      <x:c r="I14" s="15" t="str">
        <x:v>University of Toronto</x:v>
      </x:c>
      <x:c r="J14" s="31" t="str">
        <x:v>https://www.topuniversities.com/universities/university-toronto</x:v>
      </x:c>
      <x:c r="K14" s="31" t="str">
        <x:v>https://www.topuniversities.com/sustainability-rankings/2026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str">
        <x:v>N/P</x:v>
      </x:c>
      <x:c r="G15" s="36"/>
      <x:c r="H15" s="15" t="str">
        <x:v>QS Sustainability ranking was not published for 2022</x:v>
      </x:c>
      <x:c r="I15" s="15" t="str"/>
      <x:c r="J15" s="31" t="str">
        <x:v>https://www.topuniversities.com/universities/ucl</x:v>
      </x:c>
      <x:c r="K15" s="31" t="str"/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n">
        <x:f>42</x:f>
        <x:v>42</x:v>
      </x:c>
      <x:c r="G16" s="36" t="n">
        <x:v>74.3</x:v>
      </x:c>
      <x:c r="H16" s="15" t="str">
        <x:v>Ranked</x:v>
      </x:c>
      <x:c r="I16" s="15" t="str">
        <x:v>UCL</x:v>
      </x:c>
      <x:c r="J16" s="31" t="str">
        <x:v>https://www.topuniversities.com/universities/ucl</x:v>
      </x:c>
      <x:c r="K16" s="31" t="str">
        <x:v>https://www.topuniversities.com/sustainability-rankings/2023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n">
        <x:f>189</x:f>
        <x:v>189</x:v>
      </x:c>
      <x:c r="G17" s="36" t="n">
        <x:v>74.9</x:v>
      </x:c>
      <x:c r="H17" s="15" t="str">
        <x:v>Ranked</x:v>
      </x:c>
      <x:c r="I17" s="15" t="str">
        <x:v>UCL</x:v>
      </x:c>
      <x:c r="J17" s="31" t="str">
        <x:v>https://www.topuniversities.com/universities/ucl</x:v>
      </x:c>
      <x:c r="K17" s="31" t="str">
        <x:v>https://www.topuniversities.com/sustainability-rankings/2024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n">
        <x:f>5</x:f>
        <x:v>5</x:v>
      </x:c>
      <x:c r="G18" s="36" t="n">
        <x:v>98.6</x:v>
      </x:c>
      <x:c r="H18" s="15" t="str">
        <x:v>Ranked</x:v>
      </x:c>
      <x:c r="I18" s="15" t="str">
        <x:v>UCL</x:v>
      </x:c>
      <x:c r="J18" s="31" t="str">
        <x:v>https://www.topuniversities.com/universities/ucl</x:v>
      </x:c>
      <x:c r="K18" s="31" t="str">
        <x:v>https://www.topuniversities.com/sustainability-rankings/2025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3</x:v>
      </x:c>
      <x:c r="G19" s="36" t="n">
        <x:v>99</x:v>
      </x:c>
      <x:c r="H19" s="15" t="str">
        <x:v>Ranked</x:v>
      </x:c>
      <x:c r="I19" s="15" t="str">
        <x:v>UCL</x:v>
      </x:c>
      <x:c r="J19" s="31" t="str">
        <x:v>https://www.topuniversities.com/universities/ucl</x:v>
      </x:c>
      <x:c r="K19" s="31" t="str">
        <x:v>https://www.topuniversities.com/sustainability-rankings/2026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str">
        <x:v>N/P</x:v>
      </x:c>
      <x:c r="G20" s="36"/>
      <x:c r="H20" s="15" t="str">
        <x:v>QS Sustainability ranking was not published for 2022</x:v>
      </x:c>
      <x:c r="I20" s="15" t="str"/>
      <x:c r="J20" s="31" t="str">
        <x:v>https://www.topuniversities.com/universities/university-edinburgh</x:v>
      </x:c>
      <x:c r="K20" s="31" t="str"/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str">
        <x:v>4</x:v>
      </x:c>
      <x:c r="G21" s="36" t="n">
        <x:v>90.2</x:v>
      </x:c>
      <x:c r="H21" s="15" t="str">
        <x:v>Ranked</x:v>
      </x:c>
      <x:c r="I21" s="15" t="str">
        <x:v>The University of Edinburgh</x:v>
      </x:c>
      <x:c r="J21" s="31" t="str">
        <x:v>https://www.topuniversities.com/universities/university-edinburgh</x:v>
      </x:c>
      <x:c r="K21" s="31" t="str">
        <x:v>https://www.topuniversities.com/sustainability-rankings/2023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15</x:f>
        <x:v>15</x:v>
      </x:c>
      <x:c r="G22" s="36" t="n">
        <x:v>93.9</x:v>
      </x:c>
      <x:c r="H22" s="15" t="str">
        <x:v>Ranked</x:v>
      </x:c>
      <x:c r="I22" s="15" t="str">
        <x:v>The University of Edinburgh</x:v>
      </x:c>
      <x:c r="J22" s="31" t="str">
        <x:v>https://www.topuniversities.com/universities/university-edinburgh</x:v>
      </x:c>
      <x:c r="K22" s="31" t="str">
        <x:v>https://www.topuniversities.com/sustainability-rankings/2024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n">
        <x:f>7</x:f>
        <x:v>7</x:v>
      </x:c>
      <x:c r="G23" s="36" t="n">
        <x:v>98.4</x:v>
      </x:c>
      <x:c r="H23" s="15" t="str">
        <x:v>Ranked</x:v>
      </x:c>
      <x:c r="I23" s="15" t="str">
        <x:v>The University of Edinburgh</x:v>
      </x:c>
      <x:c r="J23" s="31" t="str">
        <x:v>https://www.topuniversities.com/universities/university-edinburgh</x:v>
      </x:c>
      <x:c r="K23" s="31" t="str">
        <x:v>https://www.topuniversities.com/sustainability-rankings/2025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str">
        <x:v>4</x:v>
      </x:c>
      <x:c r="G24" s="36" t="n">
        <x:v>98.7</x:v>
      </x:c>
      <x:c r="H24" s="15" t="str">
        <x:v>Ranked</x:v>
      </x:c>
      <x:c r="I24" s="15" t="str">
        <x:v>The University of Edinburgh</x:v>
      </x:c>
      <x:c r="J24" s="31" t="str">
        <x:v>https://www.topuniversities.com/universities/university-edinburgh</x:v>
      </x:c>
      <x:c r="K24" s="31" t="str">
        <x:v>https://www.topuniversities.com/sustainability-rankings/2026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str">
        <x:v>N/P</x:v>
      </x:c>
      <x:c r="G25" s="36"/>
      <x:c r="H25" s="15" t="str">
        <x:v>QS Sustainability ranking was not published for 2022</x:v>
      </x:c>
      <x:c r="I25" s="15" t="str"/>
      <x:c r="J25" s="31" t="str">
        <x:v>https://www.topuniversities.com/universities/university-british-columbia</x:v>
      </x:c>
      <x:c r="K25" s="31" t="str"/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str">
        <x:v>3</x:v>
      </x:c>
      <x:c r="G26" s="36" t="n">
        <x:v>94.5</x:v>
      </x:c>
      <x:c r="H26" s="15" t="str">
        <x:v>Ranked</x:v>
      </x:c>
      <x:c r="I26" s="15" t="str">
        <x:v>University of British Columbia</x:v>
      </x:c>
      <x:c r="J26" s="31" t="str">
        <x:v>https://www.topuniversities.com/universities/university-british-columbia</x:v>
      </x:c>
      <x:c r="K26" s="31" t="str">
        <x:v>https://www.topuniversities.com/sustainability-rankings/2023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4</x:v>
      </x:c>
      <x:c r="G27" s="36" t="n">
        <x:v>97.6</x:v>
      </x:c>
      <x:c r="H27" s="15" t="str">
        <x:v>Ranked</x:v>
      </x:c>
      <x:c r="I27" s="15" t="str">
        <x:v>University of British Columbia</x:v>
      </x:c>
      <x:c r="J27" s="31" t="str">
        <x:v>https://www.topuniversities.com/universities/university-british-columbia</x:v>
      </x:c>
      <x:c r="K27" s="31" t="str">
        <x:v>https://www.topuniversities.com/sustainability-rankings/2024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n">
        <x:f>5</x:f>
        <x:v>5</x:v>
      </x:c>
      <x:c r="G28" s="36" t="n">
        <x:v>98.6</x:v>
      </x:c>
      <x:c r="H28" s="15" t="str">
        <x:v>Ranked</x:v>
      </x:c>
      <x:c r="I28" s="15" t="str">
        <x:v>University of British Columbia</x:v>
      </x:c>
      <x:c r="J28" s="31" t="str">
        <x:v>https://www.topuniversities.com/universities/university-british-columbia</x:v>
      </x:c>
      <x:c r="K28" s="31" t="str">
        <x:v>https://www.topuniversities.com/sustainability-rankings/2025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5</x:v>
      </x:c>
      <x:c r="G29" s="36" t="n">
        <x:v>98.6</x:v>
      </x:c>
      <x:c r="H29" s="15" t="str">
        <x:v>Ranked</x:v>
      </x:c>
      <x:c r="I29" s="15" t="str">
        <x:v>University of British Columbia</x:v>
      </x:c>
      <x:c r="J29" s="31" t="str">
        <x:v>https://www.topuniversities.com/universities/university-british-columbia</x:v>
      </x:c>
      <x:c r="K29" s="31" t="str">
        <x:v>https://www.topuniversities.com/sustainability-rankings/2026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N/P</x:v>
      </x:c>
      <x:c r="G30" s="36"/>
      <x:c r="H30" s="15" t="str">
        <x:v>QS Sustainability ranking was not published for 2022</x:v>
      </x:c>
      <x:c r="I30" s="15" t="str"/>
      <x:c r="J30" s="31" t="str">
        <x:v>https://www.topuniversities.com/universities/london-school-economics-political-science-lse</x:v>
      </x:c>
      <x:c r="K30" s="31" t="str"/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59</x:v>
      </x:c>
      <x:c r="G31" s="36" t="n">
        <x:v>71</x:v>
      </x:c>
      <x:c r="H31" s="15" t="str">
        <x:v>Ranked</x:v>
      </x:c>
      <x:c r="I31" s="15" t="str">
        <x:v>The London School of Economics and Political Science (LSE)</x:v>
      </x:c>
      <x:c r="J31" s="31" t="str">
        <x:v>https://www.topuniversities.com/universities/london-school-economics-political-science-lse</x:v>
      </x:c>
      <x:c r="K31" s="31" t="str">
        <x:v>https://www.topuniversities.com/sustainability-rankings/2023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85</x:v>
      </x:c>
      <x:c r="G32" s="36" t="n">
        <x:v>83.1</x:v>
      </x:c>
      <x:c r="H32" s="15" t="str">
        <x:v>Ranked</x:v>
      </x:c>
      <x:c r="I32" s="15" t="str">
        <x:v>The London School of Economics and Political Science (LSE)</x:v>
      </x:c>
      <x:c r="J32" s="31" t="str">
        <x:v>https://www.topuniversities.com/universities/london-school-economics-political-science-lse</x:v>
      </x:c>
      <x:c r="K32" s="31" t="str">
        <x:v>https://www.topuniversities.com/sustainability-rankings/2024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n">
        <x:f>39</x:f>
        <x:v>39</x:v>
      </x:c>
      <x:c r="G33" s="36" t="n">
        <x:v>93</x:v>
      </x:c>
      <x:c r="H33" s="15" t="str">
        <x:v>Ranked</x:v>
      </x:c>
      <x:c r="I33" s="15" t="str">
        <x:v>The London School of Economics and Political Science (LSE)</x:v>
      </x:c>
      <x:c r="J33" s="31" t="str">
        <x:v>https://www.topuniversities.com/universities/london-school-economics-political-science-lse</x:v>
      </x:c>
      <x:c r="K33" s="31" t="str">
        <x:v>https://www.topuniversities.com/sustainability-rankings/2025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6</x:v>
      </x:c>
      <x:c r="G34" s="36" t="n">
        <x:v>98.5</x:v>
      </x:c>
      <x:c r="H34" s="15" t="str">
        <x:v>Ranked</x:v>
      </x:c>
      <x:c r="I34" s="15" t="str">
        <x:v>The London School of Economics and Political Science (LSE)</x:v>
      </x:c>
      <x:c r="J34" s="31" t="str">
        <x:v>https://www.topuniversities.com/universities/london-school-economics-political-science-lse</x:v>
      </x:c>
      <x:c r="K34" s="31" t="str">
        <x:v>https://www.topuniversities.com/sustainability-rankings/2026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N/P</x:v>
      </x:c>
      <x:c r="G35" s="36"/>
      <x:c r="H35" s="15" t="str">
        <x:v>QS Sustainability ranking was not published for 2022</x:v>
      </x:c>
      <x:c r="I35" s="15" t="str"/>
      <x:c r="J35" s="31" t="str">
        <x:v>https://www.topuniversities.com/universities/imperial-college-london</x:v>
      </x:c>
      <x:c r="K35" s="31" t="str"/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n">
        <x:f>40</x:f>
        <x:v>40</x:v>
      </x:c>
      <x:c r="G36" s="36" t="n">
        <x:v>75.1</x:v>
      </x:c>
      <x:c r="H36" s="15" t="str">
        <x:v>Ranked</x:v>
      </x:c>
      <x:c r="I36" s="15" t="str">
        <x:v>Imperial College London</x:v>
      </x:c>
      <x:c r="J36" s="31" t="str">
        <x:v>https://www.topuniversities.com/universities/imperial-college-london</x:v>
      </x:c>
      <x:c r="K36" s="31" t="str">
        <x:v>https://www.topuniversities.com/sustainability-rankings/2023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6</x:v>
      </x:c>
      <x:c r="G37" s="36" t="n">
        <x:v>97</x:v>
      </x:c>
      <x:c r="H37" s="15" t="str">
        <x:v>Ranked</x:v>
      </x:c>
      <x:c r="I37" s="15" t="str">
        <x:v>Imperial College London</x:v>
      </x:c>
      <x:c r="J37" s="31" t="str">
        <x:v>https://www.topuniversities.com/universities/imperial-college-london</x:v>
      </x:c>
      <x:c r="K37" s="31" t="str">
        <x:v>https://www.topuniversities.com/sustainability-rankings/2024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n">
        <x:f>7</x:f>
        <x:v>7</x:v>
      </x:c>
      <x:c r="G38" s="36" t="n">
        <x:v>98.4</x:v>
      </x:c>
      <x:c r="H38" s="15" t="str">
        <x:v>Ranked</x:v>
      </x:c>
      <x:c r="I38" s="15" t="str">
        <x:v>Imperial College London</x:v>
      </x:c>
      <x:c r="J38" s="31" t="str">
        <x:v>https://www.topuniversities.com/universities/imperial-college-london</x:v>
      </x:c>
      <x:c r="K38" s="31" t="str">
        <x:v>https://www.topuniversities.com/sustainability-rankings/2025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n">
        <x:f>7</x:f>
        <x:v>7</x:v>
      </x:c>
      <x:c r="G39" s="36" t="n">
        <x:v>98.2</x:v>
      </x:c>
      <x:c r="H39" s="15" t="str">
        <x:v>Ranked</x:v>
      </x:c>
      <x:c r="I39" s="15" t="str">
        <x:v>Imperial College London</x:v>
      </x:c>
      <x:c r="J39" s="31" t="str">
        <x:v>https://www.topuniversities.com/universities/imperial-college-london</x:v>
      </x:c>
      <x:c r="K39" s="31" t="str">
        <x:v>https://www.topuniversities.com/sustainability-rankings/2026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str">
        <x:v>N/P</x:v>
      </x:c>
      <x:c r="G40" s="36"/>
      <x:c r="H40" s="15" t="str">
        <x:v>QS Sustainability ranking was not published for 2022</x:v>
      </x:c>
      <x:c r="I40" s="15" t="str"/>
      <x:c r="J40" s="31" t="str">
        <x:v>https://www.topuniversities.com/universities/university-new-south-wales-unsw-sydney</x:v>
      </x:c>
      <x:c r="K40" s="31" t="str"/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5</x:f>
        <x:v>5</x:v>
      </x:c>
      <x:c r="G41" s="36" t="n">
        <x:v>89.1</x:v>
      </x:c>
      <x:c r="H41" s="15" t="str">
        <x:v>Ranked</x:v>
      </x:c>
      <x:c r="I41" s="15" t="str">
        <x:v>The University of New South Wales (UNSW Sydney)</x:v>
      </x:c>
      <x:c r="J41" s="31" t="str">
        <x:v>https://www.topuniversities.com/universities/university-new-south-wales-unsw-sydney</x:v>
      </x:c>
      <x:c r="K41" s="31" t="str">
        <x:v>https://www.topuniversities.com/sustainability-rankings/2023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n">
        <x:f>11</x:f>
        <x:v>11</x:v>
      </x:c>
      <x:c r="G42" s="36" t="n">
        <x:v>94.4</x:v>
      </x:c>
      <x:c r="H42" s="15" t="str">
        <x:v>Ranked</x:v>
      </x:c>
      <x:c r="I42" s="15" t="str">
        <x:v>The University of New South Wales (UNSW Sydney)</x:v>
      </x:c>
      <x:c r="J42" s="31" t="str">
        <x:v>https://www.topuniversities.com/universities/university-new-south-wales-unsw-sydney</x:v>
      </x:c>
      <x:c r="K42" s="31" t="str">
        <x:v>https://www.topuniversities.com/sustainability-rankings/2024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n">
        <x:f>12</x:f>
        <x:v>12</x:v>
      </x:c>
      <x:c r="G43" s="36" t="n">
        <x:v>97.1</x:v>
      </x:c>
      <x:c r="H43" s="15" t="str">
        <x:v>Ranked</x:v>
      </x:c>
      <x:c r="I43" s="15" t="str">
        <x:v>The University of New South Wales (UNSW Sydney)</x:v>
      </x:c>
      <x:c r="J43" s="31" t="str">
        <x:v>https://www.topuniversities.com/universities/university-new-south-wales-unsw-sydney</x:v>
      </x:c>
      <x:c r="K43" s="31" t="str">
        <x:v>https://www.topuniversities.com/sustainability-rankings/2025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n">
        <x:f>7</x:f>
        <x:v>7</x:v>
      </x:c>
      <x:c r="G44" s="36" t="n">
        <x:v>98.2</x:v>
      </x:c>
      <x:c r="H44" s="15" t="str">
        <x:v>Ranked</x:v>
      </x:c>
      <x:c r="I44" s="15" t="str">
        <x:v>The University of New South Wales (UNSW Sydney)</x:v>
      </x:c>
      <x:c r="J44" s="31" t="str">
        <x:v>https://www.topuniversities.com/universities/university-new-south-wales-unsw-sydney</x:v>
      </x:c>
      <x:c r="K44" s="31" t="str">
        <x:v>https://www.topuniversities.com/sustainability-rankings/2026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N/P</x:v>
      </x:c>
      <x:c r="G45" s="36"/>
      <x:c r="H45" s="15" t="str">
        <x:v>QS Sustainability ranking was not published for 2022</x:v>
      </x:c>
      <x:c r="I45" s="15" t="str"/>
      <x:c r="J45" s="31" t="str">
        <x:v>https://www.topuniversities.com/universities/mcgill-university</x:v>
      </x:c>
      <x:c r="K45" s="31" t="str"/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n">
        <x:f>42</x:f>
        <x:v>42</x:v>
      </x:c>
      <x:c r="G46" s="36" t="n">
        <x:v>74.3</x:v>
      </x:c>
      <x:c r="H46" s="15" t="str">
        <x:v>Ranked</x:v>
      </x:c>
      <x:c r="I46" s="15" t="str">
        <x:v>McGill University</x:v>
      </x:c>
      <x:c r="J46" s="31" t="str">
        <x:v>https://www.topuniversities.com/universities/mcgill-university</x:v>
      </x:c>
      <x:c r="K46" s="31" t="str">
        <x:v>https://www.topuniversities.com/sustainability-rankings/2023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13</x:v>
      </x:c>
      <x:c r="G47" s="36" t="n">
        <x:v>94.3</x:v>
      </x:c>
      <x:c r="H47" s="15" t="str">
        <x:v>Ranked</x:v>
      </x:c>
      <x:c r="I47" s="15" t="str">
        <x:v>McGill University</x:v>
      </x:c>
      <x:c r="J47" s="31" t="str">
        <x:v>https://www.topuniversities.com/universities/mcgill-university</x:v>
      </x:c>
      <x:c r="K47" s="31" t="str">
        <x:v>https://www.topuniversities.com/sustainability-rankings/2024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n">
        <x:f>15</x:f>
        <x:v>15</x:v>
      </x:c>
      <x:c r="G48" s="36" t="n">
        <x:v>96.4</x:v>
      </x:c>
      <x:c r="H48" s="15" t="str">
        <x:v>Ranked</x:v>
      </x:c>
      <x:c r="I48" s="15" t="str">
        <x:v>McGill University</x:v>
      </x:c>
      <x:c r="J48" s="31" t="str">
        <x:v>https://www.topuniversities.com/universities/mcgill-university</x:v>
      </x:c>
      <x:c r="K48" s="31" t="str">
        <x:v>https://www.topuniversities.com/sustainability-rankings/2025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str">
        <x:v>9</x:v>
      </x:c>
      <x:c r="G49" s="36" t="n">
        <x:v>98.1</x:v>
      </x:c>
      <x:c r="H49" s="15" t="str">
        <x:v>Ranked</x:v>
      </x:c>
      <x:c r="I49" s="15" t="str">
        <x:v>McGill University</x:v>
      </x:c>
      <x:c r="J49" s="31" t="str">
        <x:v>https://www.topuniversities.com/universities/mcgill-university</x:v>
      </x:c>
      <x:c r="K49" s="31" t="str">
        <x:v>https://www.topuniversities.com/sustainability-rankings/2026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N/P</x:v>
      </x:c>
      <x:c r="G50" s="36"/>
      <x:c r="H50" s="15" t="str">
        <x:v>QS Sustainability ranking was not published for 2022</x:v>
      </x:c>
      <x:c r="I50" s="15" t="str"/>
      <x:c r="J50" s="31" t="str">
        <x:v>https://www.topuniversities.com/universities/university-manchester</x:v>
      </x:c>
      <x:c r="K50" s="31" t="str"/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str">
        <x:v>50</x:v>
      </x:c>
      <x:c r="G51" s="36" t="n">
        <x:v>72.4</x:v>
      </x:c>
      <x:c r="H51" s="15" t="str">
        <x:v>Ranked</x:v>
      </x:c>
      <x:c r="I51" s="15" t="str">
        <x:v>The University of Manchester</x:v>
      </x:c>
      <x:c r="J51" s="31" t="str">
        <x:v>https://www.topuniversities.com/universities/university-manchester</x:v>
      </x:c>
      <x:c r="K51" s="31" t="str">
        <x:v>https://www.topuniversities.com/sustainability-rankings/2023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str">
        <x:v>3</x:v>
      </x:c>
      <x:c r="G52" s="36" t="n">
        <x:v>98</x:v>
      </x:c>
      <x:c r="H52" s="15" t="str">
        <x:v>Ranked</x:v>
      </x:c>
      <x:c r="I52" s="15" t="str">
        <x:v>The University of Manchester</x:v>
      </x:c>
      <x:c r="J52" s="31" t="str">
        <x:v>https://www.topuniversities.com/universities/university-manchester</x:v>
      </x:c>
      <x:c r="K52" s="31" t="str">
        <x:v>https://www.topuniversities.com/sustainability-rankings/2024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n">
        <x:f>9</x:f>
        <x:v>9</x:v>
      </x:c>
      <x:c r="G53" s="36" t="n">
        <x:v>98.3</x:v>
      </x:c>
      <x:c r="H53" s="15" t="str">
        <x:v>Ranked</x:v>
      </x:c>
      <x:c r="I53" s="15" t="str">
        <x:v>The University of Manchester</x:v>
      </x:c>
      <x:c r="J53" s="31" t="str">
        <x:v>https://www.topuniversities.com/universities/university-manchester</x:v>
      </x:c>
      <x:c r="K53" s="31" t="str">
        <x:v>https://www.topuniversities.com/sustainability-rankings/2025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10</x:v>
      </x:c>
      <x:c r="G54" s="36" t="n">
        <x:v>98</x:v>
      </x:c>
      <x:c r="H54" s="15" t="str">
        <x:v>Ranked</x:v>
      </x:c>
      <x:c r="I54" s="15" t="str">
        <x:v>The University of Manchester</x:v>
      </x:c>
      <x:c r="J54" s="31" t="str">
        <x:v>https://www.topuniversities.com/universities/university-manchester</x:v>
      </x:c>
      <x:c r="K54" s="31" t="str">
        <x:v>https://www.topuniversities.com/sustainability-rankings/2026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N/P</x:v>
      </x:c>
      <x:c r="G55" s="36"/>
      <x:c r="H55" s="15" t="str">
        <x:v>QS Sustainability ranking was not published for 2022</x:v>
      </x:c>
      <x:c r="I55" s="15" t="str"/>
      <x:c r="J55" s="31" t="str">
        <x:v>https://www.topuniversities.com/universities/eth-zurich</x:v>
      </x:c>
      <x:c r="K55" s="31" t="str"/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n">
        <x:f>75</x:f>
        <x:v>75</x:v>
      </x:c>
      <x:c r="G56" s="36" t="n">
        <x:v>67.5</x:v>
      </x:c>
      <x:c r="H56" s="15" t="str">
        <x:v>Ranked</x:v>
      </x:c>
      <x:c r="I56" s="15" t="str">
        <x:v>ETH Zurich</x:v>
      </x:c>
      <x:c r="J56" s="31" t="str">
        <x:v>https://www.topuniversities.com/universities/eth-zurich</x:v>
      </x:c>
      <x:c r="K56" s="31" t="str">
        <x:v>https://www.topuniversities.com/sustainability-rankings/2023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18</x:v>
      </x:c>
      <x:c r="G57" s="36" t="n">
        <x:v>93.1</x:v>
      </x:c>
      <x:c r="H57" s="15" t="str">
        <x:v>Ranked</x:v>
      </x:c>
      <x:c r="I57" s="15" t="str">
        <x:v>ETH Zurich</x:v>
      </x:c>
      <x:c r="J57" s="31" t="str">
        <x:v>https://www.topuniversities.com/universities/eth-zurich</x:v>
      </x:c>
      <x:c r="K57" s="31" t="str">
        <x:v>https://www.topuniversities.com/sustainability-rankings/2024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2</x:v>
      </x:c>
      <x:c r="G58" s="36" t="n">
        <x:v>99.6</x:v>
      </x:c>
      <x:c r="H58" s="15" t="str">
        <x:v>Ranked</x:v>
      </x:c>
      <x:c r="I58" s="15" t="str">
        <x:v>ETH Zurich</x:v>
      </x:c>
      <x:c r="J58" s="31" t="str">
        <x:v>https://www.topuniversities.com/universities/eth-zurich</x:v>
      </x:c>
      <x:c r="K58" s="31" t="str">
        <x:v>https://www.topuniversities.com/sustainability-rankings/2025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n">
        <x:f>11</x:f>
        <x:v>11</x:v>
      </x:c>
      <x:c r="G59" s="36" t="n">
        <x:v>97.9</x:v>
      </x:c>
      <x:c r="H59" s="15" t="str">
        <x:v>Ranked</x:v>
      </x:c>
      <x:c r="I59" s="15" t="str">
        <x:v>ETH Zurich</x:v>
      </x:c>
      <x:c r="J59" s="31" t="str">
        <x:v>https://www.topuniversities.com/universities/eth-zurich</x:v>
      </x:c>
      <x:c r="K59" s="31" t="str">
        <x:v>https://www.topuniversities.com/sustainability-rankings/2026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N/P</x:v>
      </x:c>
      <x:c r="G60" s="36"/>
      <x:c r="H60" s="15" t="str">
        <x:v>QS Sustainability ranking was not published for 2022</x:v>
      </x:c>
      <x:c r="I60" s="15" t="str"/>
      <x:c r="J60" s="31" t="str">
        <x:v>https://www.topuniversities.com/universities/university-melbourne</x:v>
      </x:c>
      <x:c r="K60" s="31" t="str"/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51</x:v>
      </x:c>
      <x:c r="G61" s="36" t="n">
        <x:v>72.1</x:v>
      </x:c>
      <x:c r="H61" s="15" t="str">
        <x:v>Ranked</x:v>
      </x:c>
      <x:c r="I61" s="15" t="str">
        <x:v>The University of Melbourne</x:v>
      </x:c>
      <x:c r="J61" s="31" t="str">
        <x:v>https://www.topuniversities.com/universities/university-melbourne</x:v>
      </x:c>
      <x:c r="K61" s="31" t="str">
        <x:v>https://www.topuniversities.com/sustainability-rankings/2023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9</x:v>
      </x:c>
      <x:c r="G62" s="36" t="n">
        <x:v>96.4</x:v>
      </x:c>
      <x:c r="H62" s="15" t="str">
        <x:v>Ranked</x:v>
      </x:c>
      <x:c r="I62" s="15" t="str">
        <x:v>The University of Melbourne</x:v>
      </x:c>
      <x:c r="J62" s="31" t="str">
        <x:v>https://www.topuniversities.com/universities/university-melbourne</x:v>
      </x:c>
      <x:c r="K62" s="31" t="str">
        <x:v>https://www.topuniversities.com/sustainability-rankings/2024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n">
        <x:f>9</x:f>
        <x:v>9</x:v>
      </x:c>
      <x:c r="G63" s="36" t="n">
        <x:v>98.3</x:v>
      </x:c>
      <x:c r="H63" s="15" t="str">
        <x:v>Ranked</x:v>
      </x:c>
      <x:c r="I63" s="15" t="str">
        <x:v>The University of Melbourne</x:v>
      </x:c>
      <x:c r="J63" s="31" t="str">
        <x:v>https://www.topuniversities.com/universities/university-melbourne</x:v>
      </x:c>
      <x:c r="K63" s="31" t="str">
        <x:v>https://www.topuniversities.com/sustainability-rankings/2025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n">
        <x:f>11</x:f>
        <x:v>11</x:v>
      </x:c>
      <x:c r="G64" s="36" t="n">
        <x:v>97.9</x:v>
      </x:c>
      <x:c r="H64" s="15" t="str">
        <x:v>Ranked</x:v>
      </x:c>
      <x:c r="I64" s="15" t="str">
        <x:v>The University of Melbourne</x:v>
      </x:c>
      <x:c r="J64" s="31" t="str">
        <x:v>https://www.topuniversities.com/universities/university-melbourne</x:v>
      </x:c>
      <x:c r="K64" s="31" t="str">
        <x:v>https://www.topuniversities.com/sustainability-rankings/2026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N/P</x:v>
      </x:c>
      <x:c r="G65" s="36"/>
      <x:c r="H65" s="15" t="str">
        <x:v>QS Sustainability ranking was not published for 2022</x:v>
      </x:c>
      <x:c r="I65" s="15" t="str"/>
      <x:c r="J65" s="31" t="str">
        <x:v>https://www.topuniversities.com/universities/university-california-berkeley-ucb</x:v>
      </x:c>
      <x:c r="K65" s="31" t="str"/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1</x:v>
      </x:c>
      <x:c r="G66" s="36" t="n">
        <x:v>100</x:v>
      </x:c>
      <x:c r="H66" s="15" t="str">
        <x:v>Ranked</x:v>
      </x:c>
      <x:c r="I66" s="15" t="str">
        <x:v>University of California, Berkeley (UCB)</x:v>
      </x:c>
      <x:c r="J66" s="31" t="str">
        <x:v>https://www.topuniversities.com/universities/university-california-berkeley-ucb</x:v>
      </x:c>
      <x:c r="K66" s="31" t="str">
        <x:v>https://www.topuniversities.com/sustainability-rankings/2023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2</x:v>
      </x:c>
      <x:c r="G67" s="36" t="n">
        <x:v>99.7</x:v>
      </x:c>
      <x:c r="H67" s="15" t="str">
        <x:v>Ranked</x:v>
      </x:c>
      <x:c r="I67" s="15" t="str">
        <x:v>University of California, Berkeley (UCB)</x:v>
      </x:c>
      <x:c r="J67" s="31" t="str">
        <x:v>https://www.topuniversities.com/universities/university-california-berkeley-ucb</x:v>
      </x:c>
      <x:c r="K67" s="31" t="str">
        <x:v>https://www.topuniversities.com/sustainability-rankings/2024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n">
        <x:f>3</x:f>
        <x:v>3</x:v>
      </x:c>
      <x:c r="G68" s="36" t="n">
        <x:v>98.8</x:v>
      </x:c>
      <x:c r="H68" s="15" t="str">
        <x:v>Ranked</x:v>
      </x:c>
      <x:c r="I68" s="15" t="str">
        <x:v>University of California, Berkeley (UCB)</x:v>
      </x:c>
      <x:c r="J68" s="31" t="str">
        <x:v>https://www.topuniversities.com/universities/university-california-berkeley-ucb</x:v>
      </x:c>
      <x:c r="K68" s="31" t="str">
        <x:v>https://www.topuniversities.com/sustainability-rankings/2025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n">
        <x:f>11</x:f>
        <x:v>11</x:v>
      </x:c>
      <x:c r="G69" s="36" t="n">
        <x:v>97.9</x:v>
      </x:c>
      <x:c r="H69" s="15" t="str">
        <x:v>Ranked</x:v>
      </x:c>
      <x:c r="I69" s="15" t="str">
        <x:v>University of California, Berkeley (UCB)</x:v>
      </x:c>
      <x:c r="J69" s="31" t="str">
        <x:v>https://www.topuniversities.com/universities/university-california-berkeley-ucb</x:v>
      </x:c>
      <x:c r="K69" s="31" t="str">
        <x:v>https://www.topuniversities.com/sustainability-rankings/2026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N/P</x:v>
      </x:c>
      <x:c r="G70" s="36"/>
      <x:c r="H70" s="15" t="str">
        <x:v>QS Sustainability ranking was not published for 2022</x:v>
      </x:c>
      <x:c r="I70" s="15" t="str"/>
      <x:c r="J70" s="31" t="str">
        <x:v>https://www.topuniversities.com/universities/stanford-university</x:v>
      </x:c>
      <x:c r="K70" s="31" t="str"/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n">
        <x:f>26</x:f>
        <x:v>26</x:v>
      </x:c>
      <x:c r="G71" s="36" t="n">
        <x:v>76.3</x:v>
      </x:c>
      <x:c r="H71" s="15" t="str">
        <x:v>Ranked</x:v>
      </x:c>
      <x:c r="I71" s="15" t="str">
        <x:v>Stanford University</x:v>
      </x:c>
      <x:c r="J71" s="31" t="str">
        <x:v>https://www.topuniversities.com/universities/stanford-university</x:v>
      </x:c>
      <x:c r="K71" s="31" t="str">
        <x:v>https://www.topuniversities.com/sustainability-rankings/2023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n">
        <x:f>148</x:f>
        <x:v>148</x:v>
      </x:c>
      <x:c r="G72" s="36" t="n">
        <x:v>77.5</x:v>
      </x:c>
      <x:c r="H72" s="15" t="str">
        <x:v>Ranked</x:v>
      </x:c>
      <x:c r="I72" s="15" t="str">
        <x:v>Stanford University</x:v>
      </x:c>
      <x:c r="J72" s="31" t="str">
        <x:v>https://www.topuniversities.com/universities/stanford-university</x:v>
      </x:c>
      <x:c r="K72" s="31" t="str">
        <x:v>https://www.topuniversities.com/sustainability-rankings/2024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n">
        <x:f>19</x:f>
        <x:v>19</x:v>
      </x:c>
      <x:c r="G73" s="36" t="n">
        <x:v>95.6</x:v>
      </x:c>
      <x:c r="H73" s="15" t="str">
        <x:v>Ranked</x:v>
      </x:c>
      <x:c r="I73" s="15" t="str">
        <x:v>Stanford University</x:v>
      </x:c>
      <x:c r="J73" s="31" t="str">
        <x:v>https://www.topuniversities.com/universities/stanford-university</x:v>
      </x:c>
      <x:c r="K73" s="31" t="str">
        <x:v>https://www.topuniversities.com/sustainability-rankings/2025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str">
        <x:v>13</x:v>
      </x:c>
      <x:c r="G74" s="36" t="n">
        <x:v>97.8</x:v>
      </x:c>
      <x:c r="H74" s="15" t="str">
        <x:v>Ranked</x:v>
      </x:c>
      <x:c r="I74" s="15" t="str">
        <x:v>Stanford University</x:v>
      </x:c>
      <x:c r="J74" s="31" t="str">
        <x:v>https://www.topuniversities.com/universities/stanford-university</x:v>
      </x:c>
      <x:c r="K74" s="31" t="str">
        <x:v>https://www.topuniversities.com/sustainability-rankings/2026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N/P</x:v>
      </x:c>
      <x:c r="G75" s="36"/>
      <x:c r="H75" s="15" t="str">
        <x:v>QS Sustainability ranking was not published for 2022</x:v>
      </x:c>
      <x:c r="I75" s="15" t="str"/>
      <x:c r="J75" s="31" t="str">
        <x:v>https://www.topuniversities.com/universities/university-oxford</x:v>
      </x:c>
      <x:c r="K75" s="31" t="str"/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16</x:v>
      </x:c>
      <x:c r="G76" s="36" t="n">
        <x:v>82.1</x:v>
      </x:c>
      <x:c r="H76" s="15" t="str">
        <x:v>Ranked</x:v>
      </x:c>
      <x:c r="I76" s="15" t="str">
        <x:v>University of Oxford</x:v>
      </x:c>
      <x:c r="J76" s="31" t="str">
        <x:v>https://www.topuniversities.com/universities/university-oxford</x:v>
      </x:c>
      <x:c r="K76" s="31" t="str">
        <x:v>https://www.topuniversities.com/sustainability-rankings/2023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126</x:v>
      </x:c>
      <x:c r="G77" s="36" t="n">
        <x:v>79.3</x:v>
      </x:c>
      <x:c r="H77" s="15" t="str">
        <x:v>Ranked</x:v>
      </x:c>
      <x:c r="I77" s="15" t="str">
        <x:v>University of Oxford</x:v>
      </x:c>
      <x:c r="J77" s="31" t="str">
        <x:v>https://www.topuniversities.com/universities/university-oxford</x:v>
      </x:c>
      <x:c r="K77" s="31" t="str">
        <x:v>https://www.topuniversities.com/sustainability-rankings/2024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n">
        <x:f>199</x:f>
        <x:v>199</x:v>
      </x:c>
      <x:c r="G78" s="36" t="n">
        <x:v>78.7</x:v>
      </x:c>
      <x:c r="H78" s="15" t="str">
        <x:v>Ranked</x:v>
      </x:c>
      <x:c r="I78" s="15" t="str">
        <x:v>University of Oxford</x:v>
      </x:c>
      <x:c r="J78" s="31" t="str">
        <x:v>https://www.topuniversities.com/universities/university-oxford</x:v>
      </x:c>
      <x:c r="K78" s="31" t="str">
        <x:v>https://www.topuniversities.com/sustainability-rankings/2025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14</x:v>
      </x:c>
      <x:c r="G79" s="36" t="n">
        <x:v>97.7</x:v>
      </x:c>
      <x:c r="H79" s="15" t="str">
        <x:v>Ranked</x:v>
      </x:c>
      <x:c r="I79" s="15" t="str">
        <x:v>University of Oxford</x:v>
      </x:c>
      <x:c r="J79" s="31" t="str">
        <x:v>https://www.topuniversities.com/universities/university-oxford</x:v>
      </x:c>
      <x:c r="K79" s="31" t="str">
        <x:v>https://www.topuniversities.com/sustainability-rankings/2026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str">
        <x:v>N/P</x:v>
      </x:c>
      <x:c r="G80" s="36"/>
      <x:c r="H80" s="15" t="str">
        <x:v>QS Sustainability ranking was not published for 2022</x:v>
      </x:c>
      <x:c r="I80" s="15" t="str"/>
      <x:c r="J80" s="31" t="str">
        <x:v>https://www.topuniversities.com/universities/university-sydney</x:v>
      </x:c>
      <x:c r="K80" s="31" t="str"/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n">
        <x:f>5</x:f>
        <x:v>5</x:v>
      </x:c>
      <x:c r="G81" s="36" t="n">
        <x:v>89.1</x:v>
      </x:c>
      <x:c r="H81" s="15" t="str">
        <x:v>Ranked</x:v>
      </x:c>
      <x:c r="I81" s="15" t="str">
        <x:v>The University of Sydney</x:v>
      </x:c>
      <x:c r="J81" s="31" t="str">
        <x:v>https://www.topuniversities.com/universities/university-sydney</x:v>
      </x:c>
      <x:c r="K81" s="31" t="str">
        <x:v>https://www.topuniversities.com/sustainability-rankings/2023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7</x:v>
      </x:c>
      <x:c r="G82" s="36" t="n">
        <x:v>96.8</x:v>
      </x:c>
      <x:c r="H82" s="15" t="str">
        <x:v>Ranked</x:v>
      </x:c>
      <x:c r="I82" s="15" t="str">
        <x:v>The University of Sydney</x:v>
      </x:c>
      <x:c r="J82" s="31" t="str">
        <x:v>https://www.topuniversities.com/universities/university-sydney</x:v>
      </x:c>
      <x:c r="K82" s="31" t="str">
        <x:v>https://www.topuniversities.com/sustainability-rankings/2024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11</x:v>
      </x:c>
      <x:c r="G83" s="36" t="n">
        <x:v>97.7</x:v>
      </x:c>
      <x:c r="H83" s="15" t="str">
        <x:v>Ranked</x:v>
      </x:c>
      <x:c r="I83" s="15" t="str">
        <x:v>The University of Sydney</x:v>
      </x:c>
      <x:c r="J83" s="31" t="str">
        <x:v>https://www.topuniversities.com/universities/university-sydney</x:v>
      </x:c>
      <x:c r="K83" s="31" t="str">
        <x:v>https://www.topuniversities.com/sustainability-rankings/2025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str">
        <x:v>15</x:v>
      </x:c>
      <x:c r="G84" s="36" t="n">
        <x:v>97.3</x:v>
      </x:c>
      <x:c r="H84" s="15" t="str">
        <x:v>Ranked</x:v>
      </x:c>
      <x:c r="I84" s="15" t="str">
        <x:v>The University of Sydney</x:v>
      </x:c>
      <x:c r="J84" s="31" t="str">
        <x:v>https://www.topuniversities.com/universities/university-sydney</x:v>
      </x:c>
      <x:c r="K84" s="31" t="str">
        <x:v>https://www.topuniversities.com/sustainability-rankings/2026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str">
        <x:v>N/P</x:v>
      </x:c>
      <x:c r="G85" s="36"/>
      <x:c r="H85" s="15" t="str">
        <x:v>QS Sustainability ranking was not published for 2022</x:v>
      </x:c>
      <x:c r="I85" s="15" t="str"/>
      <x:c r="J85" s="31" t="str">
        <x:v>https://www.topuniversities.com/universities/australian-national-university-anu</x:v>
      </x:c>
      <x:c r="K85" s="31" t="str"/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n">
        <x:f>72</x:f>
        <x:v>72</x:v>
      </x:c>
      <x:c r="G86" s="36" t="n">
        <x:v>68.5</x:v>
      </x:c>
      <x:c r="H86" s="15" t="str">
        <x:v>Ranked</x:v>
      </x:c>
      <x:c r="I86" s="15" t="str">
        <x:v>Australian National University (ANU)</x:v>
      </x:c>
      <x:c r="J86" s="31" t="str">
        <x:v>https://www.topuniversities.com/universities/australian-national-university-anu</x:v>
      </x:c>
      <x:c r="K86" s="31" t="str">
        <x:v>https://www.topuniversities.com/sustainability-rankings/2023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n">
        <x:f>30</x:f>
        <x:v>30</x:v>
      </x:c>
      <x:c r="G87" s="36" t="n">
        <x:v>89.3</x:v>
      </x:c>
      <x:c r="H87" s="15" t="str">
        <x:v>Ranked</x:v>
      </x:c>
      <x:c r="I87" s="15" t="str">
        <x:v>Australian National University (ANU)</x:v>
      </x:c>
      <x:c r="J87" s="31" t="str">
        <x:v>https://www.topuniversities.com/universities/australian-national-university-anu</x:v>
      </x:c>
      <x:c r="K87" s="31" t="str">
        <x:v>https://www.topuniversities.com/sustainability-rankings/2024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str">
        <x:v>48</x:v>
      </x:c>
      <x:c r="G88" s="36" t="n">
        <x:v>92.1</x:v>
      </x:c>
      <x:c r="H88" s="15" t="str">
        <x:v>Ranked</x:v>
      </x:c>
      <x:c r="I88" s="15" t="str">
        <x:v>Australian National University (ANU)</x:v>
      </x:c>
      <x:c r="J88" s="31" t="str">
        <x:v>https://www.topuniversities.com/universities/australian-national-university-anu</x:v>
      </x:c>
      <x:c r="K88" s="31" t="str">
        <x:v>https://www.topuniversities.com/sustainability-rankings/2025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n">
        <x:f>16</x:f>
        <x:v>16</x:v>
      </x:c>
      <x:c r="G89" s="36" t="n">
        <x:v>97.2</x:v>
      </x:c>
      <x:c r="H89" s="15" t="str">
        <x:v>Ranked</x:v>
      </x:c>
      <x:c r="I89" s="15" t="str">
        <x:v>Australian National University (ANU)</x:v>
      </x:c>
      <x:c r="J89" s="31" t="str">
        <x:v>https://www.topuniversities.com/universities/australian-national-university-anu</x:v>
      </x:c>
      <x:c r="K89" s="31" t="str">
        <x:v>https://www.topuniversities.com/sustainability-rankings/2026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str">
        <x:v>N/P</x:v>
      </x:c>
      <x:c r="G90" s="36"/>
      <x:c r="H90" s="15" t="str">
        <x:v>QS Sustainability ranking was not published for 2022</x:v>
      </x:c>
      <x:c r="I90" s="15" t="str"/>
      <x:c r="J90" s="31" t="str">
        <x:v>https://www.topuniversities.com/universities/kings-college-london</x:v>
      </x:c>
      <x:c r="K90" s="31" t="str"/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n">
        <x:f>112</x:f>
        <x:v>112</x:v>
      </x:c>
      <x:c r="G91" s="36" t="n">
        <x:v>61.1</x:v>
      </x:c>
      <x:c r="H91" s="15" t="str">
        <x:v>Ranked</x:v>
      </x:c>
      <x:c r="I91" s="15" t="str">
        <x:v>King's College London</x:v>
      </x:c>
      <x:c r="J91" s="31" t="str">
        <x:v>https://www.topuniversities.com/universities/kings-college-london</x:v>
      </x:c>
      <x:c r="K91" s="31" t="str">
        <x:v>https://www.topuniversities.com/sustainability-rankings/2023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n">
        <x:f>44</x:f>
        <x:v>44</x:v>
      </x:c>
      <x:c r="G92" s="36" t="n">
        <x:v>87.9</x:v>
      </x:c>
      <x:c r="H92" s="15" t="str">
        <x:v>Ranked</x:v>
      </x:c>
      <x:c r="I92" s="15" t="str">
        <x:v>King's College London</x:v>
      </x:c>
      <x:c r="J92" s="31" t="str">
        <x:v>https://www.topuniversities.com/universities/kings-college-london</x:v>
      </x:c>
      <x:c r="K92" s="31" t="str">
        <x:v>https://www.topuniversities.com/sustainability-rankings/2024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str">
        <x:v>14</x:v>
      </x:c>
      <x:c r="G93" s="36" t="n">
        <x:v>96.6</x:v>
      </x:c>
      <x:c r="H93" s="15" t="str">
        <x:v>Ranked</x:v>
      </x:c>
      <x:c r="I93" s="15" t="str">
        <x:v>King's College London</x:v>
      </x:c>
      <x:c r="J93" s="31" t="str">
        <x:v>https://www.topuniversities.com/universities/kings-college-london</x:v>
      </x:c>
      <x:c r="K93" s="31" t="str">
        <x:v>https://www.topuniversities.com/sustainability-rankings/2025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n">
        <x:f>16</x:f>
        <x:v>16</x:v>
      </x:c>
      <x:c r="G94" s="36" t="n">
        <x:v>97.2</x:v>
      </x:c>
      <x:c r="H94" s="15" t="str">
        <x:v>Ranked</x:v>
      </x:c>
      <x:c r="I94" s="15" t="str">
        <x:v>King's College London</x:v>
      </x:c>
      <x:c r="J94" s="31" t="str">
        <x:v>https://www.topuniversities.com/universities/kings-college-london</x:v>
      </x:c>
      <x:c r="K94" s="31" t="str">
        <x:v>https://www.topuniversities.com/sustainability-rankings/2026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N/P</x:v>
      </x:c>
      <x:c r="G95" s="36"/>
      <x:c r="H95" s="15" t="str">
        <x:v>QS Sustainability ranking was not published for 2022</x:v>
      </x:c>
      <x:c r="I95" s="15" t="str"/>
      <x:c r="J95" s="31" t="str">
        <x:v>https://www.topuniversities.com/universities/university-bristol</x:v>
      </x:c>
      <x:c r="K95" s="31" t="str"/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92</x:v>
      </x:c>
      <x:c r="G96" s="36" t="n">
        <x:v>64.3</x:v>
      </x:c>
      <x:c r="H96" s="15" t="str">
        <x:v>Ranked</x:v>
      </x:c>
      <x:c r="I96" s="15" t="str">
        <x:v>University of Bristol</x:v>
      </x:c>
      <x:c r="J96" s="31" t="str">
        <x:v>https://www.topuniversities.com/universities/university-bristol</x:v>
      </x:c>
      <x:c r="K96" s="31" t="str">
        <x:v>https://www.topuniversities.com/sustainability-rankings/2023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str">
        <x:v>17</x:v>
      </x:c>
      <x:c r="G97" s="36" t="n">
        <x:v>93.4</x:v>
      </x:c>
      <x:c r="H97" s="15" t="str">
        <x:v>Ranked</x:v>
      </x:c>
      <x:c r="I97" s="15" t="str">
        <x:v>University of Bristol</x:v>
      </x:c>
      <x:c r="J97" s="31" t="str">
        <x:v>https://www.topuniversities.com/universities/university-bristol</x:v>
      </x:c>
      <x:c r="K97" s="31" t="str">
        <x:v>https://www.topuniversities.com/sustainability-rankings/2024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n">
        <x:f>12</x:f>
        <x:v>12</x:v>
      </x:c>
      <x:c r="G98" s="36" t="n">
        <x:v>97.1</x:v>
      </x:c>
      <x:c r="H98" s="15" t="str">
        <x:v>Ranked</x:v>
      </x:c>
      <x:c r="I98" s="15" t="str">
        <x:v>University of Bristol</x:v>
      </x:c>
      <x:c r="J98" s="31" t="str">
        <x:v>https://www.topuniversities.com/universities/university-bristol</x:v>
      </x:c>
      <x:c r="K98" s="31" t="str">
        <x:v>https://www.topuniversities.com/sustainability-rankings/2025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str">
        <x:v>19</x:v>
      </x:c>
      <x:c r="G99" s="36" t="n">
        <x:v>96.9</x:v>
      </x:c>
      <x:c r="H99" s="15" t="str">
        <x:v>Ranked</x:v>
      </x:c>
      <x:c r="I99" s="15" t="str">
        <x:v>University of Bristol</x:v>
      </x:c>
      <x:c r="J99" s="31" t="str">
        <x:v>https://www.topuniversities.com/universities/university-bristol</x:v>
      </x:c>
      <x:c r="K99" s="31" t="str">
        <x:v>https://www.topuniversities.com/sustainability-rankings/2026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N/P</x:v>
      </x:c>
      <x:c r="G100" s="36"/>
      <x:c r="H100" s="15" t="str">
        <x:v>QS Sustainability ranking was not published for 2022</x:v>
      </x:c>
      <x:c r="I100" s="15" t="str"/>
      <x:c r="J100" s="31" t="str">
        <x:v>https://www.topuniversities.com/universities/new-york-university-nyu</x:v>
      </x:c>
      <x:c r="K100" s="31" t="str"/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45</x:v>
      </x:c>
      <x:c r="G101" s="36" t="n">
        <x:v>73.8</x:v>
      </x:c>
      <x:c r="H101" s="15" t="str">
        <x:v>Ranked</x:v>
      </x:c>
      <x:c r="I101" s="15" t="str">
        <x:v>New York University (NYU)</x:v>
      </x:c>
      <x:c r="J101" s="31" t="str">
        <x:v>https://www.topuniversities.com/universities/new-york-university-nyu</x:v>
      </x:c>
      <x:c r="K101" s="31" t="str">
        <x:v>https://www.topuniversities.com/sustainability-rankings/2023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n">
        <x:f>55</x:f>
        <x:v>55</x:v>
      </x:c>
      <x:c r="G102" s="36" t="n">
        <x:v>86.9</x:v>
      </x:c>
      <x:c r="H102" s="15" t="str">
        <x:v>Ranked</x:v>
      </x:c>
      <x:c r="I102" s="15" t="str">
        <x:v>New York University (NYU)</x:v>
      </x:c>
      <x:c r="J102" s="31" t="str">
        <x:v>https://www.topuniversities.com/universities/new-york-university-nyu</x:v>
      </x:c>
      <x:c r="K102" s="31" t="str">
        <x:v>https://www.topuniversities.com/sustainability-rankings/2024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52</x:v>
      </x:c>
      <x:c r="G103" s="36" t="n">
        <x:v>91.6</x:v>
      </x:c>
      <x:c r="H103" s="15" t="str">
        <x:v>Ranked</x:v>
      </x:c>
      <x:c r="I103" s="15" t="str">
        <x:v>New York University (NYU)</x:v>
      </x:c>
      <x:c r="J103" s="31" t="str">
        <x:v>https://www.topuniversities.com/universities/new-york-university-nyu</x:v>
      </x:c>
      <x:c r="K103" s="31" t="str">
        <x:v>https://www.topuniversities.com/sustainability-rankings/2025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str">
        <x:v>20</x:v>
      </x:c>
      <x:c r="G104" s="36" t="n">
        <x:v>96.3</x:v>
      </x:c>
      <x:c r="H104" s="15" t="str">
        <x:v>Ranked</x:v>
      </x:c>
      <x:c r="I104" s="15" t="str">
        <x:v>New York University (NYU)</x:v>
      </x:c>
      <x:c r="J104" s="31" t="str">
        <x:v>https://www.topuniversities.com/universities/new-york-university-nyu</x:v>
      </x:c>
      <x:c r="K104" s="31" t="str">
        <x:v>https://www.topuniversities.com/sustainability-rankings/2026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str">
        <x:v>N/P</x:v>
      </x:c>
      <x:c r="G105" s="36"/>
      <x:c r="H105" s="15" t="str">
        <x:v>QS Sustainability ranking was not published for 2022</x:v>
      </x:c>
      <x:c r="I105" s="15" t="str"/>
      <x:c r="J105" s="31" t="str">
        <x:v>https://www.topuniversities.com/universities/pennsylvania-state-university</x:v>
      </x:c>
      <x:c r="K105" s="31" t="str"/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38</x:f>
        <x:v>38</x:v>
      </x:c>
      <x:c r="G106" s="36" t="n">
        <x:v>75.4</x:v>
      </x:c>
      <x:c r="H106" s="15" t="str">
        <x:v>Ranked</x:v>
      </x:c>
      <x:c r="I106" s="15" t="str">
        <x:v>Pennsylvania State University</x:v>
      </x:c>
      <x:c r="J106" s="31" t="str">
        <x:v>https://www.topuniversities.com/universities/pennsylvania-state-university</x:v>
      </x:c>
      <x:c r="K106" s="31" t="str">
        <x:v>https://www.topuniversities.com/sustainability-rankings/2023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n">
        <x:f>37</x:f>
        <x:v>37</x:v>
      </x:c>
      <x:c r="G107" s="36" t="n">
        <x:v>88.3</x:v>
      </x:c>
      <x:c r="H107" s="15" t="str">
        <x:v>Ranked</x:v>
      </x:c>
      <x:c r="I107" s="15" t="str">
        <x:v>Pennsylvania State University</x:v>
      </x:c>
      <x:c r="J107" s="31" t="str">
        <x:v>https://www.topuniversities.com/universities/pennsylvania-state-university</x:v>
      </x:c>
      <x:c r="K107" s="31" t="str">
        <x:v>https://www.topuniversities.com/sustainability-rankings/2024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19</x:f>
        <x:v>19</x:v>
      </x:c>
      <x:c r="G108" s="36" t="n">
        <x:v>95.6</x:v>
      </x:c>
      <x:c r="H108" s="15" t="str">
        <x:v>Ranked</x:v>
      </x:c>
      <x:c r="I108" s="15" t="str">
        <x:v>Pennsylvania State University</x:v>
      </x:c>
      <x:c r="J108" s="31" t="str">
        <x:v>https://www.topuniversities.com/universities/pennsylvania-state-university</x:v>
      </x:c>
      <x:c r="K108" s="31" t="str">
        <x:v>https://www.topuniversities.com/sustainability-rankings/2025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str">
        <x:v>21</x:v>
      </x:c>
      <x:c r="G109" s="36" t="n">
        <x:v>96.1</x:v>
      </x:c>
      <x:c r="H109" s="15" t="str">
        <x:v>Ranked</x:v>
      </x:c>
      <x:c r="I109" s="15" t="str">
        <x:v>Pennsylvania State University</x:v>
      </x:c>
      <x:c r="J109" s="31" t="str">
        <x:v>https://www.topuniversities.com/universities/pennsylvania-state-university</x:v>
      </x:c>
      <x:c r="K109" s="31" t="str">
        <x:v>https://www.topuniversities.com/sustainability-rankings/2026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str">
        <x:v>N/P</x:v>
      </x:c>
      <x:c r="G110" s="36"/>
      <x:c r="H110" s="15" t="str">
        <x:v>QS Sustainability ranking was not published for 2022</x:v>
      </x:c>
      <x:c r="I110" s="15" t="str"/>
      <x:c r="J110" s="31" t="str">
        <x:v>https://www.topuniversities.com/universities/ku-leuven</x:v>
      </x:c>
      <x:c r="K110" s="31" t="str"/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104</x:v>
      </x:c>
      <x:c r="G111" s="36" t="n">
        <x:v>62.1</x:v>
      </x:c>
      <x:c r="H111" s="15" t="str">
        <x:v>Ranked</x:v>
      </x:c>
      <x:c r="I111" s="15" t="str">
        <x:v>KU Leuven</x:v>
      </x:c>
      <x:c r="J111" s="31" t="str">
        <x:v>https://www.topuniversities.com/universities/ku-leuven</x:v>
      </x:c>
      <x:c r="K111" s="31" t="str">
        <x:v>https://www.topuniversities.com/sustainability-rankings/2023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n">
        <x:f>314</x:f>
        <x:v>314</x:v>
      </x:c>
      <x:c r="G112" s="36" t="n">
        <x:v>67.2</x:v>
      </x:c>
      <x:c r="H112" s="15" t="str">
        <x:v>Ranked</x:v>
      </x:c>
      <x:c r="I112" s="15" t="str">
        <x:v>KU Leuven</x:v>
      </x:c>
      <x:c r="J112" s="31" t="str">
        <x:v>https://www.topuniversities.com/universities/ku-leuven</x:v>
      </x:c>
      <x:c r="K112" s="31" t="str">
        <x:v>https://www.topuniversities.com/sustainability-rankings/2024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25</x:v>
      </x:c>
      <x:c r="G113" s="36" t="n">
        <x:v>94.9</x:v>
      </x:c>
      <x:c r="H113" s="15" t="str">
        <x:v>Ranked</x:v>
      </x:c>
      <x:c r="I113" s="15" t="str">
        <x:v>KU Leuven</x:v>
      </x:c>
      <x:c r="J113" s="31" t="str">
        <x:v>https://www.topuniversities.com/universities/ku-leuven</x:v>
      </x:c>
      <x:c r="K113" s="31" t="str">
        <x:v>https://www.topuniversities.com/sustainability-rankings/2025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n">
        <x:f>22</x:f>
        <x:v>22</x:v>
      </x:c>
      <x:c r="G114" s="36" t="n">
        <x:v>95.9</x:v>
      </x:c>
      <x:c r="H114" s="15" t="str">
        <x:v>Ranked</x:v>
      </x:c>
      <x:c r="I114" s="15" t="str">
        <x:v>KU Leuven</x:v>
      </x:c>
      <x:c r="J114" s="31" t="str">
        <x:v>https://www.topuniversities.com/universities/ku-leuven</x:v>
      </x:c>
      <x:c r="K114" s="31" t="str">
        <x:v>https://www.topuniversities.com/sustainability-rankings/2026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str">
        <x:v>N/P</x:v>
      </x:c>
      <x:c r="G115" s="36"/>
      <x:c r="H115" s="15" t="str">
        <x:v>QS Sustainability ranking was not published for 2022</x:v>
      </x:c>
      <x:c r="I115" s="15" t="str"/>
      <x:c r="J115" s="31" t="str">
        <x:v>https://www.topuniversities.com/universities/university-helsinki</x:v>
      </x:c>
      <x:c r="K115" s="31" t="str"/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90</x:v>
      </x:c>
      <x:c r="G116" s="36" t="n">
        <x:v>64.9</x:v>
      </x:c>
      <x:c r="H116" s="15" t="str">
        <x:v>Ranked</x:v>
      </x:c>
      <x:c r="I116" s="15" t="str">
        <x:v>University of Helsinki</x:v>
      </x:c>
      <x:c r="J116" s="31" t="str">
        <x:v>https://www.topuniversities.com/universities/university-helsinki</x:v>
      </x:c>
      <x:c r="K116" s="31" t="str">
        <x:v>https://www.topuniversities.com/sustainability-rankings/2023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60</x:v>
      </x:c>
      <x:c r="G117" s="36" t="n">
        <x:v>85.9</x:v>
      </x:c>
      <x:c r="H117" s="15" t="str">
        <x:v>Ranked</x:v>
      </x:c>
      <x:c r="I117" s="15" t="str">
        <x:v>University of Helsinki</x:v>
      </x:c>
      <x:c r="J117" s="31" t="str">
        <x:v>https://www.topuniversities.com/universities/university-helsinki</x:v>
      </x:c>
      <x:c r="K117" s="31" t="str">
        <x:v>https://www.topuniversities.com/sustainability-rankings/2024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str">
        <x:v>18</x:v>
      </x:c>
      <x:c r="G118" s="36" t="n">
        <x:v>95.8</x:v>
      </x:c>
      <x:c r="H118" s="15" t="str">
        <x:v>Ranked</x:v>
      </x:c>
      <x:c r="I118" s="15" t="str">
        <x:v>University of Helsinki</x:v>
      </x:c>
      <x:c r="J118" s="31" t="str">
        <x:v>https://www.topuniversities.com/universities/university-helsinki</x:v>
      </x:c>
      <x:c r="K118" s="31" t="str">
        <x:v>https://www.topuniversities.com/sustainability-rankings/2025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n">
        <x:f>22</x:f>
        <x:v>22</x:v>
      </x:c>
      <x:c r="G119" s="36" t="n">
        <x:v>95.9</x:v>
      </x:c>
      <x:c r="H119" s="15" t="str">
        <x:v>Ranked</x:v>
      </x:c>
      <x:c r="I119" s="15" t="str">
        <x:v>University of Helsinki</x:v>
      </x:c>
      <x:c r="J119" s="31" t="str">
        <x:v>https://www.topuniversities.com/universities/university-helsinki</x:v>
      </x:c>
      <x:c r="K119" s="31" t="str">
        <x:v>https://www.topuniversities.com/sustainability-rankings/2026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str">
        <x:v>N/P</x:v>
      </x:c>
      <x:c r="G120" s="36"/>
      <x:c r="H120" s="15" t="str">
        <x:v>QS Sustainability ranking was not published for 2022</x:v>
      </x:c>
      <x:c r="I120" s="15" t="str"/>
      <x:c r="J120" s="31" t="str">
        <x:v>https://www.topuniversities.com/universities/durham-university</x:v>
      </x:c>
      <x:c r="K120" s="31" t="str"/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53</x:f>
        <x:v>53</x:v>
      </x:c>
      <x:c r="G121" s="36" t="n">
        <x:v>71.7</x:v>
      </x:c>
      <x:c r="H121" s="15" t="str">
        <x:v>Ranked</x:v>
      </x:c>
      <x:c r="I121" s="15" t="str">
        <x:v>Durham University</x:v>
      </x:c>
      <x:c r="J121" s="31" t="str">
        <x:v>https://www.topuniversities.com/universities/durham-university</x:v>
      </x:c>
      <x:c r="K121" s="31" t="str">
        <x:v>https://www.topuniversities.com/sustainability-rankings/2023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str">
        <x:v>19</x:v>
      </x:c>
      <x:c r="G122" s="36" t="n">
        <x:v>92.6</x:v>
      </x:c>
      <x:c r="H122" s="15" t="str">
        <x:v>Ranked</x:v>
      </x:c>
      <x:c r="I122" s="15" t="str">
        <x:v>Durham University</x:v>
      </x:c>
      <x:c r="J122" s="31" t="str">
        <x:v>https://www.topuniversities.com/universities/durham-university</x:v>
      </x:c>
      <x:c r="K122" s="31" t="str">
        <x:v>https://www.topuniversities.com/sustainability-rankings/2024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str">
        <x:v>22</x:v>
      </x:c>
      <x:c r="G123" s="36" t="n">
        <x:v>95.4</x:v>
      </x:c>
      <x:c r="H123" s="15" t="str">
        <x:v>Ranked</x:v>
      </x:c>
      <x:c r="I123" s="15" t="str">
        <x:v>Durham University</x:v>
      </x:c>
      <x:c r="J123" s="31" t="str">
        <x:v>https://www.topuniversities.com/universities/durham-university</x:v>
      </x:c>
      <x:c r="K123" s="31" t="str">
        <x:v>https://www.topuniversities.com/sustainability-rankings/2025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n">
        <x:f>24</x:f>
        <x:v>24</x:v>
      </x:c>
      <x:c r="G124" s="36" t="n">
        <x:v>95.8</x:v>
      </x:c>
      <x:c r="H124" s="15" t="str">
        <x:v>Ranked</x:v>
      </x:c>
      <x:c r="I124" s="15" t="str">
        <x:v>Durham University</x:v>
      </x:c>
      <x:c r="J124" s="31" t="str">
        <x:v>https://www.topuniversities.com/universities/durham-university</x:v>
      </x:c>
      <x:c r="K124" s="31" t="str">
        <x:v>https://www.topuniversities.com/sustainability-rankings/2026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str">
        <x:v>N/P</x:v>
      </x:c>
      <x:c r="G125" s="36"/>
      <x:c r="H125" s="15" t="str">
        <x:v>QS Sustainability ranking was not published for 2022</x:v>
      </x:c>
      <x:c r="I125" s="15" t="str"/>
      <x:c r="J125" s="31" t="str">
        <x:v>https://www.topuniversities.com/universities/university-leeds</x:v>
      </x:c>
      <x:c r="K125" s="31" t="str"/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n">
        <x:f>55</x:f>
        <x:v>55</x:v>
      </x:c>
      <x:c r="G126" s="36" t="n">
        <x:v>71.6</x:v>
      </x:c>
      <x:c r="H126" s="15" t="str">
        <x:v>Ranked</x:v>
      </x:c>
      <x:c r="I126" s="15" t="str">
        <x:v>University of Leeds</x:v>
      </x:c>
      <x:c r="J126" s="31" t="str">
        <x:v>https://www.topuniversities.com/universities/university-leeds</x:v>
      </x:c>
      <x:c r="K126" s="31" t="str">
        <x:v>https://www.topuniversities.com/sustainability-rankings/2023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n">
        <x:f>211</x:f>
        <x:v>211</x:v>
      </x:c>
      <x:c r="G127" s="36" t="n">
        <x:v>73.8</x:v>
      </x:c>
      <x:c r="H127" s="15" t="str">
        <x:v>Ranked</x:v>
      </x:c>
      <x:c r="I127" s="15" t="str">
        <x:v>University of Leeds</x:v>
      </x:c>
      <x:c r="J127" s="31" t="str">
        <x:v>https://www.topuniversities.com/universities/university-leeds</x:v>
      </x:c>
      <x:c r="K127" s="31" t="str">
        <x:v>https://www.topuniversities.com/sustainability-rankings/2024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n">
        <x:f>220</x:f>
        <x:v>220</x:v>
      </x:c>
      <x:c r="G128" s="36" t="n">
        <x:v>77.3</x:v>
      </x:c>
      <x:c r="H128" s="15" t="str">
        <x:v>Ranked</x:v>
      </x:c>
      <x:c r="I128" s="15" t="str">
        <x:v>University of Leeds</x:v>
      </x:c>
      <x:c r="J128" s="31" t="str">
        <x:v>https://www.topuniversities.com/universities/university-leeds</x:v>
      </x:c>
      <x:c r="K128" s="31" t="str">
        <x:v>https://www.topuniversities.com/sustainability-rankings/2025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n">
        <x:f>24</x:f>
        <x:v>24</x:v>
      </x:c>
      <x:c r="G129" s="36" t="n">
        <x:v>95.8</x:v>
      </x:c>
      <x:c r="H129" s="15" t="str">
        <x:v>Ranked</x:v>
      </x:c>
      <x:c r="I129" s="15" t="str">
        <x:v>University of Leeds</x:v>
      </x:c>
      <x:c r="J129" s="31" t="str">
        <x:v>https://www.topuniversities.com/universities/university-leeds</x:v>
      </x:c>
      <x:c r="K129" s="31" t="str">
        <x:v>https://www.topuniversities.com/sustainability-rankings/2026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N/P</x:v>
      </x:c>
      <x:c r="G130" s="36"/>
      <x:c r="H130" s="15" t="str">
        <x:v>QS Sustainability ranking was not published for 2022</x:v>
      </x:c>
      <x:c r="I130" s="15" t="str"/>
      <x:c r="J130" s="31" t="str">
        <x:v>https://www.topuniversities.com/universities/western-university</x:v>
      </x:c>
      <x:c r="K130" s="31" t="str"/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str">
        <x:v>17</x:v>
      </x:c>
      <x:c r="G131" s="36" t="n">
        <x:v>82</x:v>
      </x:c>
      <x:c r="H131" s="15" t="str">
        <x:v>Ranked</x:v>
      </x:c>
      <x:c r="I131" s="15" t="str">
        <x:v>Western University</x:v>
      </x:c>
      <x:c r="J131" s="31" t="str">
        <x:v>https://www.topuniversities.com/universities/western-university</x:v>
      </x:c>
      <x:c r="K131" s="31" t="str">
        <x:v>https://www.topuniversities.com/sustainability-rankings/2023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str">
        <x:v>10</x:v>
      </x:c>
      <x:c r="G132" s="36" t="n">
        <x:v>94.9</x:v>
      </x:c>
      <x:c r="H132" s="15" t="str">
        <x:v>Ranked</x:v>
      </x:c>
      <x:c r="I132" s="15" t="str">
        <x:v>Western University</x:v>
      </x:c>
      <x:c r="J132" s="31" t="str">
        <x:v>https://www.topuniversities.com/universities/western-university</x:v>
      </x:c>
      <x:c r="K132" s="31" t="str">
        <x:v>https://www.topuniversities.com/sustainability-rankings/2024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n">
        <x:f>30</x:f>
        <x:v>30</x:v>
      </x:c>
      <x:c r="G133" s="36" t="n">
        <x:v>94.2</x:v>
      </x:c>
      <x:c r="H133" s="15" t="str">
        <x:v>Ranked</x:v>
      </x:c>
      <x:c r="I133" s="15" t="str">
        <x:v>Western University</x:v>
      </x:c>
      <x:c r="J133" s="31" t="str">
        <x:v>https://www.topuniversities.com/universities/western-university</x:v>
      </x:c>
      <x:c r="K133" s="31" t="str">
        <x:v>https://www.topuniversities.com/sustainability-rankings/2025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n">
        <x:f>24</x:f>
        <x:v>24</x:v>
      </x:c>
      <x:c r="G134" s="36" t="n">
        <x:v>95.8</x:v>
      </x:c>
      <x:c r="H134" s="15" t="str">
        <x:v>Ranked</x:v>
      </x:c>
      <x:c r="I134" s="15" t="str">
        <x:v>Western University</x:v>
      </x:c>
      <x:c r="J134" s="31" t="str">
        <x:v>https://www.topuniversities.com/universities/western-university</x:v>
      </x:c>
      <x:c r="K134" s="31" t="str">
        <x:v>https://www.topuniversities.com/sustainability-rankings/2026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str">
        <x:v>N/P</x:v>
      </x:c>
      <x:c r="G135" s="36"/>
      <x:c r="H135" s="15" t="str">
        <x:v>QS Sustainability ranking was not published for 2022</x:v>
      </x:c>
      <x:c r="I135" s="15" t="str"/>
      <x:c r="J135" s="31" t="str">
        <x:v>https://www.topuniversities.com/universities/university-glasgow</x:v>
      </x:c>
      <x:c r="K135" s="31" t="str"/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str">
        <x:v>13</x:v>
      </x:c>
      <x:c r="G136" s="36" t="n">
        <x:v>82.9</x:v>
      </x:c>
      <x:c r="H136" s="15" t="str">
        <x:v>Ranked</x:v>
      </x:c>
      <x:c r="I136" s="15" t="str">
        <x:v>University of Glasgow</x:v>
      </x:c>
      <x:c r="J136" s="31" t="str">
        <x:v>https://www.topuniversities.com/universities/university-glasgow</x:v>
      </x:c>
      <x:c r="K136" s="31" t="str">
        <x:v>https://www.topuniversities.com/sustainability-rankings/2023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str">
        <x:v>20</x:v>
      </x:c>
      <x:c r="G137" s="36" t="n">
        <x:v>92.1</x:v>
      </x:c>
      <x:c r="H137" s="15" t="str">
        <x:v>Ranked</x:v>
      </x:c>
      <x:c r="I137" s="15" t="str">
        <x:v>University of Glasgow</x:v>
      </x:c>
      <x:c r="J137" s="31" t="str">
        <x:v>https://www.topuniversities.com/universities/university-glasgow</x:v>
      </x:c>
      <x:c r="K137" s="31" t="str">
        <x:v>https://www.topuniversities.com/sustainability-rankings/2024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n">
        <x:f>19</x:f>
        <x:v>19</x:v>
      </x:c>
      <x:c r="G138" s="36" t="n">
        <x:v>95.6</x:v>
      </x:c>
      <x:c r="H138" s="15" t="str">
        <x:v>Ranked</x:v>
      </x:c>
      <x:c r="I138" s="15" t="str">
        <x:v>University of Glasgow</x:v>
      </x:c>
      <x:c r="J138" s="31" t="str">
        <x:v>https://www.topuniversities.com/universities/university-glasgow</x:v>
      </x:c>
      <x:c r="K138" s="31" t="str">
        <x:v>https://www.topuniversities.com/sustainability-rankings/2025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27</x:v>
      </x:c>
      <x:c r="G139" s="36" t="n">
        <x:v>95.7</x:v>
      </x:c>
      <x:c r="H139" s="15" t="str">
        <x:v>Ranked</x:v>
      </x:c>
      <x:c r="I139" s="15" t="str">
        <x:v>University of Glasgow</x:v>
      </x:c>
      <x:c r="J139" s="31" t="str">
        <x:v>https://www.topuniversities.com/universities/university-glasgow</x:v>
      </x:c>
      <x:c r="K139" s="31" t="str">
        <x:v>https://www.topuniversities.com/sustainability-rankings/2026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str">
        <x:v>N/P</x:v>
      </x:c>
      <x:c r="G140" s="36"/>
      <x:c r="H140" s="15" t="str">
        <x:v>QS Sustainability ranking was not published for 2022</x:v>
      </x:c>
      <x:c r="I140" s="15" t="str"/>
      <x:c r="J140" s="31" t="str">
        <x:v>https://www.topuniversities.com/universities/university-auckland</x:v>
      </x:c>
      <x:c r="K140" s="31" t="str"/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str">
        <x:v>10</x:v>
      </x:c>
      <x:c r="G141" s="36" t="n">
        <x:v>85.1</x:v>
      </x:c>
      <x:c r="H141" s="15" t="str">
        <x:v>Ranked</x:v>
      </x:c>
      <x:c r="I141" s="15" t="str">
        <x:v>The University of Auckland</x:v>
      </x:c>
      <x:c r="J141" s="31" t="str">
        <x:v>https://www.topuniversities.com/universities/university-auckland</x:v>
      </x:c>
      <x:c r="K141" s="31" t="str">
        <x:v>https://www.topuniversities.com/sustainability-rankings/2023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str">
        <x:v>5</x:v>
      </x:c>
      <x:c r="G142" s="36" t="n">
        <x:v>97.2</x:v>
      </x:c>
      <x:c r="H142" s="15" t="str">
        <x:v>Ranked</x:v>
      </x:c>
      <x:c r="I142" s="15" t="str">
        <x:v>The University of Auckland</x:v>
      </x:c>
      <x:c r="J142" s="31" t="str">
        <x:v>https://www.topuniversities.com/universities/university-auckland</x:v>
      </x:c>
      <x:c r="K142" s="31" t="str">
        <x:v>https://www.topuniversities.com/sustainability-rankings/2024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str">
        <x:v>17</x:v>
      </x:c>
      <x:c r="G143" s="36" t="n">
        <x:v>95.9</x:v>
      </x:c>
      <x:c r="H143" s="15" t="str">
        <x:v>Ranked</x:v>
      </x:c>
      <x:c r="I143" s="15" t="str">
        <x:v>The University of Auckland</x:v>
      </x:c>
      <x:c r="J143" s="31" t="str">
        <x:v>https://www.topuniversities.com/universities/university-auckland</x:v>
      </x:c>
      <x:c r="K143" s="31" t="str">
        <x:v>https://www.topuniversities.com/sustainability-rankings/2025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str">
        <x:v>28</x:v>
      </x:c>
      <x:c r="G144" s="36" t="n">
        <x:v>95.5</x:v>
      </x:c>
      <x:c r="H144" s="15" t="str">
        <x:v>Ranked</x:v>
      </x:c>
      <x:c r="I144" s="15" t="str">
        <x:v>The University of Auckland</x:v>
      </x:c>
      <x:c r="J144" s="31" t="str">
        <x:v>https://www.topuniversities.com/universities/university-auckland</x:v>
      </x:c>
      <x:c r="K144" s="31" t="str">
        <x:v>https://www.topuniversities.com/sustainability-rankings/2026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str">
        <x:v>N/P</x:v>
      </x:c>
      <x:c r="G145" s="36"/>
      <x:c r="H145" s="15" t="str">
        <x:v>QS Sustainability ranking was not published for 2022</x:v>
      </x:c>
      <x:c r="I145" s="15" t="str"/>
      <x:c r="J145" s="31" t="str">
        <x:v>https://www.topuniversities.com/universities/trinity-college-dublin-university-dublin</x:v>
      </x:c>
      <x:c r="K145" s="31" t="str"/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str">
        <x:v>181-190</x:v>
      </x:c>
      <x:c r="G146" s="36"/>
      <x:c r="H146" s="15" t="str">
        <x:v>Ranked</x:v>
      </x:c>
      <x:c r="I146" s="15" t="str">
        <x:v>Trinity College Dublin, The University of Dublin</x:v>
      </x:c>
      <x:c r="J146" s="31" t="str">
        <x:v>https://www.topuniversities.com/universities/trinity-college-dublin-university-dublin</x:v>
      </x:c>
      <x:c r="K146" s="31" t="str">
        <x:v>https://www.topuniversities.com/sustainability-rankings/2023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n">
        <x:f>277</x:f>
        <x:v>277</x:v>
      </x:c>
      <x:c r="G147" s="36" t="n">
        <x:v>69.2</x:v>
      </x:c>
      <x:c r="H147" s="15" t="str">
        <x:v>Ranked</x:v>
      </x:c>
      <x:c r="I147" s="15" t="str">
        <x:v>Trinity College Dublin, The University of Dublin</x:v>
      </x:c>
      <x:c r="J147" s="31" t="str">
        <x:v>https://www.topuniversities.com/universities/trinity-college-dublin-university-dublin</x:v>
      </x:c>
      <x:c r="K147" s="31" t="str">
        <x:v>https://www.topuniversities.com/sustainability-rankings/2024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n">
        <x:f>265</x:f>
        <x:v>265</x:v>
      </x:c>
      <x:c r="G148" s="36" t="n">
        <x:v>74.8</x:v>
      </x:c>
      <x:c r="H148" s="15" t="str">
        <x:v>Ranked</x:v>
      </x:c>
      <x:c r="I148" s="15" t="str">
        <x:v>Trinity College Dublin, The University of Dublin</x:v>
      </x:c>
      <x:c r="J148" s="31" t="str">
        <x:v>https://www.topuniversities.com/universities/trinity-college-dublin-university-dublin</x:v>
      </x:c>
      <x:c r="K148" s="31" t="str">
        <x:v>https://www.topuniversities.com/sustainability-rankings/2025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29</x:v>
      </x:c>
      <x:c r="G149" s="36" t="n">
        <x:v>95.4</x:v>
      </x:c>
      <x:c r="H149" s="15" t="str">
        <x:v>Ranked</x:v>
      </x:c>
      <x:c r="I149" s="15" t="str">
        <x:v>Trinity College Dublin, The University of Dublin</x:v>
      </x:c>
      <x:c r="J149" s="31" t="str">
        <x:v>https://www.topuniversities.com/universities/trinity-college-dublin-university-dublin</x:v>
      </x:c>
      <x:c r="K149" s="31" t="str">
        <x:v>https://www.topuniversities.com/sustainability-rankings/2026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str">
        <x:v>N/P</x:v>
      </x:c>
      <x:c r="G150" s="36"/>
      <x:c r="H150" s="15" t="str">
        <x:v>QS Sustainability ranking was not published for 2022</x:v>
      </x:c>
      <x:c r="I150" s="15" t="str"/>
      <x:c r="J150" s="31" t="str">
        <x:v>https://www.topuniversities.com/universities/university-pennsylvania</x:v>
      </x:c>
      <x:c r="K150" s="31" t="str"/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8</x:v>
      </x:c>
      <x:c r="G151" s="36" t="n">
        <x:v>86.1</x:v>
      </x:c>
      <x:c r="H151" s="15" t="str">
        <x:v>Ranked</x:v>
      </x:c>
      <x:c r="I151" s="15" t="str">
        <x:v>University of Pennsylvania</x:v>
      </x:c>
      <x:c r="J151" s="31" t="str">
        <x:v>https://www.topuniversities.com/universities/university-pennsylvania</x:v>
      </x:c>
      <x:c r="K151" s="31" t="str">
        <x:v>https://www.topuniversities.com/sustainability-rankings/2023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71</x:v>
      </x:c>
      <x:c r="G152" s="36" t="n">
        <x:v>84.5</x:v>
      </x:c>
      <x:c r="H152" s="15" t="str">
        <x:v>Ranked</x:v>
      </x:c>
      <x:c r="I152" s="15" t="str">
        <x:v>University of Pennsylvania</x:v>
      </x:c>
      <x:c r="J152" s="31" t="str">
        <x:v>https://www.topuniversities.com/universities/university-pennsylvania</x:v>
      </x:c>
      <x:c r="K152" s="31" t="str">
        <x:v>https://www.topuniversities.com/sustainability-rankings/2024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str">
        <x:v>24</x:v>
      </x:c>
      <x:c r="G153" s="36" t="n">
        <x:v>95.2</x:v>
      </x:c>
      <x:c r="H153" s="15" t="str">
        <x:v>Ranked</x:v>
      </x:c>
      <x:c r="I153" s="15" t="str">
        <x:v>University of Pennsylvania</x:v>
      </x:c>
      <x:c r="J153" s="31" t="str">
        <x:v>https://www.topuniversities.com/universities/university-pennsylvania</x:v>
      </x:c>
      <x:c r="K153" s="31" t="str">
        <x:v>https://www.topuniversities.com/sustainability-rankings/2025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n">
        <x:f>30</x:f>
        <x:v>30</x:v>
      </x:c>
      <x:c r="G154" s="36" t="n">
        <x:v>95.3</x:v>
      </x:c>
      <x:c r="H154" s="15" t="str">
        <x:v>Ranked</x:v>
      </x:c>
      <x:c r="I154" s="15" t="str">
        <x:v>University of Pennsylvania</x:v>
      </x:c>
      <x:c r="J154" s="31" t="str">
        <x:v>https://www.topuniversities.com/universities/university-pennsylvania</x:v>
      </x:c>
      <x:c r="K154" s="31" t="str">
        <x:v>https://www.topuniversities.com/sustainability-rankings/2026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N/P</x:v>
      </x:c>
      <x:c r="G155" s="36"/>
      <x:c r="H155" s="15" t="str">
        <x:v>QS Sustainability ranking was not published for 2022</x:v>
      </x:c>
      <x:c r="I155" s="15" t="str"/>
      <x:c r="J155" s="31" t="str">
        <x:v>https://www.topuniversities.com/universities/university-reading</x:v>
      </x:c>
      <x:c r="K155" s="31" t="str"/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str">
        <x:v>171-180</x:v>
      </x:c>
      <x:c r="G156" s="36"/>
      <x:c r="H156" s="15" t="str">
        <x:v>Ranked</x:v>
      </x:c>
      <x:c r="I156" s="15" t="str">
        <x:v>University of Reading</x:v>
      </x:c>
      <x:c r="J156" s="31" t="str">
        <x:v>https://www.topuniversities.com/universities/university-reading</x:v>
      </x:c>
      <x:c r="K156" s="31" t="str">
        <x:v>https://www.topuniversities.com/sustainability-rankings/2023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str">
        <x:v>61</x:v>
      </x:c>
      <x:c r="G157" s="36" t="n">
        <x:v>85.4</x:v>
      </x:c>
      <x:c r="H157" s="15" t="str">
        <x:v>Ranked</x:v>
      </x:c>
      <x:c r="I157" s="15" t="str">
        <x:v>University of Reading</x:v>
      </x:c>
      <x:c r="J157" s="31" t="str">
        <x:v>https://www.topuniversities.com/universities/university-reading</x:v>
      </x:c>
      <x:c r="K157" s="31" t="str">
        <x:v>https://www.topuniversities.com/sustainability-rankings/2024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n">
        <x:f>42</x:f>
        <x:v>42</x:v>
      </x:c>
      <x:c r="G158" s="36" t="n">
        <x:v>92.7</x:v>
      </x:c>
      <x:c r="H158" s="15" t="str">
        <x:v>Ranked</x:v>
      </x:c>
      <x:c r="I158" s="15" t="str">
        <x:v>University of Reading</x:v>
      </x:c>
      <x:c r="J158" s="31" t="str">
        <x:v>https://www.topuniversities.com/universities/university-reading</x:v>
      </x:c>
      <x:c r="K158" s="31" t="str">
        <x:v>https://www.topuniversities.com/sustainability-rankings/2025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n">
        <x:f>30</x:f>
        <x:v>30</x:v>
      </x:c>
      <x:c r="G159" s="36" t="n">
        <x:v>95.3</x:v>
      </x:c>
      <x:c r="H159" s="15" t="str">
        <x:v>Ranked</x:v>
      </x:c>
      <x:c r="I159" s="15" t="str">
        <x:v>University of Reading</x:v>
      </x:c>
      <x:c r="J159" s="31" t="str">
        <x:v>https://www.topuniversities.com/universities/university-reading</x:v>
      </x:c>
      <x:c r="K159" s="31" t="str">
        <x:v>https://www.topuniversities.com/sustainability-rankings/2026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N/P</x:v>
      </x:c>
      <x:c r="G160" s="36"/>
      <x:c r="H160" s="15" t="str">
        <x:v>QS Sustainability ranking was not published for 2022</x:v>
      </x:c>
      <x:c r="I160" s="15" t="str"/>
      <x:c r="J160" s="31" t="str">
        <x:v>https://www.topuniversities.com/universities/uppsala-university</x:v>
      </x:c>
      <x:c r="K160" s="31" t="str"/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str">
        <x:v>11</x:v>
      </x:c>
      <x:c r="G161" s="36" t="n">
        <x:v>84.8</x:v>
      </x:c>
      <x:c r="H161" s="15" t="str">
        <x:v>Ranked</x:v>
      </x:c>
      <x:c r="I161" s="15" t="str">
        <x:v>Uppsala University</x:v>
      </x:c>
      <x:c r="J161" s="31" t="str">
        <x:v>https://www.topuniversities.com/universities/uppsala-university</x:v>
      </x:c>
      <x:c r="K161" s="31" t="str">
        <x:v>https://www.topuniversities.com/sustainability-rankings/2023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n">
        <x:f>11</x:f>
        <x:v>11</x:v>
      </x:c>
      <x:c r="G162" s="36" t="n">
        <x:v>94.4</x:v>
      </x:c>
      <x:c r="H162" s="15" t="str">
        <x:v>Ranked</x:v>
      </x:c>
      <x:c r="I162" s="15" t="str">
        <x:v>Uppsala University</x:v>
      </x:c>
      <x:c r="J162" s="31" t="str">
        <x:v>https://www.topuniversities.com/universities/uppsala-university</x:v>
      </x:c>
      <x:c r="K162" s="31" t="str">
        <x:v>https://www.topuniversities.com/sustainability-rankings/2024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str">
        <x:v>26</x:v>
      </x:c>
      <x:c r="G163" s="36" t="n">
        <x:v>94.6</x:v>
      </x:c>
      <x:c r="H163" s="15" t="str">
        <x:v>Ranked</x:v>
      </x:c>
      <x:c r="I163" s="15" t="str">
        <x:v>Uppsala University</x:v>
      </x:c>
      <x:c r="J163" s="31" t="str">
        <x:v>https://www.topuniversities.com/universities/uppsala-university</x:v>
      </x:c>
      <x:c r="K163" s="31" t="str">
        <x:v>https://www.topuniversities.com/sustainability-rankings/2025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32</x:v>
      </x:c>
      <x:c r="G164" s="36" t="n">
        <x:v>95.1</x:v>
      </x:c>
      <x:c r="H164" s="15" t="str">
        <x:v>Ranked</x:v>
      </x:c>
      <x:c r="I164" s="15" t="str">
        <x:v>Uppsala University</x:v>
      </x:c>
      <x:c r="J164" s="31" t="str">
        <x:v>https://www.topuniversities.com/universities/uppsala-university</x:v>
      </x:c>
      <x:c r="K164" s="31" t="str">
        <x:v>https://www.topuniversities.com/sustainability-rankings/2026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str">
        <x:v>N/P</x:v>
      </x:c>
      <x:c r="G165" s="36"/>
      <x:c r="H165" s="15" t="str">
        <x:v>QS Sustainability ranking was not published for 2022</x:v>
      </x:c>
      <x:c r="I165" s="15" t="str"/>
      <x:c r="J165" s="31" t="str">
        <x:v>https://www.topuniversities.com/universities/ghent-university</x:v>
      </x:c>
      <x:c r="K165" s="31" t="str"/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58</x:v>
      </x:c>
      <x:c r="G166" s="36" t="n">
        <x:v>71.1</x:v>
      </x:c>
      <x:c r="H166" s="15" t="str">
        <x:v>Ranked</x:v>
      </x:c>
      <x:c r="I166" s="15" t="str">
        <x:v>Ghent University</x:v>
      </x:c>
      <x:c r="J166" s="31" t="str">
        <x:v>https://www.topuniversities.com/universities/ghent-university</x:v>
      </x:c>
      <x:c r="K166" s="31" t="str">
        <x:v>https://www.topuniversities.com/sustainability-rankings/2023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21</x:v>
      </x:c>
      <x:c r="G167" s="36" t="n">
        <x:v>91.8</x:v>
      </x:c>
      <x:c r="H167" s="15" t="str">
        <x:v>Ranked</x:v>
      </x:c>
      <x:c r="I167" s="15" t="str">
        <x:v>Ghent University</x:v>
      </x:c>
      <x:c r="J167" s="31" t="str">
        <x:v>https://www.topuniversities.com/universities/ghent-university</x:v>
      </x:c>
      <x:c r="K167" s="31" t="str">
        <x:v>https://www.topuniversities.com/sustainability-rankings/2024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n">
        <x:f>30</x:f>
        <x:v>30</x:v>
      </x:c>
      <x:c r="G168" s="36" t="n">
        <x:v>94.2</x:v>
      </x:c>
      <x:c r="H168" s="15" t="str">
        <x:v>Ranked</x:v>
      </x:c>
      <x:c r="I168" s="15" t="str">
        <x:v>Ghent University</x:v>
      </x:c>
      <x:c r="J168" s="31" t="str">
        <x:v>https://www.topuniversities.com/universities/ghent-university</x:v>
      </x:c>
      <x:c r="K168" s="31" t="str">
        <x:v>https://www.topuniversities.com/sustainability-rankings/2025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n">
        <x:f>33</x:f>
        <x:v>33</x:v>
      </x:c>
      <x:c r="G169" s="36" t="n">
        <x:v>94.9</x:v>
      </x:c>
      <x:c r="H169" s="15" t="str">
        <x:v>Ranked</x:v>
      </x:c>
      <x:c r="I169" s="15" t="str">
        <x:v>Ghent University</x:v>
      </x:c>
      <x:c r="J169" s="31" t="str">
        <x:v>https://www.topuniversities.com/universities/ghent-university</x:v>
      </x:c>
      <x:c r="K169" s="31" t="str">
        <x:v>https://www.topuniversities.com/sustainability-rankings/2026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N/P</x:v>
      </x:c>
      <x:c r="G170" s="36"/>
      <x:c r="H170" s="15" t="str">
        <x:v>QS Sustainability ranking was not published for 2022</x:v>
      </x:c>
      <x:c r="I170" s="15" t="str"/>
      <x:c r="J170" s="31" t="str">
        <x:v>https://www.topuniversities.com/universities/university-sheffield</x:v>
      </x:c>
      <x:c r="K170" s="31" t="str"/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116</x:f>
        <x:v>116</x:v>
      </x:c>
      <x:c r="G171" s="36" t="n">
        <x:v>61</x:v>
      </x:c>
      <x:c r="H171" s="15" t="str">
        <x:v>Ranked</x:v>
      </x:c>
      <x:c r="I171" s="15" t="str">
        <x:v>The University of Sheffield</x:v>
      </x:c>
      <x:c r="J171" s="31" t="str">
        <x:v>https://www.topuniversities.com/universities/university-sheffield</x:v>
      </x:c>
      <x:c r="K171" s="31" t="str">
        <x:v>https://www.topuniversities.com/sustainability-rankings/2023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n">
        <x:f>24</x:f>
        <x:v>24</x:v>
      </x:c>
      <x:c r="G172" s="36" t="n">
        <x:v>90.4</x:v>
      </x:c>
      <x:c r="H172" s="15" t="str">
        <x:v>Ranked</x:v>
      </x:c>
      <x:c r="I172" s="15" t="str">
        <x:v>The University of Sheffield</x:v>
      </x:c>
      <x:c r="J172" s="31" t="str">
        <x:v>https://www.topuniversities.com/universities/university-sheffield</x:v>
      </x:c>
      <x:c r="K172" s="31" t="str">
        <x:v>https://www.topuniversities.com/sustainability-rankings/2024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str">
        <x:v>27</x:v>
      </x:c>
      <x:c r="G173" s="36" t="n">
        <x:v>94.5</x:v>
      </x:c>
      <x:c r="H173" s="15" t="str">
        <x:v>Ranked</x:v>
      </x:c>
      <x:c r="I173" s="15" t="str">
        <x:v>The University of Sheffield</x:v>
      </x:c>
      <x:c r="J173" s="31" t="str">
        <x:v>https://www.topuniversities.com/universities/university-sheffield</x:v>
      </x:c>
      <x:c r="K173" s="31" t="str">
        <x:v>https://www.topuniversities.com/sustainability-rankings/2025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n">
        <x:f>33</x:f>
        <x:v>33</x:v>
      </x:c>
      <x:c r="G174" s="36" t="n">
        <x:v>94.9</x:v>
      </x:c>
      <x:c r="H174" s="15" t="str">
        <x:v>Ranked</x:v>
      </x:c>
      <x:c r="I174" s="15" t="str">
        <x:v>The University of Sheffield</x:v>
      </x:c>
      <x:c r="J174" s="31" t="str">
        <x:v>https://www.topuniversities.com/universities/university-sheffield</x:v>
      </x:c>
      <x:c r="K174" s="31" t="str">
        <x:v>https://www.topuniversities.com/sustainability-rankings/2026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str">
        <x:v>N/P</x:v>
      </x:c>
      <x:c r="G175" s="36"/>
      <x:c r="H175" s="15" t="str">
        <x:v>QS Sustainability ranking was not published for 2022</x:v>
      </x:c>
      <x:c r="I175" s="15" t="str"/>
      <x:c r="J175" s="31" t="str">
        <x:v>https://www.topuniversities.com/universities/delft-university-technology</x:v>
      </x:c>
      <x:c r="K175" s="31" t="str"/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23</x:v>
      </x:c>
      <x:c r="G176" s="36" t="n">
        <x:v>78.3</x:v>
      </x:c>
      <x:c r="H176" s="15" t="str">
        <x:v>Ranked</x:v>
      </x:c>
      <x:c r="I176" s="15" t="str">
        <x:v>Delft University of Technology</x:v>
      </x:c>
      <x:c r="J176" s="31" t="str">
        <x:v>https://www.topuniversities.com/universities/delft-university-technology</x:v>
      </x:c>
      <x:c r="K176" s="31" t="str">
        <x:v>https://www.topuniversities.com/sustainability-rankings/2023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14</x:v>
      </x:c>
      <x:c r="G177" s="36" t="n">
        <x:v>94.2</x:v>
      </x:c>
      <x:c r="H177" s="15" t="str">
        <x:v>Ranked</x:v>
      </x:c>
      <x:c r="I177" s="15" t="str">
        <x:v>Delft University of Technology</x:v>
      </x:c>
      <x:c r="J177" s="31" t="str">
        <x:v>https://www.topuniversities.com/universities/delft-university-technology</x:v>
      </x:c>
      <x:c r="K177" s="31" t="str">
        <x:v>https://www.topuniversities.com/sustainability-rankings/2024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n">
        <x:f>15</x:f>
        <x:v>15</x:v>
      </x:c>
      <x:c r="G178" s="36" t="n">
        <x:v>96.4</x:v>
      </x:c>
      <x:c r="H178" s="15" t="str">
        <x:v>Ranked</x:v>
      </x:c>
      <x:c r="I178" s="15" t="str">
        <x:v>Delft University of Technology</x:v>
      </x:c>
      <x:c r="J178" s="31" t="str">
        <x:v>https://www.topuniversities.com/universities/delft-university-technology</x:v>
      </x:c>
      <x:c r="K178" s="31" t="str">
        <x:v>https://www.topuniversities.com/sustainability-rankings/2025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n">
        <x:f>35</x:f>
        <x:v>35</x:v>
      </x:c>
      <x:c r="G179" s="36" t="n">
        <x:v>94.8</x:v>
      </x:c>
      <x:c r="H179" s="15" t="str">
        <x:v>Ranked</x:v>
      </x:c>
      <x:c r="I179" s="15" t="str">
        <x:v>Delft University of Technology</x:v>
      </x:c>
      <x:c r="J179" s="31" t="str">
        <x:v>https://www.topuniversities.com/universities/delft-university-technology</x:v>
      </x:c>
      <x:c r="K179" s="31" t="str">
        <x:v>https://www.topuniversities.com/sustainability-rankings/2026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str">
        <x:v>N/P</x:v>
      </x:c>
      <x:c r="G180" s="36"/>
      <x:c r="H180" s="15" t="str">
        <x:v>QS Sustainability ranking was not published for 2022</x:v>
      </x:c>
      <x:c r="I180" s="15" t="str"/>
      <x:c r="J180" s="31" t="str">
        <x:v>https://www.topuniversities.com/universities/michigan-state-university</x:v>
      </x:c>
      <x:c r="K180" s="31" t="str"/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str">
        <x:v>134</x:v>
      </x:c>
      <x:c r="G181" s="36" t="n">
        <x:v>59.4</x:v>
      </x:c>
      <x:c r="H181" s="15" t="str">
        <x:v>Ranked</x:v>
      </x:c>
      <x:c r="I181" s="15" t="str">
        <x:v>Michigan State University</x:v>
      </x:c>
      <x:c r="J181" s="31" t="str">
        <x:v>https://www.topuniversities.com/universities/michigan-state-university</x:v>
      </x:c>
      <x:c r="K181" s="31" t="str">
        <x:v>https://www.topuniversities.com/sustainability-rankings/2023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41</x:f>
        <x:v>41</x:v>
      </x:c>
      <x:c r="G182" s="36" t="n">
        <x:v>88.1</x:v>
      </x:c>
      <x:c r="H182" s="15" t="str">
        <x:v>Ranked</x:v>
      </x:c>
      <x:c r="I182" s="15" t="str">
        <x:v>Michigan State University</x:v>
      </x:c>
      <x:c r="J182" s="31" t="str">
        <x:v>https://www.topuniversities.com/universities/michigan-state-university</x:v>
      </x:c>
      <x:c r="K182" s="31" t="str">
        <x:v>https://www.topuniversities.com/sustainability-rankings/2024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str">
        <x:v>28</x:v>
      </x:c>
      <x:c r="G183" s="36" t="n">
        <x:v>94.4</x:v>
      </x:c>
      <x:c r="H183" s="15" t="str">
        <x:v>Ranked</x:v>
      </x:c>
      <x:c r="I183" s="15" t="str">
        <x:v>Michigan State University</x:v>
      </x:c>
      <x:c r="J183" s="31" t="str">
        <x:v>https://www.topuniversities.com/universities/michigan-state-university</x:v>
      </x:c>
      <x:c r="K183" s="31" t="str">
        <x:v>https://www.topuniversities.com/sustainability-rankings/2025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n">
        <x:f>35</x:f>
        <x:v>35</x:v>
      </x:c>
      <x:c r="G184" s="36" t="n">
        <x:v>94.8</x:v>
      </x:c>
      <x:c r="H184" s="15" t="str">
        <x:v>Ranked</x:v>
      </x:c>
      <x:c r="I184" s="15" t="str">
        <x:v>Michigan State University</x:v>
      </x:c>
      <x:c r="J184" s="31" t="str">
        <x:v>https://www.topuniversities.com/universities/michigan-state-university</x:v>
      </x:c>
      <x:c r="K184" s="31" t="str">
        <x:v>https://www.topuniversities.com/sustainability-rankings/2026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str">
        <x:v>N/P</x:v>
      </x:c>
      <x:c r="G185" s="36"/>
      <x:c r="H185" s="15" t="str">
        <x:v>QS Sustainability ranking was not published for 2022</x:v>
      </x:c>
      <x:c r="I185" s="15" t="str"/>
      <x:c r="J185" s="31" t="str">
        <x:v>https://www.topuniversities.com/universities/monash-university</x:v>
      </x:c>
      <x:c r="K185" s="31" t="str"/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n">
        <x:f>112</x:f>
        <x:v>112</x:v>
      </x:c>
      <x:c r="G186" s="36" t="n">
        <x:v>61.1</x:v>
      </x:c>
      <x:c r="H186" s="15" t="str">
        <x:v>Ranked</x:v>
      </x:c>
      <x:c r="I186" s="15" t="str">
        <x:v>Monash University</x:v>
      </x:c>
      <x:c r="J186" s="31" t="str">
        <x:v>https://www.topuniversities.com/universities/monash-university</x:v>
      </x:c>
      <x:c r="K186" s="31" t="str">
        <x:v>https://www.topuniversities.com/sustainability-rankings/2023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23</x:v>
      </x:c>
      <x:c r="G187" s="36" t="n">
        <x:v>90.6</x:v>
      </x:c>
      <x:c r="H187" s="15" t="str">
        <x:v>Ranked</x:v>
      </x:c>
      <x:c r="I187" s="15" t="str">
        <x:v>Monash University</x:v>
      </x:c>
      <x:c r="J187" s="31" t="str">
        <x:v>https://www.topuniversities.com/universities/monash-university</x:v>
      </x:c>
      <x:c r="K187" s="31" t="str">
        <x:v>https://www.topuniversities.com/sustainability-rankings/2024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n">
        <x:f>49</x:f>
        <x:v>49</x:v>
      </x:c>
      <x:c r="G188" s="36" t="n">
        <x:v>92</x:v>
      </x:c>
      <x:c r="H188" s="15" t="str">
        <x:v>Ranked</x:v>
      </x:c>
      <x:c r="I188" s="15" t="str">
        <x:v>Monash University</x:v>
      </x:c>
      <x:c r="J188" s="31" t="str">
        <x:v>https://www.topuniversities.com/universities/monash-university</x:v>
      </x:c>
      <x:c r="K188" s="31" t="str">
        <x:v>https://www.topuniversities.com/sustainability-rankings/2025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str">
        <x:v>37</x:v>
      </x:c>
      <x:c r="G189" s="36" t="n">
        <x:v>94.6</x:v>
      </x:c>
      <x:c r="H189" s="15" t="str">
        <x:v>Ranked</x:v>
      </x:c>
      <x:c r="I189" s="15" t="str">
        <x:v>Monash University</x:v>
      </x:c>
      <x:c r="J189" s="31" t="str">
        <x:v>https://www.topuniversities.com/universities/monash-university</x:v>
      </x:c>
      <x:c r="K189" s="31" t="str">
        <x:v>https://www.topuniversities.com/sustainability-rankings/2026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str">
        <x:v>N/P</x:v>
      </x:c>
      <x:c r="G190" s="36"/>
      <x:c r="H190" s="15" t="str">
        <x:v>QS Sustainability ranking was not published for 2022</x:v>
      </x:c>
      <x:c r="I190" s="15" t="str"/>
      <x:c r="J190" s="31" t="str">
        <x:v>https://www.topuniversities.com/universities/seoul-national-university</x:v>
      </x:c>
      <x:c r="K190" s="31" t="str"/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n">
        <x:f>144</x:f>
        <x:v>144</x:v>
      </x:c>
      <x:c r="G191" s="36" t="n">
        <x:v>57.9</x:v>
      </x:c>
      <x:c r="H191" s="15" t="str">
        <x:v>Ranked</x:v>
      </x:c>
      <x:c r="I191" s="15" t="str">
        <x:v>Seoul National University</x:v>
      </x:c>
      <x:c r="J191" s="31" t="str">
        <x:v>https://www.topuniversities.com/universities/seoul-national-university</x:v>
      </x:c>
      <x:c r="K191" s="31" t="str">
        <x:v>https://www.topuniversities.com/sustainability-rankings/2023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n">
        <x:f>46</x:f>
        <x:v>46</x:v>
      </x:c>
      <x:c r="G192" s="36" t="n">
        <x:v>87.7</x:v>
      </x:c>
      <x:c r="H192" s="15" t="str">
        <x:v>Ranked</x:v>
      </x:c>
      <x:c r="I192" s="15" t="str">
        <x:v>Seoul National University</x:v>
      </x:c>
      <x:c r="J192" s="31" t="str">
        <x:v>https://www.topuniversities.com/universities/seoul-national-university</x:v>
      </x:c>
      <x:c r="K192" s="31" t="str">
        <x:v>https://www.topuniversities.com/sustainability-rankings/2024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str">
        <x:v>57</x:v>
      </x:c>
      <x:c r="G193" s="36" t="n">
        <x:v>91.1</x:v>
      </x:c>
      <x:c r="H193" s="15" t="str">
        <x:v>Ranked</x:v>
      </x:c>
      <x:c r="I193" s="15" t="str">
        <x:v>Seoul National University</x:v>
      </x:c>
      <x:c r="J193" s="31" t="str">
        <x:v>https://www.topuniversities.com/universities/seoul-national-university</x:v>
      </x:c>
      <x:c r="K193" s="31" t="str">
        <x:v>https://www.topuniversities.com/sustainability-rankings/2025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n">
        <x:f>37</x:f>
        <x:v>37</x:v>
      </x:c>
      <x:c r="G194" s="36" t="n">
        <x:v>94.5</x:v>
      </x:c>
      <x:c r="H194" s="15" t="str">
        <x:v>Ranked</x:v>
      </x:c>
      <x:c r="I194" s="15" t="str">
        <x:v>Seoul National University</x:v>
      </x:c>
      <x:c r="J194" s="31" t="str">
        <x:v>https://www.topuniversities.com/universities/seoul-national-university</x:v>
      </x:c>
      <x:c r="K194" s="31" t="str">
        <x:v>https://www.topuniversities.com/sustainability-rankings/2026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N/P</x:v>
      </x:c>
      <x:c r="G195" s="36"/>
      <x:c r="H195" s="15" t="str">
        <x:v>QS Sustainability ranking was not published for 2022</x:v>
      </x:c>
      <x:c r="I195" s="15" t="str"/>
      <x:c r="J195" s="31" t="str">
        <x:v>https://www.topuniversities.com/universities/university-nottingham</x:v>
      </x:c>
      <x:c r="K195" s="31" t="str"/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n">
        <x:f>118</x:f>
        <x:v>118</x:v>
      </x:c>
      <x:c r="G196" s="36" t="n">
        <x:v>60.9</x:v>
      </x:c>
      <x:c r="H196" s="15" t="str">
        <x:v>Ranked</x:v>
      </x:c>
      <x:c r="I196" s="15" t="str">
        <x:v>University of Nottingham</x:v>
      </x:c>
      <x:c r="J196" s="31" t="str">
        <x:v>https://www.topuniversities.com/universities/university-nottingham</x:v>
      </x:c>
      <x:c r="K196" s="31" t="str">
        <x:v>https://www.topuniversities.com/sustainability-rankings/2023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str">
        <x:v>33</x:v>
      </x:c>
      <x:c r="G197" s="36" t="n">
        <x:v>89.2</x:v>
      </x:c>
      <x:c r="H197" s="15" t="str">
        <x:v>Ranked</x:v>
      </x:c>
      <x:c r="I197" s="15" t="str">
        <x:v>University of Nottingham</x:v>
      </x:c>
      <x:c r="J197" s="31" t="str">
        <x:v>https://www.topuniversities.com/universities/university-nottingham</x:v>
      </x:c>
      <x:c r="K197" s="31" t="str">
        <x:v>https://www.topuniversities.com/sustainability-rankings/2024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n">
        <x:f>36</x:f>
        <x:v>36</x:v>
      </x:c>
      <x:c r="G198" s="36" t="n">
        <x:v>93.2</x:v>
      </x:c>
      <x:c r="H198" s="15" t="str">
        <x:v>Ranked</x:v>
      </x:c>
      <x:c r="I198" s="15" t="str">
        <x:v>University of Nottingham</x:v>
      </x:c>
      <x:c r="J198" s="31" t="str">
        <x:v>https://www.topuniversities.com/universities/university-nottingham</x:v>
      </x:c>
      <x:c r="K198" s="31" t="str">
        <x:v>https://www.topuniversities.com/sustainability-rankings/2025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n">
        <x:f>37</x:f>
        <x:v>37</x:v>
      </x:c>
      <x:c r="G199" s="36" t="n">
        <x:v>94.5</x:v>
      </x:c>
      <x:c r="H199" s="15" t="str">
        <x:v>Ranked</x:v>
      </x:c>
      <x:c r="I199" s="15" t="str">
        <x:v>University of Nottingham</x:v>
      </x:c>
      <x:c r="J199" s="31" t="str">
        <x:v>https://www.topuniversities.com/universities/university-nottingham</x:v>
      </x:c>
      <x:c r="K199" s="31" t="str">
        <x:v>https://www.topuniversities.com/sustainability-rankings/2026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N/P</x:v>
      </x:c>
      <x:c r="G200" s="36"/>
      <x:c r="H200" s="15" t="str">
        <x:v>QS Sustainability ranking was not published for 2022</x:v>
      </x:c>
      <x:c r="I200" s="15" t="str"/>
      <x:c r="J200" s="31" t="str">
        <x:v>https://www.topuniversities.com/universities/university-york</x:v>
      </x:c>
      <x:c r="K200" s="31" t="str"/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n">
        <x:f>36</x:f>
        <x:v>36</x:v>
      </x:c>
      <x:c r="G201" s="36" t="n">
        <x:v>75.5</x:v>
      </x:c>
      <x:c r="H201" s="15" t="str">
        <x:v>Ranked</x:v>
      </x:c>
      <x:c r="I201" s="15" t="str">
        <x:v>University of York</x:v>
      </x:c>
      <x:c r="J201" s="31" t="str">
        <x:v>https://www.topuniversities.com/universities/university-york</x:v>
      </x:c>
      <x:c r="K201" s="31" t="str">
        <x:v>https://www.topuniversities.com/sustainability-rankings/2023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29</x:v>
      </x:c>
      <x:c r="G202" s="36" t="n">
        <x:v>89.9</x:v>
      </x:c>
      <x:c r="H202" s="15" t="str">
        <x:v>Ranked</x:v>
      </x:c>
      <x:c r="I202" s="15" t="str">
        <x:v>University of York</x:v>
      </x:c>
      <x:c r="J202" s="31" t="str">
        <x:v>https://www.topuniversities.com/universities/university-york</x:v>
      </x:c>
      <x:c r="K202" s="31" t="str">
        <x:v>https://www.topuniversities.com/sustainability-rankings/2024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str">
        <x:v>34</x:v>
      </x:c>
      <x:c r="G203" s="36" t="n">
        <x:v>93.4</x:v>
      </x:c>
      <x:c r="H203" s="15" t="str">
        <x:v>Ranked</x:v>
      </x:c>
      <x:c r="I203" s="15" t="str">
        <x:v>University of York</x:v>
      </x:c>
      <x:c r="J203" s="31" t="str">
        <x:v>https://www.topuniversities.com/universities/university-york</x:v>
      </x:c>
      <x:c r="K203" s="31" t="str">
        <x:v>https://www.topuniversities.com/sustainability-rankings/2025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str">
        <x:v>39</x:v>
      </x:c>
      <x:c r="G204" s="36" t="n">
        <x:v>94.2</x:v>
      </x:c>
      <x:c r="H204" s="15" t="str">
        <x:v>Ranked</x:v>
      </x:c>
      <x:c r="I204" s="15" t="str">
        <x:v>University of York</x:v>
      </x:c>
      <x:c r="J204" s="31" t="str">
        <x:v>https://www.topuniversities.com/universities/university-york</x:v>
      </x:c>
      <x:c r="K204" s="31" t="str">
        <x:v>https://www.topuniversities.com/sustainability-rankings/2026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N/P</x:v>
      </x:c>
      <x:c r="G205" s="36"/>
      <x:c r="H205" s="15" t="str">
        <x:v>QS Sustainability ranking was not published for 2022</x:v>
      </x:c>
      <x:c r="I205" s="15" t="str"/>
      <x:c r="J205" s="31" t="str">
        <x:v>https://www.topuniversities.com/universities/boston-university</x:v>
      </x:c>
      <x:c r="K205" s="31" t="str"/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str">
        <x:v>100</x:v>
      </x:c>
      <x:c r="G206" s="36" t="n">
        <x:v>62.6</x:v>
      </x:c>
      <x:c r="H206" s="15" t="str">
        <x:v>Ranked</x:v>
      </x:c>
      <x:c r="I206" s="15" t="str">
        <x:v>Boston University</x:v>
      </x:c>
      <x:c r="J206" s="31" t="str">
        <x:v>https://www.topuniversities.com/universities/boston-university</x:v>
      </x:c>
      <x:c r="K206" s="31" t="str">
        <x:v>https://www.topuniversities.com/sustainability-rankings/2023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n">
        <x:f>237</x:f>
        <x:v>237</x:v>
      </x:c>
      <x:c r="G207" s="36" t="n">
        <x:v>71.8</x:v>
      </x:c>
      <x:c r="H207" s="15" t="str">
        <x:v>Ranked</x:v>
      </x:c>
      <x:c r="I207" s="15" t="str">
        <x:v>Boston University</x:v>
      </x:c>
      <x:c r="J207" s="31" t="str">
        <x:v>https://www.topuniversities.com/universities/boston-university</x:v>
      </x:c>
      <x:c r="K207" s="31" t="str">
        <x:v>https://www.topuniversities.com/sustainability-rankings/2024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267</x:v>
      </x:c>
      <x:c r="G208" s="36" t="n">
        <x:v>74.7</x:v>
      </x:c>
      <x:c r="H208" s="15" t="str">
        <x:v>Ranked</x:v>
      </x:c>
      <x:c r="I208" s="15" t="str">
        <x:v>Boston University</x:v>
      </x:c>
      <x:c r="J208" s="31" t="str">
        <x:v>https://www.topuniversities.com/universities/boston-university</x:v>
      </x:c>
      <x:c r="K208" s="31" t="str">
        <x:v>https://www.topuniversities.com/sustainability-rankings/2025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str">
        <x:v>40</x:v>
      </x:c>
      <x:c r="G209" s="36" t="n">
        <x:v>94.1</x:v>
      </x:c>
      <x:c r="H209" s="15" t="str">
        <x:v>Ranked</x:v>
      </x:c>
      <x:c r="I209" s="15" t="str">
        <x:v>Boston University</x:v>
      </x:c>
      <x:c r="J209" s="31" t="str">
        <x:v>https://www.topuniversities.com/universities/boston-university</x:v>
      </x:c>
      <x:c r="K209" s="31" t="str">
        <x:v>https://www.topuniversities.com/sustainability-rankings/2026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str">
        <x:v>N/P</x:v>
      </x:c>
      <x:c r="G210" s="36"/>
      <x:c r="H210" s="15" t="str">
        <x:v>QS Sustainability ranking was not published for 2022</x:v>
      </x:c>
      <x:c r="I210" s="15" t="str"/>
      <x:c r="J210" s="31" t="str">
        <x:v>https://www.topuniversities.com/universities/johns-hopkins-university</x:v>
      </x:c>
      <x:c r="K210" s="31" t="str"/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94</x:v>
      </x:c>
      <x:c r="G211" s="36" t="n">
        <x:v>64</x:v>
      </x:c>
      <x:c r="H211" s="15" t="str">
        <x:v>Ranked</x:v>
      </x:c>
      <x:c r="I211" s="15" t="str">
        <x:v>Johns Hopkins University</x:v>
      </x:c>
      <x:c r="J211" s="31" t="str">
        <x:v>https://www.topuniversities.com/universities/johns-hopkins-university</x:v>
      </x:c>
      <x:c r="K211" s="31" t="str">
        <x:v>https://www.topuniversities.com/sustainability-rankings/2023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n">
        <x:f>259</x:f>
        <x:v>259</x:v>
      </x:c>
      <x:c r="G212" s="36" t="n">
        <x:v>70.5</x:v>
      </x:c>
      <x:c r="H212" s="15" t="str">
        <x:v>Ranked</x:v>
      </x:c>
      <x:c r="I212" s="15" t="str">
        <x:v>Johns Hopkins University</x:v>
      </x:c>
      <x:c r="J212" s="31" t="str">
        <x:v>https://www.topuniversities.com/universities/johns-hopkins-university</x:v>
      </x:c>
      <x:c r="K212" s="31" t="str">
        <x:v>https://www.topuniversities.com/sustainability-rankings/2024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35</x:v>
      </x:c>
      <x:c r="G213" s="36" t="n">
        <x:v>93.3</x:v>
      </x:c>
      <x:c r="H213" s="15" t="str">
        <x:v>Ranked</x:v>
      </x:c>
      <x:c r="I213" s="15" t="str">
        <x:v>Johns Hopkins University</x:v>
      </x:c>
      <x:c r="J213" s="31" t="str">
        <x:v>https://www.topuniversities.com/universities/johns-hopkins-university</x:v>
      </x:c>
      <x:c r="K213" s="31" t="str">
        <x:v>https://www.topuniversities.com/sustainability-rankings/2025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n">
        <x:f>41</x:f>
        <x:v>41</x:v>
      </x:c>
      <x:c r="G214" s="36" t="n">
        <x:v>94</x:v>
      </x:c>
      <x:c r="H214" s="15" t="str">
        <x:v>Ranked</x:v>
      </x:c>
      <x:c r="I214" s="15" t="str">
        <x:v>Johns Hopkins University</x:v>
      </x:c>
      <x:c r="J214" s="31" t="str">
        <x:v>https://www.topuniversities.com/universities/johns-hopkins-university</x:v>
      </x:c>
      <x:c r="K214" s="31" t="str">
        <x:v>https://www.topuniversities.com/sustainability-rankings/2026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str">
        <x:v>N/P</x:v>
      </x:c>
      <x:c r="G215" s="36"/>
      <x:c r="H215" s="15" t="str">
        <x:v>QS Sustainability ranking was not published for 2022</x:v>
      </x:c>
      <x:c r="I215" s="15" t="str"/>
      <x:c r="J215" s="31" t="str">
        <x:v>https://www.topuniversities.com/universities/massachusetts-institute-technology-mit</x:v>
      </x:c>
      <x:c r="K215" s="31" t="str"/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32</x:v>
      </x:c>
      <x:c r="G216" s="36" t="n">
        <x:v>76</x:v>
      </x:c>
      <x:c r="H216" s="15" t="str">
        <x:v>Ranked</x:v>
      </x:c>
      <x:c r="I216" s="15" t="str">
        <x:v>Massachusetts Institute of Technology (MIT)</x:v>
      </x:c>
      <x:c r="J216" s="31" t="str">
        <x:v>https://www.topuniversities.com/universities/massachusetts-institute-technology-mit</x:v>
      </x:c>
      <x:c r="K216" s="31" t="str">
        <x:v>https://www.topuniversities.com/sustainability-rankings/2023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n">
        <x:f>15</x:f>
        <x:v>15</x:v>
      </x:c>
      <x:c r="G217" s="36" t="n">
        <x:v>93.9</x:v>
      </x:c>
      <x:c r="H217" s="15" t="str">
        <x:v>Ranked</x:v>
      </x:c>
      <x:c r="I217" s="15" t="str">
        <x:v>Massachusetts Institute of Technology (MIT)</x:v>
      </x:c>
      <x:c r="J217" s="31" t="str">
        <x:v>https://www.topuniversities.com/universities/massachusetts-institute-technology-mit</x:v>
      </x:c>
      <x:c r="K217" s="31" t="str">
        <x:v>https://www.topuniversities.com/sustainability-rankings/2024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33</x:v>
      </x:c>
      <x:c r="G218" s="36" t="n">
        <x:v>94</x:v>
      </x:c>
      <x:c r="H218" s="15" t="str">
        <x:v>Ranked</x:v>
      </x:c>
      <x:c r="I218" s="15" t="str">
        <x:v>Massachusetts Institute of Technology (MIT)</x:v>
      </x:c>
      <x:c r="J218" s="31" t="str">
        <x:v>https://www.topuniversities.com/universities/massachusetts-institute-technology-mit</x:v>
      </x:c>
      <x:c r="K218" s="31" t="str">
        <x:v>https://www.topuniversities.com/sustainability-rankings/2025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n">
        <x:f>43</x:f>
        <x:v>43</x:v>
      </x:c>
      <x:c r="G219" s="36" t="n">
        <x:v>93.9</x:v>
      </x:c>
      <x:c r="H219" s="15" t="str">
        <x:v>Ranked</x:v>
      </x:c>
      <x:c r="I219" s="15" t="str">
        <x:v>Massachusetts Institute of Technology (MIT)</x:v>
      </x:c>
      <x:c r="J219" s="31" t="str">
        <x:v>https://www.topuniversities.com/universities/massachusetts-institute-technology-mit</x:v>
      </x:c>
      <x:c r="K219" s="31" t="str">
        <x:v>https://www.topuniversities.com/sustainability-rankings/2026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str">
        <x:v>N/P</x:v>
      </x:c>
      <x:c r="G220" s="36"/>
      <x:c r="H220" s="15" t="str">
        <x:v>QS Sustainability ranking was not published for 2022</x:v>
      </x:c>
      <x:c r="I220" s="15" t="str"/>
      <x:c r="J220" s="31" t="str">
        <x:v>https://www.topuniversities.com/universities/university-birmingham</x:v>
      </x:c>
      <x:c r="K220" s="31" t="str"/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str">
        <x:v>101</x:v>
      </x:c>
      <x:c r="G221" s="36" t="n">
        <x:v>62.5</x:v>
      </x:c>
      <x:c r="H221" s="15" t="str">
        <x:v>Ranked</x:v>
      </x:c>
      <x:c r="I221" s="15" t="str">
        <x:v>University of Birmingham</x:v>
      </x:c>
      <x:c r="J221" s="31" t="str">
        <x:v>https://www.topuniversities.com/universities/university-birmingham</x:v>
      </x:c>
      <x:c r="K221" s="31" t="str">
        <x:v>https://www.topuniversities.com/sustainability-rankings/2023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35</x:v>
      </x:c>
      <x:c r="G222" s="36" t="n">
        <x:v>88.8</x:v>
      </x:c>
      <x:c r="H222" s="15" t="str">
        <x:v>Ranked</x:v>
      </x:c>
      <x:c r="I222" s="15" t="str">
        <x:v>University of Birmingham</x:v>
      </x:c>
      <x:c r="J222" s="31" t="str">
        <x:v>https://www.topuniversities.com/universities/university-birmingham</x:v>
      </x:c>
      <x:c r="K222" s="31" t="str">
        <x:v>https://www.topuniversities.com/sustainability-rankings/2024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str">
        <x:v>38</x:v>
      </x:c>
      <x:c r="G223" s="36" t="n">
        <x:v>93.1</x:v>
      </x:c>
      <x:c r="H223" s="15" t="str">
        <x:v>Ranked</x:v>
      </x:c>
      <x:c r="I223" s="15" t="str">
        <x:v>University of Birmingham</x:v>
      </x:c>
      <x:c r="J223" s="31" t="str">
        <x:v>https://www.topuniversities.com/universities/university-birmingham</x:v>
      </x:c>
      <x:c r="K223" s="31" t="str">
        <x:v>https://www.topuniversities.com/sustainability-rankings/2025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n">
        <x:f>43</x:f>
        <x:v>43</x:v>
      </x:c>
      <x:c r="G224" s="36" t="n">
        <x:v>93.9</x:v>
      </x:c>
      <x:c r="H224" s="15" t="str">
        <x:v>Ranked</x:v>
      </x:c>
      <x:c r="I224" s="15" t="str">
        <x:v>University of Birmingham</x:v>
      </x:c>
      <x:c r="J224" s="31" t="str">
        <x:v>https://www.topuniversities.com/universities/university-birmingham</x:v>
      </x:c>
      <x:c r="K224" s="31" t="str">
        <x:v>https://www.topuniversities.com/sustainability-rankings/2026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str">
        <x:v>N/P</x:v>
      </x:c>
      <x:c r="G225" s="36"/>
      <x:c r="H225" s="15" t="str">
        <x:v>QS Sustainability ranking was not published for 2022</x:v>
      </x:c>
      <x:c r="I225" s="15" t="str"/>
      <x:c r="J225" s="31" t="str">
        <x:v>https://www.topuniversities.com/universities/universite-paris-saclay</x:v>
      </x:c>
      <x:c r="K225" s="31" t="str"/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135</x:v>
      </x:c>
      <x:c r="G226" s="36" t="n">
        <x:v>59.2</x:v>
      </x:c>
      <x:c r="H226" s="15" t="str">
        <x:v>Ranked</x:v>
      </x:c>
      <x:c r="I226" s="15" t="str">
        <x:v>Université Paris-Saclay</x:v>
      </x:c>
      <x:c r="J226" s="31" t="str">
        <x:v>https://www.topuniversities.com/universities/universite-paris-saclay</x:v>
      </x:c>
      <x:c r="K226" s="31" t="str">
        <x:v>https://www.topuniversities.com/sustainability-rankings/2023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n">
        <x:f>201</x:f>
        <x:v>201</x:v>
      </x:c>
      <x:c r="G227" s="36" t="n">
        <x:v>74.1</x:v>
      </x:c>
      <x:c r="H227" s="15" t="str">
        <x:v>Ranked</x:v>
      </x:c>
      <x:c r="I227" s="15" t="str">
        <x:v>Université Paris-Saclay</x:v>
      </x:c>
      <x:c r="J227" s="31" t="str">
        <x:v>https://www.topuniversities.com/universities/universite-paris-saclay</x:v>
      </x:c>
      <x:c r="K227" s="31" t="str">
        <x:v>https://www.topuniversities.com/sustainability-rankings/2024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n">
        <x:f>39</x:f>
        <x:v>39</x:v>
      </x:c>
      <x:c r="G228" s="36" t="n">
        <x:v>93</x:v>
      </x:c>
      <x:c r="H228" s="15" t="str">
        <x:v>Ranked</x:v>
      </x:c>
      <x:c r="I228" s="15" t="str">
        <x:v>Université Paris-Saclay</x:v>
      </x:c>
      <x:c r="J228" s="31" t="str">
        <x:v>https://www.topuniversities.com/universities/universite-paris-saclay</x:v>
      </x:c>
      <x:c r="K228" s="31" t="str">
        <x:v>https://www.topuniversities.com/sustainability-rankings/2025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str">
        <x:v>45</x:v>
      </x:c>
      <x:c r="G229" s="36" t="n">
        <x:v>93.8</x:v>
      </x:c>
      <x:c r="H229" s="15" t="str">
        <x:v>Ranked</x:v>
      </x:c>
      <x:c r="I229" s="15" t="str">
        <x:v>Université Paris-Saclay</x:v>
      </x:c>
      <x:c r="J229" s="31" t="str">
        <x:v>https://www.topuniversities.com/universities/universite-paris-saclay</x:v>
      </x:c>
      <x:c r="K229" s="31" t="str">
        <x:v>https://www.topuniversities.com/sustainability-rankings/2026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str">
        <x:v>N/P</x:v>
      </x:c>
      <x:c r="G230" s="36"/>
      <x:c r="H230" s="15" t="str">
        <x:v>QS Sustainability ranking was not published for 2022</x:v>
      </x:c>
      <x:c r="I230" s="15" t="str"/>
      <x:c r="J230" s="31" t="str">
        <x:v>https://www.topuniversities.com/universities/universitat-hamburg</x:v>
      </x:c>
      <x:c r="K230" s="31" t="str"/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str">
        <x:v>241-260</x:v>
      </x:c>
      <x:c r="G231" s="36"/>
      <x:c r="H231" s="15" t="str">
        <x:v>Ranked</x:v>
      </x:c>
      <x:c r="I231" s="15" t="str">
        <x:v>Universität Hamburg</x:v>
      </x:c>
      <x:c r="J231" s="31" t="str">
        <x:v>https://www.topuniversities.com/universities/universitat-hamburg</x:v>
      </x:c>
      <x:c r="K231" s="31" t="str">
        <x:v>https://www.topuniversities.com/sustainability-rankings/2023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str">
        <x:v>91</x:v>
      </x:c>
      <x:c r="G232" s="36" t="n">
        <x:v>82.6</x:v>
      </x:c>
      <x:c r="H232" s="15" t="str">
        <x:v>Ranked</x:v>
      </x:c>
      <x:c r="I232" s="15" t="str">
        <x:v>Universität Hamburg</x:v>
      </x:c>
      <x:c r="J232" s="31" t="str">
        <x:v>https://www.topuniversities.com/universities/universitat-hamburg</x:v>
      </x:c>
      <x:c r="K232" s="31" t="str">
        <x:v>https://www.topuniversities.com/sustainability-rankings/2024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str">
        <x:v>29</x:v>
      </x:c>
      <x:c r="G233" s="36" t="n">
        <x:v>94.3</x:v>
      </x:c>
      <x:c r="H233" s="15" t="str">
        <x:v>Ranked</x:v>
      </x:c>
      <x:c r="I233" s="15" t="str">
        <x:v>Universität Hamburg</x:v>
      </x:c>
      <x:c r="J233" s="31" t="str">
        <x:v>https://www.topuniversities.com/universities/universitat-hamburg</x:v>
      </x:c>
      <x:c r="K233" s="31" t="str">
        <x:v>https://www.topuniversities.com/sustainability-rankings/2025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str">
        <x:v>46</x:v>
      </x:c>
      <x:c r="G234" s="36" t="n">
        <x:v>93.7</x:v>
      </x:c>
      <x:c r="H234" s="15" t="str">
        <x:v>Ranked</x:v>
      </x:c>
      <x:c r="I234" s="15" t="str">
        <x:v>Universität Hamburg</x:v>
      </x:c>
      <x:c r="J234" s="31" t="str">
        <x:v>https://www.topuniversities.com/universities/universitat-hamburg</x:v>
      </x:c>
      <x:c r="K234" s="31" t="str">
        <x:v>https://www.topuniversities.com/sustainability-rankings/2026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N/P</x:v>
      </x:c>
      <x:c r="G235" s="36"/>
      <x:c r="H235" s="15" t="str">
        <x:v>QS Sustainability ranking was not published for 2022</x:v>
      </x:c>
      <x:c r="I235" s="15" t="str"/>
      <x:c r="J235" s="31" t="str">
        <x:v>https://www.topuniversities.com/universities/university-college-dublin</x:v>
      </x:c>
      <x:c r="K235" s="31" t="str"/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171-180</x:v>
      </x:c>
      <x:c r="G236" s="36"/>
      <x:c r="H236" s="15" t="str">
        <x:v>Ranked</x:v>
      </x:c>
      <x:c r="I236" s="15" t="str">
        <x:v>University College Dublin</x:v>
      </x:c>
      <x:c r="J236" s="31" t="str">
        <x:v>https://www.topuniversities.com/universities/university-college-dublin</x:v>
      </x:c>
      <x:c r="K236" s="31" t="str">
        <x:v>https://www.topuniversities.com/sustainability-rankings/2023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n">
        <x:f>50</x:f>
        <x:v>50</x:v>
      </x:c>
      <x:c r="G237" s="36" t="n">
        <x:v>87.2</x:v>
      </x:c>
      <x:c r="H237" s="15" t="str">
        <x:v>Ranked</x:v>
      </x:c>
      <x:c r="I237" s="15" t="str">
        <x:v>University College Dublin</x:v>
      </x:c>
      <x:c r="J237" s="31" t="str">
        <x:v>https://www.topuniversities.com/universities/university-college-dublin</x:v>
      </x:c>
      <x:c r="K237" s="31" t="str">
        <x:v>https://www.topuniversities.com/sustainability-rankings/2024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n">
        <x:f>49</x:f>
        <x:v>49</x:v>
      </x:c>
      <x:c r="G238" s="36" t="n">
        <x:v>92</x:v>
      </x:c>
      <x:c r="H238" s="15" t="str">
        <x:v>Ranked</x:v>
      </x:c>
      <x:c r="I238" s="15" t="str">
        <x:v>University College Dublin</x:v>
      </x:c>
      <x:c r="J238" s="31" t="str">
        <x:v>https://www.topuniversities.com/universities/university-college-dublin</x:v>
      </x:c>
      <x:c r="K238" s="31" t="str">
        <x:v>https://www.topuniversities.com/sustainability-rankings/2025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47</x:v>
      </x:c>
      <x:c r="G239" s="36" t="n">
        <x:v>93.6</x:v>
      </x:c>
      <x:c r="H239" s="15" t="str">
        <x:v>Ranked</x:v>
      </x:c>
      <x:c r="I239" s="15" t="str">
        <x:v>University College Dublin</x:v>
      </x:c>
      <x:c r="J239" s="31" t="str">
        <x:v>https://www.topuniversities.com/universities/university-college-dublin</x:v>
      </x:c>
      <x:c r="K239" s="31" t="str">
        <x:v>https://www.topuniversities.com/sustainability-rankings/2026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str">
        <x:v>N/P</x:v>
      </x:c>
      <x:c r="G240" s="36"/>
      <x:c r="H240" s="15" t="str">
        <x:v>QS Sustainability ranking was not published for 2022</x:v>
      </x:c>
      <x:c r="I240" s="15" t="str"/>
      <x:c r="J240" s="31" t="str">
        <x:v>https://www.topuniversities.com/universities/university-tokyo</x:v>
      </x:c>
      <x:c r="K240" s="31" t="str"/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7</x:v>
      </x:c>
      <x:c r="G241" s="36" t="n">
        <x:v>87.6</x:v>
      </x:c>
      <x:c r="H241" s="15" t="str">
        <x:v>Ranked</x:v>
      </x:c>
      <x:c r="I241" s="15" t="str">
        <x:v>The University of Tokyo</x:v>
      </x:c>
      <x:c r="J241" s="31" t="str">
        <x:v>https://www.topuniversities.com/universities/university-tokyo</x:v>
      </x:c>
      <x:c r="K241" s="31" t="str">
        <x:v>https://www.topuniversities.com/sustainability-rankings/2023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22</x:v>
      </x:c>
      <x:c r="G242" s="36" t="n">
        <x:v>91.6</x:v>
      </x:c>
      <x:c r="H242" s="15" t="str">
        <x:v>Ranked</x:v>
      </x:c>
      <x:c r="I242" s="15" t="str">
        <x:v>The University of Tokyo</x:v>
      </x:c>
      <x:c r="J242" s="31" t="str">
        <x:v>https://www.topuniversities.com/universities/university-tokyo</x:v>
      </x:c>
      <x:c r="K242" s="31" t="str">
        <x:v>https://www.topuniversities.com/sustainability-rankings/2024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44</x:v>
      </x:c>
      <x:c r="G243" s="36" t="n">
        <x:v>92.6</x:v>
      </x:c>
      <x:c r="H243" s="15" t="str">
        <x:v>Ranked</x:v>
      </x:c>
      <x:c r="I243" s="15" t="str">
        <x:v>The University of Tokyo</x:v>
      </x:c>
      <x:c r="J243" s="31" t="str">
        <x:v>https://www.topuniversities.com/universities/university-tokyo</x:v>
      </x:c>
      <x:c r="K243" s="31" t="str">
        <x:v>https://www.topuniversities.com/sustainability-rankings/2025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n">
        <x:f>48</x:f>
        <x:v>48</x:v>
      </x:c>
      <x:c r="G244" s="36" t="n">
        <x:v>93.5</x:v>
      </x:c>
      <x:c r="H244" s="15" t="str">
        <x:v>Ranked</x:v>
      </x:c>
      <x:c r="I244" s="15" t="str">
        <x:v>The University of Tokyo</x:v>
      </x:c>
      <x:c r="J244" s="31" t="str">
        <x:v>https://www.topuniversities.com/universities/university-tokyo</x:v>
      </x:c>
      <x:c r="K244" s="31" t="str">
        <x:v>https://www.topuniversities.com/sustainability-rankings/2026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str">
        <x:v>N/P</x:v>
      </x:c>
      <x:c r="G245" s="36"/>
      <x:c r="H245" s="15" t="str">
        <x:v>QS Sustainability ranking was not published for 2022</x:v>
      </x:c>
      <x:c r="I245" s="15" t="str"/>
      <x:c r="J245" s="31" t="str">
        <x:v>https://www.topuniversities.com/universities/university-exeter</x:v>
      </x:c>
      <x:c r="K245" s="31" t="str"/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str">
        <x:v>48</x:v>
      </x:c>
      <x:c r="G246" s="36" t="n">
        <x:v>73.1</x:v>
      </x:c>
      <x:c r="H246" s="15" t="str">
        <x:v>Ranked</x:v>
      </x:c>
      <x:c r="I246" s="15" t="str">
        <x:v>University of Exeter</x:v>
      </x:c>
      <x:c r="J246" s="31" t="str">
        <x:v>https://www.topuniversities.com/universities/university-exeter</x:v>
      </x:c>
      <x:c r="K246" s="31" t="str">
        <x:v>https://www.topuniversities.com/sustainability-rankings/2023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n">
        <x:f>30</x:f>
        <x:v>30</x:v>
      </x:c>
      <x:c r="G247" s="36" t="n">
        <x:v>89.3</x:v>
      </x:c>
      <x:c r="H247" s="15" t="str">
        <x:v>Ranked</x:v>
      </x:c>
      <x:c r="I247" s="15" t="str">
        <x:v>University of Exeter</x:v>
      </x:c>
      <x:c r="J247" s="31" t="str">
        <x:v>https://www.topuniversities.com/universities/university-exeter</x:v>
      </x:c>
      <x:c r="K247" s="31" t="str">
        <x:v>https://www.topuniversities.com/sustainability-rankings/2024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str">
        <x:v>32</x:v>
      </x:c>
      <x:c r="G248" s="36" t="n">
        <x:v>94.1</x:v>
      </x:c>
      <x:c r="H248" s="15" t="str">
        <x:v>Ranked</x:v>
      </x:c>
      <x:c r="I248" s="15" t="str">
        <x:v>University of Exeter</x:v>
      </x:c>
      <x:c r="J248" s="31" t="str">
        <x:v>https://www.topuniversities.com/universities/university-exeter</x:v>
      </x:c>
      <x:c r="K248" s="31" t="str">
        <x:v>https://www.topuniversities.com/sustainability-rankings/2025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48</x:f>
        <x:v>48</x:v>
      </x:c>
      <x:c r="G249" s="36" t="n">
        <x:v>93.5</x:v>
      </x:c>
      <x:c r="H249" s="15" t="str">
        <x:v>Ranked</x:v>
      </x:c>
      <x:c r="I249" s="15" t="str">
        <x:v>University of Exeter</x:v>
      </x:c>
      <x:c r="J249" s="31" t="str">
        <x:v>https://www.topuniversities.com/universities/university-exeter</x:v>
      </x:c>
      <x:c r="K249" s="31" t="str">
        <x:v>https://www.topuniversities.com/sustainability-rankings/2026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str">
        <x:v>N/P</x:v>
      </x:c>
      <x:c r="G250" s="36"/>
      <x:c r="H250" s="15" t="str">
        <x:v>QS Sustainability ranking was not published for 2022</x:v>
      </x:c>
      <x:c r="I250" s="15" t="str"/>
      <x:c r="J250" s="31" t="str">
        <x:v>https://www.topuniversities.com/universities/university-queensland</x:v>
      </x:c>
      <x:c r="K250" s="31" t="str"/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n">
        <x:f>105</x:f>
        <x:v>105</x:v>
      </x:c>
      <x:c r="G251" s="36" t="n">
        <x:v>62</x:v>
      </x:c>
      <x:c r="H251" s="15" t="str">
        <x:v>Ranked</x:v>
      </x:c>
      <x:c r="I251" s="15" t="str">
        <x:v>The University of Queensland</x:v>
      </x:c>
      <x:c r="J251" s="31" t="str">
        <x:v>https://www.topuniversities.com/universities/university-queensland</x:v>
      </x:c>
      <x:c r="K251" s="31" t="str">
        <x:v>https://www.topuniversities.com/sustainability-rankings/2023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36</x:v>
      </x:c>
      <x:c r="G252" s="36" t="n">
        <x:v>88.7</x:v>
      </x:c>
      <x:c r="H252" s="15" t="str">
        <x:v>Ranked</x:v>
      </x:c>
      <x:c r="I252" s="15" t="str">
        <x:v>The University of Queensland</x:v>
      </x:c>
      <x:c r="J252" s="31" t="str">
        <x:v>https://www.topuniversities.com/universities/university-queensland</x:v>
      </x:c>
      <x:c r="K252" s="31" t="str">
        <x:v>https://www.topuniversities.com/sustainability-rankings/2024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41</x:v>
      </x:c>
      <x:c r="G253" s="36" t="n">
        <x:v>92.8</x:v>
      </x:c>
      <x:c r="H253" s="15" t="str">
        <x:v>Ranked</x:v>
      </x:c>
      <x:c r="I253" s="15" t="str">
        <x:v>The University of Queensland</x:v>
      </x:c>
      <x:c r="J253" s="31" t="str">
        <x:v>https://www.topuniversities.com/universities/university-queensland</x:v>
      </x:c>
      <x:c r="K253" s="31" t="str">
        <x:v>https://www.topuniversities.com/sustainability-rankings/2025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n">
        <x:f>50</x:f>
        <x:v>50</x:v>
      </x:c>
      <x:c r="G254" s="36" t="n">
        <x:v>93.3</x:v>
      </x:c>
      <x:c r="H254" s="15" t="str">
        <x:v>Ranked</x:v>
      </x:c>
      <x:c r="I254" s="15" t="str">
        <x:v>The University of Queensland</x:v>
      </x:c>
      <x:c r="J254" s="31" t="str">
        <x:v>https://www.topuniversities.com/universities/university-queensland</x:v>
      </x:c>
      <x:c r="K254" s="31" t="str">
        <x:v>https://www.topuniversities.com/sustainability-rankings/2026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str">
        <x:v>N/P</x:v>
      </x:c>
      <x:c r="G255" s="36"/>
      <x:c r="H255" s="15" t="str">
        <x:v>QS Sustainability ranking was not published for 2022</x:v>
      </x:c>
      <x:c r="I255" s="15" t="str"/>
      <x:c r="J255" s="31" t="str">
        <x:v>https://www.topuniversities.com/universities/university-gothenburg</x:v>
      </x:c>
      <x:c r="K255" s="31" t="str"/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n">
        <x:f>28</x:f>
        <x:v>28</x:v>
      </x:c>
      <x:c r="G256" s="36" t="n">
        <x:v>76.2</x:v>
      </x:c>
      <x:c r="H256" s="15" t="str">
        <x:v>Ranked</x:v>
      </x:c>
      <x:c r="I256" s="15" t="str">
        <x:v>University of Gothenburg</x:v>
      </x:c>
      <x:c r="J256" s="31" t="str">
        <x:v>https://www.topuniversities.com/universities/university-gothenburg</x:v>
      </x:c>
      <x:c r="K256" s="31" t="str">
        <x:v>https://www.topuniversities.com/sustainability-rankings/2023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73</x:v>
      </x:c>
      <x:c r="G257" s="36" t="n">
        <x:v>84.3</x:v>
      </x:c>
      <x:c r="H257" s="15" t="str">
        <x:v>Ranked</x:v>
      </x:c>
      <x:c r="I257" s="15" t="str">
        <x:v>University of Gothenburg</x:v>
      </x:c>
      <x:c r="J257" s="31" t="str">
        <x:v>https://www.topuniversities.com/universities/university-gothenburg</x:v>
      </x:c>
      <x:c r="K257" s="31" t="str">
        <x:v>https://www.topuniversities.com/sustainability-rankings/2024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n">
        <x:f>36</x:f>
        <x:v>36</x:v>
      </x:c>
      <x:c r="G258" s="36" t="n">
        <x:v>93.2</x:v>
      </x:c>
      <x:c r="H258" s="15" t="str">
        <x:v>Ranked</x:v>
      </x:c>
      <x:c r="I258" s="15" t="str">
        <x:v>University of Gothenburg</x:v>
      </x:c>
      <x:c r="J258" s="31" t="str">
        <x:v>https://www.topuniversities.com/universities/university-gothenburg</x:v>
      </x:c>
      <x:c r="K258" s="31" t="str">
        <x:v>https://www.topuniversities.com/sustainability-rankings/2025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n">
        <x:f>50</x:f>
        <x:v>50</x:v>
      </x:c>
      <x:c r="G259" s="36" t="n">
        <x:v>93.3</x:v>
      </x:c>
      <x:c r="H259" s="15" t="str">
        <x:v>Ranked</x:v>
      </x:c>
      <x:c r="I259" s="15" t="str">
        <x:v>University of Gothenburg</x:v>
      </x:c>
      <x:c r="J259" s="31" t="str">
        <x:v>https://www.topuniversities.com/universities/university-gothenburg</x:v>
      </x:c>
      <x:c r="K259" s="31" t="str">
        <x:v>https://www.topuniversities.com/sustainability-rankings/2026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str">
        <x:v>N/P</x:v>
      </x:c>
      <x:c r="G260" s="36"/>
      <x:c r="H260" s="15" t="str">
        <x:v>QS Sustainability ranking was not published for 2022</x:v>
      </x:c>
      <x:c r="I260" s="15" t="str"/>
      <x:c r="J260" s="31" t="str">
        <x:v>https://www.topuniversities.com/universities/griffith-university</x:v>
      </x:c>
      <x:c r="K260" s="31" t="str"/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n">
        <x:f>66</x:f>
        <x:v>66</x:v>
      </x:c>
      <x:c r="G261" s="36" t="n">
        <x:v>69.5</x:v>
      </x:c>
      <x:c r="H261" s="15" t="str">
        <x:v>Ranked</x:v>
      </x:c>
      <x:c r="I261" s="15" t="str">
        <x:v>Griffith University</x:v>
      </x:c>
      <x:c r="J261" s="31" t="str">
        <x:v>https://www.topuniversities.com/universities/griffith-university</x:v>
      </x:c>
      <x:c r="K261" s="31" t="str">
        <x:v>https://www.topuniversities.com/sustainability-rankings/2023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40</x:v>
      </x:c>
      <x:c r="G262" s="36" t="n">
        <x:v>88.2</x:v>
      </x:c>
      <x:c r="H262" s="15" t="str">
        <x:v>Ranked</x:v>
      </x:c>
      <x:c r="I262" s="15" t="str">
        <x:v>Griffith University</x:v>
      </x:c>
      <x:c r="J262" s="31" t="str">
        <x:v>https://www.topuniversities.com/universities/griffith-university</x:v>
      </x:c>
      <x:c r="K262" s="31" t="str">
        <x:v>https://www.topuniversities.com/sustainability-rankings/2024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n">
        <x:f>49</x:f>
        <x:v>49</x:v>
      </x:c>
      <x:c r="G263" s="36" t="n">
        <x:v>92</x:v>
      </x:c>
      <x:c r="H263" s="15" t="str">
        <x:v>Ranked</x:v>
      </x:c>
      <x:c r="I263" s="15" t="str">
        <x:v>Griffith University</x:v>
      </x:c>
      <x:c r="J263" s="31" t="str">
        <x:v>https://www.topuniversities.com/universities/griffith-university</x:v>
      </x:c>
      <x:c r="K263" s="31" t="str">
        <x:v>https://www.topuniversities.com/sustainability-rankings/2025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76</x:v>
      </x:c>
      <x:c r="G264" s="36" t="n">
        <x:v>92.1</x:v>
      </x:c>
      <x:c r="H264" s="15" t="str">
        <x:v>Ranked</x:v>
      </x:c>
      <x:c r="I264" s="15" t="str">
        <x:v>Griffith University</x:v>
      </x:c>
      <x:c r="J264" s="31" t="str">
        <x:v>https://www.topuniversities.com/universities/griffith-university</x:v>
      </x:c>
      <x:c r="K264" s="31" t="str">
        <x:v>https://www.topuniversities.com/sustainability-rankings/2026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N/P</x:v>
      </x:c>
      <x:c r="G265" s="36"/>
      <x:c r="H265" s="15" t="str">
        <x:v>QS Sustainability ranking was not published for 2022</x:v>
      </x:c>
      <x:c r="I265" s="15" t="str"/>
      <x:c r="J265" s="31" t="str">
        <x:v>https://www.topuniversities.com/universities/western-sydney-university</x:v>
      </x:c>
      <x:c r="K265" s="31" t="str"/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n">
        <x:f>112</x:f>
        <x:v>112</x:v>
      </x:c>
      <x:c r="G266" s="36" t="n">
        <x:v>61.1</x:v>
      </x:c>
      <x:c r="H266" s="15" t="str">
        <x:v>Ranked</x:v>
      </x:c>
      <x:c r="I266" s="15" t="str">
        <x:v>Western Sydney University</x:v>
      </x:c>
      <x:c r="J266" s="31" t="str">
        <x:v>https://www.topuniversities.com/universities/western-sydney-university</x:v>
      </x:c>
      <x:c r="K266" s="31" t="str">
        <x:v>https://www.topuniversities.com/sustainability-rankings/2023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n">
        <x:f>101</x:f>
        <x:v>101</x:v>
      </x:c>
      <x:c r="G267" s="36" t="n">
        <x:v>81.7</x:v>
      </x:c>
      <x:c r="H267" s="15" t="str">
        <x:v>Ranked</x:v>
      </x:c>
      <x:c r="I267" s="15" t="str">
        <x:v>Western Sydney University</x:v>
      </x:c>
      <x:c r="J267" s="31" t="str">
        <x:v>https://www.topuniversities.com/universities/western-sydney-university</x:v>
      </x:c>
      <x:c r="K267" s="31" t="str">
        <x:v>https://www.topuniversities.com/sustainability-rankings/2024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139</x:v>
      </x:c>
      <x:c r="G268" s="36" t="n">
        <x:v>83.2</x:v>
      </x:c>
      <x:c r="H268" s="15" t="str">
        <x:v>Ranked</x:v>
      </x:c>
      <x:c r="I268" s="15" t="str">
        <x:v>Western Sydney University</x:v>
      </x:c>
      <x:c r="J268" s="31" t="str">
        <x:v>https://www.topuniversities.com/universities/western-sydney-university</x:v>
      </x:c>
      <x:c r="K268" s="31" t="str">
        <x:v>https://www.topuniversities.com/sustainability-rankings/2025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n">
        <x:f>172</x:f>
        <x:v>172</x:v>
      </x:c>
      <x:c r="G269" s="36" t="n">
        <x:v>84.9</x:v>
      </x:c>
      <x:c r="H269" s="15" t="str">
        <x:v>Ranked</x:v>
      </x:c>
      <x:c r="I269" s="15" t="str">
        <x:v>Western Sydney University</x:v>
      </x:c>
      <x:c r="J269" s="31" t="str">
        <x:v>https://www.topuniversities.com/universities/western-sydney-university</x:v>
      </x:c>
      <x:c r="K269" s="31" t="str">
        <x:v>https://www.topuniversities.com/sustainability-rankings/2026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N/P</x:v>
      </x:c>
      <x:c r="G270" s="36"/>
      <x:c r="H270" s="15" t="str">
        <x:v>QS Sustainability ranking was not published for 2022</x:v>
      </x:c>
      <x:c r="I270" s="15" t="str"/>
      <x:c r="J270" s="31" t="str">
        <x:v>https://www.topuniversities.com/universities/queens-university-kingston</x:v>
      </x:c>
      <x:c r="K270" s="31" t="str"/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171-180</x:v>
      </x:c>
      <x:c r="G271" s="36"/>
      <x:c r="H271" s="15" t="str">
        <x:v>Ranked</x:v>
      </x:c>
      <x:c r="I271" s="15" t="str">
        <x:v>Queen's University at Kingston</x:v>
      </x:c>
      <x:c r="J271" s="31" t="str">
        <x:v>https://www.topuniversities.com/universities/queens-university-kingston</x:v>
      </x:c>
      <x:c r="K271" s="31" t="str">
        <x:v>https://www.topuniversities.com/sustainability-rankings/2023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n">
        <x:f>64</x:f>
        <x:v>64</x:v>
      </x:c>
      <x:c r="G272" s="36" t="n">
        <x:v>85.2</x:v>
      </x:c>
      <x:c r="H272" s="15" t="str">
        <x:v>Ranked</x:v>
      </x:c>
      <x:c r="I272" s="15" t="str">
        <x:v>Queen's University at Kingston</x:v>
      </x:c>
      <x:c r="J272" s="31" t="str">
        <x:v>https://www.topuniversities.com/universities/queens-university-kingston</x:v>
      </x:c>
      <x:c r="K272" s="31" t="str">
        <x:v>https://www.topuniversities.com/sustainability-rankings/2024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n">
        <x:f>93</x:f>
        <x:v>93</x:v>
      </x:c>
      <x:c r="G273" s="36" t="n">
        <x:v>87.1</x:v>
      </x:c>
      <x:c r="H273" s="15" t="str">
        <x:v>Ranked</x:v>
      </x:c>
      <x:c r="I273" s="15" t="str">
        <x:v>Queen's University at Kingston</x:v>
      </x:c>
      <x:c r="J273" s="31" t="str">
        <x:v>https://www.topuniversities.com/universities/queens-university-kingston</x:v>
      </x:c>
      <x:c r="K273" s="31" t="str">
        <x:v>https://www.topuniversities.com/sustainability-rankings/2025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n">
        <x:f>59</x:f>
        <x:v>59</x:v>
      </x:c>
      <x:c r="G274" s="36" t="n">
        <x:v>92.7</x:v>
      </x:c>
      <x:c r="H274" s="15" t="str">
        <x:v>Ranked</x:v>
      </x:c>
      <x:c r="I274" s="15" t="str">
        <x:v>Queen's University at Kingston</x:v>
      </x:c>
      <x:c r="J274" s="31" t="str">
        <x:v>https://www.topuniversities.com/universities/queens-university-kingston</x:v>
      </x:c>
      <x:c r="K274" s="31" t="str">
        <x:v>https://www.topuniversities.com/sustainability-rankings/2026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str">
        <x:v>N/P</x:v>
      </x:c>
      <x:c r="G275" s="36"/>
      <x:c r="H275" s="15" t="str">
        <x:v>QS Sustainability ranking was not published for 2022</x:v>
      </x:c>
      <x:c r="I275" s="15" t="str"/>
      <x:c r="J275" s="31" t="str">
        <x:v>https://www.topuniversities.com/universities/universiti-sains-malaysia-usm</x:v>
      </x:c>
      <x:c r="K275" s="31" t="str"/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n">
        <x:f>136</x:f>
        <x:v>136</x:v>
      </x:c>
      <x:c r="G276" s="36" t="n">
        <x:v>59</x:v>
      </x:c>
      <x:c r="H276" s="15" t="str">
        <x:v>Ranked</x:v>
      </x:c>
      <x:c r="I276" s="15" t="str">
        <x:v>Universiti Sains Malaysia (USM)</x:v>
      </x:c>
      <x:c r="J276" s="31" t="str">
        <x:v>https://www.topuniversities.com/universities/universiti-sains-malaysia-usm</x:v>
      </x:c>
      <x:c r="K276" s="31" t="str">
        <x:v>https://www.topuniversities.com/sustainability-rankings/2023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n">
        <x:f>214</x:f>
        <x:v>214</x:v>
      </x:c>
      <x:c r="G277" s="36" t="n">
        <x:v>73.6</x:v>
      </x:c>
      <x:c r="H277" s="15" t="str">
        <x:v>Ranked</x:v>
      </x:c>
      <x:c r="I277" s="15" t="str">
        <x:v>Universiti Sains Malaysia (USM)</x:v>
      </x:c>
      <x:c r="J277" s="31" t="str">
        <x:v>https://www.topuniversities.com/universities/universiti-sains-malaysia-usm</x:v>
      </x:c>
      <x:c r="K277" s="31" t="str">
        <x:v>https://www.topuniversities.com/sustainability-rankings/2024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str">
        <x:v>251</x:v>
      </x:c>
      <x:c r="G278" s="36" t="n">
        <x:v>75.4</x:v>
      </x:c>
      <x:c r="H278" s="15" t="str">
        <x:v>Ranked</x:v>
      </x:c>
      <x:c r="I278" s="15" t="str">
        <x:v>Universiti Sains Malaysia (USM)</x:v>
      </x:c>
      <x:c r="J278" s="31" t="str">
        <x:v>https://www.topuniversities.com/universities/universiti-sains-malaysia-usm</x:v>
      </x:c>
      <x:c r="K278" s="31" t="str">
        <x:v>https://www.topuniversities.com/sustainability-rankings/2025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n">
        <x:f>248</x:f>
        <x:v>248</x:v>
      </x:c>
      <x:c r="G279" s="36" t="n">
        <x:v>80.4</x:v>
      </x:c>
      <x:c r="H279" s="15" t="str">
        <x:v>Ranked</x:v>
      </x:c>
      <x:c r="I279" s="15" t="str">
        <x:v>Universiti Sains Malaysia (USM)</x:v>
      </x:c>
      <x:c r="J279" s="31" t="str">
        <x:v>https://www.topuniversities.com/universities/universiti-sains-malaysia-usm</x:v>
      </x:c>
      <x:c r="K279" s="31" t="str">
        <x:v>https://www.topuniversities.com/sustainability-rankings/2026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str">
        <x:v>N/P</x:v>
      </x:c>
      <x:c r="G280" s="36"/>
      <x:c r="H280" s="15" t="str">
        <x:v>QS Sustainability ranking was not published for 2022</x:v>
      </x:c>
      <x:c r="I280" s="15" t="str"/>
      <x:c r="J280" s="31" t="str">
        <x:v>https://www.topuniversities.com/universities/hanyang-university</x:v>
      </x:c>
      <x:c r="K280" s="31" t="str"/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201-220</x:v>
      </x:c>
      <x:c r="G281" s="36"/>
      <x:c r="H281" s="15" t="str">
        <x:v>Ranked</x:v>
      </x:c>
      <x:c r="I281" s="15" t="str">
        <x:v>Hanyang University</x:v>
      </x:c>
      <x:c r="J281" s="31" t="str">
        <x:v>https://www.topuniversities.com/universities/hanyang-university</x:v>
      </x:c>
      <x:c r="K281" s="31" t="str">
        <x:v>https://www.topuniversities.com/sustainability-rankings/2023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n">
        <x:f>121</x:f>
        <x:v>121</x:v>
      </x:c>
      <x:c r="G282" s="36" t="n">
        <x:v>79.7</x:v>
      </x:c>
      <x:c r="H282" s="15" t="str">
        <x:v>Ranked</x:v>
      </x:c>
      <x:c r="I282" s="15" t="str">
        <x:v>Hanyang University</x:v>
      </x:c>
      <x:c r="J282" s="31" t="str">
        <x:v>https://www.topuniversities.com/universities/hanyang-university</x:v>
      </x:c>
      <x:c r="K282" s="31" t="str">
        <x:v>https://www.topuniversities.com/sustainability-rankings/2024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str">
        <x:v>136</x:v>
      </x:c>
      <x:c r="G283" s="36" t="n">
        <x:v>83.4</x:v>
      </x:c>
      <x:c r="H283" s="15" t="str">
        <x:v>Ranked</x:v>
      </x:c>
      <x:c r="I283" s="15" t="str">
        <x:v>Hanyang University</x:v>
      </x:c>
      <x:c r="J283" s="31" t="str">
        <x:v>https://www.topuniversities.com/universities/hanyang-university</x:v>
      </x:c>
      <x:c r="K283" s="31" t="str">
        <x:v>https://www.topuniversities.com/sustainability-rankings/2025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n">
        <x:f>161</x:f>
        <x:v>161</x:v>
      </x:c>
      <x:c r="G284" s="36" t="n">
        <x:v>85.8</x:v>
      </x:c>
      <x:c r="H284" s="15" t="str">
        <x:v>Ranked</x:v>
      </x:c>
      <x:c r="I284" s="15" t="str">
        <x:v>Hanyang University</x:v>
      </x:c>
      <x:c r="J284" s="31" t="str">
        <x:v>https://www.topuniversities.com/universities/hanyang-university</x:v>
      </x:c>
      <x:c r="K284" s="31" t="str">
        <x:v>https://www.topuniversities.com/sustainability-rankings/2026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N/P</x:v>
      </x:c>
      <x:c r="G285" s="36"/>
      <x:c r="H285" s="15" t="str">
        <x:v>QS Sustainability ranking was not published for 2022</x:v>
      </x:c>
      <x:c r="I285" s="15" t="str"/>
      <x:c r="J285" s="31" t="str">
        <x:v>https://www.topuniversities.com/universities/hokkaido-university</x:v>
      </x:c>
      <x:c r="K285" s="31" t="str"/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361-380</x:v>
      </x:c>
      <x:c r="G286" s="36"/>
      <x:c r="H286" s="15" t="str">
        <x:v>Ranked</x:v>
      </x:c>
      <x:c r="I286" s="15" t="str">
        <x:v>Hokkaido University</x:v>
      </x:c>
      <x:c r="J286" s="31" t="str">
        <x:v>https://www.topuniversities.com/universities/hokkaido-university</x:v>
      </x:c>
      <x:c r="K286" s="31" t="str">
        <x:v>https://www.topuniversities.com/sustainability-rankings/2023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str">
        <x:v>168</x:v>
      </x:c>
      <x:c r="G287" s="36" t="n">
        <x:v>76.2</x:v>
      </x:c>
      <x:c r="H287" s="15" t="str">
        <x:v>Ranked</x:v>
      </x:c>
      <x:c r="I287" s="15" t="str">
        <x:v>Hokkaido University</x:v>
      </x:c>
      <x:c r="J287" s="31" t="str">
        <x:v>https://www.topuniversities.com/universities/hokkaido-university</x:v>
      </x:c>
      <x:c r="K287" s="31" t="str">
        <x:v>https://www.topuniversities.com/sustainability-rankings/2024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n">
        <x:f>192</x:f>
        <x:v>192</x:v>
      </x:c>
      <x:c r="G288" s="36" t="n">
        <x:v>79.3</x:v>
      </x:c>
      <x:c r="H288" s="15" t="str">
        <x:v>Ranked</x:v>
      </x:c>
      <x:c r="I288" s="15" t="str">
        <x:v>Hokkaido University</x:v>
      </x:c>
      <x:c r="J288" s="31" t="str">
        <x:v>https://www.topuniversities.com/universities/hokkaido-university</x:v>
      </x:c>
      <x:c r="K288" s="31" t="str">
        <x:v>https://www.topuniversities.com/sustainability-rankings/2025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str">
        <x:v>229</x:v>
      </x:c>
      <x:c r="G289" s="36" t="n">
        <x:v>82</x:v>
      </x:c>
      <x:c r="H289" s="15" t="str">
        <x:v>Ranked</x:v>
      </x:c>
      <x:c r="I289" s="15" t="str">
        <x:v>Hokkaido University</x:v>
      </x:c>
      <x:c r="J289" s="31" t="str">
        <x:v>https://www.topuniversities.com/universities/hokkaido-university</x:v>
      </x:c>
      <x:c r="K289" s="31" t="str">
        <x:v>https://www.topuniversities.com/sustainability-rankings/2026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N/P</x:v>
      </x:c>
      <x:c r="G290" s="36"/>
      <x:c r="H290" s="15" t="str">
        <x:v>QS Sustainability ranking was not published for 2022</x:v>
      </x:c>
      <x:c r="I290" s="15" t="str"/>
      <x:c r="J290" s="31" t="str">
        <x:v>https://www.topuniversities.com/universities/universiti-kebangsaan-malaysia-ukm</x:v>
      </x:c>
      <x:c r="K290" s="31" t="str"/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381-400</x:v>
      </x:c>
      <x:c r="G291" s="36"/>
      <x:c r="H291" s="15" t="str">
        <x:v>Ranked</x:v>
      </x:c>
      <x:c r="I291" s="15" t="str">
        <x:v>Universiti Kebangsaan Malaysia (UKM)</x:v>
      </x:c>
      <x:c r="J291" s="31" t="str">
        <x:v>https://www.topuniversities.com/universities/universiti-kebangsaan-malaysia-ukm</x:v>
      </x:c>
      <x:c r="K291" s="31" t="str">
        <x:v>https://www.topuniversities.com/sustainability-rankings/2023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n">
        <x:f>244</x:f>
        <x:v>244</x:v>
      </x:c>
      <x:c r="G292" s="36" t="n">
        <x:v>71.3</x:v>
      </x:c>
      <x:c r="H292" s="15" t="str">
        <x:v>Ranked</x:v>
      </x:c>
      <x:c r="I292" s="15" t="str">
        <x:v>Universiti Kebangsaan Malaysia (UKM)</x:v>
      </x:c>
      <x:c r="J292" s="31" t="str">
        <x:v>https://www.topuniversities.com/universities/universiti-kebangsaan-malaysia-ukm</x:v>
      </x:c>
      <x:c r="K292" s="31" t="str">
        <x:v>https://www.topuniversities.com/sustainability-rankings/2024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n">
        <x:f>245</x:f>
        <x:v>245</x:v>
      </x:c>
      <x:c r="G293" s="36" t="n">
        <x:v>75.6</x:v>
      </x:c>
      <x:c r="H293" s="15" t="str">
        <x:v>Ranked</x:v>
      </x:c>
      <x:c r="I293" s="15" t="str">
        <x:v>Universiti Kebangsaan Malaysia (UKM)</x:v>
      </x:c>
      <x:c r="J293" s="31" t="str">
        <x:v>https://www.topuniversities.com/universities/universiti-kebangsaan-malaysia-ukm</x:v>
      </x:c>
      <x:c r="K293" s="31" t="str">
        <x:v>https://www.topuniversities.com/sustainability-rankings/2025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n">
        <x:f>208</x:f>
        <x:v>208</x:v>
      </x:c>
      <x:c r="G294" s="36" t="n">
        <x:v>83</x:v>
      </x:c>
      <x:c r="H294" s="15" t="str">
        <x:v>Ranked</x:v>
      </x:c>
      <x:c r="I294" s="15" t="str">
        <x:v>Universiti Kebangsaan Malaysia (UKM)</x:v>
      </x:c>
      <x:c r="J294" s="31" t="str">
        <x:v>https://www.topuniversities.com/universities/universiti-kebangsaan-malaysia-ukm</x:v>
      </x:c>
      <x:c r="K294" s="31" t="str">
        <x:v>https://www.topuniversities.com/sustainability-rankings/2026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N/P</x:v>
      </x:c>
      <x:c r="G295" s="36"/>
      <x:c r="H295" s="15" t="str">
        <x:v>QS Sustainability ranking was not published for 2022</x:v>
      </x:c>
      <x:c r="I295" s="15" t="str"/>
      <x:c r="J295" s="31" t="str">
        <x:v>https://www.topuniversities.com/universities/linstitut-agro-linstitut-agro-dijon-linstitut-agro-montpellier-linstitut-agro-rennes-angers</x:v>
      </x:c>
      <x:c r="K295" s="31" t="str"/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NR</x:v>
      </x:c>
      <x:c r="G296" s="36"/>
      <x:c r="H296" s="15" t="str">
        <x:v>Not ranked in complete official table</x:v>
      </x:c>
      <x:c r="I296" s="15" t="str"/>
      <x:c r="J296" s="31" t="str"/>
      <x:c r="K296" s="31" t="str">
        <x:v>https://www.topuniversities.com/sustainability-rankings/2023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str">
        <x:v>841-860</x:v>
      </x:c>
      <x:c r="G297" s="36"/>
      <x:c r="H297" s="15" t="str">
        <x:v>Ranked</x:v>
      </x:c>
      <x:c r="I297" s="15" t="str">
        <x:v>L'Institut Agro (L'Institut Agro Dijon, L'Institut Agro Montpellier, L'Institut Agro Rennes-Angers)</x:v>
      </x:c>
      <x:c r="J297" s="31" t="str">
        <x:v>https://www.topuniversities.com/universities/linstitut-agro-linstitut-agro-dijon-linstitut-agro-montpellier-linstitut-agro-rennes-angers</x:v>
      </x:c>
      <x:c r="K297" s="31" t="str">
        <x:v>https://www.topuniversities.com/sustainability-rankings/2024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str">
        <x:v>921-930</x:v>
      </x:c>
      <x:c r="G298" s="36"/>
      <x:c r="H298" s="15" t="str">
        <x:v>Ranked</x:v>
      </x:c>
      <x:c r="I298" s="15" t="str">
        <x:v>L'Institut Agro (L'Institut Agro Dijon, L'Institut Agro Montpellier, L'Institut Agro Rennes-Angers)</x:v>
      </x:c>
      <x:c r="J298" s="31" t="str">
        <x:v>https://www.topuniversities.com/universities/linstitut-agro-linstitut-agro-dijon-linstitut-agro-montpellier-linstitut-agro-rennes-angers</x:v>
      </x:c>
      <x:c r="K298" s="31" t="str">
        <x:v>https://www.topuniversities.com/sustainability-rankings/2025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1051-1060</x:v>
      </x:c>
      <x:c r="G299" s="36"/>
      <x:c r="H299" s="15" t="str">
        <x:v>Ranked</x:v>
      </x:c>
      <x:c r="I299" s="15" t="str">
        <x:v>L'Institut Agro (L'Institut Agro Dijon, L'Institut Agro Montpellier, L'Institut Agro Rennes-Angers)</x:v>
      </x:c>
      <x:c r="J299" s="31" t="str">
        <x:v>https://www.topuniversities.com/universities/linstitut-agro-linstitut-agro-dijon-linstitut-agro-montpellier-linstitut-agro-rennes-angers</x:v>
      </x:c>
      <x:c r="K299" s="31" t="str">
        <x:v>https://www.topuniversities.com/sustainability-rankings/2026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str">
        <x:v>N/P</x:v>
      </x:c>
      <x:c r="G300" s="36"/>
      <x:c r="H300" s="15" t="str">
        <x:v>QS Sustainability ranking was not published for 2022</x:v>
      </x:c>
      <x:c r="I300" s="15" t="str"/>
      <x:c r="J300" s="31" t="str">
        <x:v>https://www.topuniversities.com/universities/national-taiwan-university-ntu</x:v>
      </x:c>
      <x:c r="K300" s="31" t="str"/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69</x:f>
        <x:v>69</x:v>
      </x:c>
      <x:c r="G301" s="36" t="n">
        <x:v>68.9</x:v>
      </x:c>
      <x:c r="H301" s="15" t="str">
        <x:v>Ranked</x:v>
      </x:c>
      <x:c r="I301" s="15" t="str">
        <x:v>National Taiwan University (NTU)</x:v>
      </x:c>
      <x:c r="J301" s="31" t="str">
        <x:v>https://www.topuniversities.com/universities/national-taiwan-university-ntu</x:v>
      </x:c>
      <x:c r="K301" s="31" t="str">
        <x:v>https://www.topuniversities.com/sustainability-rankings/2023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94</x:f>
        <x:v>94</x:v>
      </x:c>
      <x:c r="G302" s="36" t="n">
        <x:v>82.2</x:v>
      </x:c>
      <x:c r="H302" s="15" t="str">
        <x:v>Ranked</x:v>
      </x:c>
      <x:c r="I302" s="15" t="str">
        <x:v>National Taiwan University (NTU)</x:v>
      </x:c>
      <x:c r="J302" s="31" t="str">
        <x:v>https://www.topuniversities.com/universities/national-taiwan-university-ntu</x:v>
      </x:c>
      <x:c r="K302" s="31" t="str">
        <x:v>https://www.topuniversities.com/sustainability-rankings/2024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74</x:f>
        <x:v>74</x:v>
      </x:c>
      <x:c r="G303" s="36" t="n">
        <x:v>88.8</x:v>
      </x:c>
      <x:c r="H303" s="15" t="str">
        <x:v>Ranked</x:v>
      </x:c>
      <x:c r="I303" s="15" t="str">
        <x:v>National Taiwan University (NTU)</x:v>
      </x:c>
      <x:c r="J303" s="31" t="str">
        <x:v>https://www.topuniversities.com/universities/national-taiwan-university-ntu</x:v>
      </x:c>
      <x:c r="K303" s="31" t="str">
        <x:v>https://www.topuniversities.com/sustainability-rankings/2025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n">
        <x:f>72</x:f>
        <x:v>72</x:v>
      </x:c>
      <x:c r="G304" s="36" t="n">
        <x:v>92.3</x:v>
      </x:c>
      <x:c r="H304" s="15" t="str">
        <x:v>Ranked</x:v>
      </x:c>
      <x:c r="I304" s="15" t="str">
        <x:v>National Taiwan University (NTU)</x:v>
      </x:c>
      <x:c r="J304" s="31" t="str">
        <x:v>https://www.topuniversities.com/universities/national-taiwan-university-ntu</x:v>
      </x:c>
      <x:c r="K304" s="31" t="str">
        <x:v>https://www.topuniversities.com/sustainability-rankings/2026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N/P</x:v>
      </x:c>
      <x:c r="G305" s="36"/>
      <x:c r="H305" s="15" t="str">
        <x:v>QS Sustainability ranking was not published for 2022</x:v>
      </x:c>
      <x:c r="I305" s="15" t="str"/>
      <x:c r="J305" s="31" t="str">
        <x:v>https://www.topuniversities.com/universities/university-alberta</x:v>
      </x:c>
      <x:c r="K305" s="31" t="str"/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n">
        <x:f>118</x:f>
        <x:v>118</x:v>
      </x:c>
      <x:c r="G306" s="36" t="n">
        <x:v>60.9</x:v>
      </x:c>
      <x:c r="H306" s="15" t="str">
        <x:v>Ranked</x:v>
      </x:c>
      <x:c r="I306" s="15" t="str">
        <x:v>University of Alberta</x:v>
      </x:c>
      <x:c r="J306" s="31" t="str">
        <x:v>https://www.topuniversities.com/universities/university-alberta</x:v>
      </x:c>
      <x:c r="K306" s="31" t="str">
        <x:v>https://www.topuniversities.com/sustainability-rankings/2023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str">
        <x:v>28</x:v>
      </x:c>
      <x:c r="G307" s="36" t="n">
        <x:v>90.1</x:v>
      </x:c>
      <x:c r="H307" s="15" t="str">
        <x:v>Ranked</x:v>
      </x:c>
      <x:c r="I307" s="15" t="str">
        <x:v>University of Alberta</x:v>
      </x:c>
      <x:c r="J307" s="31" t="str">
        <x:v>https://www.topuniversities.com/universities/university-alberta</x:v>
      </x:c>
      <x:c r="K307" s="31" t="str">
        <x:v>https://www.topuniversities.com/sustainability-rankings/2024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str">
        <x:v>58</x:v>
      </x:c>
      <x:c r="G308" s="36" t="n">
        <x:v>91</x:v>
      </x:c>
      <x:c r="H308" s="15" t="str">
        <x:v>Ranked</x:v>
      </x:c>
      <x:c r="I308" s="15" t="str">
        <x:v>University of Alberta</x:v>
      </x:c>
      <x:c r="J308" s="31" t="str">
        <x:v>https://www.topuniversities.com/universities/university-alberta</x:v>
      </x:c>
      <x:c r="K308" s="31" t="str">
        <x:v>https://www.topuniversities.com/sustainability-rankings/2025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n">
        <x:f>74</x:f>
        <x:v>74</x:v>
      </x:c>
      <x:c r="G309" s="36" t="n">
        <x:v>92.2</x:v>
      </x:c>
      <x:c r="H309" s="15" t="str">
        <x:v>Ranked</x:v>
      </x:c>
      <x:c r="I309" s="15" t="str">
        <x:v>University of Alberta</x:v>
      </x:c>
      <x:c r="J309" s="31" t="str">
        <x:v>https://www.topuniversities.com/universities/university-alberta</x:v>
      </x:c>
      <x:c r="K309" s="31" t="str">
        <x:v>https://www.topuniversities.com/sustainability-rankings/2026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N/P</x:v>
      </x:c>
      <x:c r="G310" s="36"/>
      <x:c r="H310" s="15" t="str">
        <x:v>QS Sustainability ranking was not published for 2022</x:v>
      </x:c>
      <x:c r="I310" s="15" t="str"/>
      <x:c r="J310" s="31" t="str">
        <x:v>https://www.topuniversities.com/universities/korea-university</x:v>
      </x:c>
      <x:c r="K310" s="31" t="str"/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241-260</x:v>
      </x:c>
      <x:c r="G311" s="36"/>
      <x:c r="H311" s="15" t="str">
        <x:v>Ranked</x:v>
      </x:c>
      <x:c r="I311" s="15" t="str">
        <x:v>Korea University</x:v>
      </x:c>
      <x:c r="J311" s="31" t="str">
        <x:v>https://www.topuniversities.com/universities/korea-university</x:v>
      </x:c>
      <x:c r="K311" s="31" t="str">
        <x:v>https://www.topuniversities.com/sustainability-rankings/2023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n">
        <x:f>124</x:f>
        <x:v>124</x:v>
      </x:c>
      <x:c r="G312" s="36" t="n">
        <x:v>79.4</x:v>
      </x:c>
      <x:c r="H312" s="15" t="str">
        <x:v>Ranked</x:v>
      </x:c>
      <x:c r="I312" s="15" t="str">
        <x:v>Korea University</x:v>
      </x:c>
      <x:c r="J312" s="31" t="str">
        <x:v>https://www.topuniversities.com/universities/korea-university</x:v>
      </x:c>
      <x:c r="K312" s="31" t="str">
        <x:v>https://www.topuniversities.com/sustainability-rankings/2024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str">
        <x:v>101</x:v>
      </x:c>
      <x:c r="G313" s="36" t="n">
        <x:v>86.4</x:v>
      </x:c>
      <x:c r="H313" s="15" t="str">
        <x:v>Ranked</x:v>
      </x:c>
      <x:c r="I313" s="15" t="str">
        <x:v>Korea University</x:v>
      </x:c>
      <x:c r="J313" s="31" t="str">
        <x:v>https://www.topuniversities.com/universities/korea-university</x:v>
      </x:c>
      <x:c r="K313" s="31" t="str">
        <x:v>https://www.topuniversities.com/sustainability-rankings/2025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92</x:f>
        <x:v>92</x:v>
      </x:c>
      <x:c r="G314" s="36" t="n">
        <x:v>90.5</x:v>
      </x:c>
      <x:c r="H314" s="15" t="str">
        <x:v>Ranked</x:v>
      </x:c>
      <x:c r="I314" s="15" t="str">
        <x:v>Korea University</x:v>
      </x:c>
      <x:c r="J314" s="31" t="str">
        <x:v>https://www.topuniversities.com/universities/korea-university</x:v>
      </x:c>
      <x:c r="K314" s="31" t="str">
        <x:v>https://www.topuniversities.com/sustainability-rankings/2026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N/P</x:v>
      </x:c>
      <x:c r="G315" s="36"/>
      <x:c r="H315" s="15" t="str">
        <x:v>QS Sustainability ranking was not published for 2022</x:v>
      </x:c>
      <x:c r="I315" s="15" t="str"/>
      <x:c r="J315" s="31" t="str">
        <x:v>https://www.topuniversities.com/universities/universitas-airlangga</x:v>
      </x:c>
      <x:c r="K315" s="31" t="str"/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NR</x:v>
      </x:c>
      <x:c r="G316" s="36"/>
      <x:c r="H316" s="15" t="str">
        <x:v>Not ranked in complete official table</x:v>
      </x:c>
      <x:c r="I316" s="15" t="str"/>
      <x:c r="J316" s="31" t="str"/>
      <x:c r="K316" s="31" t="str">
        <x:v>https://www.topuniversities.com/sustainability-rankings/2023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n">
        <x:f>579</x:f>
        <x:v>579</x:v>
      </x:c>
      <x:c r="G317" s="36" t="n">
        <x:v>54.8</x:v>
      </x:c>
      <x:c r="H317" s="15" t="str">
        <x:v>Ranked</x:v>
      </x:c>
      <x:c r="I317" s="15" t="str">
        <x:v>Universitas Airlangga</x:v>
      </x:c>
      <x:c r="J317" s="31" t="str">
        <x:v>https://www.topuniversities.com/universities/universitas-airlangga</x:v>
      </x:c>
      <x:c r="K317" s="31" t="str">
        <x:v>https://www.topuniversities.com/sustainability-rankings/2024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n">
        <x:f>580</x:f>
        <x:v>580</x:v>
      </x:c>
      <x:c r="G318" s="36" t="n">
        <x:v>58.2</x:v>
      </x:c>
      <x:c r="H318" s="15" t="str">
        <x:v>Ranked</x:v>
      </x:c>
      <x:c r="I318" s="15" t="str">
        <x:v>Universitas Airlangga</x:v>
      </x:c>
      <x:c r="J318" s="31" t="str">
        <x:v>https://www.topuniversities.com/universities/universitas-airlangga</x:v>
      </x:c>
      <x:c r="K318" s="31" t="str">
        <x:v>https://www.topuniversities.com/sustainability-rankings/2025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n">
        <x:f>606</x:f>
        <x:v>606</x:v>
      </x:c>
      <x:c r="G319" s="36" t="n">
        <x:v>64.8</x:v>
      </x:c>
      <x:c r="H319" s="15" t="str">
        <x:v>Ranked</x:v>
      </x:c>
      <x:c r="I319" s="15" t="str">
        <x:v>Universitas Airlangga</x:v>
      </x:c>
      <x:c r="J319" s="31" t="str">
        <x:v>https://www.topuniversities.com/universities/universitas-airlangga</x:v>
      </x:c>
      <x:c r="K319" s="31" t="str">
        <x:v>https://www.topuniversities.com/sustainability-rankings/2026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N/P</x:v>
      </x:c>
      <x:c r="G320" s="36"/>
      <x:c r="H320" s="15" t="str">
        <x:v>QS Sustainability ranking was not published for 2022</x:v>
      </x:c>
      <x:c r="I320" s="15" t="str"/>
      <x:c r="J320" s="31" t="str">
        <x:v>https://www.topuniversities.com/universities/pusan-national-university</x:v>
      </x:c>
      <x:c r="K320" s="31" t="str"/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601+</x:v>
      </x:c>
      <x:c r="G321" s="36"/>
      <x:c r="H321" s="15" t="str">
        <x:v>Ranked</x:v>
      </x:c>
      <x:c r="I321" s="15" t="str">
        <x:v>Pusan National University</x:v>
      </x:c>
      <x:c r="J321" s="31" t="str">
        <x:v>https://www.topuniversities.com/universities/pusan-national-university</x:v>
      </x:c>
      <x:c r="K321" s="31" t="str">
        <x:v>https://www.topuniversities.com/sustainability-rankings/2023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n">
        <x:f>242</x:f>
        <x:v>242</x:v>
      </x:c>
      <x:c r="G322" s="36" t="n">
        <x:v>71.5</x:v>
      </x:c>
      <x:c r="H322" s="15" t="str">
        <x:v>Ranked</x:v>
      </x:c>
      <x:c r="I322" s="15" t="str">
        <x:v>Pusan National University</x:v>
      </x:c>
      <x:c r="J322" s="31" t="str">
        <x:v>https://www.topuniversities.com/universities/pusan-national-university</x:v>
      </x:c>
      <x:c r="K322" s="31" t="str">
        <x:v>https://www.topuniversities.com/sustainability-rankings/2024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n">
        <x:f>268</x:f>
        <x:v>268</x:v>
      </x:c>
      <x:c r="G323" s="36" t="n">
        <x:v>74.6</x:v>
      </x:c>
      <x:c r="H323" s="15" t="str">
        <x:v>Ranked</x:v>
      </x:c>
      <x:c r="I323" s="15" t="str">
        <x:v>Pusan National University</x:v>
      </x:c>
      <x:c r="J323" s="31" t="str">
        <x:v>https://www.topuniversities.com/universities/pusan-national-university</x:v>
      </x:c>
      <x:c r="K323" s="31" t="str">
        <x:v>https://www.topuniversities.com/sustainability-rankings/2025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n">
        <x:f>238</x:f>
        <x:v>238</x:v>
      </x:c>
      <x:c r="G324" s="36" t="n">
        <x:v>81.2</x:v>
      </x:c>
      <x:c r="H324" s="15" t="str">
        <x:v>Ranked</x:v>
      </x:c>
      <x:c r="I324" s="15" t="str">
        <x:v>Pusan National University</x:v>
      </x:c>
      <x:c r="J324" s="31" t="str">
        <x:v>https://www.topuniversities.com/universities/pusan-national-university</x:v>
      </x:c>
      <x:c r="K324" s="31" t="str">
        <x:v>https://www.topuniversities.com/sustainability-rankings/2026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N/P</x:v>
      </x:c>
      <x:c r="G325" s="36"/>
      <x:c r="H325" s="15" t="str">
        <x:v>QS Sustainability ranking was not published for 2022</x:v>
      </x:c>
      <x:c r="I325" s="15" t="str"/>
      <x:c r="J325" s="31" t="str">
        <x:v>https://www.topuniversities.com/universities/university-tasmania</x:v>
      </x:c>
      <x:c r="K325" s="31" t="str"/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241-260</x:v>
      </x:c>
      <x:c r="G326" s="36"/>
      <x:c r="H326" s="15" t="str">
        <x:v>Ranked</x:v>
      </x:c>
      <x:c r="I326" s="15" t="str">
        <x:v>University of Tasmania</x:v>
      </x:c>
      <x:c r="J326" s="31" t="str">
        <x:v>https://www.topuniversities.com/universities/university-tasmania</x:v>
      </x:c>
      <x:c r="K326" s="31" t="str">
        <x:v>https://www.topuniversities.com/sustainability-rankings/2023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str">
        <x:v>123</x:v>
      </x:c>
      <x:c r="G327" s="36" t="n">
        <x:v>79.6</x:v>
      </x:c>
      <x:c r="H327" s="15" t="str">
        <x:v>Ranked</x:v>
      </x:c>
      <x:c r="I327" s="15" t="str">
        <x:v>University of Tasmania</x:v>
      </x:c>
      <x:c r="J327" s="31" t="str">
        <x:v>https://www.topuniversities.com/universities/university-tasmania</x:v>
      </x:c>
      <x:c r="K327" s="31" t="str">
        <x:v>https://www.topuniversities.com/sustainability-rankings/2024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n">
        <x:f>124</x:f>
        <x:v>124</x:v>
      </x:c>
      <x:c r="G328" s="36" t="n">
        <x:v>84.6</x:v>
      </x:c>
      <x:c r="H328" s="15" t="str">
        <x:v>Ranked</x:v>
      </x:c>
      <x:c r="I328" s="15" t="str">
        <x:v>University of Tasmania</x:v>
      </x:c>
      <x:c r="J328" s="31" t="str">
        <x:v>https://www.topuniversities.com/universities/university-tasmania</x:v>
      </x:c>
      <x:c r="K328" s="31" t="str">
        <x:v>https://www.topuniversities.com/sustainability-rankings/2025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n">
        <x:f>141</x:f>
        <x:v>141</x:v>
      </x:c>
      <x:c r="G329" s="36" t="n">
        <x:v>87</x:v>
      </x:c>
      <x:c r="H329" s="15" t="str">
        <x:v>Ranked</x:v>
      </x:c>
      <x:c r="I329" s="15" t="str">
        <x:v>University of Tasmania</x:v>
      </x:c>
      <x:c r="J329" s="31" t="str">
        <x:v>https://www.topuniversities.com/universities/university-tasmania</x:v>
      </x:c>
      <x:c r="K329" s="31" t="str">
        <x:v>https://www.topuniversities.com/sustainability-rankings/2026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str">
        <x:v>N/P</x:v>
      </x:c>
      <x:c r="G330" s="36"/>
      <x:c r="H330" s="15" t="str">
        <x:v>QS Sustainability ranking was not published for 2022</x:v>
      </x:c>
      <x:c r="I330" s="15" t="str"/>
      <x:c r="J330" s="31" t="str">
        <x:v>https://www.topuniversities.com/universities/mcmaster-university</x:v>
      </x:c>
      <x:c r="K330" s="31" t="str"/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201-220</x:v>
      </x:c>
      <x:c r="G331" s="36"/>
      <x:c r="H331" s="15" t="str">
        <x:v>Ranked</x:v>
      </x:c>
      <x:c r="I331" s="15" t="str">
        <x:v>McMaster University</x:v>
      </x:c>
      <x:c r="J331" s="31" t="str">
        <x:v>https://www.topuniversities.com/universities/mcmaster-university</x:v>
      </x:c>
      <x:c r="K331" s="31" t="str">
        <x:v>https://www.topuniversities.com/sustainability-rankings/2023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n">
        <x:f>78</x:f>
        <x:v>78</x:v>
      </x:c>
      <x:c r="G332" s="36" t="n">
        <x:v>83.6</x:v>
      </x:c>
      <x:c r="H332" s="15" t="str">
        <x:v>Ranked</x:v>
      </x:c>
      <x:c r="I332" s="15" t="str">
        <x:v>McMaster University</x:v>
      </x:c>
      <x:c r="J332" s="31" t="str">
        <x:v>https://www.topuniversities.com/universities/mcmaster-university</x:v>
      </x:c>
      <x:c r="K332" s="31" t="str">
        <x:v>https://www.topuniversities.com/sustainability-rankings/2024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93</x:f>
        <x:v>93</x:v>
      </x:c>
      <x:c r="G333" s="36" t="n">
        <x:v>87.1</x:v>
      </x:c>
      <x:c r="H333" s="15" t="str">
        <x:v>Ranked</x:v>
      </x:c>
      <x:c r="I333" s="15" t="str">
        <x:v>McMaster University</x:v>
      </x:c>
      <x:c r="J333" s="31" t="str">
        <x:v>https://www.topuniversities.com/universities/mcmaster-university</x:v>
      </x:c>
      <x:c r="K333" s="31" t="str">
        <x:v>https://www.topuniversities.com/sustainability-rankings/2025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n">
        <x:f>92</x:f>
        <x:v>92</x:v>
      </x:c>
      <x:c r="G334" s="36" t="n">
        <x:v>90.5</x:v>
      </x:c>
      <x:c r="H334" s="15" t="str">
        <x:v>Ranked</x:v>
      </x:c>
      <x:c r="I334" s="15" t="str">
        <x:v>McMaster University</x:v>
      </x:c>
      <x:c r="J334" s="31" t="str">
        <x:v>https://www.topuniversities.com/universities/mcmaster-university</x:v>
      </x:c>
      <x:c r="K334" s="31" t="str">
        <x:v>https://www.topuniversities.com/sustainability-rankings/2026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str">
        <x:v>N/P</x:v>
      </x:c>
      <x:c r="G335" s="36"/>
      <x:c r="H335" s="15" t="str">
        <x:v>QS Sustainability ranking was not published for 2022</x:v>
      </x:c>
      <x:c r="I335" s="15" t="str"/>
      <x:c r="J335" s="31" t="str">
        <x:v>https://www.topuniversities.com/universities/chulalongkorn-university</x:v>
      </x:c>
      <x:c r="K335" s="31" t="str"/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151-160</x:v>
      </x:c>
      <x:c r="G336" s="36"/>
      <x:c r="H336" s="15" t="str">
        <x:v>Ranked</x:v>
      </x:c>
      <x:c r="I336" s="15" t="str">
        <x:v>Chulalongkorn University</x:v>
      </x:c>
      <x:c r="J336" s="31" t="str">
        <x:v>https://www.topuniversities.com/universities/chulalongkorn-university</x:v>
      </x:c>
      <x:c r="K336" s="31" t="str">
        <x:v>https://www.topuniversities.com/sustainability-rankings/2023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n">
        <x:f>197</x:f>
        <x:v>197</x:v>
      </x:c>
      <x:c r="G337" s="36" t="n">
        <x:v>74.3</x:v>
      </x:c>
      <x:c r="H337" s="15" t="str">
        <x:v>Ranked</x:v>
      </x:c>
      <x:c r="I337" s="15" t="str">
        <x:v>Chulalongkorn University</x:v>
      </x:c>
      <x:c r="J337" s="31" t="str">
        <x:v>https://www.topuniversities.com/universities/chulalongkorn-university</x:v>
      </x:c>
      <x:c r="K337" s="31" t="str">
        <x:v>https://www.topuniversities.com/sustainability-rankings/2024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n">
        <x:f>168</x:f>
        <x:v>168</x:v>
      </x:c>
      <x:c r="G338" s="36" t="n">
        <x:v>80.7</x:v>
      </x:c>
      <x:c r="H338" s="15" t="str">
        <x:v>Ranked</x:v>
      </x:c>
      <x:c r="I338" s="15" t="str">
        <x:v>Chulalongkorn University</x:v>
      </x:c>
      <x:c r="J338" s="31" t="str">
        <x:v>https://www.topuniversities.com/universities/chulalongkorn-university</x:v>
      </x:c>
      <x:c r="K338" s="31" t="str">
        <x:v>https://www.topuniversities.com/sustainability-rankings/2025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165</x:v>
      </x:c>
      <x:c r="G339" s="36" t="n">
        <x:v>85.5</x:v>
      </x:c>
      <x:c r="H339" s="15" t="str">
        <x:v>Ranked</x:v>
      </x:c>
      <x:c r="I339" s="15" t="str">
        <x:v>Chulalongkorn University</x:v>
      </x:c>
      <x:c r="J339" s="31" t="str">
        <x:v>https://www.topuniversities.com/universities/chulalongkorn-university</x:v>
      </x:c>
      <x:c r="K339" s="31" t="str">
        <x:v>https://www.topuniversities.com/sustainability-rankings/2026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str">
        <x:v>N/P</x:v>
      </x:c>
      <x:c r="G340" s="36"/>
      <x:c r="H340" s="15" t="str">
        <x:v>QS Sustainability ranking was not published for 2022</x:v>
      </x:c>
      <x:c r="I340" s="15" t="str"/>
      <x:c r="J340" s="31" t="str">
        <x:v>https://www.topuniversities.com/universities/kyungpook-national-university</x:v>
      </x:c>
      <x:c r="K340" s="31" t="str"/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str">
        <x:v>301-320</x:v>
      </x:c>
      <x:c r="G341" s="36"/>
      <x:c r="H341" s="15" t="str">
        <x:v>Ranked</x:v>
      </x:c>
      <x:c r="I341" s="15" t="str">
        <x:v>Kyungpook National University</x:v>
      </x:c>
      <x:c r="J341" s="31" t="str">
        <x:v>https://www.topuniversities.com/universities/kyungpook-national-university</x:v>
      </x:c>
      <x:c r="K341" s="31" t="str">
        <x:v>https://www.topuniversities.com/sustainability-rankings/2023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n">
        <x:f>267</x:f>
        <x:v>267</x:v>
      </x:c>
      <x:c r="G342" s="36" t="n">
        <x:v>70.1</x:v>
      </x:c>
      <x:c r="H342" s="15" t="str">
        <x:v>Ranked</x:v>
      </x:c>
      <x:c r="I342" s="15" t="str">
        <x:v>Kyungpook National University</x:v>
      </x:c>
      <x:c r="J342" s="31" t="str">
        <x:v>https://www.topuniversities.com/universities/kyungpook-national-university</x:v>
      </x:c>
      <x:c r="K342" s="31" t="str">
        <x:v>https://www.topuniversities.com/sustainability-rankings/2024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n">
        <x:f>346</x:f>
        <x:v>346</x:v>
      </x:c>
      <x:c r="G343" s="36" t="n">
        <x:v>69.5</x:v>
      </x:c>
      <x:c r="H343" s="15" t="str">
        <x:v>Ranked</x:v>
      </x:c>
      <x:c r="I343" s="15" t="str">
        <x:v>Kyungpook National University</x:v>
      </x:c>
      <x:c r="J343" s="31" t="str">
        <x:v>https://www.topuniversities.com/universities/kyungpook-national-university</x:v>
      </x:c>
      <x:c r="K343" s="31" t="str">
        <x:v>https://www.topuniversities.com/sustainability-rankings/2025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n">
        <x:f>357</x:f>
        <x:v>357</x:v>
      </x:c>
      <x:c r="G344" s="36" t="n">
        <x:v>74.7</x:v>
      </x:c>
      <x:c r="H344" s="15" t="str">
        <x:v>Ranked</x:v>
      </x:c>
      <x:c r="I344" s="15" t="str">
        <x:v>Kyungpook National University</x:v>
      </x:c>
      <x:c r="J344" s="31" t="str">
        <x:v>https://www.topuniversities.com/universities/kyungpook-national-university</x:v>
      </x:c>
      <x:c r="K344" s="31" t="str">
        <x:v>https://www.topuniversities.com/sustainability-rankings/2026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N/P</x:v>
      </x:c>
      <x:c r="G345" s="36"/>
      <x:c r="H345" s="15" t="str">
        <x:v>QS Sustainability ranking was not published for 2022</x:v>
      </x:c>
      <x:c r="I345" s="15" t="str"/>
      <x:c r="J345" s="31" t="str">
        <x:v>https://www.topuniversities.com/universities/hong-kong-university-science-technology</x:v>
      </x:c>
      <x:c r="K345" s="31" t="str"/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401-450</x:v>
      </x:c>
      <x:c r="G346" s="36"/>
      <x:c r="H346" s="15" t="str">
        <x:v>Ranked</x:v>
      </x:c>
      <x:c r="I346" s="15" t="str">
        <x:v>The Hong Kong University of Science and Technology</x:v>
      </x:c>
      <x:c r="J346" s="31" t="str">
        <x:v>https://www.topuniversities.com/universities/hong-kong-university-science-technology</x:v>
      </x:c>
      <x:c r="K346" s="31" t="str">
        <x:v>https://www.topuniversities.com/sustainability-rankings/2023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177</x:f>
        <x:v>177</x:v>
      </x:c>
      <x:c r="G347" s="36" t="n">
        <x:v>75.4</x:v>
      </x:c>
      <x:c r="H347" s="15" t="str">
        <x:v>Ranked</x:v>
      </x:c>
      <x:c r="I347" s="15" t="str">
        <x:v>The Hong Kong University of Science and Technology</x:v>
      </x:c>
      <x:c r="J347" s="31" t="str">
        <x:v>https://www.topuniversities.com/universities/hong-kong-university-science-technology</x:v>
      </x:c>
      <x:c r="K347" s="31" t="str">
        <x:v>https://www.topuniversities.com/sustainability-rankings/2024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n">
        <x:f>175</x:f>
        <x:v>175</x:v>
      </x:c>
      <x:c r="G348" s="36" t="n">
        <x:v>80.4</x:v>
      </x:c>
      <x:c r="H348" s="15" t="str">
        <x:v>Ranked</x:v>
      </x:c>
      <x:c r="I348" s="15" t="str">
        <x:v>The Hong Kong University of Science and Technology</x:v>
      </x:c>
      <x:c r="J348" s="31" t="str">
        <x:v>https://www.topuniversities.com/universities/hong-kong-university-science-technology</x:v>
      </x:c>
      <x:c r="K348" s="31" t="str">
        <x:v>https://www.topuniversities.com/sustainability-rankings/2025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210</x:f>
        <x:v>210</x:v>
      </x:c>
      <x:c r="G349" s="36" t="n">
        <x:v>83</x:v>
      </x:c>
      <x:c r="H349" s="15" t="str">
        <x:v>Ranked</x:v>
      </x:c>
      <x:c r="I349" s="15" t="str">
        <x:v>The Hong Kong University of Science and Technology</x:v>
      </x:c>
      <x:c r="J349" s="31" t="str">
        <x:v>https://www.topuniversities.com/universities/hong-kong-university-science-technology</x:v>
      </x:c>
      <x:c r="K349" s="31" t="str">
        <x:v>https://www.topuniversities.com/sustainability-rankings/2026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str">
        <x:v>N/P</x:v>
      </x:c>
      <x:c r="G350" s="36"/>
      <x:c r="H350" s="15" t="str">
        <x:v>QS Sustainability ranking was not published for 2022</x:v>
      </x:c>
      <x:c r="I350" s="15" t="str"/>
      <x:c r="J350" s="31" t="str">
        <x:v>https://www.topuniversities.com/universities/lovely-professional-university-lpu</x:v>
      </x:c>
      <x:c r="K350" s="31" t="str"/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NR</x:v>
      </x:c>
      <x:c r="G351" s="36"/>
      <x:c r="H351" s="15" t="str">
        <x:v>Not ranked in complete official table</x:v>
      </x:c>
      <x:c r="I351" s="15" t="str"/>
      <x:c r="J351" s="31" t="str"/>
      <x:c r="K351" s="31" t="str">
        <x:v>https://www.topuniversities.com/sustainability-rankings/2023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n">
        <x:f>672</x:f>
        <x:v>672</x:v>
      </x:c>
      <x:c r="G352" s="36" t="n">
        <x:v>51.4</x:v>
      </x:c>
      <x:c r="H352" s="15" t="str">
        <x:v>Ranked</x:v>
      </x:c>
      <x:c r="I352" s="15" t="str">
        <x:v>Lovely Professional University (LPU)</x:v>
      </x:c>
      <x:c r="J352" s="31" t="str">
        <x:v>https://www.topuniversities.com/universities/lovely-professional-university-lpu</x:v>
      </x:c>
      <x:c r="K352" s="31" t="str">
        <x:v>https://www.topuniversities.com/sustainability-rankings/2024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n">
        <x:f>749</x:f>
        <x:v>749</x:v>
      </x:c>
      <x:c r="G353" s="36" t="n">
        <x:v>51.2</x:v>
      </x:c>
      <x:c r="H353" s="15" t="str">
        <x:v>Ranked</x:v>
      </x:c>
      <x:c r="I353" s="15" t="str">
        <x:v>Lovely Professional University (LPU)</x:v>
      </x:c>
      <x:c r="J353" s="31" t="str">
        <x:v>https://www.topuniversities.com/universities/lovely-professional-university-lpu</x:v>
      </x:c>
      <x:c r="K353" s="31" t="str">
        <x:v>https://www.topuniversities.com/sustainability-rankings/2025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n">
        <x:f>544</x:f>
        <x:v>544</x:v>
      </x:c>
      <x:c r="G354" s="36" t="n">
        <x:v>67.1</x:v>
      </x:c>
      <x:c r="H354" s="15" t="str">
        <x:v>Ranked</x:v>
      </x:c>
      <x:c r="I354" s="15" t="str">
        <x:v>Lovely Professional University (LPU)</x:v>
      </x:c>
      <x:c r="J354" s="31" t="str">
        <x:v>https://www.topuniversities.com/universities/lovely-professional-university-lpu</x:v>
      </x:c>
      <x:c r="K354" s="31" t="str">
        <x:v>https://www.topuniversities.com/sustainability-rankings/2026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N/P</x:v>
      </x:c>
      <x:c r="G355" s="36"/>
      <x:c r="H355" s="15" t="str">
        <x:v>QS Sustainability ranking was not published for 2022</x:v>
      </x:c>
      <x:c r="I355" s="15" t="str"/>
      <x:c r="J355" s="31" t="str">
        <x:v>https://www.topuniversities.com/universities/universiti-malaya-um</x:v>
      </x:c>
      <x:c r="K355" s="31" t="str"/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n">
        <x:f>66</x:f>
        <x:v>66</x:v>
      </x:c>
      <x:c r="G356" s="36" t="n">
        <x:v>69.5</x:v>
      </x:c>
      <x:c r="H356" s="15" t="str">
        <x:v>Ranked</x:v>
      </x:c>
      <x:c r="I356" s="15" t="str">
        <x:v>Universiti Malaya (UM)</x:v>
      </x:c>
      <x:c r="J356" s="31" t="str">
        <x:v>https://www.topuniversities.com/universities/universiti-malaya-um</x:v>
      </x:c>
      <x:c r="K356" s="31" t="str">
        <x:v>https://www.topuniversities.com/sustainability-rankings/2023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n">
        <x:f>132</x:f>
        <x:v>132</x:v>
      </x:c>
      <x:c r="G357" s="36" t="n">
        <x:v>78.6</x:v>
      </x:c>
      <x:c r="H357" s="15" t="str">
        <x:v>Ranked</x:v>
      </x:c>
      <x:c r="I357" s="15" t="str">
        <x:v>Universiti Malaya (UM)</x:v>
      </x:c>
      <x:c r="J357" s="31" t="str">
        <x:v>https://www.topuniversities.com/universities/universiti-malaya-um</x:v>
      </x:c>
      <x:c r="K357" s="31" t="str">
        <x:v>https://www.topuniversities.com/sustainability-rankings/2024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n">
        <x:f>115</x:f>
        <x:v>115</x:v>
      </x:c>
      <x:c r="G358" s="36" t="n">
        <x:v>85.3</x:v>
      </x:c>
      <x:c r="H358" s="15" t="str">
        <x:v>Ranked</x:v>
      </x:c>
      <x:c r="I358" s="15" t="str">
        <x:v>Universiti Malaya (UM)</x:v>
      </x:c>
      <x:c r="J358" s="31" t="str">
        <x:v>https://www.topuniversities.com/universities/universiti-malaya-um</x:v>
      </x:c>
      <x:c r="K358" s="31" t="str">
        <x:v>https://www.topuniversities.com/sustainability-rankings/2025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n">
        <x:f>166</x:f>
        <x:v>166</x:v>
      </x:c>
      <x:c r="G359" s="36" t="n">
        <x:v>85.4</x:v>
      </x:c>
      <x:c r="H359" s="15" t="str">
        <x:v>Ranked</x:v>
      </x:c>
      <x:c r="I359" s="15" t="str">
        <x:v>Universiti Malaya (UM)</x:v>
      </x:c>
      <x:c r="J359" s="31" t="str">
        <x:v>https://www.topuniversities.com/universities/universiti-malaya-um</x:v>
      </x:c>
      <x:c r="K359" s="31" t="str">
        <x:v>https://www.topuniversities.com/sustainability-rankings/2026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str">
        <x:v>N/P</x:v>
      </x:c>
      <x:c r="G360" s="36"/>
      <x:c r="H360" s="15" t="str">
        <x:v>QS Sustainability ranking was not published for 2022</x:v>
      </x:c>
      <x:c r="I360" s="15" t="str"/>
      <x:c r="J360" s="31" t="str">
        <x:v>https://www.topuniversities.com/universities/aalborg-university</x:v>
      </x:c>
      <x:c r="K360" s="31" t="str"/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str">
        <x:v>341-360</x:v>
      </x:c>
      <x:c r="G361" s="36"/>
      <x:c r="H361" s="15" t="str">
        <x:v>Ranked</x:v>
      </x:c>
      <x:c r="I361" s="15" t="str">
        <x:v>Aalborg University</x:v>
      </x:c>
      <x:c r="J361" s="31" t="str">
        <x:v>https://www.topuniversities.com/universities/aalborg-university</x:v>
      </x:c>
      <x:c r="K361" s="31" t="str">
        <x:v>https://www.topuniversities.com/sustainability-rankings/2023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183</x:v>
      </x:c>
      <x:c r="G362" s="36" t="n">
        <x:v>75.2</x:v>
      </x:c>
      <x:c r="H362" s="15" t="str">
        <x:v>Ranked</x:v>
      </x:c>
      <x:c r="I362" s="15" t="str">
        <x:v>Aalborg University</x:v>
      </x:c>
      <x:c r="J362" s="31" t="str">
        <x:v>https://www.topuniversities.com/universities/aalborg-university</x:v>
      </x:c>
      <x:c r="K362" s="31" t="str">
        <x:v>https://www.topuniversities.com/sustainability-rankings/2024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n">
        <x:f>185</x:f>
        <x:v>185</x:v>
      </x:c>
      <x:c r="G363" s="36" t="n">
        <x:v>79.9</x:v>
      </x:c>
      <x:c r="H363" s="15" t="str">
        <x:v>Ranked</x:v>
      </x:c>
      <x:c r="I363" s="15" t="str">
        <x:v>Aalborg University</x:v>
      </x:c>
      <x:c r="J363" s="31" t="str">
        <x:v>https://www.topuniversities.com/universities/aalborg-university</x:v>
      </x:c>
      <x:c r="K363" s="31" t="str">
        <x:v>https://www.topuniversities.com/sustainability-rankings/2025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n">
        <x:f>148</x:f>
        <x:v>148</x:v>
      </x:c>
      <x:c r="G364" s="36" t="n">
        <x:v>86.6</x:v>
      </x:c>
      <x:c r="H364" s="15" t="str">
        <x:v>Ranked</x:v>
      </x:c>
      <x:c r="I364" s="15" t="str">
        <x:v>Aalborg University</x:v>
      </x:c>
      <x:c r="J364" s="31" t="str">
        <x:v>https://www.topuniversities.com/universities/aalborg-university</x:v>
      </x:c>
      <x:c r="K364" s="31" t="str">
        <x:v>https://www.topuniversities.com/sustainability-rankings/2026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str">
        <x:v>N/P</x:v>
      </x:c>
      <x:c r="G365" s="36"/>
      <x:c r="H365" s="15" t="str">
        <x:v>QS Sustainability ranking was not published for 2022</x:v>
      </x:c>
      <x:c r="I365" s="15" t="str"/>
      <x:c r="J365" s="31" t="str">
        <x:v>https://www.topuniversities.com/universities/kyung-hee-university</x:v>
      </x:c>
      <x:c r="K365" s="31" t="str"/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str">
        <x:v>501-550</x:v>
      </x:c>
      <x:c r="G366" s="36"/>
      <x:c r="H366" s="15" t="str">
        <x:v>Ranked</x:v>
      </x:c>
      <x:c r="I366" s="15" t="str">
        <x:v>Kyung Hee University</x:v>
      </x:c>
      <x:c r="J366" s="31" t="str">
        <x:v>https://www.topuniversities.com/universities/kyung-hee-university</x:v>
      </x:c>
      <x:c r="K366" s="31" t="str">
        <x:v>https://www.topuniversities.com/sustainability-rankings/2023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n">
        <x:f>152</x:f>
        <x:v>152</x:v>
      </x:c>
      <x:c r="G367" s="36" t="n">
        <x:v>77.2</x:v>
      </x:c>
      <x:c r="H367" s="15" t="str">
        <x:v>Ranked</x:v>
      </x:c>
      <x:c r="I367" s="15" t="str">
        <x:v>Kyung Hee University</x:v>
      </x:c>
      <x:c r="J367" s="31" t="str">
        <x:v>https://www.topuniversities.com/universities/kyung-hee-university</x:v>
      </x:c>
      <x:c r="K367" s="31" t="str">
        <x:v>https://www.topuniversities.com/sustainability-rankings/2024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n">
        <x:f>239</x:f>
        <x:v>239</x:v>
      </x:c>
      <x:c r="G368" s="36" t="n">
        <x:v>75.8</x:v>
      </x:c>
      <x:c r="H368" s="15" t="str">
        <x:v>Ranked</x:v>
      </x:c>
      <x:c r="I368" s="15" t="str">
        <x:v>Kyung Hee University</x:v>
      </x:c>
      <x:c r="J368" s="31" t="str">
        <x:v>https://www.topuniversities.com/universities/kyung-hee-university</x:v>
      </x:c>
      <x:c r="K368" s="31" t="str">
        <x:v>https://www.topuniversities.com/sustainability-rankings/2025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n">
        <x:f>244</x:f>
        <x:v>244</x:v>
      </x:c>
      <x:c r="G369" s="36" t="n">
        <x:v>80.8</x:v>
      </x:c>
      <x:c r="H369" s="15" t="str">
        <x:v>Ranked</x:v>
      </x:c>
      <x:c r="I369" s="15" t="str">
        <x:v>Kyung Hee University</x:v>
      </x:c>
      <x:c r="J369" s="31" t="str">
        <x:v>https://www.topuniversities.com/universities/kyung-hee-university</x:v>
      </x:c>
      <x:c r="K369" s="31" t="str">
        <x:v>https://www.topuniversities.com/sustainability-rankings/2026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N/P</x:v>
      </x:c>
      <x:c r="G370" s="36"/>
      <x:c r="H370" s="15" t="str">
        <x:v>QS Sustainability ranking was not published for 2022</x:v>
      </x:c>
      <x:c r="I370" s="15" t="str"/>
      <x:c r="J370" s="31" t="str">
        <x:v>https://www.topuniversities.com/universities/university-victoria-uvic</x:v>
      </x:c>
      <x:c r="K370" s="31" t="str"/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str">
        <x:v>151-160</x:v>
      </x:c>
      <x:c r="G371" s="36"/>
      <x:c r="H371" s="15" t="str">
        <x:v>Ranked</x:v>
      </x:c>
      <x:c r="I371" s="15" t="str">
        <x:v>University of Victoria (UVic)</x:v>
      </x:c>
      <x:c r="J371" s="31" t="str">
        <x:v>https://www.topuniversities.com/universities/university-victoria-uvic</x:v>
      </x:c>
      <x:c r="K371" s="31" t="str">
        <x:v>https://www.topuniversities.com/sustainability-rankings/2023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n">
        <x:f>139</x:f>
        <x:v>139</x:v>
      </x:c>
      <x:c r="G372" s="36" t="n">
        <x:v>78.3</x:v>
      </x:c>
      <x:c r="H372" s="15" t="str">
        <x:v>Ranked</x:v>
      </x:c>
      <x:c r="I372" s="15" t="str">
        <x:v>University of Victoria (UVic)</x:v>
      </x:c>
      <x:c r="J372" s="31" t="str">
        <x:v>https://www.topuniversities.com/universities/university-victoria-uvic</x:v>
      </x:c>
      <x:c r="K372" s="31" t="str">
        <x:v>https://www.topuniversities.com/sustainability-rankings/2024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n">
        <x:f>171</x:f>
        <x:v>171</x:v>
      </x:c>
      <x:c r="G373" s="36" t="n">
        <x:v>80.6</x:v>
      </x:c>
      <x:c r="H373" s="15" t="str">
        <x:v>Ranked</x:v>
      </x:c>
      <x:c r="I373" s="15" t="str">
        <x:v>University of Victoria (UVic)</x:v>
      </x:c>
      <x:c r="J373" s="31" t="str">
        <x:v>https://www.topuniversities.com/universities/university-victoria-uvic</x:v>
      </x:c>
      <x:c r="K373" s="31" t="str">
        <x:v>https://www.topuniversities.com/sustainability-rankings/2025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n">
        <x:f>197</x:f>
        <x:v>197</x:v>
      </x:c>
      <x:c r="G374" s="36" t="n">
        <x:v>83.6</x:v>
      </x:c>
      <x:c r="H374" s="15" t="str">
        <x:v>Ranked</x:v>
      </x:c>
      <x:c r="I374" s="15" t="str">
        <x:v>University of Victoria (UVic)</x:v>
      </x:c>
      <x:c r="J374" s="31" t="str">
        <x:v>https://www.topuniversities.com/universities/university-victoria-uvic</x:v>
      </x:c>
      <x:c r="K374" s="31" t="str">
        <x:v>https://www.topuniversities.com/sustainability-rankings/2026</x:v>
      </x:c>
      <x:c r="L374" s="31" t="str">
        <x:v>https://www.uvic.ca/socialsciences/environmental/programs/graduate/index.php</x:v>
      </x:c>
    </x:row>
    <x:row r="375">
      <x:c r="A375" s="15" t="n">
        <x:v>76</x:v>
      </x:c>
      <x:c r="B375" s="15" t="str">
        <x:v>Central Queensland University</x:v>
      </x:c>
      <x:c r="C375" s="15" t="str">
        <x:v>Australia</x:v>
      </x:c>
      <x:c r="D375" s="15" t="str">
        <x:v>Master of Sustainable Development</x:v>
      </x:c>
      <x:c r="E375" s="32" t="n">
        <x:v>2022</x:v>
      </x:c>
      <x:c r="F375" s="32" t="str">
        <x:v>N/P</x:v>
      </x:c>
      <x:c r="G375" s="36"/>
      <x:c r="H375" s="15" t="str">
        <x:v>QS Sustainability ranking was not published for 2022</x:v>
      </x:c>
      <x:c r="I375" s="15" t="str"/>
      <x:c r="J375" s="31" t="str">
        <x:v>https://www.topuniversities.com/universities/central-queensland-university-cquniversity-australia</x:v>
      </x:c>
      <x:c r="K375" s="31" t="str"/>
      <x:c r="L375" s="31" t="str">
        <x:v>https://handbook.cqu.edu.au/he/courses/view/CM82/HT1/2025</x:v>
      </x:c>
    </x:row>
    <x:row r="376">
      <x:c r="A376" s="15" t="n">
        <x:v>76</x:v>
      </x:c>
      <x:c r="B376" s="15" t="str">
        <x:v>Central Queensland University</x:v>
      </x:c>
      <x:c r="C376" s="15" t="str">
        <x:v>Australia</x:v>
      </x:c>
      <x:c r="D376" s="15" t="str">
        <x:v>Master of Sustainable Development</x:v>
      </x:c>
      <x:c r="E376" s="32" t="n">
        <x:v>2023</x:v>
      </x:c>
      <x:c r="F376" s="32" t="str">
        <x:v>NR</x:v>
      </x:c>
      <x:c r="G376" s="36"/>
      <x:c r="H376" s="15" t="str">
        <x:v>Not ranked in complete official table</x:v>
      </x:c>
      <x:c r="I376" s="15" t="str"/>
      <x:c r="J376" s="31" t="str"/>
      <x:c r="K376" s="31" t="str">
        <x:v>https://www.topuniversities.com/sustainability-rankings/2023</x:v>
      </x:c>
      <x:c r="L376" s="31" t="str">
        <x:v>https://handbook.cqu.edu.au/he/courses/view/CM82/HT1/2025</x:v>
      </x:c>
    </x:row>
    <x:row r="377">
      <x:c r="A377" s="15" t="n">
        <x:v>76</x:v>
      </x:c>
      <x:c r="B377" s="15" t="str">
        <x:v>Central Queensland University</x:v>
      </x:c>
      <x:c r="C377" s="15" t="str">
        <x:v>Australia</x:v>
      </x:c>
      <x:c r="D377" s="15" t="str">
        <x:v>Master of Sustainable Development</x:v>
      </x:c>
      <x:c r="E377" s="32" t="n">
        <x:v>2024</x:v>
      </x:c>
      <x:c r="F377" s="32" t="n">
        <x:f>320</x:f>
        <x:v>320</x:v>
      </x:c>
      <x:c r="G377" s="36" t="n">
        <x:v>66.8</x:v>
      </x:c>
      <x:c r="H377" s="15" t="str">
        <x:v>Ranked</x:v>
      </x:c>
      <x:c r="I377" s="15" t="str">
        <x:v>Central Queensland University (CQUniversity Australia)</x:v>
      </x:c>
      <x:c r="J377" s="31" t="str">
        <x:v>https://www.topuniversities.com/universities/central-queensland-university-cquniversity-australia</x:v>
      </x:c>
      <x:c r="K377" s="31" t="str">
        <x:v>https://www.topuniversities.com/sustainability-rankings/2024</x:v>
      </x:c>
      <x:c r="L377" s="31" t="str">
        <x:v>https://handbook.cqu.edu.au/he/courses/view/CM82/HT1/2025</x:v>
      </x:c>
    </x:row>
    <x:row r="378">
      <x:c r="A378" s="15" t="n">
        <x:v>76</x:v>
      </x:c>
      <x:c r="B378" s="15" t="str">
        <x:v>Central Queensland University</x:v>
      </x:c>
      <x:c r="C378" s="15" t="str">
        <x:v>Australia</x:v>
      </x:c>
      <x:c r="D378" s="15" t="str">
        <x:v>Master of Sustainable Development</x:v>
      </x:c>
      <x:c r="E378" s="32" t="n">
        <x:v>2025</x:v>
      </x:c>
      <x:c r="F378" s="32" t="n">
        <x:f>420</x:f>
        <x:v>420</x:v>
      </x:c>
      <x:c r="G378" s="36" t="n">
        <x:v>65.5</x:v>
      </x:c>
      <x:c r="H378" s="15" t="str">
        <x:v>Ranked</x:v>
      </x:c>
      <x:c r="I378" s="15" t="str">
        <x:v>Central Queensland University (CQUniversity Australia)</x:v>
      </x:c>
      <x:c r="J378" s="31" t="str">
        <x:v>https://www.topuniversities.com/universities/central-queensland-university-cquniversity-australia</x:v>
      </x:c>
      <x:c r="K378" s="31" t="str">
        <x:v>https://www.topuniversities.com/sustainability-rankings/2025</x:v>
      </x:c>
      <x:c r="L378" s="31" t="str">
        <x:v>https://handbook.cqu.edu.au/he/courses/view/CM82/HT1/2025</x:v>
      </x:c>
    </x:row>
    <x:row r="379">
      <x:c r="A379" s="15" t="n">
        <x:v>76</x:v>
      </x:c>
      <x:c r="B379" s="15" t="str">
        <x:v>Central Queensland University</x:v>
      </x:c>
      <x:c r="C379" s="15" t="str">
        <x:v>Australia</x:v>
      </x:c>
      <x:c r="D379" s="15" t="str">
        <x:v>Master of Sustainable Development</x:v>
      </x:c>
      <x:c r="E379" s="32" t="n">
        <x:v>2026</x:v>
      </x:c>
      <x:c r="F379" s="32" t="n">
        <x:f>389</x:f>
        <x:v>389</x:v>
      </x:c>
      <x:c r="G379" s="36" t="n">
        <x:v>73.7</x:v>
      </x:c>
      <x:c r="H379" s="15" t="str">
        <x:v>Ranked</x:v>
      </x:c>
      <x:c r="I379" s="15" t="str">
        <x:v>Central Queensland University (CQUniversity Australia)</x:v>
      </x:c>
      <x:c r="J379" s="31" t="str">
        <x:v>https://www.topuniversities.com/universities/central-queensland-university-cquniversity-australia</x:v>
      </x:c>
      <x:c r="K379" s="31" t="str">
        <x:v>https://www.topuniversities.com/sustainability-rankings/2026</x:v>
      </x:c>
      <x:c r="L379" s="31" t="str">
        <x:v>https://handbook.cqu.edu.au/he/courses/view/CM82/HT1/2025</x:v>
      </x:c>
    </x:row>
    <x:row r="380">
      <x:c r="A380" s="15" t="n">
        <x:v>77</x:v>
      </x:c>
      <x:c r="B380" s="15" t="str">
        <x:v>University of Newcastle</x:v>
      </x:c>
      <x:c r="C380" s="15" t="str">
        <x:v>Australia</x:v>
      </x:c>
      <x:c r="D380" s="15" t="str">
        <x:v>Master of Environmental Management and Sustainability</x:v>
      </x:c>
      <x:c r="E380" s="32" t="n">
        <x:v>2022</x:v>
      </x:c>
      <x:c r="F380" s="32" t="str">
        <x:v>N/P</x:v>
      </x:c>
      <x:c r="G380" s="36"/>
      <x:c r="H380" s="15" t="str">
        <x:v>QS Sustainability ranking was not published for 2022</x:v>
      </x:c>
      <x:c r="I380" s="15" t="str"/>
      <x:c r="J380" s="31" t="str">
        <x:v>https://www.topuniversities.com/universities/university-newcastle-australia-uon</x:v>
      </x:c>
      <x:c r="K380" s="31" t="str"/>
      <x:c r="L380" s="31" t="str">
        <x:v>https://www.newcastle.edu.au/degrees/master-environmental-management-sustainability</x:v>
      </x:c>
    </x:row>
    <x:row r="381">
      <x:c r="A381" s="15" t="n">
        <x:v>77</x:v>
      </x:c>
      <x:c r="B381" s="15" t="str">
        <x:v>University of Newcastle</x:v>
      </x:c>
      <x:c r="C381" s="15" t="str">
        <x:v>Australia</x:v>
      </x:c>
      <x:c r="D381" s="15" t="str">
        <x:v>Master of Environmental Management and Sustainability</x:v>
      </x:c>
      <x:c r="E381" s="32" t="n">
        <x:v>2023</x:v>
      </x:c>
      <x:c r="F381" s="32" t="str">
        <x:v>89</x:v>
      </x:c>
      <x:c r="G381" s="36" t="n">
        <x:v>65</x:v>
      </x:c>
      <x:c r="H381" s="15" t="str">
        <x:v>Ranked</x:v>
      </x:c>
      <x:c r="I381" s="15" t="str">
        <x:v>The University of Newcastle, Australia (UON)</x:v>
      </x:c>
      <x:c r="J381" s="31" t="str">
        <x:v>https://www.topuniversities.com/universities/university-newcastle-australia-uon</x:v>
      </x:c>
      <x:c r="K381" s="31" t="str">
        <x:v>https://www.topuniversities.com/sustainability-rankings/2023</x:v>
      </x:c>
      <x:c r="L381" s="31" t="str">
        <x:v>https://www.newcastle.edu.au/degrees/master-environmental-management-sustainability</x:v>
      </x:c>
    </x:row>
    <x:row r="382">
      <x:c r="A382" s="15" t="n">
        <x:v>77</x:v>
      </x:c>
      <x:c r="B382" s="15" t="str">
        <x:v>University of Newcastle</x:v>
      </x:c>
      <x:c r="C382" s="15" t="str">
        <x:v>Australia</x:v>
      </x:c>
      <x:c r="D382" s="15" t="str">
        <x:v>Master of Environmental Management and Sustainability</x:v>
      </x:c>
      <x:c r="E382" s="32" t="n">
        <x:v>2024</x:v>
      </x:c>
      <x:c r="F382" s="32" t="str">
        <x:v>74</x:v>
      </x:c>
      <x:c r="G382" s="36" t="n">
        <x:v>84</x:v>
      </x:c>
      <x:c r="H382" s="15" t="str">
        <x:v>Ranked</x:v>
      </x:c>
      <x:c r="I382" s="15" t="str">
        <x:v>The University of Newcastle, Australia (UON)</x:v>
      </x:c>
      <x:c r="J382" s="31" t="str">
        <x:v>https://www.topuniversities.com/universities/university-newcastle-australia-uon</x:v>
      </x:c>
      <x:c r="K382" s="31" t="str">
        <x:v>https://www.topuniversities.com/sustainability-rankings/2024</x:v>
      </x:c>
      <x:c r="L382" s="31" t="str">
        <x:v>https://www.newcastle.edu.au/degrees/master-environmental-management-sustainability</x:v>
      </x:c>
    </x:row>
    <x:row r="383">
      <x:c r="A383" s="15" t="n">
        <x:v>77</x:v>
      </x:c>
      <x:c r="B383" s="15" t="str">
        <x:v>University of Newcastle</x:v>
      </x:c>
      <x:c r="C383" s="15" t="str">
        <x:v>Australia</x:v>
      </x:c>
      <x:c r="D383" s="15" t="str">
        <x:v>Master of Environmental Management and Sustainability</x:v>
      </x:c>
      <x:c r="E383" s="32" t="n">
        <x:v>2025</x:v>
      </x:c>
      <x:c r="F383" s="32" t="n">
        <x:f>112</x:f>
        <x:v>112</x:v>
      </x:c>
      <x:c r="G383" s="36" t="n">
        <x:v>85.4</x:v>
      </x:c>
      <x:c r="H383" s="15" t="str">
        <x:v>Ranked</x:v>
      </x:c>
      <x:c r="I383" s="15" t="str">
        <x:v>The University of Newcastle, Australia (UON)</x:v>
      </x:c>
      <x:c r="J383" s="31" t="str">
        <x:v>https://www.topuniversities.com/universities/university-newcastle-australia-uon</x:v>
      </x:c>
      <x:c r="K383" s="31" t="str">
        <x:v>https://www.topuniversities.com/sustainability-rankings/2025</x:v>
      </x:c>
      <x:c r="L383" s="31" t="str">
        <x:v>https://www.newcastle.edu.au/degrees/master-environmental-management-sustainability</x:v>
      </x:c>
    </x:row>
    <x:row r="384">
      <x:c r="A384" s="15" t="n">
        <x:v>77</x:v>
      </x:c>
      <x:c r="B384" s="15" t="str">
        <x:v>University of Newcastle</x:v>
      </x:c>
      <x:c r="C384" s="15" t="str">
        <x:v>Australia</x:v>
      </x:c>
      <x:c r="D384" s="15" t="str">
        <x:v>Master of Environmental Management and Sustainability</x:v>
      </x:c>
      <x:c r="E384" s="32" t="n">
        <x:v>2026</x:v>
      </x:c>
      <x:c r="F384" s="32" t="str">
        <x:v>132</x:v>
      </x:c>
      <x:c r="G384" s="36" t="n">
        <x:v>87.7</x:v>
      </x:c>
      <x:c r="H384" s="15" t="str">
        <x:v>Ranked</x:v>
      </x:c>
      <x:c r="I384" s="15" t="str">
        <x:v>The University of Newcastle, Australia (UON)</x:v>
      </x:c>
      <x:c r="J384" s="31" t="str">
        <x:v>https://www.topuniversities.com/universities/university-newcastle-australia-uon</x:v>
      </x:c>
      <x:c r="K384" s="31" t="str">
        <x:v>https://www.topuniversities.com/sustainability-rankings/2026</x:v>
      </x:c>
      <x:c r="L384" s="31" t="str">
        <x:v>https://www.newcastle.edu.au/degrees/master-environmental-management-sustainability</x:v>
      </x:c>
    </x:row>
    <x:row r="385">
      <x:c r="A385" s="15" t="n">
        <x:v>78</x:v>
      </x:c>
      <x:c r="B385" s="15" t="str">
        <x:v>Northumbria University</x:v>
      </x:c>
      <x:c r="C385" s="15" t="str">
        <x:v>United Kingdom</x:v>
      </x:c>
      <x:c r="D385" s="15" t="str">
        <x:v>MSc Disaster Management and Sustainable Development</x:v>
      </x:c>
      <x:c r="E385" s="32" t="n">
        <x:v>2022</x:v>
      </x:c>
      <x:c r="F385" s="32" t="str">
        <x:v>N/P</x:v>
      </x:c>
      <x:c r="G385" s="36"/>
      <x:c r="H385" s="15" t="str">
        <x:v>QS Sustainability ranking was not published for 2022</x:v>
      </x:c>
      <x:c r="I385" s="15" t="str"/>
      <x:c r="J385" s="31" t="str">
        <x:v>https://www.topuniversities.com/universities/northumbria-university-newcastle</x:v>
      </x:c>
      <x:c r="K385" s="31" t="str"/>
      <x:c r="L385" s="31" t="str">
        <x:v>https://www.northumbria.ac.uk/study-at-northumbria/courses/disaster-management-and-sustainable-development-with-advanced-practice-msc-ft-dtsdds6/</x:v>
      </x:c>
    </x:row>
    <x:row r="386">
      <x:c r="A386" s="15" t="n">
        <x:v>78</x:v>
      </x:c>
      <x:c r="B386" s="15" t="str">
        <x:v>Northumbria University</x:v>
      </x:c>
      <x:c r="C386" s="15" t="str">
        <x:v>United Kingdom</x:v>
      </x:c>
      <x:c r="D386" s="15" t="str">
        <x:v>MSc Disaster Management and Sustainable Development</x:v>
      </x:c>
      <x:c r="E386" s="32" t="n">
        <x:v>2023</x:v>
      </x:c>
      <x:c r="F386" s="32" t="str">
        <x:v>501-550</x:v>
      </x:c>
      <x:c r="G386" s="36"/>
      <x:c r="H386" s="15" t="str">
        <x:v>Ranked</x:v>
      </x:c>
      <x:c r="I386" s="15" t="str">
        <x:v>Northumbria University at Newcastle</x:v>
      </x:c>
      <x:c r="J386" s="31" t="str">
        <x:v>https://www.topuniversities.com/universities/northumbria-university-newcastle</x:v>
      </x:c>
      <x:c r="K386" s="31" t="str">
        <x:v>https://www.topuniversities.com/sustainability-rankings/2023</x:v>
      </x:c>
      <x:c r="L386" s="31" t="str">
        <x:v>https://www.northumbria.ac.uk/study-at-northumbria/courses/disaster-management-and-sustainable-development-with-advanced-practice-msc-ft-dtsdds6/</x:v>
      </x:c>
    </x:row>
    <x:row r="387">
      <x:c r="A387" s="15" t="n">
        <x:v>78</x:v>
      </x:c>
      <x:c r="B387" s="15" t="str">
        <x:v>Northumbria University</x:v>
      </x:c>
      <x:c r="C387" s="15" t="str">
        <x:v>United Kingdom</x:v>
      </x:c>
      <x:c r="D387" s="15" t="str">
        <x:v>MSc Disaster Management and Sustainable Development</x:v>
      </x:c>
      <x:c r="E387" s="32" t="n">
        <x:v>2024</x:v>
      </x:c>
      <x:c r="F387" s="32" t="n">
        <x:f>183</x:f>
        <x:v>183</x:v>
      </x:c>
      <x:c r="G387" s="36" t="n">
        <x:v>75.1</x:v>
      </x:c>
      <x:c r="H387" s="15" t="str">
        <x:v>Ranked</x:v>
      </x:c>
      <x:c r="I387" s="15" t="str">
        <x:v>Northumbria University at Newcastle</x:v>
      </x:c>
      <x:c r="J387" s="31" t="str">
        <x:v>https://www.topuniversities.com/universities/northumbria-university-newcastle</x:v>
      </x:c>
      <x:c r="K387" s="31" t="str">
        <x:v>https://www.topuniversities.com/sustainability-rankings/2024</x:v>
      </x:c>
      <x:c r="L387" s="31" t="str">
        <x:v>https://www.northumbria.ac.uk/study-at-northumbria/courses/disaster-management-and-sustainable-development-with-advanced-practice-msc-ft-dtsdds6/</x:v>
      </x:c>
    </x:row>
    <x:row r="388">
      <x:c r="A388" s="15" t="n">
        <x:v>78</x:v>
      </x:c>
      <x:c r="B388" s="15" t="str">
        <x:v>Northumbria University</x:v>
      </x:c>
      <x:c r="C388" s="15" t="str">
        <x:v>United Kingdom</x:v>
      </x:c>
      <x:c r="D388" s="15" t="str">
        <x:v>MSc Disaster Management and Sustainable Development</x:v>
      </x:c>
      <x:c r="E388" s="32" t="n">
        <x:v>2025</x:v>
      </x:c>
      <x:c r="F388" s="32" t="n">
        <x:f>202</x:f>
        <x:v>202</x:v>
      </x:c>
      <x:c r="G388" s="36" t="n">
        <x:v>78.6</x:v>
      </x:c>
      <x:c r="H388" s="15" t="str">
        <x:v>Ranked</x:v>
      </x:c>
      <x:c r="I388" s="15" t="str">
        <x:v>Northumbria University at Newcastle</x:v>
      </x:c>
      <x:c r="J388" s="31" t="str">
        <x:v>https://www.topuniversities.com/universities/northumbria-university-newcastle</x:v>
      </x:c>
      <x:c r="K388" s="31" t="str">
        <x:v>https://www.topuniversities.com/sustainability-rankings/2025</x:v>
      </x:c>
      <x:c r="L388" s="31" t="str">
        <x:v>https://www.northumbria.ac.uk/study-at-northumbria/courses/disaster-management-and-sustainable-development-with-advanced-practice-msc-ft-dtsdds6/</x:v>
      </x:c>
    </x:row>
    <x:row r="389">
      <x:c r="A389" s="15" t="n">
        <x:v>78</x:v>
      </x:c>
      <x:c r="B389" s="15" t="str">
        <x:v>Northumbria University</x:v>
      </x:c>
      <x:c r="C389" s="15" t="str">
        <x:v>United Kingdom</x:v>
      </x:c>
      <x:c r="D389" s="15" t="str">
        <x:v>MSc Disaster Management and Sustainable Development</x:v>
      </x:c>
      <x:c r="E389" s="32" t="n">
        <x:v>2026</x:v>
      </x:c>
      <x:c r="F389" s="32" t="n">
        <x:f>161</x:f>
        <x:v>161</x:v>
      </x:c>
      <x:c r="G389" s="36" t="n">
        <x:v>85.8</x:v>
      </x:c>
      <x:c r="H389" s="15" t="str">
        <x:v>Ranked</x:v>
      </x:c>
      <x:c r="I389" s="15" t="str">
        <x:v>Northumbria University at Newcastle</x:v>
      </x:c>
      <x:c r="J389" s="31" t="str">
        <x:v>https://www.topuniversities.com/universities/northumbria-university-newcastle</x:v>
      </x:c>
      <x:c r="K389" s="31" t="str">
        <x:v>https://www.topuniversities.com/sustainability-rankings/2026</x:v>
      </x:c>
      <x:c r="L389" s="31" t="str">
        <x:v>https://www.northumbria.ac.uk/study-at-northumbria/courses/disaster-management-and-sustainable-development-with-advanced-practice-msc-ft-dtsdds6/</x:v>
      </x:c>
    </x:row>
    <x:row r="390">
      <x:c r="A390" s="15" t="n">
        <x:v>79</x:v>
      </x:c>
      <x:c r="B390" s="15" t="str">
        <x:v>University of Indonesia</x:v>
      </x:c>
      <x:c r="C390" s="15" t="str">
        <x:v>Indonesia</x:v>
      </x:c>
      <x:c r="D390" s="15" t="str">
        <x:v>Master of Environmental Science</x:v>
      </x:c>
      <x:c r="E390" s="32" t="n">
        <x:v>2022</x:v>
      </x:c>
      <x:c r="F390" s="32" t="str">
        <x:v>N/P</x:v>
      </x:c>
      <x:c r="G390" s="36"/>
      <x:c r="H390" s="15" t="str">
        <x:v>QS Sustainability ranking was not published for 2022</x:v>
      </x:c>
      <x:c r="I390" s="15" t="str"/>
      <x:c r="J390" s="31" t="str">
        <x:v>https://www.topuniversities.com/universities/universitas-indonesia</x:v>
      </x:c>
      <x:c r="K390" s="31" t="str"/>
      <x:c r="L390" s="31" t="str">
        <x:v>https://sil.ui.ac.id/en/master-of-environmental-science/</x:v>
      </x:c>
    </x:row>
    <x:row r="391">
      <x:c r="A391" s="15" t="n">
        <x:v>79</x:v>
      </x:c>
      <x:c r="B391" s="15" t="str">
        <x:v>University of Indonesia</x:v>
      </x:c>
      <x:c r="C391" s="15" t="str">
        <x:v>Indonesia</x:v>
      </x:c>
      <x:c r="D391" s="15" t="str">
        <x:v>Master of Environmental Science</x:v>
      </x:c>
      <x:c r="E391" s="32" t="n">
        <x:v>2023</x:v>
      </x:c>
      <x:c r="F391" s="32" t="str">
        <x:v>281-300</x:v>
      </x:c>
      <x:c r="G391" s="36"/>
      <x:c r="H391" s="15" t="str">
        <x:v>Ranked</x:v>
      </x:c>
      <x:c r="I391" s="15" t="str">
        <x:v>Universitas Indonesia</x:v>
      </x:c>
      <x:c r="J391" s="31" t="str">
        <x:v>https://www.topuniversities.com/universities/universitas-indonesia</x:v>
      </x:c>
      <x:c r="K391" s="31" t="str">
        <x:v>https://www.topuniversities.com/sustainability-rankings/2023</x:v>
      </x:c>
      <x:c r="L391" s="31" t="str">
        <x:v>https://sil.ui.ac.id/en/master-of-environmental-science/</x:v>
      </x:c>
    </x:row>
    <x:row r="392">
      <x:c r="A392" s="15" t="n">
        <x:v>79</x:v>
      </x:c>
      <x:c r="B392" s="15" t="str">
        <x:v>University of Indonesia</x:v>
      </x:c>
      <x:c r="C392" s="15" t="str">
        <x:v>Indonesia</x:v>
      </x:c>
      <x:c r="D392" s="15" t="str">
        <x:v>Master of Environmental Science</x:v>
      </x:c>
      <x:c r="E392" s="32" t="n">
        <x:v>2024</x:v>
      </x:c>
      <x:c r="F392" s="32" t="n">
        <x:f>426</x:f>
        <x:v>426</x:v>
      </x:c>
      <x:c r="G392" s="36" t="n">
        <x:v>61.4</x:v>
      </x:c>
      <x:c r="H392" s="15" t="str">
        <x:v>Ranked</x:v>
      </x:c>
      <x:c r="I392" s="15" t="str">
        <x:v>Universitas Indonesia</x:v>
      </x:c>
      <x:c r="J392" s="31" t="str">
        <x:v>https://www.topuniversities.com/universities/universitas-indonesia</x:v>
      </x:c>
      <x:c r="K392" s="31" t="str">
        <x:v>https://www.topuniversities.com/sustainability-rankings/2024</x:v>
      </x:c>
      <x:c r="L392" s="31" t="str">
        <x:v>https://sil.ui.ac.id/en/master-of-environmental-science/</x:v>
      </x:c>
    </x:row>
    <x:row r="393">
      <x:c r="A393" s="15" t="n">
        <x:v>79</x:v>
      </x:c>
      <x:c r="B393" s="15" t="str">
        <x:v>University of Indonesia</x:v>
      </x:c>
      <x:c r="C393" s="15" t="str">
        <x:v>Indonesia</x:v>
      </x:c>
      <x:c r="D393" s="15" t="str">
        <x:v>Master of Environmental Science</x:v>
      </x:c>
      <x:c r="E393" s="32" t="n">
        <x:v>2025</x:v>
      </x:c>
      <x:c r="F393" s="32" t="n">
        <x:f>492</x:f>
        <x:v>492</x:v>
      </x:c>
      <x:c r="G393" s="36" t="n">
        <x:v>62.3</x:v>
      </x:c>
      <x:c r="H393" s="15" t="str">
        <x:v>Ranked</x:v>
      </x:c>
      <x:c r="I393" s="15" t="str">
        <x:v>Universitas Indonesia</x:v>
      </x:c>
      <x:c r="J393" s="31" t="str">
        <x:v>https://www.topuniversities.com/universities/universitas-indonesia</x:v>
      </x:c>
      <x:c r="K393" s="31" t="str">
        <x:v>https://www.topuniversities.com/sustainability-rankings/2025</x:v>
      </x:c>
      <x:c r="L393" s="31" t="str">
        <x:v>https://sil.ui.ac.id/en/master-of-environmental-science/</x:v>
      </x:c>
    </x:row>
    <x:row r="394">
      <x:c r="A394" s="15" t="n">
        <x:v>79</x:v>
      </x:c>
      <x:c r="B394" s="15" t="str">
        <x:v>University of Indonesia</x:v>
      </x:c>
      <x:c r="C394" s="15" t="str">
        <x:v>Indonesia</x:v>
      </x:c>
      <x:c r="D394" s="15" t="str">
        <x:v>Master of Environmental Science</x:v>
      </x:c>
      <x:c r="E394" s="32" t="n">
        <x:v>2026</x:v>
      </x:c>
      <x:c r="F394" s="32" t="n">
        <x:f>431</x:f>
        <x:v>431</x:v>
      </x:c>
      <x:c r="G394" s="36" t="n">
        <x:v>71.5</x:v>
      </x:c>
      <x:c r="H394" s="15" t="str">
        <x:v>Ranked</x:v>
      </x:c>
      <x:c r="I394" s="15" t="str">
        <x:v>Universitas Indonesia</x:v>
      </x:c>
      <x:c r="J394" s="31" t="str">
        <x:v>https://www.topuniversities.com/universities/universitas-indonesia</x:v>
      </x:c>
      <x:c r="K394" s="31" t="str">
        <x:v>https://www.topuniversities.com/sustainability-rankings/2026</x:v>
      </x:c>
      <x:c r="L394" s="31" t="str">
        <x:v>https://sil.ui.ac.id/en/master-of-environmental-science/</x:v>
      </x:c>
    </x:row>
    <x:row r="395">
      <x:c r="A395" s="15" t="n">
        <x:v>80</x:v>
      </x:c>
      <x:c r="B395" s="15" t="str">
        <x:v>An-Najah National University</x:v>
      </x:c>
      <x:c r="C395" s="15" t="str">
        <x:v>Palestine</x:v>
      </x:c>
      <x:c r="D395" s="15" t="str">
        <x:v>MSc Environmental Sciences</x:v>
      </x:c>
      <x:c r="E395" s="32" t="n">
        <x:v>2022</x:v>
      </x:c>
      <x:c r="F395" s="32" t="str">
        <x:v>N/P</x:v>
      </x:c>
      <x:c r="G395" s="36"/>
      <x:c r="H395" s="15" t="str">
        <x:v>QS Sustainability ranking was not published for 2022</x:v>
      </x:c>
      <x:c r="I395" s="15" t="str"/>
      <x:c r="J395" s="31" t="str">
        <x:v>https://www.topuniversities.com/universities/najah-national-university</x:v>
      </x:c>
      <x:c r="K395" s="31" t="str"/>
      <x:c r="L395" s="31" t="str">
        <x:v>https://www.najah.edu/en/academic/postgraduate-programs/program/environmental-sciences/info-card/</x:v>
      </x:c>
    </x:row>
    <x:row r="396">
      <x:c r="A396" s="15" t="n">
        <x:v>80</x:v>
      </x:c>
      <x:c r="B396" s="15" t="str">
        <x:v>An-Najah National University</x:v>
      </x:c>
      <x:c r="C396" s="15" t="str">
        <x:v>Palestine</x:v>
      </x:c>
      <x:c r="D396" s="15" t="str">
        <x:v>MSc Environmental Sciences</x:v>
      </x:c>
      <x:c r="E396" s="32" t="n">
        <x:v>2023</x:v>
      </x:c>
      <x:c r="F396" s="32" t="str">
        <x:v>NR</x:v>
      </x:c>
      <x:c r="G396" s="36"/>
      <x:c r="H396" s="15" t="str">
        <x:v>Not ranked in complete official table</x:v>
      </x:c>
      <x:c r="I396" s="15" t="str"/>
      <x:c r="J396" s="31" t="str"/>
      <x:c r="K396" s="31" t="str">
        <x:v>https://www.topuniversities.com/sustainability-rankings/2023</x:v>
      </x:c>
      <x:c r="L396" s="31" t="str">
        <x:v>https://www.najah.edu/en/academic/postgraduate-programs/program/environmental-sciences/info-card/</x:v>
      </x:c>
    </x:row>
    <x:row r="397">
      <x:c r="A397" s="15" t="n">
        <x:v>80</x:v>
      </x:c>
      <x:c r="B397" s="15" t="str">
        <x:v>An-Najah National University</x:v>
      </x:c>
      <x:c r="C397" s="15" t="str">
        <x:v>Palestine</x:v>
      </x:c>
      <x:c r="D397" s="15" t="str">
        <x:v>MSc Environmental Sciences</x:v>
      </x:c>
      <x:c r="E397" s="32" t="n">
        <x:v>2024</x:v>
      </x:c>
      <x:c r="F397" s="32" t="str">
        <x:v>NR</x:v>
      </x:c>
      <x:c r="G397" s="36"/>
      <x:c r="H397" s="15" t="str">
        <x:v>Not ranked in complete official table</x:v>
      </x:c>
      <x:c r="I397" s="15" t="str"/>
      <x:c r="J397" s="31" t="str"/>
      <x:c r="K397" s="31" t="str">
        <x:v>https://www.topuniversities.com/sustainability-rankings/2024</x:v>
      </x:c>
      <x:c r="L397" s="31" t="str">
        <x:v>https://www.najah.edu/en/academic/postgraduate-programs/program/environmental-sciences/info-card/</x:v>
      </x:c>
    </x:row>
    <x:row r="398">
      <x:c r="A398" s="15" t="n">
        <x:v>80</x:v>
      </x:c>
      <x:c r="B398" s="15" t="str">
        <x:v>An-Najah National University</x:v>
      </x:c>
      <x:c r="C398" s="15" t="str">
        <x:v>Palestine</x:v>
      </x:c>
      <x:c r="D398" s="15" t="str">
        <x:v>MSc Environmental Sciences</x:v>
      </x:c>
      <x:c r="E398" s="32" t="n">
        <x:v>2025</x:v>
      </x:c>
      <x:c r="F398" s="32" t="n">
        <x:f>820</x:f>
        <x:v>820</x:v>
      </x:c>
      <x:c r="G398" s="36" t="n">
        <x:v>49</x:v>
      </x:c>
      <x:c r="H398" s="15" t="str">
        <x:v>Ranked</x:v>
      </x:c>
      <x:c r="I398" s="15" t="str">
        <x:v>An-Najah National University</x:v>
      </x:c>
      <x:c r="J398" s="31" t="str">
        <x:v>https://www.topuniversities.com/universities/najah-national-university</x:v>
      </x:c>
      <x:c r="K398" s="31" t="str">
        <x:v>https://www.topuniversities.com/sustainability-rankings/2025</x:v>
      </x:c>
      <x:c r="L398" s="31" t="str">
        <x:v>https://www.najah.edu/en/academic/postgraduate-programs/program/environmental-sciences/info-card/</x:v>
      </x:c>
    </x:row>
    <x:row r="399">
      <x:c r="A399" s="15" t="n">
        <x:v>80</x:v>
      </x:c>
      <x:c r="B399" s="15" t="str">
        <x:v>An-Najah National University</x:v>
      </x:c>
      <x:c r="C399" s="15" t="str">
        <x:v>Palestine</x:v>
      </x:c>
      <x:c r="D399" s="15" t="str">
        <x:v>MSc Environmental Sciences</x:v>
      </x:c>
      <x:c r="E399" s="32" t="n">
        <x:v>2026</x:v>
      </x:c>
      <x:c r="F399" s="32" t="n">
        <x:f>787</x:f>
        <x:v>787</x:v>
      </x:c>
      <x:c r="G399" s="36" t="n">
        <x:v>58.9</x:v>
      </x:c>
      <x:c r="H399" s="15" t="str">
        <x:v>Ranked</x:v>
      </x:c>
      <x:c r="I399" s="15" t="str">
        <x:v>An-Najah National University</x:v>
      </x:c>
      <x:c r="J399" s="31" t="str">
        <x:v>https://www.topuniversities.com/universities/najah-national-university</x:v>
      </x:c>
      <x:c r="K399" s="31" t="str">
        <x:v>https://www.topuniversities.com/sustainability-rankings/2026</x:v>
      </x:c>
      <x:c r="L399" s="31" t="str">
        <x:v>https://www.najah.edu/en/academic/postgraduate-programs/program/environmental-sciences/info-card/</x:v>
      </x:c>
    </x:row>
    <x:row r="400">
      <x:c r="A400" s="15" t="n">
        <x:v>81</x:v>
      </x:c>
      <x:c r="B400" s="15" t="str">
        <x:v>Arizona State University (Tempe)</x:v>
      </x:c>
      <x:c r="C400" s="15" t="str">
        <x:v>United States</x:v>
      </x:c>
      <x:c r="D400" s="15" t="str">
        <x:v>Master of Sustainability Solutions</x:v>
      </x:c>
      <x:c r="E400" s="32" t="n">
        <x:v>2022</x:v>
      </x:c>
      <x:c r="F400" s="32" t="str">
        <x:v>N/P</x:v>
      </x:c>
      <x:c r="G400" s="36"/>
      <x:c r="H400" s="15" t="str">
        <x:v>QS Sustainability ranking was not published for 2022</x:v>
      </x:c>
      <x:c r="I400" s="15" t="str"/>
      <x:c r="J400" s="31" t="str">
        <x:v>https://www.topuniversities.com/universities/arizona-state-university</x:v>
      </x:c>
      <x:c r="K400" s="31" t="str"/>
      <x:c r="L400" s="31" t="str">
        <x:v>https://degrees.apps.asu.edu/masters-phd/major/ASU00/SUSUSOMSUS/sustainability-solutions-msus?init=false&amp;nopassive=true</x:v>
      </x:c>
    </x:row>
    <x:row r="401">
      <x:c r="A401" s="15" t="n">
        <x:v>81</x:v>
      </x:c>
      <x:c r="B401" s="15" t="str">
        <x:v>Arizona State University (Tempe)</x:v>
      </x:c>
      <x:c r="C401" s="15" t="str">
        <x:v>United States</x:v>
      </x:c>
      <x:c r="D401" s="15" t="str">
        <x:v>Master of Sustainability Solutions</x:v>
      </x:c>
      <x:c r="E401" s="32" t="n">
        <x:v>2023</x:v>
      </x:c>
      <x:c r="F401" s="32" t="str">
        <x:v>24</x:v>
      </x:c>
      <x:c r="G401" s="36" t="n">
        <x:v>77.5</x:v>
      </x:c>
      <x:c r="H401" s="15" t="str">
        <x:v>Ranked</x:v>
      </x:c>
      <x:c r="I401" s="15" t="str">
        <x:v>Arizona State University</x:v>
      </x:c>
      <x:c r="J401" s="31" t="str">
        <x:v>https://www.topuniversities.com/universities/arizona-state-university</x:v>
      </x:c>
      <x:c r="K401" s="31" t="str">
        <x:v>https://www.topuniversities.com/sustainability-rankings/2023</x:v>
      </x:c>
      <x:c r="L401" s="31" t="str">
        <x:v>https://degrees.apps.asu.edu/masters-phd/major/ASU00/SUSUSOMSUS/sustainability-solutions-msus?init=false&amp;nopassive=true</x:v>
      </x:c>
    </x:row>
    <x:row r="402">
      <x:c r="A402" s="15" t="n">
        <x:v>81</x:v>
      </x:c>
      <x:c r="B402" s="15" t="str">
        <x:v>Arizona State University (Tempe)</x:v>
      </x:c>
      <x:c r="C402" s="15" t="str">
        <x:v>United States</x:v>
      </x:c>
      <x:c r="D402" s="15" t="str">
        <x:v>Master of Sustainability Solutions</x:v>
      </x:c>
      <x:c r="E402" s="32" t="n">
        <x:v>2024</x:v>
      </x:c>
      <x:c r="F402" s="32" t="n">
        <x:f>41</x:f>
        <x:v>41</x:v>
      </x:c>
      <x:c r="G402" s="36" t="n">
        <x:v>88.1</x:v>
      </x:c>
      <x:c r="H402" s="15" t="str">
        <x:v>Ranked</x:v>
      </x:c>
      <x:c r="I402" s="15" t="str">
        <x:v>Arizona State University</x:v>
      </x:c>
      <x:c r="J402" s="31" t="str">
        <x:v>https://www.topuniversities.com/universities/arizona-state-university</x:v>
      </x:c>
      <x:c r="K402" s="31" t="str">
        <x:v>https://www.topuniversities.com/sustainability-rankings/2024</x:v>
      </x:c>
      <x:c r="L402" s="31" t="str">
        <x:v>https://degrees.apps.asu.edu/masters-phd/major/ASU00/SUSUSOMSUS/sustainability-solutions-msus?init=false&amp;nopassive=true</x:v>
      </x:c>
    </x:row>
    <x:row r="403">
      <x:c r="A403" s="15" t="n">
        <x:v>81</x:v>
      </x:c>
      <x:c r="B403" s="15" t="str">
        <x:v>Arizona State University (Tempe)</x:v>
      </x:c>
      <x:c r="C403" s="15" t="str">
        <x:v>United States</x:v>
      </x:c>
      <x:c r="D403" s="15" t="str">
        <x:v>Master of Sustainability Solutions</x:v>
      </x:c>
      <x:c r="E403" s="32" t="n">
        <x:v>2025</x:v>
      </x:c>
      <x:c r="F403" s="32" t="n">
        <x:f>102</x:f>
        <x:v>102</x:v>
      </x:c>
      <x:c r="G403" s="36" t="n">
        <x:v>86.3</x:v>
      </x:c>
      <x:c r="H403" s="15" t="str">
        <x:v>Ranked</x:v>
      </x:c>
      <x:c r="I403" s="15" t="str">
        <x:v>Arizona State University</x:v>
      </x:c>
      <x:c r="J403" s="31" t="str">
        <x:v>https://www.topuniversities.com/universities/arizona-state-university</x:v>
      </x:c>
      <x:c r="K403" s="31" t="str">
        <x:v>https://www.topuniversities.com/sustainability-rankings/2025</x:v>
      </x:c>
      <x:c r="L403" s="31" t="str">
        <x:v>https://degrees.apps.asu.edu/masters-phd/major/ASU00/SUSUSOMSUS/sustainability-solutions-msus?init=false&amp;nopassive=true</x:v>
      </x:c>
    </x:row>
    <x:row r="404">
      <x:c r="A404" s="15" t="n">
        <x:v>81</x:v>
      </x:c>
      <x:c r="B404" s="15" t="str">
        <x:v>Arizona State University (Tempe)</x:v>
      </x:c>
      <x:c r="C404" s="15" t="str">
        <x:v>United States</x:v>
      </x:c>
      <x:c r="D404" s="15" t="str">
        <x:v>Master of Sustainability Solutions</x:v>
      </x:c>
      <x:c r="E404" s="32" t="n">
        <x:v>2026</x:v>
      </x:c>
      <x:c r="F404" s="32" t="n">
        <x:f>110</x:f>
        <x:v>110</x:v>
      </x:c>
      <x:c r="G404" s="36" t="n">
        <x:v>89.1</x:v>
      </x:c>
      <x:c r="H404" s="15" t="str">
        <x:v>Ranked</x:v>
      </x:c>
      <x:c r="I404" s="15" t="str">
        <x:v>Arizona State University</x:v>
      </x:c>
      <x:c r="J404" s="31" t="str">
        <x:v>https://www.topuniversities.com/universities/arizona-state-university</x:v>
      </x:c>
      <x:c r="K404" s="31" t="str">
        <x:v>https://www.topuniversities.com/sustainability-rankings/2026</x:v>
      </x:c>
      <x:c r="L404" s="31" t="str">
        <x:v>https://degrees.apps.asu.edu/masters-phd/major/ASU00/SUSUSOMSUS/sustainability-solutions-msus?init=false&amp;nopassive=true</x:v>
      </x:c>
    </x:row>
    <x:row r="405">
      <x:c r="A405" s="15" t="n">
        <x:v>82</x:v>
      </x:c>
      <x:c r="B405" s="15" t="str">
        <x:v>King Faisal University</x:v>
      </x:c>
      <x:c r="C405" s="15" t="str">
        <x:v>Saudi Arabia</x:v>
      </x:c>
      <x:c r="D405" s="15" t="str">
        <x:v>MSc Agricultural Systems Engineering - Environmental Systems discipline</x:v>
      </x:c>
      <x:c r="E405" s="32" t="n">
        <x:v>2022</x:v>
      </x:c>
      <x:c r="F405" s="32" t="str">
        <x:v>N/P</x:v>
      </x:c>
      <x:c r="G405" s="36"/>
      <x:c r="H405" s="15" t="str">
        <x:v>QS Sustainability ranking was not published for 2022</x:v>
      </x:c>
      <x:c r="I405" s="15" t="str"/>
      <x:c r="J405" s="31" t="str">
        <x:v>https://www.topuniversities.com/universities/king-faisal-university</x:v>
      </x:c>
      <x:c r="K405" s="31" t="str"/>
      <x:c r="L405" s="31" t="str">
        <x:v>https://www.kfu.edu.sa/ar/Deans/HigherStudies/Documents/custompages/studyplans/MSc_Agriculture_Engineering_Information.pdf</x:v>
      </x:c>
    </x:row>
    <x:row r="406">
      <x:c r="A406" s="15" t="n">
        <x:v>82</x:v>
      </x:c>
      <x:c r="B406" s="15" t="str">
        <x:v>King Faisal University</x:v>
      </x:c>
      <x:c r="C406" s="15" t="str">
        <x:v>Saudi Arabia</x:v>
      </x:c>
      <x:c r="D406" s="15" t="str">
        <x:v>MSc Agricultural Systems Engineering - Environmental Systems discipline</x:v>
      </x:c>
      <x:c r="E406" s="32" t="n">
        <x:v>2023</x:v>
      </x:c>
      <x:c r="F406" s="32" t="str">
        <x:v>NR</x:v>
      </x:c>
      <x:c r="G406" s="36"/>
      <x:c r="H406" s="15" t="str">
        <x:v>Not ranked in complete official table</x:v>
      </x:c>
      <x:c r="I406" s="15" t="str"/>
      <x:c r="J406" s="31" t="str"/>
      <x:c r="K406" s="31" t="str">
        <x:v>https://www.topuniversities.com/sustainability-rankings/2023</x:v>
      </x:c>
      <x:c r="L406" s="31" t="str">
        <x:v>https://www.kfu.edu.sa/ar/Deans/HigherStudies/Documents/custompages/studyplans/MSc_Agriculture_Engineering_Information.pdf</x:v>
      </x:c>
    </x:row>
    <x:row r="407">
      <x:c r="A407" s="15" t="n">
        <x:v>82</x:v>
      </x:c>
      <x:c r="B407" s="15" t="str">
        <x:v>King Faisal University</x:v>
      </x:c>
      <x:c r="C407" s="15" t="str">
        <x:v>Saudi Arabia</x:v>
      </x:c>
      <x:c r="D407" s="15" t="str">
        <x:v>MSc Agricultural Systems Engineering - Environmental Systems discipline</x:v>
      </x:c>
      <x:c r="E407" s="32" t="n">
        <x:v>2024</x:v>
      </x:c>
      <x:c r="F407" s="32" t="str">
        <x:v>1201+</x:v>
      </x:c>
      <x:c r="G407" s="36"/>
      <x:c r="H407" s="15" t="str">
        <x:v>Ranked</x:v>
      </x:c>
      <x:c r="I407" s="15" t="str">
        <x:v>King Faisal University</x:v>
      </x:c>
      <x:c r="J407" s="31" t="str">
        <x:v>https://www.topuniversities.com/universities/king-faisal-university</x:v>
      </x:c>
      <x:c r="K407" s="31" t="str">
        <x:v>https://www.topuniversities.com/sustainability-rankings/2024</x:v>
      </x:c>
      <x:c r="L407" s="31" t="str">
        <x:v>https://www.kfu.edu.sa/ar/Deans/HigherStudies/Documents/custompages/studyplans/MSc_Agriculture_Engineering_Information.pdf</x:v>
      </x:c>
    </x:row>
    <x:row r="408">
      <x:c r="A408" s="15" t="n">
        <x:v>82</x:v>
      </x:c>
      <x:c r="B408" s="15" t="str">
        <x:v>King Faisal University</x:v>
      </x:c>
      <x:c r="C408" s="15" t="str">
        <x:v>Saudi Arabia</x:v>
      </x:c>
      <x:c r="D408" s="15" t="str">
        <x:v>MSc Agricultural Systems Engineering - Environmental Systems discipline</x:v>
      </x:c>
      <x:c r="E408" s="32" t="n">
        <x:v>2025</x:v>
      </x:c>
      <x:c r="F408" s="32" t="n">
        <x:f>631</x:f>
        <x:v>631</x:v>
      </x:c>
      <x:c r="G408" s="36" t="n">
        <x:v>56</x:v>
      </x:c>
      <x:c r="H408" s="15" t="str">
        <x:v>Ranked</x:v>
      </x:c>
      <x:c r="I408" s="15" t="str">
        <x:v>King Faisal University</x:v>
      </x:c>
      <x:c r="J408" s="31" t="str">
        <x:v>https://www.topuniversities.com/universities/king-faisal-university</x:v>
      </x:c>
      <x:c r="K408" s="31" t="str">
        <x:v>https://www.topuniversities.com/sustainability-rankings/2025</x:v>
      </x:c>
      <x:c r="L408" s="31" t="str">
        <x:v>https://www.kfu.edu.sa/ar/Deans/HigherStudies/Documents/custompages/studyplans/MSc_Agriculture_Engineering_Information.pdf</x:v>
      </x:c>
    </x:row>
    <x:row r="409">
      <x:c r="A409" s="15" t="n">
        <x:v>82</x:v>
      </x:c>
      <x:c r="B409" s="15" t="str">
        <x:v>King Faisal University</x:v>
      </x:c>
      <x:c r="C409" s="15" t="str">
        <x:v>Saudi Arabia</x:v>
      </x:c>
      <x:c r="D409" s="15" t="str">
        <x:v>MSc Agricultural Systems Engineering - Environmental Systems discipline</x:v>
      </x:c>
      <x:c r="E409" s="32" t="n">
        <x:v>2026</x:v>
      </x:c>
      <x:c r="F409" s="32" t="n">
        <x:f>488</x:f>
        <x:v>488</x:v>
      </x:c>
      <x:c r="G409" s="36" t="n">
        <x:v>69.3</x:v>
      </x:c>
      <x:c r="H409" s="15" t="str">
        <x:v>Ranked</x:v>
      </x:c>
      <x:c r="I409" s="15" t="str">
        <x:v>King Faisal University</x:v>
      </x:c>
      <x:c r="J409" s="31" t="str">
        <x:v>https://www.topuniversities.com/universities/king-faisal-university</x:v>
      </x:c>
      <x:c r="K409" s="31" t="str">
        <x:v>https://www.topuniversities.com/sustainability-rankings/2026</x:v>
      </x:c>
      <x:c r="L409" s="31" t="str">
        <x:v>https://www.kfu.edu.sa/ar/Deans/HigherStudies/Documents/custompages/studyplans/MSc_Agriculture_Engineering_Information.pdf</x:v>
      </x:c>
    </x:row>
    <x:row r="410">
      <x:c r="A410" s="15" t="n">
        <x:v>83</x:v>
      </x:c>
      <x:c r="B410" s="15" t="str">
        <x:v>Flinders University</x:v>
      </x:c>
      <x:c r="C410" s="15" t="str">
        <x:v>Australia</x:v>
      </x:c>
      <x:c r="D410" s="15" t="str">
        <x:v>Master of Environmental Management and Sustainability</x:v>
      </x:c>
      <x:c r="E410" s="32" t="n">
        <x:v>2022</x:v>
      </x:c>
      <x:c r="F410" s="32" t="str">
        <x:v>N/P</x:v>
      </x:c>
      <x:c r="G410" s="36"/>
      <x:c r="H410" s="15" t="str">
        <x:v>QS Sustainability ranking was not published for 2022</x:v>
      </x:c>
      <x:c r="I410" s="15" t="str"/>
      <x:c r="J410" s="31" t="str">
        <x:v>https://www.topuniversities.com/universities/flinders-university</x:v>
      </x:c>
      <x:c r="K410" s="31" t="str"/>
      <x:c r="L410" s="31" t="str">
        <x:v>https://www.flinders.edu.au/study/courses/postgraduate-environmental-management-sustainability</x:v>
      </x:c>
    </x:row>
    <x:row r="411">
      <x:c r="A411" s="15" t="n">
        <x:v>83</x:v>
      </x:c>
      <x:c r="B411" s="15" t="str">
        <x:v>Flinders University</x:v>
      </x:c>
      <x:c r="C411" s="15" t="str">
        <x:v>Australia</x:v>
      </x:c>
      <x:c r="D411" s="15" t="str">
        <x:v>Master of Environmental Management and Sustainability</x:v>
      </x:c>
      <x:c r="E411" s="32" t="n">
        <x:v>2023</x:v>
      </x:c>
      <x:c r="F411" s="32" t="str">
        <x:v>221-240</x:v>
      </x:c>
      <x:c r="G411" s="36"/>
      <x:c r="H411" s="15" t="str">
        <x:v>Ranked</x:v>
      </x:c>
      <x:c r="I411" s="15" t="str">
        <x:v>Flinders University</x:v>
      </x:c>
      <x:c r="J411" s="31" t="str">
        <x:v>https://www.topuniversities.com/universities/flinders-university</x:v>
      </x:c>
      <x:c r="K411" s="31" t="str">
        <x:v>https://www.topuniversities.com/sustainability-rankings/2023</x:v>
      </x:c>
      <x:c r="L411" s="31" t="str">
        <x:v>https://www.flinders.edu.au/study/courses/postgraduate-environmental-management-sustainability</x:v>
      </x:c>
    </x:row>
    <x:row r="412">
      <x:c r="A412" s="15" t="n">
        <x:v>83</x:v>
      </x:c>
      <x:c r="B412" s="15" t="str">
        <x:v>Flinders University</x:v>
      </x:c>
      <x:c r="C412" s="15" t="str">
        <x:v>Australia</x:v>
      </x:c>
      <x:c r="D412" s="15" t="str">
        <x:v>Master of Environmental Management and Sustainability</x:v>
      </x:c>
      <x:c r="E412" s="32" t="n">
        <x:v>2024</x:v>
      </x:c>
      <x:c r="F412" s="32" t="str">
        <x:v>112</x:v>
      </x:c>
      <x:c r="G412" s="36" t="n">
        <x:v>80.6</x:v>
      </x:c>
      <x:c r="H412" s="15" t="str">
        <x:v>Ranked</x:v>
      </x:c>
      <x:c r="I412" s="15" t="str">
        <x:v>Flinders University</x:v>
      </x:c>
      <x:c r="J412" s="31" t="str">
        <x:v>https://www.topuniversities.com/universities/flinders-university</x:v>
      </x:c>
      <x:c r="K412" s="31" t="str">
        <x:v>https://www.topuniversities.com/sustainability-rankings/2024</x:v>
      </x:c>
      <x:c r="L412" s="31" t="str">
        <x:v>https://www.flinders.edu.au/study/courses/postgraduate-environmental-management-sustainability</x:v>
      </x:c>
    </x:row>
    <x:row r="413">
      <x:c r="A413" s="15" t="n">
        <x:v>83</x:v>
      </x:c>
      <x:c r="B413" s="15" t="str">
        <x:v>Flinders University</x:v>
      </x:c>
      <x:c r="C413" s="15" t="str">
        <x:v>Australia</x:v>
      </x:c>
      <x:c r="D413" s="15" t="str">
        <x:v>Master of Environmental Management and Sustainability</x:v>
      </x:c>
      <x:c r="E413" s="32" t="n">
        <x:v>2025</x:v>
      </x:c>
      <x:c r="F413" s="32" t="n">
        <x:f>153</x:f>
        <x:v>153</x:v>
      </x:c>
      <x:c r="G413" s="36" t="n">
        <x:v>82.3</x:v>
      </x:c>
      <x:c r="H413" s="15" t="str">
        <x:v>Ranked</x:v>
      </x:c>
      <x:c r="I413" s="15" t="str">
        <x:v>Flinders University</x:v>
      </x:c>
      <x:c r="J413" s="31" t="str">
        <x:v>https://www.topuniversities.com/universities/flinders-university</x:v>
      </x:c>
      <x:c r="K413" s="31" t="str">
        <x:v>https://www.topuniversities.com/sustainability-rankings/2025</x:v>
      </x:c>
      <x:c r="L413" s="31" t="str">
        <x:v>https://www.flinders.edu.au/study/courses/postgraduate-environmental-management-sustainability</x:v>
      </x:c>
    </x:row>
    <x:row r="414">
      <x:c r="A414" s="15" t="n">
        <x:v>83</x:v>
      </x:c>
      <x:c r="B414" s="15" t="str">
        <x:v>Flinders University</x:v>
      </x:c>
      <x:c r="C414" s="15" t="str">
        <x:v>Australia</x:v>
      </x:c>
      <x:c r="D414" s="15" t="str">
        <x:v>Master of Environmental Management and Sustainability</x:v>
      </x:c>
      <x:c r="E414" s="32" t="n">
        <x:v>2026</x:v>
      </x:c>
      <x:c r="F414" s="32" t="n">
        <x:f>205</x:f>
        <x:v>205</x:v>
      </x:c>
      <x:c r="G414" s="36" t="n">
        <x:v>83.1</x:v>
      </x:c>
      <x:c r="H414" s="15" t="str">
        <x:v>Ranked</x:v>
      </x:c>
      <x:c r="I414" s="15" t="str">
        <x:v>Flinders University</x:v>
      </x:c>
      <x:c r="J414" s="31" t="str">
        <x:v>https://www.topuniversities.com/universities/flinders-university</x:v>
      </x:c>
      <x:c r="K414" s="31" t="str">
        <x:v>https://www.topuniversities.com/sustainability-rankings/2026</x:v>
      </x:c>
      <x:c r="L414" s="31" t="str">
        <x:v>https://www.flinders.edu.au/study/courses/postgraduate-environmental-management-sustainability</x:v>
      </x:c>
    </x:row>
    <x:row r="415">
      <x:c r="A415" s="15" t="n">
        <x:v>84</x:v>
      </x:c>
      <x:c r="B415" s="15" t="str">
        <x:v>Amrita Vishwa Vidyapeetham</x:v>
      </x:c>
      <x:c r="C415" s="15" t="str">
        <x:v>India</x:v>
      </x:c>
      <x:c r="D415" s="15" t="str">
        <x:v>No standalone sustainability/environment master's confirmed</x:v>
      </x:c>
      <x:c r="E415" s="32" t="n">
        <x:v>2022</x:v>
      </x:c>
      <x:c r="F415" s="32" t="str">
        <x:v>N/P</x:v>
      </x:c>
      <x:c r="G415" s="36"/>
      <x:c r="H415" s="15" t="str">
        <x:v>QS Sustainability ranking was not published for 2022</x:v>
      </x:c>
      <x:c r="I415" s="15" t="str"/>
      <x:c r="J415" s="31" t="str">
        <x:v>https://www.topuniversities.com/universities/amrita-vishwa-vidyapeetham</x:v>
      </x:c>
      <x:c r="K415" s="31" t="str"/>
      <x:c r="L415" s="31" t="str">
        <x:v>https://www.amrita.edu/course/environmental-science-and-sustainability-6/</x:v>
      </x:c>
    </x:row>
    <x:row r="416">
      <x:c r="A416" s="15" t="n">
        <x:v>84</x:v>
      </x:c>
      <x:c r="B416" s="15" t="str">
        <x:v>Amrita Vishwa Vidyapeetham</x:v>
      </x:c>
      <x:c r="C416" s="15" t="str">
        <x:v>India</x:v>
      </x:c>
      <x:c r="D416" s="15" t="str">
        <x:v>No standalone sustainability/environment master's confirmed</x:v>
      </x:c>
      <x:c r="E416" s="32" t="n">
        <x:v>2023</x:v>
      </x:c>
      <x:c r="F416" s="32" t="str">
        <x:v>NR</x:v>
      </x:c>
      <x:c r="G416" s="36"/>
      <x:c r="H416" s="15" t="str">
        <x:v>Not ranked in complete official table</x:v>
      </x:c>
      <x:c r="I416" s="15" t="str"/>
      <x:c r="J416" s="31" t="str"/>
      <x:c r="K416" s="31" t="str">
        <x:v>https://www.topuniversities.com/sustainability-rankings/2023</x:v>
      </x:c>
      <x:c r="L416" s="31" t="str">
        <x:v>https://www.amrita.edu/course/environmental-science-and-sustainability-6/</x:v>
      </x:c>
    </x:row>
    <x:row r="417">
      <x:c r="A417" s="15" t="n">
        <x:v>84</x:v>
      </x:c>
      <x:c r="B417" s="15" t="str">
        <x:v>Amrita Vishwa Vidyapeetham</x:v>
      </x:c>
      <x:c r="C417" s="15" t="str">
        <x:v>India</x:v>
      </x:c>
      <x:c r="D417" s="15" t="str">
        <x:v>No standalone sustainability/environment master's confirmed</x:v>
      </x:c>
      <x:c r="E417" s="32" t="n">
        <x:v>2024</x:v>
      </x:c>
      <x:c r="F417" s="32" t="str">
        <x:v>NR</x:v>
      </x:c>
      <x:c r="G417" s="36"/>
      <x:c r="H417" s="15" t="str">
        <x:v>Not ranked in complete official table</x:v>
      </x:c>
      <x:c r="I417" s="15" t="str"/>
      <x:c r="J417" s="31" t="str"/>
      <x:c r="K417" s="31" t="str">
        <x:v>https://www.topuniversities.com/sustainability-rankings/2024</x:v>
      </x:c>
      <x:c r="L417" s="31" t="str">
        <x:v>https://www.amrita.edu/course/environmental-science-and-sustainability-6/</x:v>
      </x:c>
    </x:row>
    <x:row r="418">
      <x:c r="A418" s="15" t="n">
        <x:v>84</x:v>
      </x:c>
      <x:c r="B418" s="15" t="str">
        <x:v>Amrita Vishwa Vidyapeetham</x:v>
      </x:c>
      <x:c r="C418" s="15" t="str">
        <x:v>India</x:v>
      </x:c>
      <x:c r="D418" s="15" t="str">
        <x:v>No standalone sustainability/environment master's confirmed</x:v>
      </x:c>
      <x:c r="E418" s="32" t="n">
        <x:v>2025</x:v>
      </x:c>
      <x:c r="F418" s="32" t="str">
        <x:v>1501+</x:v>
      </x:c>
      <x:c r="G418" s="36"/>
      <x:c r="H418" s="15" t="str">
        <x:v>Ranked</x:v>
      </x:c>
      <x:c r="I418" s="15" t="str">
        <x:v>Amrita Vishwa Vidyapeetham</x:v>
      </x:c>
      <x:c r="J418" s="31" t="str">
        <x:v>https://www.topuniversities.com/universities/amrita-vishwa-vidyapeetham</x:v>
      </x:c>
      <x:c r="K418" s="31" t="str">
        <x:v>https://www.topuniversities.com/sustainability-rankings/2025</x:v>
      </x:c>
      <x:c r="L418" s="31" t="str">
        <x:v>https://www.amrita.edu/course/environmental-science-and-sustainability-6/</x:v>
      </x:c>
    </x:row>
    <x:row r="419">
      <x:c r="A419" s="15" t="n">
        <x:v>84</x:v>
      </x:c>
      <x:c r="B419" s="15" t="str">
        <x:v>Amrita Vishwa Vidyapeetham</x:v>
      </x:c>
      <x:c r="C419" s="15" t="str">
        <x:v>India</x:v>
      </x:c>
      <x:c r="D419" s="15" t="str">
        <x:v>No standalone sustainability/environment master's confirmed</x:v>
      </x:c>
      <x:c r="E419" s="32" t="n">
        <x:v>2026</x:v>
      </x:c>
      <x:c r="F419" s="32" t="str">
        <x:v>1501+</x:v>
      </x:c>
      <x:c r="G419" s="36"/>
      <x:c r="H419" s="15" t="str">
        <x:v>Ranked</x:v>
      </x:c>
      <x:c r="I419" s="15" t="str">
        <x:v>Amrita Vishwa Vidyapeetham</x:v>
      </x:c>
      <x:c r="J419" s="31" t="str">
        <x:v>https://www.topuniversities.com/universities/amrita-vishwa-vidyapeetham</x:v>
      </x:c>
      <x:c r="K419" s="31" t="str">
        <x:v>https://www.topuniversities.com/sustainability-rankings/2026</x:v>
      </x:c>
      <x:c r="L419" s="31" t="str">
        <x:v>https://www.amrita.edu/course/environmental-science-and-sustainability-6/</x:v>
      </x:c>
    </x:row>
    <x:row r="420">
      <x:c r="A420" s="15" t="n">
        <x:v>85</x:v>
      </x:c>
      <x:c r="B420" s="15" t="str">
        <x:v>Queen's University Belfast</x:v>
      </x:c>
      <x:c r="C420" s="15" t="str">
        <x:v>United Kingdom</x:v>
      </x:c>
      <x:c r="D420" s="15" t="str">
        <x:v>MSc Leadership for Sustainable Development</x:v>
      </x:c>
      <x:c r="E420" s="32" t="n">
        <x:v>2022</x:v>
      </x:c>
      <x:c r="F420" s="32" t="str">
        <x:v>N/P</x:v>
      </x:c>
      <x:c r="G420" s="36"/>
      <x:c r="H420" s="15" t="str">
        <x:v>QS Sustainability ranking was not published for 2022</x:v>
      </x:c>
      <x:c r="I420" s="15" t="str"/>
      <x:c r="J420" s="31" t="str">
        <x:v>https://www.topuniversities.com/universities/queens-university-belfast</x:v>
      </x:c>
      <x:c r="K420" s="31" t="str"/>
      <x:c r="L420" s="31" t="str">
        <x:v>https://www.qub.ac.uk/courses/postgraduate-taught/leadership-sustainable-development-msc/</x:v>
      </x:c>
    </x:row>
    <x:row r="421">
      <x:c r="A421" s="15" t="n">
        <x:v>85</x:v>
      </x:c>
      <x:c r="B421" s="15" t="str">
        <x:v>Queen's University Belfast</x:v>
      </x:c>
      <x:c r="C421" s="15" t="str">
        <x:v>United Kingdom</x:v>
      </x:c>
      <x:c r="D421" s="15" t="str">
        <x:v>MSc Leadership for Sustainable Development</x:v>
      </x:c>
      <x:c r="E421" s="32" t="n">
        <x:v>2023</x:v>
      </x:c>
      <x:c r="F421" s="32" t="str">
        <x:v>108</x:v>
      </x:c>
      <x:c r="G421" s="36" t="n">
        <x:v>61.8</x:v>
      </x:c>
      <x:c r="H421" s="15" t="str">
        <x:v>Ranked</x:v>
      </x:c>
      <x:c r="I421" s="15" t="str">
        <x:v>Queen's University Belfast</x:v>
      </x:c>
      <x:c r="J421" s="31" t="str">
        <x:v>https://www.topuniversities.com/universities/queens-university-belfast</x:v>
      </x:c>
      <x:c r="K421" s="31" t="str">
        <x:v>https://www.topuniversities.com/sustainability-rankings/2023</x:v>
      </x:c>
      <x:c r="L421" s="31" t="str">
        <x:v>https://www.qub.ac.uk/courses/postgraduate-taught/leadership-sustainable-development-msc/</x:v>
      </x:c>
    </x:row>
    <x:row r="422">
      <x:c r="A422" s="15" t="n">
        <x:v>85</x:v>
      </x:c>
      <x:c r="B422" s="15" t="str">
        <x:v>Queen's University Belfast</x:v>
      </x:c>
      <x:c r="C422" s="15" t="str">
        <x:v>United Kingdom</x:v>
      </x:c>
      <x:c r="D422" s="15" t="str">
        <x:v>MSc Leadership for Sustainable Development</x:v>
      </x:c>
      <x:c r="E422" s="32" t="n">
        <x:v>2024</x:v>
      </x:c>
      <x:c r="F422" s="32" t="n">
        <x:f>103</x:f>
        <x:v>103</x:v>
      </x:c>
      <x:c r="G422" s="36" t="n">
        <x:v>81.5</x:v>
      </x:c>
      <x:c r="H422" s="15" t="str">
        <x:v>Ranked</x:v>
      </x:c>
      <x:c r="I422" s="15" t="str">
        <x:v>Queen's University Belfast</x:v>
      </x:c>
      <x:c r="J422" s="31" t="str">
        <x:v>https://www.topuniversities.com/universities/queens-university-belfast</x:v>
      </x:c>
      <x:c r="K422" s="31" t="str">
        <x:v>https://www.topuniversities.com/sustainability-rankings/2024</x:v>
      </x:c>
      <x:c r="L422" s="31" t="str">
        <x:v>https://www.qub.ac.uk/courses/postgraduate-taught/leadership-sustainable-development-msc/</x:v>
      </x:c>
    </x:row>
    <x:row r="423">
      <x:c r="A423" s="15" t="n">
        <x:v>85</x:v>
      </x:c>
      <x:c r="B423" s="15" t="str">
        <x:v>Queen's University Belfast</x:v>
      </x:c>
      <x:c r="C423" s="15" t="str">
        <x:v>United Kingdom</x:v>
      </x:c>
      <x:c r="D423" s="15" t="str">
        <x:v>MSc Leadership for Sustainable Development</x:v>
      </x:c>
      <x:c r="E423" s="32" t="n">
        <x:v>2025</x:v>
      </x:c>
      <x:c r="F423" s="32" t="str">
        <x:v>67</x:v>
      </x:c>
      <x:c r="G423" s="36" t="n">
        <x:v>89.9</x:v>
      </x:c>
      <x:c r="H423" s="15" t="str">
        <x:v>Ranked</x:v>
      </x:c>
      <x:c r="I423" s="15" t="str">
        <x:v>Queen's University Belfast</x:v>
      </x:c>
      <x:c r="J423" s="31" t="str">
        <x:v>https://www.topuniversities.com/universities/queens-university-belfast</x:v>
      </x:c>
      <x:c r="K423" s="31" t="str">
        <x:v>https://www.topuniversities.com/sustainability-rankings/2025</x:v>
      </x:c>
      <x:c r="L423" s="31" t="str">
        <x:v>https://www.qub.ac.uk/courses/postgraduate-taught/leadership-sustainable-development-msc/</x:v>
      </x:c>
    </x:row>
    <x:row r="424">
      <x:c r="A424" s="15" t="n">
        <x:v>85</x:v>
      </x:c>
      <x:c r="B424" s="15" t="str">
        <x:v>Queen's University Belfast</x:v>
      </x:c>
      <x:c r="C424" s="15" t="str">
        <x:v>United Kingdom</x:v>
      </x:c>
      <x:c r="D424" s="15" t="str">
        <x:v>MSc Leadership for Sustainable Development</x:v>
      </x:c>
      <x:c r="E424" s="32" t="n">
        <x:v>2026</x:v>
      </x:c>
      <x:c r="F424" s="32" t="n">
        <x:f>86</x:f>
        <x:v>86</x:v>
      </x:c>
      <x:c r="G424" s="36" t="n">
        <x:v>91.2</x:v>
      </x:c>
      <x:c r="H424" s="15" t="str">
        <x:v>Ranked</x:v>
      </x:c>
      <x:c r="I424" s="15" t="str">
        <x:v>Queen's University Belfast</x:v>
      </x:c>
      <x:c r="J424" s="31" t="str">
        <x:v>https://www.topuniversities.com/universities/queens-university-belfast</x:v>
      </x:c>
      <x:c r="K424" s="31" t="str">
        <x:v>https://www.topuniversities.com/sustainability-rankings/2026</x:v>
      </x:c>
      <x:c r="L424" s="31" t="str">
        <x:v>https://www.qub.ac.uk/courses/postgraduate-taught/leadership-sustainable-development-msc/</x:v>
      </x:c>
    </x:row>
    <x:row r="425">
      <x:c r="A425" s="15" t="n">
        <x:v>86</x:v>
      </x:c>
      <x:c r="B425" s="15" t="str">
        <x:v>Near East University</x:v>
      </x:c>
      <x:c r="C425" s="15" t="str">
        <x:v>Northern Cyprus</x:v>
      </x:c>
      <x:c r="D425" s="15" t="str">
        <x:v>Master's in Environmental Education</x:v>
      </x:c>
      <x:c r="E425" s="32" t="n">
        <x:v>2022</x:v>
      </x:c>
      <x:c r="F425" s="32" t="str">
        <x:v>N/P</x:v>
      </x:c>
      <x:c r="G425" s="36"/>
      <x:c r="H425" s="15" t="str">
        <x:v>QS Sustainability ranking was not published for 2022</x:v>
      </x:c>
      <x:c r="I425" s="15" t="str"/>
      <x:c r="J425" s="31" t="str">
        <x:v>https://www.topuniversities.com/universities/near-east-university</x:v>
      </x:c>
      <x:c r="K425" s="31" t="str"/>
      <x:c r="L425" s="31" t="str">
        <x:v>https://sustainability.neu.edu.tr/education/sustainability-programmes/</x:v>
      </x:c>
    </x:row>
    <x:row r="426">
      <x:c r="A426" s="15" t="n">
        <x:v>86</x:v>
      </x:c>
      <x:c r="B426" s="15" t="str">
        <x:v>Near East University</x:v>
      </x:c>
      <x:c r="C426" s="15" t="str">
        <x:v>Northern Cyprus</x:v>
      </x:c>
      <x:c r="D426" s="15" t="str">
        <x:v>Master's in Environmental Education</x:v>
      </x:c>
      <x:c r="E426" s="32" t="n">
        <x:v>2023</x:v>
      </x:c>
      <x:c r="F426" s="32" t="str">
        <x:v>NR</x:v>
      </x:c>
      <x:c r="G426" s="36"/>
      <x:c r="H426" s="15" t="str">
        <x:v>Not ranked in complete official table</x:v>
      </x:c>
      <x:c r="I426" s="15" t="str"/>
      <x:c r="J426" s="31" t="str"/>
      <x:c r="K426" s="31" t="str">
        <x:v>https://www.topuniversities.com/sustainability-rankings/2023</x:v>
      </x:c>
      <x:c r="L426" s="31" t="str">
        <x:v>https://sustainability.neu.edu.tr/education/sustainability-programmes/</x:v>
      </x:c>
    </x:row>
    <x:row r="427">
      <x:c r="A427" s="15" t="n">
        <x:v>86</x:v>
      </x:c>
      <x:c r="B427" s="15" t="str">
        <x:v>Near East University</x:v>
      </x:c>
      <x:c r="C427" s="15" t="str">
        <x:v>Northern Cyprus</x:v>
      </x:c>
      <x:c r="D427" s="15" t="str">
        <x:v>Master's in Environmental Education</x:v>
      </x:c>
      <x:c r="E427" s="32" t="n">
        <x:v>2024</x:v>
      </x:c>
      <x:c r="F427" s="32" t="str">
        <x:v>NR</x:v>
      </x:c>
      <x:c r="G427" s="36"/>
      <x:c r="H427" s="15" t="str">
        <x:v>Not ranked in complete official table</x:v>
      </x:c>
      <x:c r="I427" s="15" t="str"/>
      <x:c r="J427" s="31" t="str"/>
      <x:c r="K427" s="31" t="str">
        <x:v>https://www.topuniversities.com/sustainability-rankings/2024</x:v>
      </x:c>
      <x:c r="L427" s="31" t="str">
        <x:v>https://sustainability.neu.edu.tr/education/sustainability-programmes/</x:v>
      </x:c>
    </x:row>
    <x:row r="428">
      <x:c r="A428" s="15" t="n">
        <x:v>86</x:v>
      </x:c>
      <x:c r="B428" s="15" t="str">
        <x:v>Near East University</x:v>
      </x:c>
      <x:c r="C428" s="15" t="str">
        <x:v>Northern Cyprus</x:v>
      </x:c>
      <x:c r="D428" s="15" t="str">
        <x:v>Master's in Environmental Education</x:v>
      </x:c>
      <x:c r="E428" s="32" t="n">
        <x:v>2025</x:v>
      </x:c>
      <x:c r="F428" s="32" t="str">
        <x:v>1201-1250</x:v>
      </x:c>
      <x:c r="G428" s="36"/>
      <x:c r="H428" s="15" t="str">
        <x:v>Ranked</x:v>
      </x:c>
      <x:c r="I428" s="15" t="str">
        <x:v>Near East University</x:v>
      </x:c>
      <x:c r="J428" s="31" t="str">
        <x:v>https://www.topuniversities.com/universities/near-east-university</x:v>
      </x:c>
      <x:c r="K428" s="31" t="str">
        <x:v>https://www.topuniversities.com/sustainability-rankings/2025</x:v>
      </x:c>
      <x:c r="L428" s="31" t="str">
        <x:v>https://sustainability.neu.edu.tr/education/sustainability-programmes/</x:v>
      </x:c>
    </x:row>
    <x:row r="429">
      <x:c r="A429" s="15" t="n">
        <x:v>86</x:v>
      </x:c>
      <x:c r="B429" s="15" t="str">
        <x:v>Near East University</x:v>
      </x:c>
      <x:c r="C429" s="15" t="str">
        <x:v>Northern Cyprus</x:v>
      </x:c>
      <x:c r="D429" s="15" t="str">
        <x:v>Master's in Environmental Education</x:v>
      </x:c>
      <x:c r="E429" s="32" t="n">
        <x:v>2026</x:v>
      </x:c>
      <x:c r="F429" s="32" t="str">
        <x:v>1101-1150</x:v>
      </x:c>
      <x:c r="G429" s="36"/>
      <x:c r="H429" s="15" t="str">
        <x:v>Ranked</x:v>
      </x:c>
      <x:c r="I429" s="15" t="str">
        <x:v>Near East University</x:v>
      </x:c>
      <x:c r="J429" s="31" t="str">
        <x:v>https://www.topuniversities.com/universities/near-east-university</x:v>
      </x:c>
      <x:c r="K429" s="31" t="str">
        <x:v>https://www.topuniversities.com/sustainability-rankings/2026</x:v>
      </x:c>
      <x:c r="L429" s="31" t="str">
        <x:v>https://sustainability.neu.edu.tr/education/sustainability-programmes/</x:v>
      </x:c>
    </x:row>
    <x:row r="430">
      <x:c r="A430" s="15" t="n">
        <x:v>87</x:v>
      </x:c>
      <x:c r="B430" s="15" t="str">
        <x:v>University of Johannesburg</x:v>
      </x:c>
      <x:c r="C430" s="15" t="str">
        <x:v>South Africa</x:v>
      </x:c>
      <x:c r="D430" s="15" t="str">
        <x:v>Master's in Sustainability Management</x:v>
      </x:c>
      <x:c r="E430" s="32" t="n">
        <x:v>2022</x:v>
      </x:c>
      <x:c r="F430" s="32" t="str">
        <x:v>N/P</x:v>
      </x:c>
      <x:c r="G430" s="36"/>
      <x:c r="H430" s="15" t="str">
        <x:v>QS Sustainability ranking was not published for 2022</x:v>
      </x:c>
      <x:c r="I430" s="15" t="str"/>
      <x:c r="J430" s="31" t="str">
        <x:v>https://www.topuniversities.com/universities/university-johannesburg</x:v>
      </x:c>
      <x:c r="K430" s="31" t="str"/>
      <x:c r="L430" s="31" t="str">
        <x:v>https://www.uj.ac.za/university-courses/masters-in-sustainability-management/</x:v>
      </x:c>
    </x:row>
    <x:row r="431">
      <x:c r="A431" s="15" t="n">
        <x:v>87</x:v>
      </x:c>
      <x:c r="B431" s="15" t="str">
        <x:v>University of Johannesburg</x:v>
      </x:c>
      <x:c r="C431" s="15" t="str">
        <x:v>South Africa</x:v>
      </x:c>
      <x:c r="D431" s="15" t="str">
        <x:v>Master's in Sustainability Management</x:v>
      </x:c>
      <x:c r="E431" s="32" t="n">
        <x:v>2023</x:v>
      </x:c>
      <x:c r="F431" s="32" t="str">
        <x:v>171-180</x:v>
      </x:c>
      <x:c r="G431" s="36"/>
      <x:c r="H431" s="15" t="str">
        <x:v>Ranked</x:v>
      </x:c>
      <x:c r="I431" s="15" t="str">
        <x:v>University of Johannesburg</x:v>
      </x:c>
      <x:c r="J431" s="31" t="str">
        <x:v>https://www.topuniversities.com/universities/university-johannesburg</x:v>
      </x:c>
      <x:c r="K431" s="31" t="str">
        <x:v>https://www.topuniversities.com/sustainability-rankings/2023</x:v>
      </x:c>
      <x:c r="L431" s="31" t="str">
        <x:v>https://www.uj.ac.za/university-courses/masters-in-sustainability-management/</x:v>
      </x:c>
    </x:row>
    <x:row r="432">
      <x:c r="A432" s="15" t="n">
        <x:v>87</x:v>
      </x:c>
      <x:c r="B432" s="15" t="str">
        <x:v>University of Johannesburg</x:v>
      </x:c>
      <x:c r="C432" s="15" t="str">
        <x:v>South Africa</x:v>
      </x:c>
      <x:c r="D432" s="15" t="str">
        <x:v>Master's in Sustainability Management</x:v>
      </x:c>
      <x:c r="E432" s="32" t="n">
        <x:v>2024</x:v>
      </x:c>
      <x:c r="F432" s="32" t="str">
        <x:v>239</x:v>
      </x:c>
      <x:c r="G432" s="36" t="n">
        <x:v>71.7</x:v>
      </x:c>
      <x:c r="H432" s="15" t="str">
        <x:v>Ranked</x:v>
      </x:c>
      <x:c r="I432" s="15" t="str">
        <x:v>University of Johannesburg</x:v>
      </x:c>
      <x:c r="J432" s="31" t="str">
        <x:v>https://www.topuniversities.com/universities/university-johannesburg</x:v>
      </x:c>
      <x:c r="K432" s="31" t="str">
        <x:v>https://www.topuniversities.com/sustainability-rankings/2024</x:v>
      </x:c>
      <x:c r="L432" s="31" t="str">
        <x:v>https://www.uj.ac.za/university-courses/masters-in-sustainability-management/</x:v>
      </x:c>
    </x:row>
    <x:row r="433">
      <x:c r="A433" s="15" t="n">
        <x:v>87</x:v>
      </x:c>
      <x:c r="B433" s="15" t="str">
        <x:v>University of Johannesburg</x:v>
      </x:c>
      <x:c r="C433" s="15" t="str">
        <x:v>South Africa</x:v>
      </x:c>
      <x:c r="D433" s="15" t="str">
        <x:v>Master's in Sustainability Management</x:v>
      </x:c>
      <x:c r="E433" s="32" t="n">
        <x:v>2025</x:v>
      </x:c>
      <x:c r="F433" s="32" t="n">
        <x:f>243</x:f>
        <x:v>243</x:v>
      </x:c>
      <x:c r="G433" s="36" t="n">
        <x:v>75.7</x:v>
      </x:c>
      <x:c r="H433" s="15" t="str">
        <x:v>Ranked</x:v>
      </x:c>
      <x:c r="I433" s="15" t="str">
        <x:v>University of Johannesburg</x:v>
      </x:c>
      <x:c r="J433" s="31" t="str">
        <x:v>https://www.topuniversities.com/universities/university-johannesburg</x:v>
      </x:c>
      <x:c r="K433" s="31" t="str">
        <x:v>https://www.topuniversities.com/sustainability-rankings/2025</x:v>
      </x:c>
      <x:c r="L433" s="31" t="str">
        <x:v>https://www.uj.ac.za/university-courses/masters-in-sustainability-management/</x:v>
      </x:c>
    </x:row>
    <x:row r="434">
      <x:c r="A434" s="15" t="n">
        <x:v>87</x:v>
      </x:c>
      <x:c r="B434" s="15" t="str">
        <x:v>University of Johannesburg</x:v>
      </x:c>
      <x:c r="C434" s="15" t="str">
        <x:v>South Africa</x:v>
      </x:c>
      <x:c r="D434" s="15" t="str">
        <x:v>Master's in Sustainability Management</x:v>
      </x:c>
      <x:c r="E434" s="32" t="n">
        <x:v>2026</x:v>
      </x:c>
      <x:c r="F434" s="32" t="n">
        <x:f>255</x:f>
        <x:v>255</x:v>
      </x:c>
      <x:c r="G434" s="36" t="n">
        <x:v>80.1</x:v>
      </x:c>
      <x:c r="H434" s="15" t="str">
        <x:v>Ranked</x:v>
      </x:c>
      <x:c r="I434" s="15" t="str">
        <x:v>University of Johannesburg</x:v>
      </x:c>
      <x:c r="J434" s="31" t="str">
        <x:v>https://www.topuniversities.com/universities/university-johannesburg</x:v>
      </x:c>
      <x:c r="K434" s="31" t="str">
        <x:v>https://www.topuniversities.com/sustainability-rankings/2026</x:v>
      </x:c>
      <x:c r="L434" s="31" t="str">
        <x:v>https://www.uj.ac.za/university-courses/masters-in-sustainability-management/</x:v>
      </x:c>
    </x:row>
    <x:row r="435">
      <x:c r="A435" s="15" t="n">
        <x:v>88</x:v>
      </x:c>
      <x:c r="B435" s="15" t="str">
        <x:v>Universitas Gadjah Mada</x:v>
      </x:c>
      <x:c r="C435" s="15" t="str">
        <x:v>Indonesia</x:v>
      </x:c>
      <x:c r="D435" s="15" t="str">
        <x:v>Master in Environmental Science</x:v>
      </x:c>
      <x:c r="E435" s="32" t="n">
        <x:v>2022</x:v>
      </x:c>
      <x:c r="F435" s="32" t="str">
        <x:v>N/P</x:v>
      </x:c>
      <x:c r="G435" s="36"/>
      <x:c r="H435" s="15" t="str">
        <x:v>QS Sustainability ranking was not published for 2022</x:v>
      </x:c>
      <x:c r="I435" s="15" t="str"/>
      <x:c r="J435" s="31" t="str">
        <x:v>https://www.topuniversities.com/universities/gadjah-mada-university</x:v>
      </x:c>
      <x:c r="K435" s="31" t="str"/>
      <x:c r="L435" s="31" t="str">
        <x:v>https://admissions.ugm.ac.id/v26/program-studi/magister-ilmu-lingkungan-master-in-environmental-science/</x:v>
      </x:c>
    </x:row>
    <x:row r="436">
      <x:c r="A436" s="15" t="n">
        <x:v>88</x:v>
      </x:c>
      <x:c r="B436" s="15" t="str">
        <x:v>Universitas Gadjah Mada</x:v>
      </x:c>
      <x:c r="C436" s="15" t="str">
        <x:v>Indonesia</x:v>
      </x:c>
      <x:c r="D436" s="15" t="str">
        <x:v>Master in Environmental Science</x:v>
      </x:c>
      <x:c r="E436" s="32" t="n">
        <x:v>2023</x:v>
      </x:c>
      <x:c r="F436" s="32" t="str">
        <x:v>281-300</x:v>
      </x:c>
      <x:c r="G436" s="36"/>
      <x:c r="H436" s="15" t="str">
        <x:v>Ranked</x:v>
      </x:c>
      <x:c r="I436" s="15" t="str">
        <x:v>Gadjah Mada University</x:v>
      </x:c>
      <x:c r="J436" s="31" t="str">
        <x:v>https://www.topuniversities.com/universities/gadjah-mada-university</x:v>
      </x:c>
      <x:c r="K436" s="31" t="str">
        <x:v>https://www.topuniversities.com/sustainability-rankings/2023</x:v>
      </x:c>
      <x:c r="L436" s="31" t="str">
        <x:v>https://admissions.ugm.ac.id/v26/program-studi/magister-ilmu-lingkungan-master-in-environmental-science/</x:v>
      </x:c>
    </x:row>
    <x:row r="437">
      <x:c r="A437" s="15" t="n">
        <x:v>88</x:v>
      </x:c>
      <x:c r="B437" s="15" t="str">
        <x:v>Universitas Gadjah Mada</x:v>
      </x:c>
      <x:c r="C437" s="15" t="str">
        <x:v>Indonesia</x:v>
      </x:c>
      <x:c r="D437" s="15" t="str">
        <x:v>Master in Environmental Science</x:v>
      </x:c>
      <x:c r="E437" s="32" t="n">
        <x:v>2024</x:v>
      </x:c>
      <x:c r="F437" s="32" t="n">
        <x:f>476</x:f>
        <x:v>476</x:v>
      </x:c>
      <x:c r="G437" s="36" t="n">
        <x:v>59.3</x:v>
      </x:c>
      <x:c r="H437" s="15" t="str">
        <x:v>Ranked</x:v>
      </x:c>
      <x:c r="I437" s="15" t="str">
        <x:v>Gadjah Mada University</x:v>
      </x:c>
      <x:c r="J437" s="31" t="str">
        <x:v>https://www.topuniversities.com/universities/gadjah-mada-university</x:v>
      </x:c>
      <x:c r="K437" s="31" t="str">
        <x:v>https://www.topuniversities.com/sustainability-rankings/2024</x:v>
      </x:c>
      <x:c r="L437" s="31" t="str">
        <x:v>https://admissions.ugm.ac.id/v26/program-studi/magister-ilmu-lingkungan-master-in-environmental-science/</x:v>
      </x:c>
    </x:row>
    <x:row r="438">
      <x:c r="A438" s="15" t="n">
        <x:v>88</x:v>
      </x:c>
      <x:c r="B438" s="15" t="str">
        <x:v>Universitas Gadjah Mada</x:v>
      </x:c>
      <x:c r="C438" s="15" t="str">
        <x:v>Indonesia</x:v>
      </x:c>
      <x:c r="D438" s="15" t="str">
        <x:v>Master in Environmental Science</x:v>
      </x:c>
      <x:c r="E438" s="32" t="n">
        <x:v>2025</x:v>
      </x:c>
      <x:c r="F438" s="32" t="n">
        <x:f>383</x:f>
        <x:v>383</x:v>
      </x:c>
      <x:c r="G438" s="36" t="n">
        <x:v>67.2</x:v>
      </x:c>
      <x:c r="H438" s="15" t="str">
        <x:v>Ranked</x:v>
      </x:c>
      <x:c r="I438" s="15" t="str">
        <x:v>Gadjah Mada University</x:v>
      </x:c>
      <x:c r="J438" s="31" t="str">
        <x:v>https://www.topuniversities.com/universities/gadjah-mada-university</x:v>
      </x:c>
      <x:c r="K438" s="31" t="str">
        <x:v>https://www.topuniversities.com/sustainability-rankings/2025</x:v>
      </x:c>
      <x:c r="L438" s="31" t="str">
        <x:v>https://admissions.ugm.ac.id/v26/program-studi/magister-ilmu-lingkungan-master-in-environmental-science/</x:v>
      </x:c>
    </x:row>
    <x:row r="439">
      <x:c r="A439" s="15" t="n">
        <x:v>88</x:v>
      </x:c>
      <x:c r="B439" s="15" t="str">
        <x:v>Universitas Gadjah Mada</x:v>
      </x:c>
      <x:c r="C439" s="15" t="str">
        <x:v>Indonesia</x:v>
      </x:c>
      <x:c r="D439" s="15" t="str">
        <x:v>Master in Environmental Science</x:v>
      </x:c>
      <x:c r="E439" s="32" t="n">
        <x:v>2026</x:v>
      </x:c>
      <x:c r="F439" s="32" t="n">
        <x:f>409</x:f>
        <x:v>409</x:v>
      </x:c>
      <x:c r="G439" s="36" t="n">
        <x:v>72.3</x:v>
      </x:c>
      <x:c r="H439" s="15" t="str">
        <x:v>Ranked</x:v>
      </x:c>
      <x:c r="I439" s="15" t="str">
        <x:v>Gadjah Mada University</x:v>
      </x:c>
      <x:c r="J439" s="31" t="str">
        <x:v>https://www.topuniversities.com/universities/gadjah-mada-university</x:v>
      </x:c>
      <x:c r="K439" s="31" t="str">
        <x:v>https://www.topuniversities.com/sustainability-rankings/2026</x:v>
      </x:c>
      <x:c r="L439" s="31" t="str">
        <x:v>https://admissions.ugm.ac.id/v26/program-studi/magister-ilmu-lingkungan-master-in-environmental-science/</x:v>
      </x:c>
    </x:row>
    <x:row r="440">
      <x:c r="A440" s="15" t="n">
        <x:v>89</x:v>
      </x:c>
      <x:c r="B440" s="15" t="str">
        <x:v>University of Wollongong</x:v>
      </x:c>
      <x:c r="C440" s="15" t="str">
        <x:v>Australia</x:v>
      </x:c>
      <x:c r="D440" s="15" t="str">
        <x:v>Master of Earth and Environmental Sciences</x:v>
      </x:c>
      <x:c r="E440" s="32" t="n">
        <x:v>2022</x:v>
      </x:c>
      <x:c r="F440" s="32" t="str">
        <x:v>N/P</x:v>
      </x:c>
      <x:c r="G440" s="36"/>
      <x:c r="H440" s="15" t="str">
        <x:v>QS Sustainability ranking was not published for 2022</x:v>
      </x:c>
      <x:c r="I440" s="15" t="str"/>
      <x:c r="J440" s="31" t="str">
        <x:v>https://www.topuniversities.com/universities/university-wollongong</x:v>
      </x:c>
      <x:c r="K440" s="31" t="str"/>
      <x:c r="L440" s="31" t="str">
        <x:v>https://www.uow.edu.au/study/courses/master-of-earth-and-environmental-sciences/</x:v>
      </x:c>
    </x:row>
    <x:row r="441">
      <x:c r="A441" s="15" t="n">
        <x:v>89</x:v>
      </x:c>
      <x:c r="B441" s="15" t="str">
        <x:v>University of Wollongong</x:v>
      </x:c>
      <x:c r="C441" s="15" t="str">
        <x:v>Australia</x:v>
      </x:c>
      <x:c r="D441" s="15" t="str">
        <x:v>Master of Earth and Environmental Sciences</x:v>
      </x:c>
      <x:c r="E441" s="32" t="n">
        <x:v>2023</x:v>
      </x:c>
      <x:c r="F441" s="32" t="str">
        <x:v>85</x:v>
      </x:c>
      <x:c r="G441" s="36" t="n">
        <x:v>65.7</x:v>
      </x:c>
      <x:c r="H441" s="15" t="str">
        <x:v>Ranked</x:v>
      </x:c>
      <x:c r="I441" s="15" t="str">
        <x:v>University of Wollongong</x:v>
      </x:c>
      <x:c r="J441" s="31" t="str">
        <x:v>https://www.topuniversities.com/universities/university-wollongong</x:v>
      </x:c>
      <x:c r="K441" s="31" t="str">
        <x:v>https://www.topuniversities.com/sustainability-rankings/2023</x:v>
      </x:c>
      <x:c r="L441" s="31" t="str">
        <x:v>https://www.uow.edu.au/study/courses/master-of-earth-and-environmental-sciences/</x:v>
      </x:c>
    </x:row>
    <x:row r="442">
      <x:c r="A442" s="15" t="n">
        <x:v>89</x:v>
      </x:c>
      <x:c r="B442" s="15" t="str">
        <x:v>University of Wollongong</x:v>
      </x:c>
      <x:c r="C442" s="15" t="str">
        <x:v>Australia</x:v>
      </x:c>
      <x:c r="D442" s="15" t="str">
        <x:v>Master of Earth and Environmental Sciences</x:v>
      </x:c>
      <x:c r="E442" s="32" t="n">
        <x:v>2024</x:v>
      </x:c>
      <x:c r="F442" s="32" t="n">
        <x:f>62</x:f>
        <x:v>62</x:v>
      </x:c>
      <x:c r="G442" s="36" t="n">
        <x:v>85.3</x:v>
      </x:c>
      <x:c r="H442" s="15" t="str">
        <x:v>Ranked</x:v>
      </x:c>
      <x:c r="I442" s="15" t="str">
        <x:v>University of Wollongong</x:v>
      </x:c>
      <x:c r="J442" s="31" t="str">
        <x:v>https://www.topuniversities.com/universities/university-wollongong</x:v>
      </x:c>
      <x:c r="K442" s="31" t="str">
        <x:v>https://www.topuniversities.com/sustainability-rankings/2024</x:v>
      </x:c>
      <x:c r="L442" s="31" t="str">
        <x:v>https://www.uow.edu.au/study/courses/master-of-earth-and-environmental-sciences/</x:v>
      </x:c>
    </x:row>
    <x:row r="443">
      <x:c r="A443" s="15" t="n">
        <x:v>89</x:v>
      </x:c>
      <x:c r="B443" s="15" t="str">
        <x:v>University of Wollongong</x:v>
      </x:c>
      <x:c r="C443" s="15" t="str">
        <x:v>Australia</x:v>
      </x:c>
      <x:c r="D443" s="15" t="str">
        <x:v>Master of Earth and Environmental Sciences</x:v>
      </x:c>
      <x:c r="E443" s="32" t="n">
        <x:v>2025</x:v>
      </x:c>
      <x:c r="F443" s="32" t="n">
        <x:f>98</x:f>
        <x:v>98</x:v>
      </x:c>
      <x:c r="G443" s="36" t="n">
        <x:v>86.6</x:v>
      </x:c>
      <x:c r="H443" s="15" t="str">
        <x:v>Ranked</x:v>
      </x:c>
      <x:c r="I443" s="15" t="str">
        <x:v>University of Wollongong</x:v>
      </x:c>
      <x:c r="J443" s="31" t="str">
        <x:v>https://www.topuniversities.com/universities/university-wollongong</x:v>
      </x:c>
      <x:c r="K443" s="31" t="str">
        <x:v>https://www.topuniversities.com/sustainability-rankings/2025</x:v>
      </x:c>
      <x:c r="L443" s="31" t="str">
        <x:v>https://www.uow.edu.au/study/courses/master-of-earth-and-environmental-sciences/</x:v>
      </x:c>
    </x:row>
    <x:row r="444">
      <x:c r="A444" s="15" t="n">
        <x:v>89</x:v>
      </x:c>
      <x:c r="B444" s="15" t="str">
        <x:v>University of Wollongong</x:v>
      </x:c>
      <x:c r="C444" s="15" t="str">
        <x:v>Australia</x:v>
      </x:c>
      <x:c r="D444" s="15" t="str">
        <x:v>Master of Earth and Environmental Sciences</x:v>
      </x:c>
      <x:c r="E444" s="32" t="n">
        <x:v>2026</x:v>
      </x:c>
      <x:c r="F444" s="32" t="str">
        <x:v>138</x:v>
      </x:c>
      <x:c r="G444" s="36" t="n">
        <x:v>87.4</x:v>
      </x:c>
      <x:c r="H444" s="15" t="str">
        <x:v>Ranked</x:v>
      </x:c>
      <x:c r="I444" s="15" t="str">
        <x:v>University of Wollongong</x:v>
      </x:c>
      <x:c r="J444" s="31" t="str">
        <x:v>https://www.topuniversities.com/universities/university-wollongong</x:v>
      </x:c>
      <x:c r="K444" s="31" t="str">
        <x:v>https://www.topuniversities.com/sustainability-rankings/2026</x:v>
      </x:c>
      <x:c r="L444" s="31" t="str">
        <x:v>https://www.uow.edu.au/study/courses/master-of-earth-and-environmental-sciences/</x:v>
      </x:c>
    </x:row>
    <x:row r="445">
      <x:c r="A445" s="15" t="n">
        <x:v>90</x:v>
      </x:c>
      <x:c r="B445" s="15" t="str">
        <x:v>Yonsei University (Seoul campus)</x:v>
      </x:c>
      <x:c r="C445" s="15" t="str">
        <x:v>South Korea</x:v>
      </x:c>
      <x:c r="D445" s="15" t="str">
        <x:v>Master of Global Civic Studies - Global Citizenship and Sustainable Development</x:v>
      </x:c>
      <x:c r="E445" s="32" t="n">
        <x:v>2022</x:v>
      </x:c>
      <x:c r="F445" s="32" t="str">
        <x:v>N/P</x:v>
      </x:c>
      <x:c r="G445" s="36"/>
      <x:c r="H445" s="15" t="str">
        <x:v>QS Sustainability ranking was not published for 2022</x:v>
      </x:c>
      <x:c r="I445" s="15" t="str"/>
      <x:c r="J445" s="31" t="str">
        <x:v>https://www.topuniversities.com/universities/yonsei-university</x:v>
      </x:c>
      <x:c r="K445" s="31" t="str"/>
      <x:c r="L445" s="31" t="str">
        <x:v>https://lawschool.yonsei.ac.kr/gsis/intro/status.do</x:v>
      </x:c>
    </x:row>
    <x:row r="446">
      <x:c r="A446" s="15" t="n">
        <x:v>90</x:v>
      </x:c>
      <x:c r="B446" s="15" t="str">
        <x:v>Yonsei University (Seoul campus)</x:v>
      </x:c>
      <x:c r="C446" s="15" t="str">
        <x:v>South Korea</x:v>
      </x:c>
      <x:c r="D446" s="15" t="str">
        <x:v>Master of Global Civic Studies - Global Citizenship and Sustainable Development</x:v>
      </x:c>
      <x:c r="E446" s="32" t="n">
        <x:v>2023</x:v>
      </x:c>
      <x:c r="F446" s="32" t="str">
        <x:v>341-360</x:v>
      </x:c>
      <x:c r="G446" s="36"/>
      <x:c r="H446" s="15" t="str">
        <x:v>Ranked</x:v>
      </x:c>
      <x:c r="I446" s="15" t="str">
        <x:v>Yonsei University</x:v>
      </x:c>
      <x:c r="J446" s="31" t="str">
        <x:v>https://www.topuniversities.com/universities/yonsei-university</x:v>
      </x:c>
      <x:c r="K446" s="31" t="str">
        <x:v>https://www.topuniversities.com/sustainability-rankings/2023</x:v>
      </x:c>
      <x:c r="L446" s="31" t="str">
        <x:v>https://lawschool.yonsei.ac.kr/gsis/intro/status.do</x:v>
      </x:c>
    </x:row>
    <x:row r="447">
      <x:c r="A447" s="15" t="n">
        <x:v>90</x:v>
      </x:c>
      <x:c r="B447" s="15" t="str">
        <x:v>Yonsei University (Seoul campus)</x:v>
      </x:c>
      <x:c r="C447" s="15" t="str">
        <x:v>South Korea</x:v>
      </x:c>
      <x:c r="D447" s="15" t="str">
        <x:v>Master of Global Civic Studies - Global Citizenship and Sustainable Development</x:v>
      </x:c>
      <x:c r="E447" s="32" t="n">
        <x:v>2024</x:v>
      </x:c>
      <x:c r="F447" s="32" t="n">
        <x:f>103</x:f>
        <x:v>103</x:v>
      </x:c>
      <x:c r="G447" s="36" t="n">
        <x:v>81.5</x:v>
      </x:c>
      <x:c r="H447" s="15" t="str">
        <x:v>Ranked</x:v>
      </x:c>
      <x:c r="I447" s="15" t="str">
        <x:v>Yonsei University</x:v>
      </x:c>
      <x:c r="J447" s="31" t="str">
        <x:v>https://www.topuniversities.com/universities/yonsei-university</x:v>
      </x:c>
      <x:c r="K447" s="31" t="str">
        <x:v>https://www.topuniversities.com/sustainability-rankings/2024</x:v>
      </x:c>
      <x:c r="L447" s="31" t="str">
        <x:v>https://lawschool.yonsei.ac.kr/gsis/intro/status.do</x:v>
      </x:c>
    </x:row>
    <x:row r="448">
      <x:c r="A448" s="15" t="n">
        <x:v>90</x:v>
      </x:c>
      <x:c r="B448" s="15" t="str">
        <x:v>Yonsei University (Seoul campus)</x:v>
      </x:c>
      <x:c r="C448" s="15" t="str">
        <x:v>South Korea</x:v>
      </x:c>
      <x:c r="D448" s="15" t="str">
        <x:v>Master of Global Civic Studies - Global Citizenship and Sustainable Development</x:v>
      </x:c>
      <x:c r="E448" s="32" t="n">
        <x:v>2025</x:v>
      </x:c>
      <x:c r="F448" s="32" t="str">
        <x:v>86</x:v>
      </x:c>
      <x:c r="G448" s="36" t="n">
        <x:v>88.1</x:v>
      </x:c>
      <x:c r="H448" s="15" t="str">
        <x:v>Ranked</x:v>
      </x:c>
      <x:c r="I448" s="15" t="str">
        <x:v>Yonsei University</x:v>
      </x:c>
      <x:c r="J448" s="31" t="str">
        <x:v>https://www.topuniversities.com/universities/yonsei-university</x:v>
      </x:c>
      <x:c r="K448" s="31" t="str">
        <x:v>https://www.topuniversities.com/sustainability-rankings/2025</x:v>
      </x:c>
      <x:c r="L448" s="31" t="str">
        <x:v>https://lawschool.yonsei.ac.kr/gsis/intro/status.do</x:v>
      </x:c>
    </x:row>
    <x:row r="449">
      <x:c r="A449" s="15" t="n">
        <x:v>90</x:v>
      </x:c>
      <x:c r="B449" s="15" t="str">
        <x:v>Yonsei University (Seoul campus)</x:v>
      </x:c>
      <x:c r="C449" s="15" t="str">
        <x:v>South Korea</x:v>
      </x:c>
      <x:c r="D449" s="15" t="str">
        <x:v>Master of Global Civic Studies - Global Citizenship and Sustainable Development</x:v>
      </x:c>
      <x:c r="E449" s="32" t="n">
        <x:v>2026</x:v>
      </x:c>
      <x:c r="F449" s="32" t="n">
        <x:f>92</x:f>
        <x:v>92</x:v>
      </x:c>
      <x:c r="G449" s="36" t="n">
        <x:v>90.5</x:v>
      </x:c>
      <x:c r="H449" s="15" t="str">
        <x:v>Ranked</x:v>
      </x:c>
      <x:c r="I449" s="15" t="str">
        <x:v>Yonsei University</x:v>
      </x:c>
      <x:c r="J449" s="31" t="str">
        <x:v>https://www.topuniversities.com/universities/yonsei-university</x:v>
      </x:c>
      <x:c r="K449" s="31" t="str">
        <x:v>https://www.topuniversities.com/sustainability-rankings/2026</x:v>
      </x:c>
      <x:c r="L449" s="31" t="str">
        <x:v>https://lawschool.yonsei.ac.kr/gsis/intro/status.do</x:v>
      </x:c>
    </x:row>
    <x:row r="450">
      <x:c r="A450" s="15" t="n">
        <x:v>91</x:v>
      </x:c>
      <x:c r="B450" s="15" t="str">
        <x:v>Sunway University</x:v>
      </x:c>
      <x:c r="C450" s="15" t="str">
        <x:v>Malaysia</x:v>
      </x:c>
      <x:c r="D450" s="15" t="str">
        <x:v>Master in Sustainable Development Management</x:v>
      </x:c>
      <x:c r="E450" s="32" t="n">
        <x:v>2022</x:v>
      </x:c>
      <x:c r="F450" s="32" t="str">
        <x:v>N/P</x:v>
      </x:c>
      <x:c r="G450" s="36"/>
      <x:c r="H450" s="15" t="str">
        <x:v>QS Sustainability ranking was not published for 2022</x:v>
      </x:c>
      <x:c r="I450" s="15" t="str"/>
      <x:c r="J450" s="31" t="str">
        <x:v>https://www.topuniversities.com/universities/sunway-university</x:v>
      </x:c>
      <x:c r="K450" s="31" t="str"/>
      <x:c r="L450" s="31" t="str">
        <x:v>https://sunwayuniversity.edu.my/jsc/courses/master-sustainable-development-management-0</x:v>
      </x:c>
    </x:row>
    <x:row r="451">
      <x:c r="A451" s="15" t="n">
        <x:v>91</x:v>
      </x:c>
      <x:c r="B451" s="15" t="str">
        <x:v>Sunway University</x:v>
      </x:c>
      <x:c r="C451" s="15" t="str">
        <x:v>Malaysia</x:v>
      </x:c>
      <x:c r="D451" s="15" t="str">
        <x:v>Master in Sustainable Development Management</x:v>
      </x:c>
      <x:c r="E451" s="32" t="n">
        <x:v>2023</x:v>
      </x:c>
      <x:c r="F451" s="32" t="str">
        <x:v>NR</x:v>
      </x:c>
      <x:c r="G451" s="36"/>
      <x:c r="H451" s="15" t="str">
        <x:v>Not ranked in complete official table</x:v>
      </x:c>
      <x:c r="I451" s="15" t="str"/>
      <x:c r="J451" s="31" t="str"/>
      <x:c r="K451" s="31" t="str">
        <x:v>https://www.topuniversities.com/sustainability-rankings/2023</x:v>
      </x:c>
      <x:c r="L451" s="31" t="str">
        <x:v>https://sunwayuniversity.edu.my/jsc/courses/master-sustainable-development-management-0</x:v>
      </x:c>
    </x:row>
    <x:row r="452">
      <x:c r="A452" s="15" t="n">
        <x:v>91</x:v>
      </x:c>
      <x:c r="B452" s="15" t="str">
        <x:v>Sunway University</x:v>
      </x:c>
      <x:c r="C452" s="15" t="str">
        <x:v>Malaysia</x:v>
      </x:c>
      <x:c r="D452" s="15" t="str">
        <x:v>Master in Sustainable Development Management</x:v>
      </x:c>
      <x:c r="E452" s="32" t="n">
        <x:v>2024</x:v>
      </x:c>
      <x:c r="F452" s="32" t="n">
        <x:f>470</x:f>
        <x:v>470</x:v>
      </x:c>
      <x:c r="G452" s="36" t="n">
        <x:v>59.5</x:v>
      </x:c>
      <x:c r="H452" s="15" t="str">
        <x:v>Ranked</x:v>
      </x:c>
      <x:c r="I452" s="15" t="str">
        <x:v>Sunway University</x:v>
      </x:c>
      <x:c r="J452" s="31" t="str">
        <x:v>https://www.topuniversities.com/universities/sunway-university</x:v>
      </x:c>
      <x:c r="K452" s="31" t="str">
        <x:v>https://www.topuniversities.com/sustainability-rankings/2024</x:v>
      </x:c>
      <x:c r="L452" s="31" t="str">
        <x:v>https://sunwayuniversity.edu.my/jsc/courses/master-sustainable-development-management-0</x:v>
      </x:c>
    </x:row>
    <x:row r="453">
      <x:c r="A453" s="15" t="n">
        <x:v>91</x:v>
      </x:c>
      <x:c r="B453" s="15" t="str">
        <x:v>Sunway University</x:v>
      </x:c>
      <x:c r="C453" s="15" t="str">
        <x:v>Malaysia</x:v>
      </x:c>
      <x:c r="D453" s="15" t="str">
        <x:v>Master in Sustainable Development Management</x:v>
      </x:c>
      <x:c r="E453" s="32" t="n">
        <x:v>2025</x:v>
      </x:c>
      <x:c r="F453" s="32" t="n">
        <x:f>480</x:f>
        <x:v>480</x:v>
      </x:c>
      <x:c r="G453" s="36" t="n">
        <x:v>62.6</x:v>
      </x:c>
      <x:c r="H453" s="15" t="str">
        <x:v>Ranked</x:v>
      </x:c>
      <x:c r="I453" s="15" t="str">
        <x:v>Sunway University</x:v>
      </x:c>
      <x:c r="J453" s="31" t="str">
        <x:v>https://www.topuniversities.com/universities/sunway-university</x:v>
      </x:c>
      <x:c r="K453" s="31" t="str">
        <x:v>https://www.topuniversities.com/sustainability-rankings/2025</x:v>
      </x:c>
      <x:c r="L453" s="31" t="str">
        <x:v>https://sunwayuniversity.edu.my/jsc/courses/master-sustainable-development-management-0</x:v>
      </x:c>
    </x:row>
    <x:row r="454">
      <x:c r="A454" s="15" t="n">
        <x:v>91</x:v>
      </x:c>
      <x:c r="B454" s="15" t="str">
        <x:v>Sunway University</x:v>
      </x:c>
      <x:c r="C454" s="15" t="str">
        <x:v>Malaysia</x:v>
      </x:c>
      <x:c r="D454" s="15" t="str">
        <x:v>Master in Sustainable Development Management</x:v>
      </x:c>
      <x:c r="E454" s="32" t="n">
        <x:v>2026</x:v>
      </x:c>
      <x:c r="F454" s="32" t="n">
        <x:f>338</x:f>
        <x:v>338</x:v>
      </x:c>
      <x:c r="G454" s="36" t="n">
        <x:v>75.5</x:v>
      </x:c>
      <x:c r="H454" s="15" t="str">
        <x:v>Ranked</x:v>
      </x:c>
      <x:c r="I454" s="15" t="str">
        <x:v>Sunway University</x:v>
      </x:c>
      <x:c r="J454" s="31" t="str">
        <x:v>https://www.topuniversities.com/universities/sunway-university</x:v>
      </x:c>
      <x:c r="K454" s="31" t="str">
        <x:v>https://www.topuniversities.com/sustainability-rankings/2026</x:v>
      </x:c>
      <x:c r="L454" s="31" t="str">
        <x:v>https://sunwayuniversity.edu.my/jsc/courses/master-sustainable-development-management-0</x:v>
      </x:c>
    </x:row>
    <x:row r="455">
      <x:c r="A455" s="15" t="n">
        <x:v>92</x:v>
      </x:c>
      <x:c r="B455" s="15" t="str">
        <x:v>Thammasat University</x:v>
      </x:c>
      <x:c r="C455" s="15" t="str">
        <x:v>Thailand</x:v>
      </x:c>
      <x:c r="D455" s="15" t="str">
        <x:v>MA Social Innovation and Sustainability</x:v>
      </x:c>
      <x:c r="E455" s="32" t="n">
        <x:v>2022</x:v>
      </x:c>
      <x:c r="F455" s="32" t="str">
        <x:v>N/P</x:v>
      </x:c>
      <x:c r="G455" s="36"/>
      <x:c r="H455" s="15" t="str">
        <x:v>QS Sustainability ranking was not published for 2022</x:v>
      </x:c>
      <x:c r="I455" s="15" t="str"/>
      <x:c r="J455" s="31" t="str">
        <x:v>https://www.topuniversities.com/universities/thammasat-university</x:v>
      </x:c>
      <x:c r="K455" s="31" t="str"/>
      <x:c r="L455" s="31" t="str">
        <x:v>https://sgs.tu.ac.th/ma-program/</x:v>
      </x:c>
    </x:row>
    <x:row r="456">
      <x:c r="A456" s="15" t="n">
        <x:v>92</x:v>
      </x:c>
      <x:c r="B456" s="15" t="str">
        <x:v>Thammasat University</x:v>
      </x:c>
      <x:c r="C456" s="15" t="str">
        <x:v>Thailand</x:v>
      </x:c>
      <x:c r="D456" s="15" t="str">
        <x:v>MA Social Innovation and Sustainability</x:v>
      </x:c>
      <x:c r="E456" s="32" t="n">
        <x:v>2023</x:v>
      </x:c>
      <x:c r="F456" s="32" t="str">
        <x:v>451-500</x:v>
      </x:c>
      <x:c r="G456" s="36"/>
      <x:c r="H456" s="15" t="str">
        <x:v>Ranked</x:v>
      </x:c>
      <x:c r="I456" s="15" t="str">
        <x:v>Thammasat University</x:v>
      </x:c>
      <x:c r="J456" s="31" t="str">
        <x:v>https://www.topuniversities.com/universities/thammasat-university</x:v>
      </x:c>
      <x:c r="K456" s="31" t="str">
        <x:v>https://www.topuniversities.com/sustainability-rankings/2023</x:v>
      </x:c>
      <x:c r="L456" s="31" t="str">
        <x:v>https://sgs.tu.ac.th/ma-program/</x:v>
      </x:c>
    </x:row>
    <x:row r="457">
      <x:c r="A457" s="15" t="n">
        <x:v>92</x:v>
      </x:c>
      <x:c r="B457" s="15" t="str">
        <x:v>Thammasat University</x:v>
      </x:c>
      <x:c r="C457" s="15" t="str">
        <x:v>Thailand</x:v>
      </x:c>
      <x:c r="D457" s="15" t="str">
        <x:v>MA Social Innovation and Sustainability</x:v>
      </x:c>
      <x:c r="E457" s="32" t="n">
        <x:v>2024</x:v>
      </x:c>
      <x:c r="F457" s="32" t="n">
        <x:f>418</x:f>
        <x:v>418</x:v>
      </x:c>
      <x:c r="G457" s="36" t="n">
        <x:v>61.7</x:v>
      </x:c>
      <x:c r="H457" s="15" t="str">
        <x:v>Ranked</x:v>
      </x:c>
      <x:c r="I457" s="15" t="str">
        <x:v>Thammasat University</x:v>
      </x:c>
      <x:c r="J457" s="31" t="str">
        <x:v>https://www.topuniversities.com/universities/thammasat-university</x:v>
      </x:c>
      <x:c r="K457" s="31" t="str">
        <x:v>https://www.topuniversities.com/sustainability-rankings/2024</x:v>
      </x:c>
      <x:c r="L457" s="31" t="str">
        <x:v>https://sgs.tu.ac.th/ma-program/</x:v>
      </x:c>
    </x:row>
    <x:row r="458">
      <x:c r="A458" s="15" t="n">
        <x:v>92</x:v>
      </x:c>
      <x:c r="B458" s="15" t="str">
        <x:v>Thammasat University</x:v>
      </x:c>
      <x:c r="C458" s="15" t="str">
        <x:v>Thailand</x:v>
      </x:c>
      <x:c r="D458" s="15" t="str">
        <x:v>MA Social Innovation and Sustainability</x:v>
      </x:c>
      <x:c r="E458" s="32" t="n">
        <x:v>2025</x:v>
      </x:c>
      <x:c r="F458" s="32" t="n">
        <x:f>500</x:f>
        <x:v>500</x:v>
      </x:c>
      <x:c r="G458" s="36" t="n">
        <x:v>62.1</x:v>
      </x:c>
      <x:c r="H458" s="15" t="str">
        <x:v>Ranked</x:v>
      </x:c>
      <x:c r="I458" s="15" t="str">
        <x:v>Thammasat University</x:v>
      </x:c>
      <x:c r="J458" s="31" t="str">
        <x:v>https://www.topuniversities.com/universities/thammasat-university</x:v>
      </x:c>
      <x:c r="K458" s="31" t="str">
        <x:v>https://www.topuniversities.com/sustainability-rankings/2025</x:v>
      </x:c>
      <x:c r="L458" s="31" t="str">
        <x:v>https://sgs.tu.ac.th/ma-program/</x:v>
      </x:c>
    </x:row>
    <x:row r="459">
      <x:c r="A459" s="15" t="n">
        <x:v>92</x:v>
      </x:c>
      <x:c r="B459" s="15" t="str">
        <x:v>Thammasat University</x:v>
      </x:c>
      <x:c r="C459" s="15" t="str">
        <x:v>Thailand</x:v>
      </x:c>
      <x:c r="D459" s="15" t="str">
        <x:v>MA Social Innovation and Sustainability</x:v>
      </x:c>
      <x:c r="E459" s="32" t="n">
        <x:v>2026</x:v>
      </x:c>
      <x:c r="F459" s="32" t="str">
        <x:v>430</x:v>
      </x:c>
      <x:c r="G459" s="36" t="n">
        <x:v>71.6</x:v>
      </x:c>
      <x:c r="H459" s="15" t="str">
        <x:v>Ranked</x:v>
      </x:c>
      <x:c r="I459" s="15" t="str">
        <x:v>Thammasat University</x:v>
      </x:c>
      <x:c r="J459" s="31" t="str">
        <x:v>https://www.topuniversities.com/universities/thammasat-university</x:v>
      </x:c>
      <x:c r="K459" s="31" t="str">
        <x:v>https://www.topuniversities.com/sustainability-rankings/2026</x:v>
      </x:c>
      <x:c r="L459" s="31" t="str">
        <x:v>https://sgs.tu.ac.th/ma-program/</x:v>
      </x:c>
    </x:row>
    <x:row r="460">
      <x:c r="A460" s="15" t="n">
        <x:v>93</x:v>
      </x:c>
      <x:c r="B460" s="15" t="str">
        <x:v>Walailak University</x:v>
      </x:c>
      <x:c r="C460" s="15" t="str">
        <x:v>Thailand</x:v>
      </x:c>
      <x:c r="D460" s="15" t="str">
        <x:v>MSc Environmental, Safety Technology and Health</x:v>
      </x:c>
      <x:c r="E460" s="32" t="n">
        <x:v>2022</x:v>
      </x:c>
      <x:c r="F460" s="32" t="str">
        <x:v>N/P</x:v>
      </x:c>
      <x:c r="G460" s="36"/>
      <x:c r="H460" s="15" t="str">
        <x:v>QS Sustainability ranking was not published for 2022</x:v>
      </x:c>
      <x:c r="I460" s="15" t="str"/>
      <x:c r="J460" s="31" t="str">
        <x:v>https://www.topuniversities.com/universities/walailak-university</x:v>
      </x:c>
      <x:c r="K460" s="31" t="str"/>
      <x:c r="L460" s="31" t="str">
        <x:v>https://www.wu.ac.th/en/news/21010/School-College</x:v>
      </x:c>
    </x:row>
    <x:row r="461">
      <x:c r="A461" s="15" t="n">
        <x:v>93</x:v>
      </x:c>
      <x:c r="B461" s="15" t="str">
        <x:v>Walailak University</x:v>
      </x:c>
      <x:c r="C461" s="15" t="str">
        <x:v>Thailand</x:v>
      </x:c>
      <x:c r="D461" s="15" t="str">
        <x:v>MSc Environmental, Safety Technology and Health</x:v>
      </x:c>
      <x:c r="E461" s="32" t="n">
        <x:v>2023</x:v>
      </x:c>
      <x:c r="F461" s="32" t="str">
        <x:v>NR</x:v>
      </x:c>
      <x:c r="G461" s="36"/>
      <x:c r="H461" s="15" t="str">
        <x:v>Not ranked in complete official table</x:v>
      </x:c>
      <x:c r="I461" s="15" t="str"/>
      <x:c r="J461" s="31" t="str"/>
      <x:c r="K461" s="31" t="str">
        <x:v>https://www.topuniversities.com/sustainability-rankings/2023</x:v>
      </x:c>
      <x:c r="L461" s="31" t="str">
        <x:v>https://www.wu.ac.th/en/news/21010/School-College</x:v>
      </x:c>
    </x:row>
    <x:row r="462">
      <x:c r="A462" s="15" t="n">
        <x:v>93</x:v>
      </x:c>
      <x:c r="B462" s="15" t="str">
        <x:v>Walailak University</x:v>
      </x:c>
      <x:c r="C462" s="15" t="str">
        <x:v>Thailand</x:v>
      </x:c>
      <x:c r="D462" s="15" t="str">
        <x:v>MSc Environmental, Safety Technology and Health</x:v>
      </x:c>
      <x:c r="E462" s="32" t="n">
        <x:v>2024</x:v>
      </x:c>
      <x:c r="F462" s="32" t="str">
        <x:v>1201+</x:v>
      </x:c>
      <x:c r="G462" s="36"/>
      <x:c r="H462" s="15" t="str">
        <x:v>Ranked</x:v>
      </x:c>
      <x:c r="I462" s="15" t="str">
        <x:v>Walailak University</x:v>
      </x:c>
      <x:c r="J462" s="31" t="str">
        <x:v>https://www.topuniversities.com/universities/walailak-university</x:v>
      </x:c>
      <x:c r="K462" s="31" t="str">
        <x:v>https://www.topuniversities.com/sustainability-rankings/2024</x:v>
      </x:c>
      <x:c r="L462" s="31" t="str">
        <x:v>https://www.wu.ac.th/en/news/21010/School-College</x:v>
      </x:c>
    </x:row>
    <x:row r="463">
      <x:c r="A463" s="15" t="n">
        <x:v>93</x:v>
      </x:c>
      <x:c r="B463" s="15" t="str">
        <x:v>Walailak University</x:v>
      </x:c>
      <x:c r="C463" s="15" t="str">
        <x:v>Thailand</x:v>
      </x:c>
      <x:c r="D463" s="15" t="str">
        <x:v>MSc Environmental, Safety Technology and Health</x:v>
      </x:c>
      <x:c r="E463" s="32" t="n">
        <x:v>2025</x:v>
      </x:c>
      <x:c r="F463" s="32" t="str">
        <x:v>951-960</x:v>
      </x:c>
      <x:c r="G463" s="36"/>
      <x:c r="H463" s="15" t="str">
        <x:v>Ranked</x:v>
      </x:c>
      <x:c r="I463" s="15" t="str">
        <x:v>Walailak University</x:v>
      </x:c>
      <x:c r="J463" s="31" t="str">
        <x:v>https://www.topuniversities.com/universities/walailak-university</x:v>
      </x:c>
      <x:c r="K463" s="31" t="str">
        <x:v>https://www.topuniversities.com/sustainability-rankings/2025</x:v>
      </x:c>
      <x:c r="L463" s="31" t="str">
        <x:v>https://www.wu.ac.th/en/news/21010/School-College</x:v>
      </x:c>
    </x:row>
    <x:row r="464">
      <x:c r="A464" s="15" t="n">
        <x:v>93</x:v>
      </x:c>
      <x:c r="B464" s="15" t="str">
        <x:v>Walailak University</x:v>
      </x:c>
      <x:c r="C464" s="15" t="str">
        <x:v>Thailand</x:v>
      </x:c>
      <x:c r="D464" s="15" t="str">
        <x:v>MSc Environmental, Safety Technology and Health</x:v>
      </x:c>
      <x:c r="E464" s="32" t="n">
        <x:v>2026</x:v>
      </x:c>
      <x:c r="F464" s="32" t="n">
        <x:f>737</x:f>
        <x:v>737</x:v>
      </x:c>
      <x:c r="G464" s="36" t="n">
        <x:v>60.6</x:v>
      </x:c>
      <x:c r="H464" s="15" t="str">
        <x:v>Ranked</x:v>
      </x:c>
      <x:c r="I464" s="15" t="str">
        <x:v>Walailak University</x:v>
      </x:c>
      <x:c r="J464" s="31" t="str">
        <x:v>https://www.topuniversities.com/universities/walailak-university</x:v>
      </x:c>
      <x:c r="K464" s="31" t="str">
        <x:v>https://www.topuniversities.com/sustainability-rankings/2026</x:v>
      </x:c>
      <x:c r="L464" s="31" t="str">
        <x:v>https://www.wu.ac.th/en/news/21010/School-College</x:v>
      </x:c>
    </x:row>
    <x:row r="465">
      <x:c r="A465" s="15" t="n">
        <x:v>94</x:v>
      </x:c>
      <x:c r="B465" s="15" t="str">
        <x:v>King Abdullah University of Science and Technology (KAUST)</x:v>
      </x:c>
      <x:c r="C465" s="15" t="str">
        <x:v>Saudi Arabia</x:v>
      </x:c>
      <x:c r="D465" s="15" t="str">
        <x:v>MS Environmental Science and Engineering</x:v>
      </x:c>
      <x:c r="E465" s="32" t="n">
        <x:v>2022</x:v>
      </x:c>
      <x:c r="F465" s="32" t="str">
        <x:v>N/P</x:v>
      </x:c>
      <x:c r="G465" s="36"/>
      <x:c r="H465" s="15" t="str">
        <x:v>QS Sustainability ranking was not published for 2022</x:v>
      </x:c>
      <x:c r="I465" s="15" t="str"/>
      <x:c r="J465" s="31" t="str">
        <x:v>https://www.topuniversities.com/universities/king-abdullah-university-science-technology-kaust</x:v>
      </x:c>
      <x:c r="K465" s="31" t="str"/>
      <x:c r="L465" s="31" t="str">
        <x:v>https://bese.kaust.edu.sa/study/academic-programs/ense</x:v>
      </x:c>
    </x:row>
    <x:row r="466">
      <x:c r="A466" s="15" t="n">
        <x:v>94</x:v>
      </x:c>
      <x:c r="B466" s="15" t="str">
        <x:v>King Abdullah University of Science and Technology (KAUST)</x:v>
      </x:c>
      <x:c r="C466" s="15" t="str">
        <x:v>Saudi Arabia</x:v>
      </x:c>
      <x:c r="D466" s="15" t="str">
        <x:v>MS Environmental Science and Engineering</x:v>
      </x:c>
      <x:c r="E466" s="32" t="n">
        <x:v>2023</x:v>
      </x:c>
      <x:c r="F466" s="32" t="str">
        <x:v>NR</x:v>
      </x:c>
      <x:c r="G466" s="36"/>
      <x:c r="H466" s="15" t="str">
        <x:v>Not ranked in complete official table</x:v>
      </x:c>
      <x:c r="I466" s="15" t="str"/>
      <x:c r="J466" s="31" t="str"/>
      <x:c r="K466" s="31" t="str">
        <x:v>https://www.topuniversities.com/sustainability-rankings/2023</x:v>
      </x:c>
      <x:c r="L466" s="31" t="str">
        <x:v>https://bese.kaust.edu.sa/study/academic-programs/ense</x:v>
      </x:c>
    </x:row>
    <x:row r="467">
      <x:c r="A467" s="15" t="n">
        <x:v>94</x:v>
      </x:c>
      <x:c r="B467" s="15" t="str">
        <x:v>King Abdullah University of Science and Technology (KAUST)</x:v>
      </x:c>
      <x:c r="C467" s="15" t="str">
        <x:v>Saudi Arabia</x:v>
      </x:c>
      <x:c r="D467" s="15" t="str">
        <x:v>MS Environmental Science and Engineering</x:v>
      </x:c>
      <x:c r="E467" s="32" t="n">
        <x:v>2024</x:v>
      </x:c>
      <x:c r="F467" s="32" t="str">
        <x:v>841-860</x:v>
      </x:c>
      <x:c r="G467" s="36"/>
      <x:c r="H467" s="15" t="str">
        <x:v>Ranked</x:v>
      </x:c>
      <x:c r="I467" s="15" t="str">
        <x:v>King Abdullah University of Science &amp; Technology (KAUST)</x:v>
      </x:c>
      <x:c r="J467" s="31" t="str">
        <x:v>https://www.topuniversities.com/universities/king-abdullah-university-science-technology-kaust</x:v>
      </x:c>
      <x:c r="K467" s="31" t="str">
        <x:v>https://www.topuniversities.com/sustainability-rankings/2024</x:v>
      </x:c>
      <x:c r="L467" s="31" t="str">
        <x:v>https://bese.kaust.edu.sa/study/academic-programs/ense</x:v>
      </x:c>
    </x:row>
    <x:row r="468">
      <x:c r="A468" s="15" t="n">
        <x:v>94</x:v>
      </x:c>
      <x:c r="B468" s="15" t="str">
        <x:v>King Abdullah University of Science and Technology (KAUST)</x:v>
      </x:c>
      <x:c r="C468" s="15" t="str">
        <x:v>Saudi Arabia</x:v>
      </x:c>
      <x:c r="D468" s="15" t="str">
        <x:v>MS Environmental Science and Engineering</x:v>
      </x:c>
      <x:c r="E468" s="32" t="n">
        <x:v>2025</x:v>
      </x:c>
      <x:c r="F468" s="32" t="n">
        <x:f>465</x:f>
        <x:v>465</x:v>
      </x:c>
      <x:c r="G468" s="36" t="n">
        <x:v>63.2</x:v>
      </x:c>
      <x:c r="H468" s="15" t="str">
        <x:v>Ranked</x:v>
      </x:c>
      <x:c r="I468" s="15" t="str">
        <x:v>King Abdullah University of Science &amp; Technology (KAUST)</x:v>
      </x:c>
      <x:c r="J468" s="31" t="str">
        <x:v>https://www.topuniversities.com/universities/king-abdullah-university-science-technology-kaust</x:v>
      </x:c>
      <x:c r="K468" s="31" t="str">
        <x:v>https://www.topuniversities.com/sustainability-rankings/2025</x:v>
      </x:c>
      <x:c r="L468" s="31" t="str">
        <x:v>https://bese.kaust.edu.sa/study/academic-programs/ense</x:v>
      </x:c>
    </x:row>
    <x:row r="469">
      <x:c r="A469" s="15" t="n">
        <x:v>94</x:v>
      </x:c>
      <x:c r="B469" s="15" t="str">
        <x:v>King Abdullah University of Science and Technology (KAUST)</x:v>
      </x:c>
      <x:c r="C469" s="15" t="str">
        <x:v>Saudi Arabia</x:v>
      </x:c>
      <x:c r="D469" s="15" t="str">
        <x:v>MS Environmental Science and Engineering</x:v>
      </x:c>
      <x:c r="E469" s="32" t="n">
        <x:v>2026</x:v>
      </x:c>
      <x:c r="F469" s="32" t="n">
        <x:f>533</x:f>
        <x:v>533</x:v>
      </x:c>
      <x:c r="G469" s="36" t="n">
        <x:v>67.6</x:v>
      </x:c>
      <x:c r="H469" s="15" t="str">
        <x:v>Ranked</x:v>
      </x:c>
      <x:c r="I469" s="15" t="str">
        <x:v>King Abdullah University of Science &amp; Technology (KAUST)</x:v>
      </x:c>
      <x:c r="J469" s="31" t="str">
        <x:v>https://www.topuniversities.com/universities/king-abdullah-university-science-technology-kaust</x:v>
      </x:c>
      <x:c r="K469" s="31" t="str">
        <x:v>https://www.topuniversities.com/sustainability-rankings/2026</x:v>
      </x:c>
      <x:c r="L469" s="31" t="str">
        <x:v>https://bese.kaust.edu.sa/study/academic-programs/ense</x:v>
      </x:c>
    </x:row>
    <x:row r="470">
      <x:c r="A470" s="15" t="n">
        <x:v>95</x:v>
      </x:c>
      <x:c r="B470" s="15" t="str">
        <x:v>Chiang Mai University</x:v>
      </x:c>
      <x:c r="C470" s="15" t="str">
        <x:v>Thailand</x:v>
      </x:c>
      <x:c r="D470" s="15" t="str">
        <x:v>MSc Environmental Science</x:v>
      </x:c>
      <x:c r="E470" s="32" t="n">
        <x:v>2022</x:v>
      </x:c>
      <x:c r="F470" s="32" t="str">
        <x:v>N/P</x:v>
      </x:c>
      <x:c r="G470" s="36"/>
      <x:c r="H470" s="15" t="str">
        <x:v>QS Sustainability ranking was not published for 2022</x:v>
      </x:c>
      <x:c r="I470" s="15" t="str"/>
      <x:c r="J470" s="31" t="str">
        <x:v>https://www.topuniversities.com/universities/chiang-mai-university</x:v>
      </x:c>
      <x:c r="K470" s="31" t="str"/>
      <x:c r="L470" s="31" t="str">
        <x:v>https://www.science.cmu.ac.th/english/master.php</x:v>
      </x:c>
    </x:row>
    <x:row r="471">
      <x:c r="A471" s="15" t="n">
        <x:v>95</x:v>
      </x:c>
      <x:c r="B471" s="15" t="str">
        <x:v>Chiang Mai University</x:v>
      </x:c>
      <x:c r="C471" s="15" t="str">
        <x:v>Thailand</x:v>
      </x:c>
      <x:c r="D471" s="15" t="str">
        <x:v>MSc Environmental Science</x:v>
      </x:c>
      <x:c r="E471" s="32" t="n">
        <x:v>2023</x:v>
      </x:c>
      <x:c r="F471" s="32" t="str">
        <x:v>301-320</x:v>
      </x:c>
      <x:c r="G471" s="36"/>
      <x:c r="H471" s="15" t="str">
        <x:v>Ranked</x:v>
      </x:c>
      <x:c r="I471" s="15" t="str">
        <x:v>Chiang Mai University</x:v>
      </x:c>
      <x:c r="J471" s="31" t="str">
        <x:v>https://www.topuniversities.com/universities/chiang-mai-university</x:v>
      </x:c>
      <x:c r="K471" s="31" t="str">
        <x:v>https://www.topuniversities.com/sustainability-rankings/2023</x:v>
      </x:c>
      <x:c r="L471" s="31" t="str">
        <x:v>https://www.science.cmu.ac.th/english/master.php</x:v>
      </x:c>
    </x:row>
    <x:row r="472">
      <x:c r="A472" s="15" t="n">
        <x:v>95</x:v>
      </x:c>
      <x:c r="B472" s="15" t="str">
        <x:v>Chiang Mai University</x:v>
      </x:c>
      <x:c r="C472" s="15" t="str">
        <x:v>Thailand</x:v>
      </x:c>
      <x:c r="D472" s="15" t="str">
        <x:v>MSc Environmental Science</x:v>
      </x:c>
      <x:c r="E472" s="32" t="n">
        <x:v>2024</x:v>
      </x:c>
      <x:c r="F472" s="32" t="n">
        <x:f>283</x:f>
        <x:v>283</x:v>
      </x:c>
      <x:c r="G472" s="36" t="n">
        <x:v>68.7</x:v>
      </x:c>
      <x:c r="H472" s="15" t="str">
        <x:v>Ranked</x:v>
      </x:c>
      <x:c r="I472" s="15" t="str">
        <x:v>Chiang Mai University</x:v>
      </x:c>
      <x:c r="J472" s="31" t="str">
        <x:v>https://www.topuniversities.com/universities/chiang-mai-university</x:v>
      </x:c>
      <x:c r="K472" s="31" t="str">
        <x:v>https://www.topuniversities.com/sustainability-rankings/2024</x:v>
      </x:c>
      <x:c r="L472" s="31" t="str">
        <x:v>https://www.science.cmu.ac.th/english/master.php</x:v>
      </x:c>
    </x:row>
    <x:row r="473">
      <x:c r="A473" s="15" t="n">
        <x:v>95</x:v>
      </x:c>
      <x:c r="B473" s="15" t="str">
        <x:v>Chiang Mai University</x:v>
      </x:c>
      <x:c r="C473" s="15" t="str">
        <x:v>Thailand</x:v>
      </x:c>
      <x:c r="D473" s="15" t="str">
        <x:v>MSc Environmental Science</x:v>
      </x:c>
      <x:c r="E473" s="32" t="n">
        <x:v>2025</x:v>
      </x:c>
      <x:c r="F473" s="32" t="n">
        <x:f>357</x:f>
        <x:v>357</x:v>
      </x:c>
      <x:c r="G473" s="36" t="n">
        <x:v>68.8</x:v>
      </x:c>
      <x:c r="H473" s="15" t="str">
        <x:v>Ranked</x:v>
      </x:c>
      <x:c r="I473" s="15" t="str">
        <x:v>Chiang Mai University</x:v>
      </x:c>
      <x:c r="J473" s="31" t="str">
        <x:v>https://www.topuniversities.com/universities/chiang-mai-university</x:v>
      </x:c>
      <x:c r="K473" s="31" t="str">
        <x:v>https://www.topuniversities.com/sustainability-rankings/2025</x:v>
      </x:c>
      <x:c r="L473" s="31" t="str">
        <x:v>https://www.science.cmu.ac.th/english/master.php</x:v>
      </x:c>
    </x:row>
    <x:row r="474">
      <x:c r="A474" s="15" t="n">
        <x:v>95</x:v>
      </x:c>
      <x:c r="B474" s="15" t="str">
        <x:v>Chiang Mai University</x:v>
      </x:c>
      <x:c r="C474" s="15" t="str">
        <x:v>Thailand</x:v>
      </x:c>
      <x:c r="D474" s="15" t="str">
        <x:v>MSc Environmental Science</x:v>
      </x:c>
      <x:c r="E474" s="32" t="n">
        <x:v>2026</x:v>
      </x:c>
      <x:c r="F474" s="32" t="str">
        <x:v>302</x:v>
      </x:c>
      <x:c r="G474" s="36" t="n">
        <x:v>77.5</x:v>
      </x:c>
      <x:c r="H474" s="15" t="str">
        <x:v>Ranked</x:v>
      </x:c>
      <x:c r="I474" s="15" t="str">
        <x:v>Chiang Mai University</x:v>
      </x:c>
      <x:c r="J474" s="31" t="str">
        <x:v>https://www.topuniversities.com/universities/chiang-mai-university</x:v>
      </x:c>
      <x:c r="K474" s="31" t="str">
        <x:v>https://www.topuniversities.com/sustainability-rankings/2026</x:v>
      </x:c>
      <x:c r="L474" s="31" t="str">
        <x:v>https://www.science.cmu.ac.th/english/master.php</x:v>
      </x:c>
    </x:row>
    <x:row r="475">
      <x:c r="A475" s="15" t="n">
        <x:v>96</x:v>
      </x:c>
      <x:c r="B475" s="15" t="str">
        <x:v>Jeonbuk National University</x:v>
      </x:c>
      <x:c r="C475" s="15" t="str">
        <x:v>South Korea</x:v>
      </x:c>
      <x:c r="D475" s="15" t="str">
        <x:v>Master of Engineering in Environmental Engineering</x:v>
      </x:c>
      <x:c r="E475" s="32" t="n">
        <x:v>2022</x:v>
      </x:c>
      <x:c r="F475" s="32" t="str">
        <x:v>N/P</x:v>
      </x:c>
      <x:c r="G475" s="36"/>
      <x:c r="H475" s="15" t="str">
        <x:v>QS Sustainability ranking was not published for 2022</x:v>
      </x:c>
      <x:c r="I475" s="15" t="str"/>
      <x:c r="J475" s="31" t="str">
        <x:v>https://www.topuniversities.com/universities/jeonbuk-national-university</x:v>
      </x:c>
      <x:c r="K475" s="31" t="str"/>
      <x:c r="L475" s="31" t="str">
        <x:v>https://gse.jbnu.ac.kr/gse/1394/subview.do</x:v>
      </x:c>
    </x:row>
    <x:row r="476">
      <x:c r="A476" s="15" t="n">
        <x:v>96</x:v>
      </x:c>
      <x:c r="B476" s="15" t="str">
        <x:v>Jeonbuk National University</x:v>
      </x:c>
      <x:c r="C476" s="15" t="str">
        <x:v>South Korea</x:v>
      </x:c>
      <x:c r="D476" s="15" t="str">
        <x:v>Master of Engineering in Environmental Engineering</x:v>
      </x:c>
      <x:c r="E476" s="32" t="n">
        <x:v>2023</x:v>
      </x:c>
      <x:c r="F476" s="32" t="str">
        <x:v>NR</x:v>
      </x:c>
      <x:c r="G476" s="36"/>
      <x:c r="H476" s="15" t="str">
        <x:v>Not ranked in complete official table</x:v>
      </x:c>
      <x:c r="I476" s="15" t="str"/>
      <x:c r="J476" s="31" t="str"/>
      <x:c r="K476" s="31" t="str">
        <x:v>https://www.topuniversities.com/sustainability-rankings/2023</x:v>
      </x:c>
      <x:c r="L476" s="31" t="str">
        <x:v>https://gse.jbnu.ac.kr/gse/1394/subview.do</x:v>
      </x:c>
    </x:row>
    <x:row r="477">
      <x:c r="A477" s="15" t="n">
        <x:v>96</x:v>
      </x:c>
      <x:c r="B477" s="15" t="str">
        <x:v>Jeonbuk National University</x:v>
      </x:c>
      <x:c r="C477" s="15" t="str">
        <x:v>South Korea</x:v>
      </x:c>
      <x:c r="D477" s="15" t="str">
        <x:v>Master of Engineering in Environmental Engineering</x:v>
      </x:c>
      <x:c r="E477" s="32" t="n">
        <x:v>2024</x:v>
      </x:c>
      <x:c r="F477" s="32" t="str">
        <x:v>327</x:v>
      </x:c>
      <x:c r="G477" s="36" t="n">
        <x:v>66.4</x:v>
      </x:c>
      <x:c r="H477" s="15" t="str">
        <x:v>Ranked</x:v>
      </x:c>
      <x:c r="I477" s="15" t="str">
        <x:v>Jeonbuk National University</x:v>
      </x:c>
      <x:c r="J477" s="31" t="str">
        <x:v>https://www.topuniversities.com/universities/jeonbuk-national-university</x:v>
      </x:c>
      <x:c r="K477" s="31" t="str">
        <x:v>https://www.topuniversities.com/sustainability-rankings/2024</x:v>
      </x:c>
      <x:c r="L477" s="31" t="str">
        <x:v>https://gse.jbnu.ac.kr/gse/1394/subview.do</x:v>
      </x:c>
    </x:row>
    <x:row r="478">
      <x:c r="A478" s="15" t="n">
        <x:v>96</x:v>
      </x:c>
      <x:c r="B478" s="15" t="str">
        <x:v>Jeonbuk National University</x:v>
      </x:c>
      <x:c r="C478" s="15" t="str">
        <x:v>South Korea</x:v>
      </x:c>
      <x:c r="D478" s="15" t="str">
        <x:v>Master of Engineering in Environmental Engineering</x:v>
      </x:c>
      <x:c r="E478" s="32" t="n">
        <x:v>2025</x:v>
      </x:c>
      <x:c r="F478" s="32" t="n">
        <x:f>410</x:f>
        <x:v>410</x:v>
      </x:c>
      <x:c r="G478" s="36" t="n">
        <x:v>65.9</x:v>
      </x:c>
      <x:c r="H478" s="15" t="str">
        <x:v>Ranked</x:v>
      </x:c>
      <x:c r="I478" s="15" t="str">
        <x:v>Jeonbuk National University</x:v>
      </x:c>
      <x:c r="J478" s="31" t="str">
        <x:v>https://www.topuniversities.com/universities/jeonbuk-national-university</x:v>
      </x:c>
      <x:c r="K478" s="31" t="str">
        <x:v>https://www.topuniversities.com/sustainability-rankings/2025</x:v>
      </x:c>
      <x:c r="L478" s="31" t="str">
        <x:v>https://gse.jbnu.ac.kr/gse/1394/subview.do</x:v>
      </x:c>
    </x:row>
    <x:row r="479">
      <x:c r="A479" s="15" t="n">
        <x:v>96</x:v>
      </x:c>
      <x:c r="B479" s="15" t="str">
        <x:v>Jeonbuk National University</x:v>
      </x:c>
      <x:c r="C479" s="15" t="str">
        <x:v>South Korea</x:v>
      </x:c>
      <x:c r="D479" s="15" t="str">
        <x:v>Master of Engineering in Environmental Engineering</x:v>
      </x:c>
      <x:c r="E479" s="32" t="n">
        <x:v>2026</x:v>
      </x:c>
      <x:c r="F479" s="32" t="n">
        <x:f>440</x:f>
        <x:v>440</x:v>
      </x:c>
      <x:c r="G479" s="36" t="n">
        <x:v>71.1</x:v>
      </x:c>
      <x:c r="H479" s="15" t="str">
        <x:v>Ranked</x:v>
      </x:c>
      <x:c r="I479" s="15" t="str">
        <x:v>Jeonbuk National University</x:v>
      </x:c>
      <x:c r="J479" s="31" t="str">
        <x:v>https://www.topuniversities.com/universities/jeonbuk-national-university</x:v>
      </x:c>
      <x:c r="K479" s="31" t="str">
        <x:v>https://www.topuniversities.com/sustainability-rankings/2026</x:v>
      </x:c>
      <x:c r="L479" s="31" t="str">
        <x:v>https://gse.jbnu.ac.kr/gse/1394/subview.do</x:v>
      </x:c>
    </x:row>
    <x:row r="480">
      <x:c r="A480" s="15" t="n">
        <x:v>97</x:v>
      </x:c>
      <x:c r="B480" s="15" t="str">
        <x:v>National Yang Ming Chiao Tung University (NYCU Taiwan)</x:v>
      </x:c>
      <x:c r="C480" s="15" t="str">
        <x:v>Taiwan</x:v>
      </x:c>
      <x:c r="D480" s="15" t="str">
        <x:v>Master Program in Environmental Engineering</x:v>
      </x:c>
      <x:c r="E480" s="32" t="n">
        <x:v>2022</x:v>
      </x:c>
      <x:c r="F480" s="32" t="str">
        <x:v>N/P</x:v>
      </x:c>
      <x:c r="G480" s="36"/>
      <x:c r="H480" s="15" t="str">
        <x:v>QS Sustainability ranking was not published for 2022</x:v>
      </x:c>
      <x:c r="I480" s="15" t="str"/>
      <x:c r="J480" s="31" t="str">
        <x:v>https://www.topuniversities.com/universities/national-yang-ming-chiao-tung-university-nycu-taiwan</x:v>
      </x:c>
      <x:c r="K480" s="31" t="str"/>
      <x:c r="L480" s="31" t="str">
        <x:v>https://sdgs.nycu.edu.tw/archives/27449/</x:v>
      </x:c>
    </x:row>
    <x:row r="481">
      <x:c r="A481" s="15" t="n">
        <x:v>97</x:v>
      </x:c>
      <x:c r="B481" s="15" t="str">
        <x:v>National Yang Ming Chiao Tung University (NYCU Taiwan)</x:v>
      </x:c>
      <x:c r="C481" s="15" t="str">
        <x:v>Taiwan</x:v>
      </x:c>
      <x:c r="D481" s="15" t="str">
        <x:v>Master Program in Environmental Engineering</x:v>
      </x:c>
      <x:c r="E481" s="32" t="n">
        <x:v>2023</x:v>
      </x:c>
      <x:c r="F481" s="32" t="str">
        <x:v>361-380</x:v>
      </x:c>
      <x:c r="G481" s="36"/>
      <x:c r="H481" s="15" t="str">
        <x:v>Ranked</x:v>
      </x:c>
      <x:c r="I481" s="15" t="str">
        <x:v>National Yang Ming Chiao Tung University (NYCU Taiwan)</x:v>
      </x:c>
      <x:c r="J481" s="31" t="str">
        <x:v>https://www.topuniversities.com/universities/national-yang-ming-chiao-tung-university-nycu-taiwan</x:v>
      </x:c>
      <x:c r="K481" s="31" t="str">
        <x:v>https://www.topuniversities.com/sustainability-rankings/2023</x:v>
      </x:c>
      <x:c r="L481" s="31" t="str">
        <x:v>https://sdgs.nycu.edu.tw/archives/27449/</x:v>
      </x:c>
    </x:row>
    <x:row r="482">
      <x:c r="A482" s="15" t="n">
        <x:v>97</x:v>
      </x:c>
      <x:c r="B482" s="15" t="str">
        <x:v>National Yang Ming Chiao Tung University (NYCU Taiwan)</x:v>
      </x:c>
      <x:c r="C482" s="15" t="str">
        <x:v>Taiwan</x:v>
      </x:c>
      <x:c r="D482" s="15" t="str">
        <x:v>Master Program in Environmental Engineering</x:v>
      </x:c>
      <x:c r="E482" s="32" t="n">
        <x:v>2024</x:v>
      </x:c>
      <x:c r="F482" s="32" t="n">
        <x:f>380</x:f>
        <x:v>380</x:v>
      </x:c>
      <x:c r="G482" s="36" t="n">
        <x:v>63.4</x:v>
      </x:c>
      <x:c r="H482" s="15" t="str">
        <x:v>Ranked</x:v>
      </x:c>
      <x:c r="I482" s="15" t="str">
        <x:v>National Yang Ming Chiao Tung University (NYCU Taiwan)</x:v>
      </x:c>
      <x:c r="J482" s="31" t="str">
        <x:v>https://www.topuniversities.com/universities/national-yang-ming-chiao-tung-university-nycu-taiwan</x:v>
      </x:c>
      <x:c r="K482" s="31" t="str">
        <x:v>https://www.topuniversities.com/sustainability-rankings/2024</x:v>
      </x:c>
      <x:c r="L482" s="31" t="str">
        <x:v>https://sdgs.nycu.edu.tw/archives/27449/</x:v>
      </x:c>
    </x:row>
    <x:row r="483">
      <x:c r="A483" s="15" t="n">
        <x:v>97</x:v>
      </x:c>
      <x:c r="B483" s="15" t="str">
        <x:v>National Yang Ming Chiao Tung University (NYCU Taiwan)</x:v>
      </x:c>
      <x:c r="C483" s="15" t="str">
        <x:v>Taiwan</x:v>
      </x:c>
      <x:c r="D483" s="15" t="str">
        <x:v>Master Program in Environmental Engineering</x:v>
      </x:c>
      <x:c r="E483" s="32" t="n">
        <x:v>2025</x:v>
      </x:c>
      <x:c r="F483" s="32" t="n">
        <x:f>257</x:f>
        <x:v>257</x:v>
      </x:c>
      <x:c r="G483" s="36" t="n">
        <x:v>75</x:v>
      </x:c>
      <x:c r="H483" s="15" t="str">
        <x:v>Ranked</x:v>
      </x:c>
      <x:c r="I483" s="15" t="str">
        <x:v>National Yang Ming Chiao Tung University (NYCU Taiwan)</x:v>
      </x:c>
      <x:c r="J483" s="31" t="str">
        <x:v>https://www.topuniversities.com/universities/national-yang-ming-chiao-tung-university-nycu-taiwan</x:v>
      </x:c>
      <x:c r="K483" s="31" t="str">
        <x:v>https://www.topuniversities.com/sustainability-rankings/2025</x:v>
      </x:c>
      <x:c r="L483" s="31" t="str">
        <x:v>https://sdgs.nycu.edu.tw/archives/27449/</x:v>
      </x:c>
    </x:row>
    <x:row r="484">
      <x:c r="A484" s="15" t="n">
        <x:v>97</x:v>
      </x:c>
      <x:c r="B484" s="15" t="str">
        <x:v>National Yang Ming Chiao Tung University (NYCU Taiwan)</x:v>
      </x:c>
      <x:c r="C484" s="15" t="str">
        <x:v>Taiwan</x:v>
      </x:c>
      <x:c r="D484" s="15" t="str">
        <x:v>Master Program in Environmental Engineering</x:v>
      </x:c>
      <x:c r="E484" s="32" t="n">
        <x:v>2026</x:v>
      </x:c>
      <x:c r="F484" s="32" t="n">
        <x:f>212</x:f>
        <x:v>212</x:v>
      </x:c>
      <x:c r="G484" s="36" t="n">
        <x:v>82.8</x:v>
      </x:c>
      <x:c r="H484" s="15" t="str">
        <x:v>Ranked</x:v>
      </x:c>
      <x:c r="I484" s="15" t="str">
        <x:v>National Yang Ming Chiao Tung University (NYCU Taiwan)</x:v>
      </x:c>
      <x:c r="J484" s="31" t="str">
        <x:v>https://www.topuniversities.com/universities/national-yang-ming-chiao-tung-university-nycu-taiwan</x:v>
      </x:c>
      <x:c r="K484" s="31" t="str">
        <x:v>https://www.topuniversities.com/sustainability-rankings/2026</x:v>
      </x:c>
      <x:c r="L484" s="31" t="str">
        <x:v>https://sdgs.nycu.edu.tw/archives/27449/</x:v>
      </x:c>
    </x:row>
  </x:sheetData>
  <x:mergeCells>
    <x:mergeCell ref="A1:L1"/>
    <x:mergeCell ref="A2:L2"/>
  </x:mergeCells>
  <x:conditionalFormatting sqref="F5:F484">
    <x:cfRule type="containsText" dxfId="6" priority="1" operator="containsText" text="NR"/>
    <x:cfRule type="containsText" dxfId="7" priority="2" operator="containsText" text="N/P"/>
    <x:cfRule type="containsText" dxfId="8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85dc31baa91b4f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THE Impact / Sustainability Impact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THE Impact Rankings 2022-2025 and the renamed THE Sustainability Impact Ratings 2026. Official published ranks and bands are retained.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8" t="str">
        <x:v>ID</x:v>
      </x:c>
      <x:c r="B4" s="28" t="str">
        <x:v>Institution</x:v>
      </x:c>
      <x:c r="C4" s="28" t="str">
        <x:v>Country</x:v>
      </x:c>
      <x:c r="D4" s="28" t="str">
        <x:v>Selected Program</x:v>
      </x:c>
      <x:c r="E4" s="28" t="str">
        <x:v>Edition</x:v>
      </x:c>
      <x:c r="F4" s="28" t="str">
        <x:v>Rank</x:v>
      </x:c>
      <x:c r="G4" s="28" t="str">
        <x:v>Score</x:v>
      </x:c>
      <x:c r="H4" s="28" t="str">
        <x:v>Status</x:v>
      </x:c>
      <x:c r="I4" s="28" t="str">
        <x:v>Official Ranked Name</x:v>
      </x:c>
      <x:c r="J4" s="28" t="str">
        <x:v>Profile URL</x:v>
      </x:c>
      <x:c r="K4" s="28" t="str">
        <x:v>Official Ranking Page</x:v>
      </x:c>
      <x:c r="L4" s="28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NR</x:v>
      </x:c>
      <x:c r="G5" s="36"/>
      <x:c r="H5" s="15" t="str">
        <x:v>Not ranked in complete official table</x:v>
      </x:c>
      <x:c r="I5" s="15" t="str"/>
      <x:c r="J5" s="31" t="str"/>
      <x:c r="K5" s="31" t="str">
        <x:v>https://www.timeshighereducation.com/rankings/impact/overall/2022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str">
        <x:v>NR</x:v>
      </x:c>
      <x:c r="G6" s="36"/>
      <x:c r="H6" s="15" t="str">
        <x:v>Not ranked in complete official table</x:v>
      </x:c>
      <x:c r="I6" s="15" t="str"/>
      <x:c r="J6" s="31" t="str"/>
      <x:c r="K6" s="31" t="str">
        <x:v>https://www.timeshighereducation.com/rankings/impact/overall/2023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str">
        <x:v>NR</x:v>
      </x:c>
      <x:c r="G7" s="36"/>
      <x:c r="H7" s="15" t="str">
        <x:v>Not ranked in complete official table</x:v>
      </x:c>
      <x:c r="I7" s="15" t="str"/>
      <x:c r="J7" s="31" t="str"/>
      <x:c r="K7" s="31" t="str">
        <x:v>https://www.timeshighereducation.com/rankings/impact/overall/2024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str">
        <x:v>NR</x:v>
      </x:c>
      <x:c r="G8" s="36"/>
      <x:c r="H8" s="15" t="str">
        <x:v>Not ranked in complete official table</x:v>
      </x:c>
      <x:c r="I8" s="15" t="str"/>
      <x:c r="J8" s="31" t="str"/>
      <x:c r="K8" s="31" t="str">
        <x:v>https://www.timeshighereducation.com/rankings/impact/overall/2025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str">
        <x:v>NR</x:v>
      </x:c>
      <x:c r="G9" s="36"/>
      <x:c r="H9" s="15" t="str">
        <x:v>Not ranked in complete official table</x:v>
      </x:c>
      <x:c r="I9" s="15" t="str"/>
      <x:c r="J9" s="31" t="str"/>
      <x:c r="K9" s="31" t="str">
        <x:v>https://www.timeshighereducation.com/impactrankings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n">
        <x:f>90</x:f>
        <x:v>90</x:v>
      </x:c>
      <x:c r="G10" s="36" t="n">
        <x:v>89</x:v>
      </x:c>
      <x:c r="H10" s="15" t="str">
        <x:v>Ranked</x:v>
      </x:c>
      <x:c r="I10" s="15" t="str">
        <x:v>University of Toronto</x:v>
      </x:c>
      <x:c r="J10" s="31" t="str">
        <x:v>https://www.timeshighereducation.com/world-university-rankings/university-toronto</x:v>
      </x:c>
      <x:c r="K10" s="31" t="str">
        <x:v>https://www.timeshighereducation.com/rankings/impact/overall/2022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99</x:v>
      </x:c>
      <x:c r="G11" s="36" t="n">
        <x:v>88.4</x:v>
      </x:c>
      <x:c r="H11" s="15" t="str">
        <x:v>Ranked</x:v>
      </x:c>
      <x:c r="I11" s="15" t="str">
        <x:v>University of Toronto</x:v>
      </x:c>
      <x:c r="J11" s="31" t="str">
        <x:v>https://www.timeshighereducation.com/world-university-rankings/university-toronto</x:v>
      </x:c>
      <x:c r="K11" s="31" t="str">
        <x:v>https://www.timeshighereducation.com/rankings/impact/overall/2023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NR</x:v>
      </x:c>
      <x:c r="G12" s="36"/>
      <x:c r="H12" s="15" t="str">
        <x:v>Not ranked in complete official table</x:v>
      </x:c>
      <x:c r="I12" s="15" t="str"/>
      <x:c r="J12" s="31" t="str"/>
      <x:c r="K12" s="31" t="str">
        <x:v>https://www.timeshighereducation.com/rankings/impact/overall/2024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NR</x:v>
      </x:c>
      <x:c r="G13" s="36"/>
      <x:c r="H13" s="15" t="str">
        <x:v>Not ranked in complete official table</x:v>
      </x:c>
      <x:c r="I13" s="15" t="str"/>
      <x:c r="J13" s="31" t="str"/>
      <x:c r="K13" s="31" t="str">
        <x:v>https://www.timeshighereducation.com/rankings/impact/overall/2025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NR</x:v>
      </x:c>
      <x:c r="G14" s="36"/>
      <x:c r="H14" s="15" t="str">
        <x:v>Not ranked in complete official table</x:v>
      </x:c>
      <x:c r="I14" s="15" t="str"/>
      <x:c r="J14" s="31" t="str"/>
      <x:c r="K14" s="31" t="str">
        <x:v>https://www.timeshighereducation.com/impactrankings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str">
        <x:v>101–200</x:v>
      </x:c>
      <x:c r="G15" s="36" t="str">
        <x:v>82.1–88.5</x:v>
      </x:c>
      <x:c r="H15" s="15" t="str">
        <x:v>Ranked</x:v>
      </x:c>
      <x:c r="I15" s="15" t="str">
        <x:v>UCL</x:v>
      </x:c>
      <x:c r="J15" s="31" t="str">
        <x:v>https://www.timeshighereducation.com/world-university-rankings/ucl</x:v>
      </x:c>
      <x:c r="K15" s="31" t="str">
        <x:v>https://www.timeshighereducation.com/rankings/impact/overall/2022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str">
        <x:v>NR</x:v>
      </x:c>
      <x:c r="G16" s="36"/>
      <x:c r="H16" s="15" t="str">
        <x:v>Not ranked in complete official table</x:v>
      </x:c>
      <x:c r="I16" s="15" t="str"/>
      <x:c r="J16" s="31" t="str"/>
      <x:c r="K16" s="31" t="str">
        <x:v>https://www.timeshighereducation.com/rankings/impact/overall/2023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str">
        <x:v>NR</x:v>
      </x:c>
      <x:c r="G17" s="36"/>
      <x:c r="H17" s="15" t="str">
        <x:v>Not ranked in complete official table</x:v>
      </x:c>
      <x:c r="I17" s="15" t="str"/>
      <x:c r="J17" s="31" t="str"/>
      <x:c r="K17" s="31" t="str">
        <x:v>https://www.timeshighereducation.com/rankings/impact/overall/2024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str">
        <x:v>NR</x:v>
      </x:c>
      <x:c r="G18" s="36"/>
      <x:c r="H18" s="15" t="str">
        <x:v>Not ranked in complete official table</x:v>
      </x:c>
      <x:c r="I18" s="15" t="str"/>
      <x:c r="J18" s="31" t="str"/>
      <x:c r="K18" s="31" t="str">
        <x:v>https://www.timeshighereducation.com/rankings/impact/overall/2025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NR</x:v>
      </x:c>
      <x:c r="G19" s="36"/>
      <x:c r="H19" s="15" t="str">
        <x:v>Not ranked in complete official table</x:v>
      </x:c>
      <x:c r="I19" s="15" t="str"/>
      <x:c r="J19" s="31" t="str"/>
      <x:c r="K19" s="31" t="str">
        <x:v>https://www.timeshighereducation.com/impactrankings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str">
        <x:v>29</x:v>
      </x:c>
      <x:c r="G20" s="36" t="n">
        <x:v>93.9</x:v>
      </x:c>
      <x:c r="H20" s="15" t="str">
        <x:v>Ranked</x:v>
      </x:c>
      <x:c r="I20" s="15" t="str">
        <x:v>University of Edinburgh</x:v>
      </x:c>
      <x:c r="J20" s="31" t="str">
        <x:v>https://www.timeshighereducation.com/world-university-rankings/university-edinburgh</x:v>
      </x:c>
      <x:c r="K20" s="31" t="str">
        <x:v>https://www.timeshighereducation.com/rankings/impact/overall/2022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n">
        <x:f>52</x:f>
        <x:v>52</x:v>
      </x:c>
      <x:c r="G21" s="36" t="n">
        <x:v>91.2</x:v>
      </x:c>
      <x:c r="H21" s="15" t="str">
        <x:v>Ranked</x:v>
      </x:c>
      <x:c r="I21" s="15" t="str">
        <x:v>University of Edinburgh</x:v>
      </x:c>
      <x:c r="J21" s="31" t="str">
        <x:v>https://www.timeshighereducation.com/world-university-rankings/university-edinburgh</x:v>
      </x:c>
      <x:c r="K21" s="31" t="str">
        <x:v>https://www.timeshighereducation.com/rankings/impact/overall/2023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89</x:f>
        <x:v>89</x:v>
      </x:c>
      <x:c r="G22" s="36" t="n">
        <x:v>89.9</x:v>
      </x:c>
      <x:c r="H22" s="15" t="str">
        <x:v>Ranked</x:v>
      </x:c>
      <x:c r="I22" s="15" t="str">
        <x:v>University of Edinburgh</x:v>
      </x:c>
      <x:c r="J22" s="31" t="str">
        <x:v>https://www.timeshighereducation.com/world-university-rankings/university-edinburgh</x:v>
      </x:c>
      <x:c r="K22" s="31" t="str">
        <x:v>https://www.timeshighereducation.com/rankings/impact/overall/2024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n">
        <x:f>71</x:f>
        <x:v>71</x:v>
      </x:c>
      <x:c r="G23" s="36" t="n">
        <x:v>91</x:v>
      </x:c>
      <x:c r="H23" s="15" t="str">
        <x:v>Ranked</x:v>
      </x:c>
      <x:c r="I23" s="15" t="str">
        <x:v>University of Edinburgh</x:v>
      </x:c>
      <x:c r="J23" s="31" t="str">
        <x:v>https://www.timeshighereducation.com/world-university-rankings/university-edinburgh</x:v>
      </x:c>
      <x:c r="K23" s="31" t="str">
        <x:v>https://www.timeshighereducation.com/rankings/impact/overall/2025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n">
        <x:f>91</x:f>
        <x:v>91</x:v>
      </x:c>
      <x:c r="G24" s="36" t="n">
        <x:v>89.6</x:v>
      </x:c>
      <x:c r="H24" s="15" t="str">
        <x:v>Ranked</x:v>
      </x:c>
      <x:c r="I24" s="15" t="str">
        <x:v>University of Edinburgh</x:v>
      </x:c>
      <x:c r="J24" s="31" t="str">
        <x:v>https://www.timeshighereducation.com/world-university-rankings/university-edinburgh</x:v>
      </x:c>
      <x:c r="K24" s="31" t="str">
        <x:v>https://www.timeshighereducation.com/impactrankings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n">
        <x:f>13</x:f>
        <x:v>13</x:v>
      </x:c>
      <x:c r="G25" s="36" t="n">
        <x:v>95.8</x:v>
      </x:c>
      <x:c r="H25" s="15" t="str">
        <x:v>Ranked</x:v>
      </x:c>
      <x:c r="I25" s="15" t="str">
        <x:v>University of British Columbia</x:v>
      </x:c>
      <x:c r="J25" s="31" t="str">
        <x:v>https://www.timeshighereducation.com/world-university-rankings/university-british-columbia</x:v>
      </x:c>
      <x:c r="K25" s="31" t="str">
        <x:v>https://www.timeshighereducation.com/rankings/impact/overall/2022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n">
        <x:f>26</x:f>
        <x:v>26</x:v>
      </x:c>
      <x:c r="G26" s="36" t="n">
        <x:v>93.4</x:v>
      </x:c>
      <x:c r="H26" s="15" t="str">
        <x:v>Ranked</x:v>
      </x:c>
      <x:c r="I26" s="15" t="str">
        <x:v>University of British Columbia</x:v>
      </x:c>
      <x:c r="J26" s="31" t="str">
        <x:v>https://www.timeshighereducation.com/world-university-rankings/university-british-columbia</x:v>
      </x:c>
      <x:c r="K26" s="31" t="str">
        <x:v>https://www.timeshighereducation.com/rankings/impact/overall/2023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NR</x:v>
      </x:c>
      <x:c r="G27" s="36"/>
      <x:c r="H27" s="15" t="str">
        <x:v>Not ranked in complete official table</x:v>
      </x:c>
      <x:c r="I27" s="15" t="str"/>
      <x:c r="J27" s="31" t="str"/>
      <x:c r="K27" s="31" t="str">
        <x:v>https://www.timeshighereducation.com/rankings/impact/overall/2024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str">
        <x:v>NR</x:v>
      </x:c>
      <x:c r="G28" s="36"/>
      <x:c r="H28" s="15" t="str">
        <x:v>Not ranked in complete official table</x:v>
      </x:c>
      <x:c r="I28" s="15" t="str"/>
      <x:c r="J28" s="31" t="str"/>
      <x:c r="K28" s="31" t="str">
        <x:v>https://www.timeshighereducation.com/rankings/impact/overall/2025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NR</x:v>
      </x:c>
      <x:c r="G29" s="36"/>
      <x:c r="H29" s="15" t="str">
        <x:v>Not ranked in complete official table</x:v>
      </x:c>
      <x:c r="I29" s="15" t="str"/>
      <x:c r="J29" s="31" t="str"/>
      <x:c r="K29" s="31" t="str">
        <x:v>https://www.timeshighereducation.com/impactrankings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NR</x:v>
      </x:c>
      <x:c r="G30" s="36"/>
      <x:c r="H30" s="15" t="str">
        <x:v>Not ranked in complete official table</x:v>
      </x:c>
      <x:c r="I30" s="15" t="str"/>
      <x:c r="J30" s="31" t="str"/>
      <x:c r="K30" s="31" t="str">
        <x:v>https://www.timeshighereducation.com/rankings/impact/overall/2022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NR</x:v>
      </x:c>
      <x:c r="G31" s="36"/>
      <x:c r="H31" s="15" t="str">
        <x:v>Not ranked in complete official table</x:v>
      </x:c>
      <x:c r="I31" s="15" t="str"/>
      <x:c r="J31" s="31" t="str"/>
      <x:c r="K31" s="31" t="str">
        <x:v>https://www.timeshighereducation.com/rankings/impact/overall/2023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NR</x:v>
      </x:c>
      <x:c r="G32" s="36"/>
      <x:c r="H32" s="15" t="str">
        <x:v>Not ranked in complete official table</x:v>
      </x:c>
      <x:c r="I32" s="15" t="str"/>
      <x:c r="J32" s="31" t="str"/>
      <x:c r="K32" s="31" t="str">
        <x:v>https://www.timeshighereducation.com/rankings/impact/overall/2024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str">
        <x:v>NR</x:v>
      </x:c>
      <x:c r="G33" s="36"/>
      <x:c r="H33" s="15" t="str">
        <x:v>Not ranked in complete official table</x:v>
      </x:c>
      <x:c r="I33" s="15" t="str"/>
      <x:c r="J33" s="31" t="str"/>
      <x:c r="K33" s="31" t="str">
        <x:v>https://www.timeshighereducation.com/rankings/impact/overall/2025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NR</x:v>
      </x:c>
      <x:c r="G34" s="36"/>
      <x:c r="H34" s="15" t="str">
        <x:v>Not ranked in complete official table</x:v>
      </x:c>
      <x:c r="I34" s="15" t="str"/>
      <x:c r="J34" s="31" t="str"/>
      <x:c r="K34" s="31" t="str">
        <x:v>https://www.timeshighereducation.com/impactrankings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NR</x:v>
      </x:c>
      <x:c r="G35" s="36"/>
      <x:c r="H35" s="15" t="str">
        <x:v>Not ranked in complete official table</x:v>
      </x:c>
      <x:c r="I35" s="15" t="str"/>
      <x:c r="J35" s="31" t="str"/>
      <x:c r="K35" s="31" t="str">
        <x:v>https://www.timeshighereducation.com/rankings/impact/overall/2022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str">
        <x:v>NR</x:v>
      </x:c>
      <x:c r="G36" s="36"/>
      <x:c r="H36" s="15" t="str">
        <x:v>Not ranked in complete official table</x:v>
      </x:c>
      <x:c r="I36" s="15" t="str"/>
      <x:c r="J36" s="31" t="str"/>
      <x:c r="K36" s="31" t="str">
        <x:v>https://www.timeshighereducation.com/rankings/impact/overall/2023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NR</x:v>
      </x:c>
      <x:c r="G37" s="36"/>
      <x:c r="H37" s="15" t="str">
        <x:v>Not ranked in complete official table</x:v>
      </x:c>
      <x:c r="I37" s="15" t="str"/>
      <x:c r="J37" s="31" t="str"/>
      <x:c r="K37" s="31" t="str">
        <x:v>https://www.timeshighereducation.com/rankings/impact/overall/2024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str">
        <x:v>NR</x:v>
      </x:c>
      <x:c r="G38" s="36"/>
      <x:c r="H38" s="15" t="str">
        <x:v>Not ranked in complete official table</x:v>
      </x:c>
      <x:c r="I38" s="15" t="str"/>
      <x:c r="J38" s="31" t="str"/>
      <x:c r="K38" s="31" t="str">
        <x:v>https://www.timeshighereducation.com/rankings/impact/overall/2025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str">
        <x:v>NR</x:v>
      </x:c>
      <x:c r="G39" s="36"/>
      <x:c r="H39" s="15" t="str">
        <x:v>Not ranked in complete official table</x:v>
      </x:c>
      <x:c r="I39" s="15" t="str"/>
      <x:c r="J39" s="31" t="str"/>
      <x:c r="K39" s="31" t="str">
        <x:v>https://www.timeshighereducation.com/impactrankings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n">
        <x:f>55</x:f>
        <x:v>55</x:v>
      </x:c>
      <x:c r="G40" s="36" t="n">
        <x:v>91.9</x:v>
      </x:c>
      <x:c r="H40" s="15" t="str">
        <x:v>Ranked</x:v>
      </x:c>
      <x:c r="I40" s="15" t="str">
        <x:v>UNSW Sydney</x:v>
      </x:c>
      <x:c r="J40" s="31" t="str">
        <x:v>https://www.timeshighereducation.com/world-university-rankings/unsw-sydney</x:v>
      </x:c>
      <x:c r="K40" s="31" t="str">
        <x:v>https://www.timeshighereducation.com/rankings/impact/overall/2022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18</x:f>
        <x:v>18</x:v>
      </x:c>
      <x:c r="G41" s="36" t="n">
        <x:v>94.5</x:v>
      </x:c>
      <x:c r="H41" s="15" t="str">
        <x:v>Ranked</x:v>
      </x:c>
      <x:c r="I41" s="15" t="str">
        <x:v>UNSW Sydney</x:v>
      </x:c>
      <x:c r="J41" s="31" t="str">
        <x:v>https://www.timeshighereducation.com/world-university-rankings/unsw-sydney</x:v>
      </x:c>
      <x:c r="K41" s="31" t="str">
        <x:v>https://www.timeshighereducation.com/rankings/impact/overall/2023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str">
        <x:v>7</x:v>
      </x:c>
      <x:c r="G42" s="36" t="n">
        <x:v>97.2</x:v>
      </x:c>
      <x:c r="H42" s="15" t="str">
        <x:v>Ranked</x:v>
      </x:c>
      <x:c r="I42" s="15" t="str">
        <x:v>UNSW Sydney</x:v>
      </x:c>
      <x:c r="J42" s="31" t="str">
        <x:v>https://www.timeshighereducation.com/world-university-rankings/unsw-sydney</x:v>
      </x:c>
      <x:c r="K42" s="31" t="str">
        <x:v>https://www.timeshighereducation.com/rankings/impact/overall/2024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str">
        <x:v>11</x:v>
      </x:c>
      <x:c r="G43" s="36" t="n">
        <x:v>96.2</x:v>
      </x:c>
      <x:c r="H43" s="15" t="str">
        <x:v>Ranked</x:v>
      </x:c>
      <x:c r="I43" s="15" t="str">
        <x:v>UNSW Sydney</x:v>
      </x:c>
      <x:c r="J43" s="31" t="str">
        <x:v>https://www.timeshighereducation.com/world-university-rankings/unsw-sydney</x:v>
      </x:c>
      <x:c r="K43" s="31" t="str">
        <x:v>https://www.timeshighereducation.com/rankings/impact/overall/2025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n">
        <x:f>41</x:f>
        <x:v>41</x:v>
      </x:c>
      <x:c r="G44" s="36" t="n">
        <x:v>93.2</x:v>
      </x:c>
      <x:c r="H44" s="15" t="str">
        <x:v>Ranked</x:v>
      </x:c>
      <x:c r="I44" s="15" t="str">
        <x:v>UNSW Sydney</x:v>
      </x:c>
      <x:c r="J44" s="31" t="str">
        <x:v>https://www.timeshighereducation.com/world-university-rankings/unsw-sydney</x:v>
      </x:c>
      <x:c r="K44" s="31" t="str">
        <x:v>https://www.timeshighereducation.com/impactrankings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101–200</x:v>
      </x:c>
      <x:c r="G45" s="36" t="str">
        <x:v>82.1–88.5</x:v>
      </x:c>
      <x:c r="H45" s="15" t="str">
        <x:v>Ranked</x:v>
      </x:c>
      <x:c r="I45" s="15" t="str">
        <x:v>McGill University</x:v>
      </x:c>
      <x:c r="J45" s="31" t="str">
        <x:v>https://www.timeshighereducation.com/world-university-rankings/mcgill-university</x:v>
      </x:c>
      <x:c r="K45" s="31" t="str">
        <x:v>https://www.timeshighereducation.com/rankings/impact/overall/2022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str">
        <x:v>NR</x:v>
      </x:c>
      <x:c r="G46" s="36"/>
      <x:c r="H46" s="15" t="str">
        <x:v>Not ranked in complete official table</x:v>
      </x:c>
      <x:c r="I46" s="15" t="str"/>
      <x:c r="J46" s="31" t="str"/>
      <x:c r="K46" s="31" t="str">
        <x:v>https://www.timeshighereducation.com/rankings/impact/overall/2023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NR</x:v>
      </x:c>
      <x:c r="G47" s="36"/>
      <x:c r="H47" s="15" t="str">
        <x:v>Not ranked in complete official table</x:v>
      </x:c>
      <x:c r="I47" s="15" t="str"/>
      <x:c r="J47" s="31" t="str"/>
      <x:c r="K47" s="31" t="str">
        <x:v>https://www.timeshighereducation.com/rankings/impact/overall/2024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str">
        <x:v>NR</x:v>
      </x:c>
      <x:c r="G48" s="36"/>
      <x:c r="H48" s="15" t="str">
        <x:v>Not ranked in complete official table</x:v>
      </x:c>
      <x:c r="I48" s="15" t="str"/>
      <x:c r="J48" s="31" t="str"/>
      <x:c r="K48" s="31" t="str">
        <x:v>https://www.timeshighereducation.com/rankings/impact/overall/2025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str">
        <x:v>NR</x:v>
      </x:c>
      <x:c r="G49" s="36"/>
      <x:c r="H49" s="15" t="str">
        <x:v>Not ranked in complete official table</x:v>
      </x:c>
      <x:c r="I49" s="15" t="str"/>
      <x:c r="J49" s="31" t="str"/>
      <x:c r="K49" s="31" t="str">
        <x:v>https://www.timeshighereducation.com/impactrankings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9</x:v>
      </x:c>
      <x:c r="G50" s="36" t="n">
        <x:v>96.4</x:v>
      </x:c>
      <x:c r="H50" s="15" t="str">
        <x:v>Ranked</x:v>
      </x:c>
      <x:c r="I50" s="15" t="str">
        <x:v>University of Manchester</x:v>
      </x:c>
      <x:c r="J50" s="31" t="str">
        <x:v>https://www.timeshighereducation.com/world-university-rankings/university-manchester</x:v>
      </x:c>
      <x:c r="K50" s="31" t="str">
        <x:v>https://www.timeshighereducation.com/rankings/impact/overall/2022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str">
        <x:v>2</x:v>
      </x:c>
      <x:c r="G51" s="36" t="n">
        <x:v>97.5</x:v>
      </x:c>
      <x:c r="H51" s="15" t="str">
        <x:v>Ranked</x:v>
      </x:c>
      <x:c r="I51" s="15" t="str">
        <x:v>University of Manchester</x:v>
      </x:c>
      <x:c r="J51" s="31" t="str">
        <x:v>https://www.timeshighereducation.com/world-university-rankings/university-manchester</x:v>
      </x:c>
      <x:c r="K51" s="31" t="str">
        <x:v>https://www.timeshighereducation.com/rankings/impact/overall/2023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n">
        <x:f>2</x:f>
        <x:v>2</x:v>
      </x:c>
      <x:c r="G52" s="36" t="n">
        <x:v>98.5</x:v>
      </x:c>
      <x:c r="H52" s="15" t="str">
        <x:v>Ranked</x:v>
      </x:c>
      <x:c r="I52" s="15" t="str">
        <x:v>University of Manchester</x:v>
      </x:c>
      <x:c r="J52" s="31" t="str">
        <x:v>https://www.timeshighereducation.com/world-university-rankings/university-manchester</x:v>
      </x:c>
      <x:c r="K52" s="31" t="str">
        <x:v>https://www.timeshighereducation.com/rankings/impact/overall/2024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str">
        <x:v>2</x:v>
      </x:c>
      <x:c r="G53" s="36" t="n">
        <x:v>98.4</x:v>
      </x:c>
      <x:c r="H53" s="15" t="str">
        <x:v>Ranked</x:v>
      </x:c>
      <x:c r="I53" s="15" t="str">
        <x:v>University of Manchester</x:v>
      </x:c>
      <x:c r="J53" s="31" t="str">
        <x:v>https://www.timeshighereducation.com/world-university-rankings/university-manchester</x:v>
      </x:c>
      <x:c r="K53" s="31" t="str">
        <x:v>https://www.timeshighereducation.com/rankings/impact/overall/2025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1</x:v>
      </x:c>
      <x:c r="G54" s="36" t="n">
        <x:v>98.5</x:v>
      </x:c>
      <x:c r="H54" s="15" t="str">
        <x:v>Ranked</x:v>
      </x:c>
      <x:c r="I54" s="15" t="str">
        <x:v>University of Manchester</x:v>
      </x:c>
      <x:c r="J54" s="31" t="str">
        <x:v>https://www.timeshighereducation.com/world-university-rankings/university-manchester</x:v>
      </x:c>
      <x:c r="K54" s="31" t="str">
        <x:v>https://www.timeshighereducation.com/impactrankings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NR</x:v>
      </x:c>
      <x:c r="G55" s="36"/>
      <x:c r="H55" s="15" t="str">
        <x:v>Not ranked in complete official table</x:v>
      </x:c>
      <x:c r="I55" s="15" t="str"/>
      <x:c r="J55" s="31" t="str"/>
      <x:c r="K55" s="31" t="str">
        <x:v>https://www.timeshighereducation.com/rankings/impact/overall/2022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str">
        <x:v>NR</x:v>
      </x:c>
      <x:c r="G56" s="36"/>
      <x:c r="H56" s="15" t="str">
        <x:v>Not ranked in complete official table</x:v>
      </x:c>
      <x:c r="I56" s="15" t="str"/>
      <x:c r="J56" s="31" t="str"/>
      <x:c r="K56" s="31" t="str">
        <x:v>https://www.timeshighereducation.com/rankings/impact/overall/2023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NR</x:v>
      </x:c>
      <x:c r="G57" s="36"/>
      <x:c r="H57" s="15" t="str">
        <x:v>Not ranked in complete official table</x:v>
      </x:c>
      <x:c r="I57" s="15" t="str"/>
      <x:c r="J57" s="31" t="str"/>
      <x:c r="K57" s="31" t="str">
        <x:v>https://www.timeshighereducation.com/rankings/impact/overall/2024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NR</x:v>
      </x:c>
      <x:c r="G58" s="36"/>
      <x:c r="H58" s="15" t="str">
        <x:v>Not ranked in complete official table</x:v>
      </x:c>
      <x:c r="I58" s="15" t="str"/>
      <x:c r="J58" s="31" t="str"/>
      <x:c r="K58" s="31" t="str">
        <x:v>https://www.timeshighereducation.com/rankings/impact/overall/2025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str">
        <x:v>NR</x:v>
      </x:c>
      <x:c r="G59" s="36"/>
      <x:c r="H59" s="15" t="str">
        <x:v>Not ranked in complete official table</x:v>
      </x:c>
      <x:c r="I59" s="15" t="str"/>
      <x:c r="J59" s="31" t="str"/>
      <x:c r="K59" s="31" t="str">
        <x:v>https://www.timeshighereducation.com/impactrankings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NR</x:v>
      </x:c>
      <x:c r="G60" s="36"/>
      <x:c r="H60" s="15" t="str">
        <x:v>Not ranked in complete official table</x:v>
      </x:c>
      <x:c r="I60" s="15" t="str"/>
      <x:c r="J60" s="31" t="str"/>
      <x:c r="K60" s="31" t="str">
        <x:v>https://www.timeshighereducation.com/rankings/impact/overall/2022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NR</x:v>
      </x:c>
      <x:c r="G61" s="36"/>
      <x:c r="H61" s="15" t="str">
        <x:v>Not ranked in complete official table</x:v>
      </x:c>
      <x:c r="I61" s="15" t="str"/>
      <x:c r="J61" s="31" t="str"/>
      <x:c r="K61" s="31" t="str">
        <x:v>https://www.timeshighereducation.com/rankings/impact/overall/2023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NR</x:v>
      </x:c>
      <x:c r="G62" s="36"/>
      <x:c r="H62" s="15" t="str">
        <x:v>Not ranked in complete official table</x:v>
      </x:c>
      <x:c r="I62" s="15" t="str"/>
      <x:c r="J62" s="31" t="str"/>
      <x:c r="K62" s="31" t="str">
        <x:v>https://www.timeshighereducation.com/rankings/impact/overall/2024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str">
        <x:v>NR</x:v>
      </x:c>
      <x:c r="G63" s="36"/>
      <x:c r="H63" s="15" t="str">
        <x:v>Not ranked in complete official table</x:v>
      </x:c>
      <x:c r="I63" s="15" t="str"/>
      <x:c r="J63" s="31" t="str"/>
      <x:c r="K63" s="31" t="str">
        <x:v>https://www.timeshighereducation.com/rankings/impact/overall/2025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str">
        <x:v>NR</x:v>
      </x:c>
      <x:c r="G64" s="36"/>
      <x:c r="H64" s="15" t="str">
        <x:v>Not ranked in complete official table</x:v>
      </x:c>
      <x:c r="I64" s="15" t="str"/>
      <x:c r="J64" s="31" t="str"/>
      <x:c r="K64" s="31" t="str">
        <x:v>https://www.timeshighereducation.com/impactrankings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NR</x:v>
      </x:c>
      <x:c r="G65" s="36"/>
      <x:c r="H65" s="15" t="str">
        <x:v>Not ranked in complete official table</x:v>
      </x:c>
      <x:c r="I65" s="15" t="str"/>
      <x:c r="J65" s="31" t="str"/>
      <x:c r="K65" s="31" t="str">
        <x:v>https://www.timeshighereducation.com/rankings/impact/overall/2022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NR</x:v>
      </x:c>
      <x:c r="G66" s="36"/>
      <x:c r="H66" s="15" t="str">
        <x:v>Not ranked in complete official table</x:v>
      </x:c>
      <x:c r="I66" s="15" t="str"/>
      <x:c r="J66" s="31" t="str"/>
      <x:c r="K66" s="31" t="str">
        <x:v>https://www.timeshighereducation.com/rankings/impact/overall/2023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NR</x:v>
      </x:c>
      <x:c r="G67" s="36"/>
      <x:c r="H67" s="15" t="str">
        <x:v>Not ranked in complete official table</x:v>
      </x:c>
      <x:c r="I67" s="15" t="str"/>
      <x:c r="J67" s="31" t="str"/>
      <x:c r="K67" s="31" t="str">
        <x:v>https://www.timeshighereducation.com/rankings/impact/overall/2024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str">
        <x:v>NR</x:v>
      </x:c>
      <x:c r="G68" s="36"/>
      <x:c r="H68" s="15" t="str">
        <x:v>Not ranked in complete official table</x:v>
      </x:c>
      <x:c r="I68" s="15" t="str"/>
      <x:c r="J68" s="31" t="str"/>
      <x:c r="K68" s="31" t="str">
        <x:v>https://www.timeshighereducation.com/rankings/impact/overall/2025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str">
        <x:v>NR</x:v>
      </x:c>
      <x:c r="G69" s="36"/>
      <x:c r="H69" s="15" t="str">
        <x:v>Not ranked in complete official table</x:v>
      </x:c>
      <x:c r="I69" s="15" t="str"/>
      <x:c r="J69" s="31" t="str"/>
      <x:c r="K69" s="31" t="str">
        <x:v>https://www.timeshighereducation.com/impactrankings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NR</x:v>
      </x:c>
      <x:c r="G70" s="36"/>
      <x:c r="H70" s="15" t="str">
        <x:v>Not ranked in complete official table</x:v>
      </x:c>
      <x:c r="I70" s="15" t="str"/>
      <x:c r="J70" s="31" t="str"/>
      <x:c r="K70" s="31" t="str">
        <x:v>https://www.timeshighereducation.com/rankings/impact/overall/2022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str">
        <x:v>NR</x:v>
      </x:c>
      <x:c r="G71" s="36"/>
      <x:c r="H71" s="15" t="str">
        <x:v>Not ranked in complete official table</x:v>
      </x:c>
      <x:c r="I71" s="15" t="str"/>
      <x:c r="J71" s="31" t="str"/>
      <x:c r="K71" s="31" t="str">
        <x:v>https://www.timeshighereducation.com/rankings/impact/overall/2023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str">
        <x:v>NR</x:v>
      </x:c>
      <x:c r="G72" s="36"/>
      <x:c r="H72" s="15" t="str">
        <x:v>Not ranked in complete official table</x:v>
      </x:c>
      <x:c r="I72" s="15" t="str"/>
      <x:c r="J72" s="31" t="str"/>
      <x:c r="K72" s="31" t="str">
        <x:v>https://www.timeshighereducation.com/rankings/impact/overall/2024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str">
        <x:v>NR</x:v>
      </x:c>
      <x:c r="G73" s="36"/>
      <x:c r="H73" s="15" t="str">
        <x:v>Not ranked in complete official table</x:v>
      </x:c>
      <x:c r="I73" s="15" t="str"/>
      <x:c r="J73" s="31" t="str"/>
      <x:c r="K73" s="31" t="str">
        <x:v>https://www.timeshighereducation.com/rankings/impact/overall/2025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str">
        <x:v>NR</x:v>
      </x:c>
      <x:c r="G74" s="36"/>
      <x:c r="H74" s="15" t="str">
        <x:v>Not ranked in complete official table</x:v>
      </x:c>
      <x:c r="I74" s="15" t="str"/>
      <x:c r="J74" s="31" t="str"/>
      <x:c r="K74" s="31" t="str">
        <x:v>https://www.timeshighereducation.com/impactrankings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NR</x:v>
      </x:c>
      <x:c r="G75" s="36"/>
      <x:c r="H75" s="15" t="str">
        <x:v>Not ranked in complete official table</x:v>
      </x:c>
      <x:c r="I75" s="15" t="str"/>
      <x:c r="J75" s="31" t="str"/>
      <x:c r="K75" s="31" t="str">
        <x:v>https://www.timeshighereducation.com/rankings/impact/overall/2022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NR</x:v>
      </x:c>
      <x:c r="G76" s="36"/>
      <x:c r="H76" s="15" t="str">
        <x:v>Not ranked in complete official table</x:v>
      </x:c>
      <x:c r="I76" s="15" t="str"/>
      <x:c r="J76" s="31" t="str"/>
      <x:c r="K76" s="31" t="str">
        <x:v>https://www.timeshighereducation.com/rankings/impact/overall/2023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NR</x:v>
      </x:c>
      <x:c r="G77" s="36"/>
      <x:c r="H77" s="15" t="str">
        <x:v>Not ranked in complete official table</x:v>
      </x:c>
      <x:c r="I77" s="15" t="str"/>
      <x:c r="J77" s="31" t="str"/>
      <x:c r="K77" s="31" t="str">
        <x:v>https://www.timeshighereducation.com/rankings/impact/overall/2024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str">
        <x:v>NR</x:v>
      </x:c>
      <x:c r="G78" s="36"/>
      <x:c r="H78" s="15" t="str">
        <x:v>Not ranked in complete official table</x:v>
      </x:c>
      <x:c r="I78" s="15" t="str"/>
      <x:c r="J78" s="31" t="str"/>
      <x:c r="K78" s="31" t="str">
        <x:v>https://www.timeshighereducation.com/rankings/impact/overall/2025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NR</x:v>
      </x:c>
      <x:c r="G79" s="36"/>
      <x:c r="H79" s="15" t="str">
        <x:v>Not ranked in complete official table</x:v>
      </x:c>
      <x:c r="I79" s="15" t="str"/>
      <x:c r="J79" s="31" t="str"/>
      <x:c r="K79" s="31" t="str">
        <x:v>https://www.timeshighereducation.com/impactrankings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str">
        <x:v>52</x:v>
      </x:c>
      <x:c r="G80" s="36" t="n">
        <x:v>92.2</x:v>
      </x:c>
      <x:c r="H80" s="15" t="str">
        <x:v>Ranked</x:v>
      </x:c>
      <x:c r="I80" s="15" t="str">
        <x:v>The University of Sydney</x:v>
      </x:c>
      <x:c r="J80" s="31" t="str">
        <x:v>https://www.timeshighereducation.com/world-university-rankings/university-sydney</x:v>
      </x:c>
      <x:c r="K80" s="31" t="str">
        <x:v>https://www.timeshighereducation.com/rankings/impact/overall/2022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str">
        <x:v>NR</x:v>
      </x:c>
      <x:c r="G81" s="36"/>
      <x:c r="H81" s="15" t="str">
        <x:v>Not ranked in complete official table</x:v>
      </x:c>
      <x:c r="I81" s="15" t="str"/>
      <x:c r="J81" s="31" t="str"/>
      <x:c r="K81" s="31" t="str">
        <x:v>https://www.timeshighereducation.com/rankings/impact/overall/2023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NR</x:v>
      </x:c>
      <x:c r="G82" s="36"/>
      <x:c r="H82" s="15" t="str">
        <x:v>Not ranked in complete official table</x:v>
      </x:c>
      <x:c r="I82" s="15" t="str"/>
      <x:c r="J82" s="31" t="str"/>
      <x:c r="K82" s="31" t="str">
        <x:v>https://www.timeshighereducation.com/rankings/impact/overall/2024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NR</x:v>
      </x:c>
      <x:c r="G83" s="36"/>
      <x:c r="H83" s="15" t="str">
        <x:v>Not ranked in complete official table</x:v>
      </x:c>
      <x:c r="I83" s="15" t="str"/>
      <x:c r="J83" s="31" t="str"/>
      <x:c r="K83" s="31" t="str">
        <x:v>https://www.timeshighereducation.com/rankings/impact/overall/2025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str">
        <x:v>NR</x:v>
      </x:c>
      <x:c r="G84" s="36"/>
      <x:c r="H84" s="15" t="str">
        <x:v>Not ranked in complete official table</x:v>
      </x:c>
      <x:c r="I84" s="15" t="str"/>
      <x:c r="J84" s="31" t="str"/>
      <x:c r="K84" s="31" t="str">
        <x:v>https://www.timeshighereducation.com/impactrankings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str">
        <x:v>NR</x:v>
      </x:c>
      <x:c r="G85" s="36"/>
      <x:c r="H85" s="15" t="str">
        <x:v>Not ranked in complete official table</x:v>
      </x:c>
      <x:c r="I85" s="15" t="str"/>
      <x:c r="J85" s="31" t="str"/>
      <x:c r="K85" s="31" t="str">
        <x:v>https://www.timeshighereducation.com/rankings/impact/overall/2022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str">
        <x:v>NR</x:v>
      </x:c>
      <x:c r="G86" s="36"/>
      <x:c r="H86" s="15" t="str">
        <x:v>Not ranked in complete official table</x:v>
      </x:c>
      <x:c r="I86" s="15" t="str"/>
      <x:c r="J86" s="31" t="str"/>
      <x:c r="K86" s="31" t="str">
        <x:v>https://www.timeshighereducation.com/rankings/impact/overall/2023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str">
        <x:v>NR</x:v>
      </x:c>
      <x:c r="G87" s="36"/>
      <x:c r="H87" s="15" t="str">
        <x:v>Not ranked in complete official table</x:v>
      </x:c>
      <x:c r="I87" s="15" t="str"/>
      <x:c r="J87" s="31" t="str"/>
      <x:c r="K87" s="31" t="str">
        <x:v>https://www.timeshighereducation.com/rankings/impact/overall/2024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str">
        <x:v>NR</x:v>
      </x:c>
      <x:c r="G88" s="36"/>
      <x:c r="H88" s="15" t="str">
        <x:v>Not ranked in complete official table</x:v>
      </x:c>
      <x:c r="I88" s="15" t="str"/>
      <x:c r="J88" s="31" t="str"/>
      <x:c r="K88" s="31" t="str">
        <x:v>https://www.timeshighereducation.com/rankings/impact/overall/2025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str">
        <x:v>NR</x:v>
      </x:c>
      <x:c r="G89" s="36"/>
      <x:c r="H89" s="15" t="str">
        <x:v>Not ranked in complete official table</x:v>
      </x:c>
      <x:c r="I89" s="15" t="str"/>
      <x:c r="J89" s="31" t="str"/>
      <x:c r="K89" s="31" t="str">
        <x:v>https://www.timeshighereducation.com/impactrankings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str">
        <x:v>24</x:v>
      </x:c>
      <x:c r="G90" s="36" t="n">
        <x:v>94.4</x:v>
      </x:c>
      <x:c r="H90" s="15" t="str">
        <x:v>Ranked</x:v>
      </x:c>
      <x:c r="I90" s="15" t="str">
        <x:v>King’s College London</x:v>
      </x:c>
      <x:c r="J90" s="31" t="str">
        <x:v>https://www.timeshighereducation.com/world-university-rankings/kings-college-london</x:v>
      </x:c>
      <x:c r="K90" s="31" t="str">
        <x:v>https://www.timeshighereducation.com/rankings/impact/overall/2022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str">
        <x:v>NR</x:v>
      </x:c>
      <x:c r="G91" s="36"/>
      <x:c r="H91" s="15" t="str">
        <x:v>Not ranked in complete official table</x:v>
      </x:c>
      <x:c r="I91" s="15" t="str"/>
      <x:c r="J91" s="31" t="str"/>
      <x:c r="K91" s="31" t="str">
        <x:v>https://www.timeshighereducation.com/rankings/impact/overall/2023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str">
        <x:v>33</x:v>
      </x:c>
      <x:c r="G92" s="36" t="n">
        <x:v>93.4</x:v>
      </x:c>
      <x:c r="H92" s="15" t="str">
        <x:v>Ranked</x:v>
      </x:c>
      <x:c r="I92" s="15" t="str">
        <x:v>King’s College London</x:v>
      </x:c>
      <x:c r="J92" s="31" t="str">
        <x:v>https://www.timeshighereducation.com/world-university-rankings/kings-college-london</x:v>
      </x:c>
      <x:c r="K92" s="31" t="str">
        <x:v>https://www.timeshighereducation.com/rankings/impact/overall/2024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str">
        <x:v>NR</x:v>
      </x:c>
      <x:c r="G93" s="36"/>
      <x:c r="H93" s="15" t="str">
        <x:v>Not ranked in complete official table</x:v>
      </x:c>
      <x:c r="I93" s="15" t="str"/>
      <x:c r="J93" s="31" t="str"/>
      <x:c r="K93" s="31" t="str">
        <x:v>https://www.timeshighereducation.com/rankings/impact/overall/2025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str">
        <x:v>101–200</x:v>
      </x:c>
      <x:c r="G94" s="36" t="str">
        <x:v>82.3–89.2</x:v>
      </x:c>
      <x:c r="H94" s="15" t="str">
        <x:v>Ranked</x:v>
      </x:c>
      <x:c r="I94" s="15" t="str">
        <x:v>King’s College London</x:v>
      </x:c>
      <x:c r="J94" s="31" t="str">
        <x:v>https://www.timeshighereducation.com/world-university-rankings/kings-college-london</x:v>
      </x:c>
      <x:c r="K94" s="31" t="str">
        <x:v>https://www.timeshighereducation.com/impactrankings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NR</x:v>
      </x:c>
      <x:c r="G95" s="36"/>
      <x:c r="H95" s="15" t="str">
        <x:v>Not ranked in complete official table</x:v>
      </x:c>
      <x:c r="I95" s="15" t="str"/>
      <x:c r="J95" s="31" t="str"/>
      <x:c r="K95" s="31" t="str">
        <x:v>https://www.timeshighereducation.com/rankings/impact/overall/2022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NR</x:v>
      </x:c>
      <x:c r="G96" s="36"/>
      <x:c r="H96" s="15" t="str">
        <x:v>Not ranked in complete official table</x:v>
      </x:c>
      <x:c r="I96" s="15" t="str"/>
      <x:c r="J96" s="31" t="str"/>
      <x:c r="K96" s="31" t="str">
        <x:v>https://www.timeshighereducation.com/rankings/impact/overall/2023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n">
        <x:f>92</x:f>
        <x:v>92</x:v>
      </x:c>
      <x:c r="G97" s="36" t="n">
        <x:v>89.8</x:v>
      </x:c>
      <x:c r="H97" s="15" t="str">
        <x:v>Ranked</x:v>
      </x:c>
      <x:c r="I97" s="15" t="str">
        <x:v>University of Bristol</x:v>
      </x:c>
      <x:c r="J97" s="31" t="str">
        <x:v>https://www.timeshighereducation.com/world-university-rankings/university-bristol</x:v>
      </x:c>
      <x:c r="K97" s="31" t="str">
        <x:v>https://www.timeshighereducation.com/rankings/impact/overall/2024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str">
        <x:v>101–200</x:v>
      </x:c>
      <x:c r="G98" s="36" t="str">
        <x:v>83.7–89.4</x:v>
      </x:c>
      <x:c r="H98" s="15" t="str">
        <x:v>Ranked</x:v>
      </x:c>
      <x:c r="I98" s="15" t="str">
        <x:v>University of Bristol</x:v>
      </x:c>
      <x:c r="J98" s="31" t="str">
        <x:v>https://www.timeshighereducation.com/world-university-rankings/university-bristol</x:v>
      </x:c>
      <x:c r="K98" s="31" t="str">
        <x:v>https://www.timeshighereducation.com/rankings/impact/overall/2025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n">
        <x:f>56</x:f>
        <x:v>56</x:v>
      </x:c>
      <x:c r="G99" s="36" t="n">
        <x:v>91.8</x:v>
      </x:c>
      <x:c r="H99" s="15" t="str">
        <x:v>Ranked</x:v>
      </x:c>
      <x:c r="I99" s="15" t="str">
        <x:v>University of Bristol</x:v>
      </x:c>
      <x:c r="J99" s="31" t="str">
        <x:v>https://www.timeshighereducation.com/world-university-rankings/university-bristol</x:v>
      </x:c>
      <x:c r="K99" s="31" t="str">
        <x:v>https://www.timeshighereducation.com/impactrankings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201–300</x:v>
      </x:c>
      <x:c r="G100" s="36" t="str">
        <x:v>76.9–82.0</x:v>
      </x:c>
      <x:c r="H100" s="15" t="str">
        <x:v>Ranked</x:v>
      </x:c>
      <x:c r="I100" s="15" t="str">
        <x:v>New York University</x:v>
      </x:c>
      <x:c r="J100" s="31" t="str">
        <x:v>https://www.timeshighereducation.com/world-university-rankings/new-york-university</x:v>
      </x:c>
      <x:c r="K100" s="31" t="str">
        <x:v>https://www.timeshighereducation.com/rankings/impact/overall/2022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NR</x:v>
      </x:c>
      <x:c r="G101" s="36"/>
      <x:c r="H101" s="15" t="str">
        <x:v>Not ranked in complete official table</x:v>
      </x:c>
      <x:c r="I101" s="15" t="str"/>
      <x:c r="J101" s="31" t="str"/>
      <x:c r="K101" s="31" t="str">
        <x:v>https://www.timeshighereducation.com/rankings/impact/overall/2023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str">
        <x:v>NR</x:v>
      </x:c>
      <x:c r="G102" s="36"/>
      <x:c r="H102" s="15" t="str">
        <x:v>Not ranked in complete official table</x:v>
      </x:c>
      <x:c r="I102" s="15" t="str"/>
      <x:c r="J102" s="31" t="str"/>
      <x:c r="K102" s="31" t="str">
        <x:v>https://www.timeshighereducation.com/rankings/impact/overall/2024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NR</x:v>
      </x:c>
      <x:c r="G103" s="36"/>
      <x:c r="H103" s="15" t="str">
        <x:v>Not ranked in complete official table</x:v>
      </x:c>
      <x:c r="I103" s="15" t="str"/>
      <x:c r="J103" s="31" t="str"/>
      <x:c r="K103" s="31" t="str">
        <x:v>https://www.timeshighereducation.com/rankings/impact/overall/2025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str">
        <x:v>NR</x:v>
      </x:c>
      <x:c r="G104" s="36"/>
      <x:c r="H104" s="15" t="str">
        <x:v>Not ranked in complete official table</x:v>
      </x:c>
      <x:c r="I104" s="15" t="str"/>
      <x:c r="J104" s="31" t="str"/>
      <x:c r="K104" s="31" t="str">
        <x:v>https://www.timeshighereducation.com/impactrankings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n">
        <x:f>47</x:f>
        <x:v>47</x:v>
      </x:c>
      <x:c r="G105" s="36" t="n">
        <x:v>92.7</x:v>
      </x:c>
      <x:c r="H105" s="15" t="str">
        <x:v>Ranked</x:v>
      </x:c>
      <x:c r="I105" s="15" t="str">
        <x:v>Penn State (Main campus)</x:v>
      </x:c>
      <x:c r="J105" s="31" t="str">
        <x:v>https://www.timeshighereducation.com/world-university-rankings/penn-state-main-campus</x:v>
      </x:c>
      <x:c r="K105" s="31" t="str">
        <x:v>https://www.timeshighereducation.com/rankings/impact/overall/2022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40</x:f>
        <x:v>40</x:v>
      </x:c>
      <x:c r="G106" s="36" t="n">
        <x:v>92.1</x:v>
      </x:c>
      <x:c r="H106" s="15" t="str">
        <x:v>Ranked</x:v>
      </x:c>
      <x:c r="I106" s="15" t="str">
        <x:v>Penn State (Main campus)</x:v>
      </x:c>
      <x:c r="J106" s="31" t="str">
        <x:v>https://www.timeshighereducation.com/world-university-rankings/penn-state-main-campus</x:v>
      </x:c>
      <x:c r="K106" s="31" t="str">
        <x:v>https://www.timeshighereducation.com/rankings/impact/overall/2023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str">
        <x:v>51</x:v>
      </x:c>
      <x:c r="G107" s="36" t="n">
        <x:v>91.9</x:v>
      </x:c>
      <x:c r="H107" s="15" t="str">
        <x:v>Ranked</x:v>
      </x:c>
      <x:c r="I107" s="15" t="str">
        <x:v>Penn State (Main campus)</x:v>
      </x:c>
      <x:c r="J107" s="31" t="str">
        <x:v>https://www.timeshighereducation.com/world-university-rankings/penn-state-main-campus</x:v>
      </x:c>
      <x:c r="K107" s="31" t="str">
        <x:v>https://www.timeshighereducation.com/rankings/impact/overall/2024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64</x:f>
        <x:v>64</x:v>
      </x:c>
      <x:c r="G108" s="36" t="n">
        <x:v>91.3</x:v>
      </x:c>
      <x:c r="H108" s="15" t="str">
        <x:v>Ranked</x:v>
      </x:c>
      <x:c r="I108" s="15" t="str">
        <x:v>Penn State (Main campus)</x:v>
      </x:c>
      <x:c r="J108" s="31" t="str">
        <x:v>https://www.timeshighereducation.com/world-university-rankings/penn-state-main-campus</x:v>
      </x:c>
      <x:c r="K108" s="31" t="str">
        <x:v>https://www.timeshighereducation.com/rankings/impact/overall/2025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str">
        <x:v>101–200</x:v>
      </x:c>
      <x:c r="G109" s="36" t="str">
        <x:v>82.3–89.2</x:v>
      </x:c>
      <x:c r="H109" s="15" t="str">
        <x:v>Ranked</x:v>
      </x:c>
      <x:c r="I109" s="15" t="str">
        <x:v>Penn State (Main campus)</x:v>
      </x:c>
      <x:c r="J109" s="31" t="str">
        <x:v>https://www.timeshighereducation.com/world-university-rankings/penn-state-main-campus</x:v>
      </x:c>
      <x:c r="K109" s="31" t="str">
        <x:v>https://www.timeshighereducation.com/impactrankings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str">
        <x:v>NR</x:v>
      </x:c>
      <x:c r="G110" s="36"/>
      <x:c r="H110" s="15" t="str">
        <x:v>Not ranked in complete official table</x:v>
      </x:c>
      <x:c r="I110" s="15" t="str"/>
      <x:c r="J110" s="31" t="str"/>
      <x:c r="K110" s="31" t="str">
        <x:v>https://www.timeshighereducation.com/rankings/impact/overall/2022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NR</x:v>
      </x:c>
      <x:c r="G111" s="36"/>
      <x:c r="H111" s="15" t="str">
        <x:v>Not ranked in complete official table</x:v>
      </x:c>
      <x:c r="I111" s="15" t="str"/>
      <x:c r="J111" s="31" t="str"/>
      <x:c r="K111" s="31" t="str">
        <x:v>https://www.timeshighereducation.com/rankings/impact/overall/2023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str">
        <x:v>NR</x:v>
      </x:c>
      <x:c r="G112" s="36"/>
      <x:c r="H112" s="15" t="str">
        <x:v>Not ranked in complete official table</x:v>
      </x:c>
      <x:c r="I112" s="15" t="str"/>
      <x:c r="J112" s="31" t="str"/>
      <x:c r="K112" s="31" t="str">
        <x:v>https://www.timeshighereducation.com/rankings/impact/overall/2024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NR</x:v>
      </x:c>
      <x:c r="G113" s="36"/>
      <x:c r="H113" s="15" t="str">
        <x:v>Not ranked in complete official table</x:v>
      </x:c>
      <x:c r="I113" s="15" t="str"/>
      <x:c r="J113" s="31" t="str"/>
      <x:c r="K113" s="31" t="str">
        <x:v>https://www.timeshighereducation.com/rankings/impact/overall/2025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str">
        <x:v>NR</x:v>
      </x:c>
      <x:c r="G114" s="36"/>
      <x:c r="H114" s="15" t="str">
        <x:v>Not ranked in complete official table</x:v>
      </x:c>
      <x:c r="I114" s="15" t="str"/>
      <x:c r="J114" s="31" t="str"/>
      <x:c r="K114" s="31" t="str">
        <x:v>https://www.timeshighereducation.com/impactrankings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str">
        <x:v>NR</x:v>
      </x:c>
      <x:c r="G115" s="36"/>
      <x:c r="H115" s="15" t="str">
        <x:v>Not ranked in complete official table</x:v>
      </x:c>
      <x:c r="I115" s="15" t="str"/>
      <x:c r="J115" s="31" t="str"/>
      <x:c r="K115" s="31" t="str">
        <x:v>https://www.timeshighereducation.com/rankings/impact/overall/2022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201–300</x:v>
      </x:c>
      <x:c r="G116" s="36" t="str">
        <x:v>76.8–82.1</x:v>
      </x:c>
      <x:c r="H116" s="15" t="str">
        <x:v>Ranked</x:v>
      </x:c>
      <x:c r="I116" s="15" t="str">
        <x:v>University of Helsinki</x:v>
      </x:c>
      <x:c r="J116" s="31" t="str">
        <x:v>https://www.timeshighereducation.com/world-university-rankings/university-helsinki</x:v>
      </x:c>
      <x:c r="K116" s="31" t="str">
        <x:v>https://www.timeshighereducation.com/rankings/impact/overall/2023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101–200</x:v>
      </x:c>
      <x:c r="G117" s="36" t="str">
        <x:v>84.0–89.1</x:v>
      </x:c>
      <x:c r="H117" s="15" t="str">
        <x:v>Ranked</x:v>
      </x:c>
      <x:c r="I117" s="15" t="str">
        <x:v>University of Helsinki</x:v>
      </x:c>
      <x:c r="J117" s="31" t="str">
        <x:v>https://www.timeshighereducation.com/world-university-rankings/university-helsinki</x:v>
      </x:c>
      <x:c r="K117" s="31" t="str">
        <x:v>https://www.timeshighereducation.com/rankings/impact/overall/2024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str">
        <x:v>101–200</x:v>
      </x:c>
      <x:c r="G118" s="36" t="str">
        <x:v>83.7–89.4</x:v>
      </x:c>
      <x:c r="H118" s="15" t="str">
        <x:v>Ranked</x:v>
      </x:c>
      <x:c r="I118" s="15" t="str">
        <x:v>University of Helsinki</x:v>
      </x:c>
      <x:c r="J118" s="31" t="str">
        <x:v>https://www.timeshighereducation.com/world-university-rankings/university-helsinki</x:v>
      </x:c>
      <x:c r="K118" s="31" t="str">
        <x:v>https://www.timeshighereducation.com/rankings/impact/overall/2025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str">
        <x:v>NR</x:v>
      </x:c>
      <x:c r="G119" s="36"/>
      <x:c r="H119" s="15" t="str">
        <x:v>Not ranked in complete official table</x:v>
      </x:c>
      <x:c r="I119" s="15" t="str"/>
      <x:c r="J119" s="31" t="str"/>
      <x:c r="K119" s="31" t="str">
        <x:v>https://www.timeshighereducation.com/impactrankings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str">
        <x:v>101–200</x:v>
      </x:c>
      <x:c r="G120" s="36" t="str">
        <x:v>82.1–88.5</x:v>
      </x:c>
      <x:c r="H120" s="15" t="str">
        <x:v>Ranked</x:v>
      </x:c>
      <x:c r="I120" s="15" t="str">
        <x:v>Durham University</x:v>
      </x:c>
      <x:c r="J120" s="31" t="str">
        <x:v>https://www.timeshighereducation.com/world-university-rankings/durham-university</x:v>
      </x:c>
      <x:c r="K120" s="31" t="str">
        <x:v>https://www.timeshighereducation.com/rankings/impact/overall/2022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77</x:f>
        <x:v>77</x:v>
      </x:c>
      <x:c r="G121" s="36" t="n">
        <x:v>89.6</x:v>
      </x:c>
      <x:c r="H121" s="15" t="str">
        <x:v>Ranked</x:v>
      </x:c>
      <x:c r="I121" s="15" t="str">
        <x:v>Durham University</x:v>
      </x:c>
      <x:c r="J121" s="31" t="str">
        <x:v>https://www.timeshighereducation.com/world-university-rankings/durham-university</x:v>
      </x:c>
      <x:c r="K121" s="31" t="str">
        <x:v>https://www.timeshighereducation.com/rankings/impact/overall/2023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n">
        <x:f>36</x:f>
        <x:v>36</x:v>
      </x:c>
      <x:c r="G122" s="36" t="n">
        <x:v>93</x:v>
      </x:c>
      <x:c r="H122" s="15" t="str">
        <x:v>Ranked</x:v>
      </x:c>
      <x:c r="I122" s="15" t="str">
        <x:v>Durham University</x:v>
      </x:c>
      <x:c r="J122" s="31" t="str">
        <x:v>https://www.timeshighereducation.com/world-university-rankings/durham-university</x:v>
      </x:c>
      <x:c r="K122" s="31" t="str">
        <x:v>https://www.timeshighereducation.com/rankings/impact/overall/2024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str">
        <x:v>34</x:v>
      </x:c>
      <x:c r="G123" s="36" t="n">
        <x:v>94</x:v>
      </x:c>
      <x:c r="H123" s="15" t="str">
        <x:v>Ranked</x:v>
      </x:c>
      <x:c r="I123" s="15" t="str">
        <x:v>Durham University</x:v>
      </x:c>
      <x:c r="J123" s="31" t="str">
        <x:v>https://www.timeshighereducation.com/world-university-rankings/durham-university</x:v>
      </x:c>
      <x:c r="K123" s="31" t="str">
        <x:v>https://www.timeshighereducation.com/rankings/impact/overall/2025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n">
        <x:f>56</x:f>
        <x:v>56</x:v>
      </x:c>
      <x:c r="G124" s="36" t="n">
        <x:v>91.8</x:v>
      </x:c>
      <x:c r="H124" s="15" t="str">
        <x:v>Ranked</x:v>
      </x:c>
      <x:c r="I124" s="15" t="str">
        <x:v>Durham University</x:v>
      </x:c>
      <x:c r="J124" s="31" t="str">
        <x:v>https://www.timeshighereducation.com/world-university-rankings/durham-university</x:v>
      </x:c>
      <x:c r="K124" s="31" t="str">
        <x:v>https://www.timeshighereducation.com/impactrankings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str">
        <x:v>NR</x:v>
      </x:c>
      <x:c r="G125" s="36"/>
      <x:c r="H125" s="15" t="str">
        <x:v>Not ranked in complete official table</x:v>
      </x:c>
      <x:c r="I125" s="15" t="str"/>
      <x:c r="J125" s="31" t="str"/>
      <x:c r="K125" s="31" t="str">
        <x:v>https://www.timeshighereducation.com/rankings/impact/overall/2022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str">
        <x:v>NR</x:v>
      </x:c>
      <x:c r="G126" s="36"/>
      <x:c r="H126" s="15" t="str">
        <x:v>Not ranked in complete official table</x:v>
      </x:c>
      <x:c r="I126" s="15" t="str"/>
      <x:c r="J126" s="31" t="str"/>
      <x:c r="K126" s="31" t="str">
        <x:v>https://www.timeshighereducation.com/rankings/impact/overall/2023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n">
        <x:f>52</x:f>
        <x:v>52</x:v>
      </x:c>
      <x:c r="G127" s="36" t="n">
        <x:v>91.7</x:v>
      </x:c>
      <x:c r="H127" s="15" t="str">
        <x:v>Ranked</x:v>
      </x:c>
      <x:c r="I127" s="15" t="str">
        <x:v>University of Leeds</x:v>
      </x:c>
      <x:c r="J127" s="31" t="str">
        <x:v>https://www.timeshighereducation.com/world-university-rankings/university-leeds</x:v>
      </x:c>
      <x:c r="K127" s="31" t="str">
        <x:v>https://www.timeshighereducation.com/rankings/impact/overall/2024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n">
        <x:f>71</x:f>
        <x:v>71</x:v>
      </x:c>
      <x:c r="G128" s="36" t="n">
        <x:v>91</x:v>
      </x:c>
      <x:c r="H128" s="15" t="str">
        <x:v>Ranked</x:v>
      </x:c>
      <x:c r="I128" s="15" t="str">
        <x:v>University of Leeds</x:v>
      </x:c>
      <x:c r="J128" s="31" t="str">
        <x:v>https://www.timeshighereducation.com/world-university-rankings/university-leeds</x:v>
      </x:c>
      <x:c r="K128" s="31" t="str">
        <x:v>https://www.timeshighereducation.com/rankings/impact/overall/2025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n">
        <x:f>52</x:f>
        <x:v>52</x:v>
      </x:c>
      <x:c r="G129" s="36" t="n">
        <x:v>92.2</x:v>
      </x:c>
      <x:c r="H129" s="15" t="str">
        <x:v>Ranked</x:v>
      </x:c>
      <x:c r="I129" s="15" t="str">
        <x:v>University of Leeds</x:v>
      </x:c>
      <x:c r="J129" s="31" t="str">
        <x:v>https://www.timeshighereducation.com/world-university-rankings/university-leeds</x:v>
      </x:c>
      <x:c r="K129" s="31" t="str">
        <x:v>https://www.timeshighereducation.com/impactrankings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3</x:v>
      </x:c>
      <x:c r="G130" s="36" t="n">
        <x:v>97.8</x:v>
      </x:c>
      <x:c r="H130" s="15" t="str">
        <x:v>Ranked</x:v>
      </x:c>
      <x:c r="I130" s="15" t="str">
        <x:v>Western University</x:v>
      </x:c>
      <x:c r="J130" s="31" t="str">
        <x:v>https://www.timeshighereducation.com/world-university-rankings/western-university</x:v>
      </x:c>
      <x:c r="K130" s="31" t="str">
        <x:v>https://www.timeshighereducation.com/rankings/impact/overall/2022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n">
        <x:f>9</x:f>
        <x:v>9</x:v>
      </x:c>
      <x:c r="G131" s="36" t="n">
        <x:v>95.8</x:v>
      </x:c>
      <x:c r="H131" s="15" t="str">
        <x:v>Ranked</x:v>
      </x:c>
      <x:c r="I131" s="15" t="str">
        <x:v>Western University</x:v>
      </x:c>
      <x:c r="J131" s="31" t="str">
        <x:v>https://www.timeshighereducation.com/world-university-rankings/western-university</x:v>
      </x:c>
      <x:c r="K131" s="31" t="str">
        <x:v>https://www.timeshighereducation.com/rankings/impact/overall/2023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n">
        <x:f>21</x:f>
        <x:v>21</x:v>
      </x:c>
      <x:c r="G132" s="36" t="n">
        <x:v>94.8</x:v>
      </x:c>
      <x:c r="H132" s="15" t="str">
        <x:v>Ranked</x:v>
      </x:c>
      <x:c r="I132" s="15" t="str">
        <x:v>Western University</x:v>
      </x:c>
      <x:c r="J132" s="31" t="str">
        <x:v>https://www.timeshighereducation.com/world-university-rankings/western-university</x:v>
      </x:c>
      <x:c r="K132" s="31" t="str">
        <x:v>https://www.timeshighereducation.com/rankings/impact/overall/2024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n">
        <x:f>14</x:f>
        <x:v>14</x:v>
      </x:c>
      <x:c r="G133" s="36" t="n">
        <x:v>95.6</x:v>
      </x:c>
      <x:c r="H133" s="15" t="str">
        <x:v>Ranked</x:v>
      </x:c>
      <x:c r="I133" s="15" t="str">
        <x:v>Western University</x:v>
      </x:c>
      <x:c r="J133" s="31" t="str">
        <x:v>https://www.timeshighereducation.com/world-university-rankings/western-university</x:v>
      </x:c>
      <x:c r="K133" s="31" t="str">
        <x:v>https://www.timeshighereducation.com/rankings/impact/overall/2025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n">
        <x:f>12</x:f>
        <x:v>12</x:v>
      </x:c>
      <x:c r="G134" s="36" t="n">
        <x:v>95.9</x:v>
      </x:c>
      <x:c r="H134" s="15" t="str">
        <x:v>Ranked</x:v>
      </x:c>
      <x:c r="I134" s="15" t="str">
        <x:v>Western University</x:v>
      </x:c>
      <x:c r="J134" s="31" t="str">
        <x:v>https://www.timeshighereducation.com/world-university-rankings/western-university</x:v>
      </x:c>
      <x:c r="K134" s="31" t="str">
        <x:v>https://www.timeshighereducation.com/impactrankings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n">
        <x:f>19</x:f>
        <x:v>19</x:v>
      </x:c>
      <x:c r="G135" s="36" t="n">
        <x:v>94.9</x:v>
      </x:c>
      <x:c r="H135" s="15" t="str">
        <x:v>Ranked</x:v>
      </x:c>
      <x:c r="I135" s="15" t="str">
        <x:v>University of Glasgow</x:v>
      </x:c>
      <x:c r="J135" s="31" t="str">
        <x:v>https://www.timeshighereducation.com/world-university-rankings/university-glasgow</x:v>
      </x:c>
      <x:c r="K135" s="31" t="str">
        <x:v>https://www.timeshighereducation.com/rankings/impact/overall/2022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str">
        <x:v>13</x:v>
      </x:c>
      <x:c r="G136" s="36" t="n">
        <x:v>95.4</x:v>
      </x:c>
      <x:c r="H136" s="15" t="str">
        <x:v>Ranked</x:v>
      </x:c>
      <x:c r="I136" s="15" t="str">
        <x:v>University of Glasgow</x:v>
      </x:c>
      <x:c r="J136" s="31" t="str">
        <x:v>https://www.timeshighereducation.com/world-university-rankings/university-glasgow</x:v>
      </x:c>
      <x:c r="K136" s="31" t="str">
        <x:v>https://www.timeshighereducation.com/rankings/impact/overall/2023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str">
        <x:v>12</x:v>
      </x:c>
      <x:c r="G137" s="36" t="n">
        <x:v>95.4</x:v>
      </x:c>
      <x:c r="H137" s="15" t="str">
        <x:v>Ranked</x:v>
      </x:c>
      <x:c r="I137" s="15" t="str">
        <x:v>University of Glasgow</x:v>
      </x:c>
      <x:c r="J137" s="31" t="str">
        <x:v>https://www.timeshighereducation.com/world-university-rankings/university-glasgow</x:v>
      </x:c>
      <x:c r="K137" s="31" t="str">
        <x:v>https://www.timeshighereducation.com/rankings/impact/overall/2024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str">
        <x:v>12</x:v>
      </x:c>
      <x:c r="G138" s="36" t="n">
        <x:v>96</x:v>
      </x:c>
      <x:c r="H138" s="15" t="str">
        <x:v>Ranked</x:v>
      </x:c>
      <x:c r="I138" s="15" t="str">
        <x:v>University of Glasgow</x:v>
      </x:c>
      <x:c r="J138" s="31" t="str">
        <x:v>https://www.timeshighereducation.com/world-university-rankings/university-glasgow</x:v>
      </x:c>
      <x:c r="K138" s="31" t="str">
        <x:v>https://www.timeshighereducation.com/rankings/impact/overall/2025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14</x:v>
      </x:c>
      <x:c r="G139" s="36" t="n">
        <x:v>95.8</x:v>
      </x:c>
      <x:c r="H139" s="15" t="str">
        <x:v>Ranked</x:v>
      </x:c>
      <x:c r="I139" s="15" t="str">
        <x:v>University of Glasgow</x:v>
      </x:c>
      <x:c r="J139" s="31" t="str">
        <x:v>https://www.timeshighereducation.com/world-university-rankings/university-glasgow</x:v>
      </x:c>
      <x:c r="K139" s="31" t="str">
        <x:v>https://www.timeshighereducation.com/impactrankings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str">
        <x:v>6</x:v>
      </x:c>
      <x:c r="G140" s="36" t="n">
        <x:v>96.7</x:v>
      </x:c>
      <x:c r="H140" s="15" t="str">
        <x:v>Ranked</x:v>
      </x:c>
      <x:c r="I140" s="15" t="str">
        <x:v>University of Auckland</x:v>
      </x:c>
      <x:c r="J140" s="31" t="str">
        <x:v>https://www.timeshighereducation.com/world-university-rankings/university-auckland</x:v>
      </x:c>
      <x:c r="K140" s="31" t="str">
        <x:v>https://www.timeshighereducation.com/rankings/impact/overall/2022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str">
        <x:v>12</x:v>
      </x:c>
      <x:c r="G141" s="36" t="n">
        <x:v>95.6</x:v>
      </x:c>
      <x:c r="H141" s="15" t="str">
        <x:v>Ranked</x:v>
      </x:c>
      <x:c r="I141" s="15" t="str">
        <x:v>University of Auckland</x:v>
      </x:c>
      <x:c r="J141" s="31" t="str">
        <x:v>https://www.timeshighereducation.com/world-university-rankings/university-auckland</x:v>
      </x:c>
      <x:c r="K141" s="31" t="str">
        <x:v>https://www.timeshighereducation.com/rankings/impact/overall/2023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n">
        <x:f>13</x:f>
        <x:v>13</x:v>
      </x:c>
      <x:c r="G142" s="36" t="n">
        <x:v>95.2</x:v>
      </x:c>
      <x:c r="H142" s="15" t="str">
        <x:v>Ranked</x:v>
      </x:c>
      <x:c r="I142" s="15" t="str">
        <x:v>University of Auckland</x:v>
      </x:c>
      <x:c r="J142" s="31" t="str">
        <x:v>https://www.timeshighereducation.com/world-university-rankings/university-auckland</x:v>
      </x:c>
      <x:c r="K142" s="31" t="str">
        <x:v>https://www.timeshighereducation.com/rankings/impact/overall/2024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n">
        <x:f>28</x:f>
        <x:v>28</x:v>
      </x:c>
      <x:c r="G143" s="36" t="n">
        <x:v>94.6</x:v>
      </x:c>
      <x:c r="H143" s="15" t="str">
        <x:v>Ranked</x:v>
      </x:c>
      <x:c r="I143" s="15" t="str">
        <x:v>University of Auckland</x:v>
      </x:c>
      <x:c r="J143" s="31" t="str">
        <x:v>https://www.timeshighereducation.com/world-university-rankings/university-auckland</x:v>
      </x:c>
      <x:c r="K143" s="31" t="str">
        <x:v>https://www.timeshighereducation.com/rankings/impact/overall/2025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n">
        <x:f>96</x:f>
        <x:v>96</x:v>
      </x:c>
      <x:c r="G144" s="36" t="n">
        <x:v>89.4</x:v>
      </x:c>
      <x:c r="H144" s="15" t="str">
        <x:v>Ranked</x:v>
      </x:c>
      <x:c r="I144" s="15" t="str">
        <x:v>University of Auckland</x:v>
      </x:c>
      <x:c r="J144" s="31" t="str">
        <x:v>https://www.timeshighereducation.com/world-university-rankings/university-auckland</x:v>
      </x:c>
      <x:c r="K144" s="31" t="str">
        <x:v>https://www.timeshighereducation.com/impactrankings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str">
        <x:v>101–200</x:v>
      </x:c>
      <x:c r="G145" s="36" t="str">
        <x:v>82.1–88.5</x:v>
      </x:c>
      <x:c r="H145" s="15" t="str">
        <x:v>Ranked</x:v>
      </x:c>
      <x:c r="I145" s="15" t="str">
        <x:v>Trinity College Dublin</x:v>
      </x:c>
      <x:c r="J145" s="31" t="str">
        <x:v>https://www.timeshighereducation.com/world-university-rankings/trinity-college-dublin</x:v>
      </x:c>
      <x:c r="K145" s="31" t="str">
        <x:v>https://www.timeshighereducation.com/rankings/impact/overall/2022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str">
        <x:v>101–200</x:v>
      </x:c>
      <x:c r="G146" s="36" t="str">
        <x:v>82.2–88.2</x:v>
      </x:c>
      <x:c r="H146" s="15" t="str">
        <x:v>Ranked</x:v>
      </x:c>
      <x:c r="I146" s="15" t="str">
        <x:v>Trinity College Dublin</x:v>
      </x:c>
      <x:c r="J146" s="31" t="str">
        <x:v>https://www.timeshighereducation.com/world-university-rankings/trinity-college-dublin</x:v>
      </x:c>
      <x:c r="K146" s="31" t="str">
        <x:v>https://www.timeshighereducation.com/rankings/impact/overall/2023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str">
        <x:v>201–300</x:v>
      </x:c>
      <x:c r="G147" s="36" t="str">
        <x:v>79.3–83.9</x:v>
      </x:c>
      <x:c r="H147" s="15" t="str">
        <x:v>Ranked</x:v>
      </x:c>
      <x:c r="I147" s="15" t="str">
        <x:v>Trinity College Dublin</x:v>
      </x:c>
      <x:c r="J147" s="31" t="str">
        <x:v>https://www.timeshighereducation.com/world-university-rankings/trinity-college-dublin</x:v>
      </x:c>
      <x:c r="K147" s="31" t="str">
        <x:v>https://www.timeshighereducation.com/rankings/impact/overall/2024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str">
        <x:v>401–600</x:v>
      </x:c>
      <x:c r="G148" s="36" t="str">
        <x:v>70.3–76.1</x:v>
      </x:c>
      <x:c r="H148" s="15" t="str">
        <x:v>Ranked</x:v>
      </x:c>
      <x:c r="I148" s="15" t="str">
        <x:v>Trinity College Dublin</x:v>
      </x:c>
      <x:c r="J148" s="31" t="str">
        <x:v>https://www.timeshighereducation.com/world-university-rankings/trinity-college-dublin</x:v>
      </x:c>
      <x:c r="K148" s="31" t="str">
        <x:v>https://www.timeshighereducation.com/rankings/impact/overall/2025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NR</x:v>
      </x:c>
      <x:c r="G149" s="36"/>
      <x:c r="H149" s="15" t="str">
        <x:v>Not ranked in complete official table</x:v>
      </x:c>
      <x:c r="I149" s="15" t="str"/>
      <x:c r="J149" s="31" t="str"/>
      <x:c r="K149" s="31" t="str">
        <x:v>https://www.timeshighereducation.com/impactrankings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str">
        <x:v>NR</x:v>
      </x:c>
      <x:c r="G150" s="36"/>
      <x:c r="H150" s="15" t="str">
        <x:v>Not ranked in complete official table</x:v>
      </x:c>
      <x:c r="I150" s="15" t="str"/>
      <x:c r="J150" s="31" t="str"/>
      <x:c r="K150" s="31" t="str">
        <x:v>https://www.timeshighereducation.com/rankings/impact/overall/2022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NR</x:v>
      </x:c>
      <x:c r="G151" s="36"/>
      <x:c r="H151" s="15" t="str">
        <x:v>Not ranked in complete official table</x:v>
      </x:c>
      <x:c r="I151" s="15" t="str"/>
      <x:c r="J151" s="31" t="str"/>
      <x:c r="K151" s="31" t="str">
        <x:v>https://www.timeshighereducation.com/rankings/impact/overall/2023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NR</x:v>
      </x:c>
      <x:c r="G152" s="36"/>
      <x:c r="H152" s="15" t="str">
        <x:v>Not ranked in complete official table</x:v>
      </x:c>
      <x:c r="I152" s="15" t="str"/>
      <x:c r="J152" s="31" t="str"/>
      <x:c r="K152" s="31" t="str">
        <x:v>https://www.timeshighereducation.com/rankings/impact/overall/2024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str">
        <x:v>NR</x:v>
      </x:c>
      <x:c r="G153" s="36"/>
      <x:c r="H153" s="15" t="str">
        <x:v>Not ranked in complete official table</x:v>
      </x:c>
      <x:c r="I153" s="15" t="str"/>
      <x:c r="J153" s="31" t="str"/>
      <x:c r="K153" s="31" t="str">
        <x:v>https://www.timeshighereducation.com/rankings/impact/overall/2025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str">
        <x:v>NR</x:v>
      </x:c>
      <x:c r="G154" s="36"/>
      <x:c r="H154" s="15" t="str">
        <x:v>Not ranked in complete official table</x:v>
      </x:c>
      <x:c r="I154" s="15" t="str"/>
      <x:c r="J154" s="31" t="str"/>
      <x:c r="K154" s="31" t="str">
        <x:v>https://www.timeshighereducation.com/impactrankings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101–200</x:v>
      </x:c>
      <x:c r="G155" s="36" t="str">
        <x:v>82.1–88.5</x:v>
      </x:c>
      <x:c r="H155" s="15" t="str">
        <x:v>Ranked</x:v>
      </x:c>
      <x:c r="I155" s="15" t="str">
        <x:v>University of Reading</x:v>
      </x:c>
      <x:c r="J155" s="31" t="str">
        <x:v>https://www.timeshighereducation.com/world-university-rankings/university-reading</x:v>
      </x:c>
      <x:c r="K155" s="31" t="str">
        <x:v>https://www.timeshighereducation.com/rankings/impact/overall/2022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n">
        <x:f>61</x:f>
        <x:v>61</x:v>
      </x:c>
      <x:c r="G156" s="36" t="n">
        <x:v>90.7</x:v>
      </x:c>
      <x:c r="H156" s="15" t="str">
        <x:v>Ranked</x:v>
      </x:c>
      <x:c r="I156" s="15" t="str">
        <x:v>University of Reading</x:v>
      </x:c>
      <x:c r="J156" s="31" t="str">
        <x:v>https://www.timeshighereducation.com/world-university-rankings/university-reading</x:v>
      </x:c>
      <x:c r="K156" s="31" t="str">
        <x:v>https://www.timeshighereducation.com/rankings/impact/overall/2023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n">
        <x:f>28</x:f>
        <x:v>28</x:v>
      </x:c>
      <x:c r="G157" s="36" t="n">
        <x:v>94</x:v>
      </x:c>
      <x:c r="H157" s="15" t="str">
        <x:v>Ranked</x:v>
      </x:c>
      <x:c r="I157" s="15" t="str">
        <x:v>University of Reading</x:v>
      </x:c>
      <x:c r="J157" s="31" t="str">
        <x:v>https://www.timeshighereducation.com/world-university-rankings/university-reading</x:v>
      </x:c>
      <x:c r="K157" s="31" t="str">
        <x:v>https://www.timeshighereducation.com/rankings/impact/overall/2024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n">
        <x:f>50</x:f>
        <x:v>50</x:v>
      </x:c>
      <x:c r="G158" s="36" t="n">
        <x:v>92.4</x:v>
      </x:c>
      <x:c r="H158" s="15" t="str">
        <x:v>Ranked</x:v>
      </x:c>
      <x:c r="I158" s="15" t="str">
        <x:v>University of Reading</x:v>
      </x:c>
      <x:c r="J158" s="31" t="str">
        <x:v>https://www.timeshighereducation.com/world-university-rankings/university-reading</x:v>
      </x:c>
      <x:c r="K158" s="31" t="str">
        <x:v>https://www.timeshighereducation.com/rankings/impact/overall/2025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n">
        <x:f>91</x:f>
        <x:v>91</x:v>
      </x:c>
      <x:c r="G159" s="36" t="n">
        <x:v>89.6</x:v>
      </x:c>
      <x:c r="H159" s="15" t="str">
        <x:v>Ranked</x:v>
      </x:c>
      <x:c r="I159" s="15" t="str">
        <x:v>University of Reading</x:v>
      </x:c>
      <x:c r="J159" s="31" t="str">
        <x:v>https://www.timeshighereducation.com/world-university-rankings/university-reading</x:v>
      </x:c>
      <x:c r="K159" s="31" t="str">
        <x:v>https://www.timeshighereducation.com/impactrankings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NR</x:v>
      </x:c>
      <x:c r="G160" s="36"/>
      <x:c r="H160" s="15" t="str">
        <x:v>Not ranked in complete official table</x:v>
      </x:c>
      <x:c r="I160" s="15" t="str"/>
      <x:c r="J160" s="31" t="str"/>
      <x:c r="K160" s="31" t="str">
        <x:v>https://www.timeshighereducation.com/rankings/impact/overall/2022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str">
        <x:v>NR</x:v>
      </x:c>
      <x:c r="G161" s="36"/>
      <x:c r="H161" s="15" t="str">
        <x:v>Not ranked in complete official table</x:v>
      </x:c>
      <x:c r="I161" s="15" t="str"/>
      <x:c r="J161" s="31" t="str"/>
      <x:c r="K161" s="31" t="str">
        <x:v>https://www.timeshighereducation.com/rankings/impact/overall/2023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str">
        <x:v>NR</x:v>
      </x:c>
      <x:c r="G162" s="36"/>
      <x:c r="H162" s="15" t="str">
        <x:v>Not ranked in complete official table</x:v>
      </x:c>
      <x:c r="I162" s="15" t="str"/>
      <x:c r="J162" s="31" t="str"/>
      <x:c r="K162" s="31" t="str">
        <x:v>https://www.timeshighereducation.com/rankings/impact/overall/2024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str">
        <x:v>NR</x:v>
      </x:c>
      <x:c r="G163" s="36"/>
      <x:c r="H163" s="15" t="str">
        <x:v>Not ranked in complete official table</x:v>
      </x:c>
      <x:c r="I163" s="15" t="str"/>
      <x:c r="J163" s="31" t="str"/>
      <x:c r="K163" s="31" t="str">
        <x:v>https://www.timeshighereducation.com/rankings/impact/overall/2025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NR</x:v>
      </x:c>
      <x:c r="G164" s="36"/>
      <x:c r="H164" s="15" t="str">
        <x:v>Not ranked in complete official table</x:v>
      </x:c>
      <x:c r="I164" s="15" t="str"/>
      <x:c r="J164" s="31" t="str"/>
      <x:c r="K164" s="31" t="str">
        <x:v>https://www.timeshighereducation.com/impactrankings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str">
        <x:v>NR</x:v>
      </x:c>
      <x:c r="G165" s="36"/>
      <x:c r="H165" s="15" t="str">
        <x:v>Not ranked in complete official table</x:v>
      </x:c>
      <x:c r="I165" s="15" t="str"/>
      <x:c r="J165" s="31" t="str"/>
      <x:c r="K165" s="31" t="str">
        <x:v>https://www.timeshighereducation.com/rankings/impact/overall/2022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NR</x:v>
      </x:c>
      <x:c r="G166" s="36"/>
      <x:c r="H166" s="15" t="str">
        <x:v>Not ranked in complete official table</x:v>
      </x:c>
      <x:c r="I166" s="15" t="str"/>
      <x:c r="J166" s="31" t="str"/>
      <x:c r="K166" s="31" t="str">
        <x:v>https://www.timeshighereducation.com/rankings/impact/overall/2023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NR</x:v>
      </x:c>
      <x:c r="G167" s="36"/>
      <x:c r="H167" s="15" t="str">
        <x:v>Not ranked in complete official table</x:v>
      </x:c>
      <x:c r="I167" s="15" t="str"/>
      <x:c r="J167" s="31" t="str"/>
      <x:c r="K167" s="31" t="str">
        <x:v>https://www.timeshighereducation.com/rankings/impact/overall/2024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str">
        <x:v>NR</x:v>
      </x:c>
      <x:c r="G168" s="36"/>
      <x:c r="H168" s="15" t="str">
        <x:v>Not ranked in complete official table</x:v>
      </x:c>
      <x:c r="I168" s="15" t="str"/>
      <x:c r="J168" s="31" t="str"/>
      <x:c r="K168" s="31" t="str">
        <x:v>https://www.timeshighereducation.com/rankings/impact/overall/2025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str">
        <x:v>NR</x:v>
      </x:c>
      <x:c r="G169" s="36"/>
      <x:c r="H169" s="15" t="str">
        <x:v>Not ranked in complete official table</x:v>
      </x:c>
      <x:c r="I169" s="15" t="str"/>
      <x:c r="J169" s="31" t="str"/>
      <x:c r="K169" s="31" t="str">
        <x:v>https://www.timeshighereducation.com/impactrankings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NR</x:v>
      </x:c>
      <x:c r="G170" s="36"/>
      <x:c r="H170" s="15" t="str">
        <x:v>Not ranked in complete official table</x:v>
      </x:c>
      <x:c r="I170" s="15" t="str"/>
      <x:c r="J170" s="31" t="str"/>
      <x:c r="K170" s="31" t="str">
        <x:v>https://www.timeshighereducation.com/rankings/impact/overall/2022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42</x:f>
        <x:v>42</x:v>
      </x:c>
      <x:c r="G171" s="36" t="n">
        <x:v>91.9</x:v>
      </x:c>
      <x:c r="H171" s="15" t="str">
        <x:v>Ranked</x:v>
      </x:c>
      <x:c r="I171" s="15" t="str">
        <x:v>University of Sheffield</x:v>
      </x:c>
      <x:c r="J171" s="31" t="str">
        <x:v>https://www.timeshighereducation.com/world-university-rankings/university-sheffield</x:v>
      </x:c>
      <x:c r="K171" s="31" t="str">
        <x:v>https://www.timeshighereducation.com/rankings/impact/overall/2023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n">
        <x:f>58</x:f>
        <x:v>58</x:v>
      </x:c>
      <x:c r="G172" s="36" t="n">
        <x:v>91.3</x:v>
      </x:c>
      <x:c r="H172" s="15" t="str">
        <x:v>Ranked</x:v>
      </x:c>
      <x:c r="I172" s="15" t="str">
        <x:v>University of Sheffield</x:v>
      </x:c>
      <x:c r="J172" s="31" t="str">
        <x:v>https://www.timeshighereducation.com/world-university-rankings/university-sheffield</x:v>
      </x:c>
      <x:c r="K172" s="31" t="str">
        <x:v>https://www.timeshighereducation.com/rankings/impact/overall/2024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str">
        <x:v>101–200</x:v>
      </x:c>
      <x:c r="G173" s="36" t="str">
        <x:v>83.7–89.4</x:v>
      </x:c>
      <x:c r="H173" s="15" t="str">
        <x:v>Ranked</x:v>
      </x:c>
      <x:c r="I173" s="15" t="str">
        <x:v>University of Sheffield</x:v>
      </x:c>
      <x:c r="J173" s="31" t="str">
        <x:v>https://www.timeshighereducation.com/world-university-rankings/university-sheffield</x:v>
      </x:c>
      <x:c r="K173" s="31" t="str">
        <x:v>https://www.timeshighereducation.com/rankings/impact/overall/2025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str">
        <x:v>NR</x:v>
      </x:c>
      <x:c r="G174" s="36"/>
      <x:c r="H174" s="15" t="str">
        <x:v>Not ranked in complete official table</x:v>
      </x:c>
      <x:c r="I174" s="15" t="str"/>
      <x:c r="J174" s="31" t="str"/>
      <x:c r="K174" s="31" t="str">
        <x:v>https://www.timeshighereducation.com/impactrankings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str">
        <x:v>NR</x:v>
      </x:c>
      <x:c r="G175" s="36"/>
      <x:c r="H175" s="15" t="str">
        <x:v>Not ranked in complete official table</x:v>
      </x:c>
      <x:c r="I175" s="15" t="str"/>
      <x:c r="J175" s="31" t="str"/>
      <x:c r="K175" s="31" t="str">
        <x:v>https://www.timeshighereducation.com/rankings/impact/overall/2022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101–200</x:v>
      </x:c>
      <x:c r="G176" s="36" t="str">
        <x:v>82.2–88.2</x:v>
      </x:c>
      <x:c r="H176" s="15" t="str">
        <x:v>Ranked</x:v>
      </x:c>
      <x:c r="I176" s="15" t="str">
        <x:v>Delft University of Technology</x:v>
      </x:c>
      <x:c r="J176" s="31" t="str">
        <x:v>https://www.timeshighereducation.com/world-university-rankings/delft-university-technology</x:v>
      </x:c>
      <x:c r="K176" s="31" t="str">
        <x:v>https://www.timeshighereducation.com/rankings/impact/overall/2023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101–200</x:v>
      </x:c>
      <x:c r="G177" s="36" t="str">
        <x:v>84.0–89.1</x:v>
      </x:c>
      <x:c r="H177" s="15" t="str">
        <x:v>Ranked</x:v>
      </x:c>
      <x:c r="I177" s="15" t="str">
        <x:v>Delft University of Technology</x:v>
      </x:c>
      <x:c r="J177" s="31" t="str">
        <x:v>https://www.timeshighereducation.com/world-university-rankings/delft-university-technology</x:v>
      </x:c>
      <x:c r="K177" s="31" t="str">
        <x:v>https://www.timeshighereducation.com/rankings/impact/overall/2024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str">
        <x:v>101–200</x:v>
      </x:c>
      <x:c r="G178" s="36" t="str">
        <x:v>83.7–89.4</x:v>
      </x:c>
      <x:c r="H178" s="15" t="str">
        <x:v>Ranked</x:v>
      </x:c>
      <x:c r="I178" s="15" t="str">
        <x:v>Delft University of Technology</x:v>
      </x:c>
      <x:c r="J178" s="31" t="str">
        <x:v>https://www.timeshighereducation.com/world-university-rankings/delft-university-technology</x:v>
      </x:c>
      <x:c r="K178" s="31" t="str">
        <x:v>https://www.timeshighereducation.com/rankings/impact/overall/2025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str">
        <x:v>NR</x:v>
      </x:c>
      <x:c r="G179" s="36"/>
      <x:c r="H179" s="15" t="str">
        <x:v>Not ranked in complete official table</x:v>
      </x:c>
      <x:c r="I179" s="15" t="str"/>
      <x:c r="J179" s="31" t="str"/>
      <x:c r="K179" s="31" t="str">
        <x:v>https://www.timeshighereducation.com/impactrankings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n">
        <x:f>33</x:f>
        <x:v>33</x:v>
      </x:c>
      <x:c r="G180" s="36" t="n">
        <x:v>93.4</x:v>
      </x:c>
      <x:c r="H180" s="15" t="str">
        <x:v>Ranked</x:v>
      </x:c>
      <x:c r="I180" s="15" t="str">
        <x:v>Michigan State University</x:v>
      </x:c>
      <x:c r="J180" s="31" t="str">
        <x:v>https://www.timeshighereducation.com/world-university-rankings/michigan-state-university</x:v>
      </x:c>
      <x:c r="K180" s="31" t="str">
        <x:v>https://www.timeshighereducation.com/rankings/impact/overall/2022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n">
        <x:f>26</x:f>
        <x:v>26</x:v>
      </x:c>
      <x:c r="G181" s="36" t="n">
        <x:v>93.4</x:v>
      </x:c>
      <x:c r="H181" s="15" t="str">
        <x:v>Ranked</x:v>
      </x:c>
      <x:c r="I181" s="15" t="str">
        <x:v>Michigan State University</x:v>
      </x:c>
      <x:c r="J181" s="31" t="str">
        <x:v>https://www.timeshighereducation.com/world-university-rankings/michigan-state-university</x:v>
      </x:c>
      <x:c r="K181" s="31" t="str">
        <x:v>https://www.timeshighereducation.com/rankings/impact/overall/2023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25</x:f>
        <x:v>25</x:v>
      </x:c>
      <x:c r="G182" s="36" t="n">
        <x:v>94.1</x:v>
      </x:c>
      <x:c r="H182" s="15" t="str">
        <x:v>Ranked</x:v>
      </x:c>
      <x:c r="I182" s="15" t="str">
        <x:v>Michigan State University</x:v>
      </x:c>
      <x:c r="J182" s="31" t="str">
        <x:v>https://www.timeshighereducation.com/world-university-rankings/michigan-state-university</x:v>
      </x:c>
      <x:c r="K182" s="31" t="str">
        <x:v>https://www.timeshighereducation.com/rankings/impact/overall/2024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n">
        <x:f>61</x:f>
        <x:v>61</x:v>
      </x:c>
      <x:c r="G183" s="36" t="n">
        <x:v>91.5</x:v>
      </x:c>
      <x:c r="H183" s="15" t="str">
        <x:v>Ranked</x:v>
      </x:c>
      <x:c r="I183" s="15" t="str">
        <x:v>Michigan State University</x:v>
      </x:c>
      <x:c r="J183" s="31" t="str">
        <x:v>https://www.timeshighereducation.com/world-university-rankings/michigan-state-university</x:v>
      </x:c>
      <x:c r="K183" s="31" t="str">
        <x:v>https://www.timeshighereducation.com/rankings/impact/overall/2025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str">
        <x:v>80</x:v>
      </x:c>
      <x:c r="G184" s="36" t="n">
        <x:v>90.4</x:v>
      </x:c>
      <x:c r="H184" s="15" t="str">
        <x:v>Ranked</x:v>
      </x:c>
      <x:c r="I184" s="15" t="str">
        <x:v>Michigan State University</x:v>
      </x:c>
      <x:c r="J184" s="31" t="str">
        <x:v>https://www.timeshighereducation.com/world-university-rankings/michigan-state-university</x:v>
      </x:c>
      <x:c r="K184" s="31" t="str">
        <x:v>https://www.timeshighereducation.com/impactrankings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n">
        <x:f>42</x:f>
        <x:v>42</x:v>
      </x:c>
      <x:c r="G185" s="36" t="n">
        <x:v>92.9</x:v>
      </x:c>
      <x:c r="H185" s="15" t="str">
        <x:v>Ranked</x:v>
      </x:c>
      <x:c r="I185" s="15" t="str">
        <x:v>Monash University</x:v>
      </x:c>
      <x:c r="J185" s="31" t="str">
        <x:v>https://www.timeshighereducation.com/world-university-rankings/monash-university</x:v>
      </x:c>
      <x:c r="K185" s="31" t="str">
        <x:v>https://www.timeshighereducation.com/rankings/impact/overall/2022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str">
        <x:v>21</x:v>
      </x:c>
      <x:c r="G186" s="36" t="n">
        <x:v>94</x:v>
      </x:c>
      <x:c r="H186" s="15" t="str">
        <x:v>Ranked</x:v>
      </x:c>
      <x:c r="I186" s="15" t="str">
        <x:v>Monash University</x:v>
      </x:c>
      <x:c r="J186" s="31" t="str">
        <x:v>https://www.timeshighereducation.com/world-university-rankings/monash-university</x:v>
      </x:c>
      <x:c r="K186" s="31" t="str">
        <x:v>https://www.timeshighereducation.com/rankings/impact/overall/2023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32</x:v>
      </x:c>
      <x:c r="G187" s="36" t="n">
        <x:v>93.6</x:v>
      </x:c>
      <x:c r="H187" s="15" t="str">
        <x:v>Ranked</x:v>
      </x:c>
      <x:c r="I187" s="15" t="str">
        <x:v>Monash University</x:v>
      </x:c>
      <x:c r="J187" s="31" t="str">
        <x:v>https://www.timeshighereducation.com/world-university-rankings/monash-university</x:v>
      </x:c>
      <x:c r="K187" s="31" t="str">
        <x:v>https://www.timeshighereducation.com/rankings/impact/overall/2024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str">
        <x:v>NR</x:v>
      </x:c>
      <x:c r="G188" s="36"/>
      <x:c r="H188" s="15" t="str">
        <x:v>Not ranked in complete official table</x:v>
      </x:c>
      <x:c r="I188" s="15" t="str"/>
      <x:c r="J188" s="31" t="str"/>
      <x:c r="K188" s="31" t="str">
        <x:v>https://www.timeshighereducation.com/rankings/impact/overall/2025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str">
        <x:v>NR</x:v>
      </x:c>
      <x:c r="G189" s="36"/>
      <x:c r="H189" s="15" t="str">
        <x:v>Not ranked in complete official table</x:v>
      </x:c>
      <x:c r="I189" s="15" t="str"/>
      <x:c r="J189" s="31" t="str"/>
      <x:c r="K189" s="31" t="str">
        <x:v>https://www.timeshighereducation.com/impactrankings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str">
        <x:v>NR</x:v>
      </x:c>
      <x:c r="G190" s="36"/>
      <x:c r="H190" s="15" t="str">
        <x:v>Not ranked in complete official table</x:v>
      </x:c>
      <x:c r="I190" s="15" t="str"/>
      <x:c r="J190" s="31" t="str"/>
      <x:c r="K190" s="31" t="str">
        <x:v>https://www.timeshighereducation.com/rankings/impact/overall/2022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str">
        <x:v>NR</x:v>
      </x:c>
      <x:c r="G191" s="36"/>
      <x:c r="H191" s="15" t="str">
        <x:v>Not ranked in complete official table</x:v>
      </x:c>
      <x:c r="I191" s="15" t="str"/>
      <x:c r="J191" s="31" t="str"/>
      <x:c r="K191" s="31" t="str">
        <x:v>https://www.timeshighereducation.com/rankings/impact/overall/2023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str">
        <x:v>NR</x:v>
      </x:c>
      <x:c r="G192" s="36"/>
      <x:c r="H192" s="15" t="str">
        <x:v>Not ranked in complete official table</x:v>
      </x:c>
      <x:c r="I192" s="15" t="str"/>
      <x:c r="J192" s="31" t="str"/>
      <x:c r="K192" s="31" t="str">
        <x:v>https://www.timeshighereducation.com/rankings/impact/overall/2024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str">
        <x:v>NR</x:v>
      </x:c>
      <x:c r="G193" s="36"/>
      <x:c r="H193" s="15" t="str">
        <x:v>Not ranked in complete official table</x:v>
      </x:c>
      <x:c r="I193" s="15" t="str"/>
      <x:c r="J193" s="31" t="str"/>
      <x:c r="K193" s="31" t="str">
        <x:v>https://www.timeshighereducation.com/rankings/impact/overall/2025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str">
        <x:v>NR</x:v>
      </x:c>
      <x:c r="G194" s="36"/>
      <x:c r="H194" s="15" t="str">
        <x:v>Not ranked in complete official table</x:v>
      </x:c>
      <x:c r="I194" s="15" t="str"/>
      <x:c r="J194" s="31" t="str"/>
      <x:c r="K194" s="31" t="str">
        <x:v>https://www.timeshighereducation.com/impactrankings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NR</x:v>
      </x:c>
      <x:c r="G195" s="36"/>
      <x:c r="H195" s="15" t="str">
        <x:v>Not ranked in complete official table</x:v>
      </x:c>
      <x:c r="I195" s="15" t="str"/>
      <x:c r="J195" s="31" t="str"/>
      <x:c r="K195" s="31" t="str">
        <x:v>https://www.timeshighereducation.com/rankings/impact/overall/2022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str">
        <x:v>NR</x:v>
      </x:c>
      <x:c r="G196" s="36"/>
      <x:c r="H196" s="15" t="str">
        <x:v>Not ranked in complete official table</x:v>
      </x:c>
      <x:c r="I196" s="15" t="str"/>
      <x:c r="J196" s="31" t="str"/>
      <x:c r="K196" s="31" t="str">
        <x:v>https://www.timeshighereducation.com/rankings/impact/overall/2023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str">
        <x:v>101–200</x:v>
      </x:c>
      <x:c r="G197" s="36" t="str">
        <x:v>84.0–89.1</x:v>
      </x:c>
      <x:c r="H197" s="15" t="str">
        <x:v>Ranked</x:v>
      </x:c>
      <x:c r="I197" s="15" t="str">
        <x:v>University of Nottingham</x:v>
      </x:c>
      <x:c r="J197" s="31" t="str">
        <x:v>https://www.timeshighereducation.com/world-university-rankings/university-nottingham</x:v>
      </x:c>
      <x:c r="K197" s="31" t="str">
        <x:v>https://www.timeshighereducation.com/rankings/impact/overall/2024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str">
        <x:v>101–200</x:v>
      </x:c>
      <x:c r="G198" s="36" t="str">
        <x:v>83.7–89.4</x:v>
      </x:c>
      <x:c r="H198" s="15" t="str">
        <x:v>Ranked</x:v>
      </x:c>
      <x:c r="I198" s="15" t="str">
        <x:v>University of Nottingham</x:v>
      </x:c>
      <x:c r="J198" s="31" t="str">
        <x:v>https://www.timeshighereducation.com/world-university-rankings/university-nottingham</x:v>
      </x:c>
      <x:c r="K198" s="31" t="str">
        <x:v>https://www.timeshighereducation.com/rankings/impact/overall/2025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str">
        <x:v>101–200</x:v>
      </x:c>
      <x:c r="G199" s="36" t="str">
        <x:v>82.3–89.2</x:v>
      </x:c>
      <x:c r="H199" s="15" t="str">
        <x:v>Ranked</x:v>
      </x:c>
      <x:c r="I199" s="15" t="str">
        <x:v>University of Nottingham</x:v>
      </x:c>
      <x:c r="J199" s="31" t="str">
        <x:v>https://www.timeshighereducation.com/world-university-rankings/university-nottingham</x:v>
      </x:c>
      <x:c r="K199" s="31" t="str">
        <x:v>https://www.timeshighereducation.com/impactrankings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101–200</x:v>
      </x:c>
      <x:c r="G200" s="36" t="str">
        <x:v>82.1–88.5</x:v>
      </x:c>
      <x:c r="H200" s="15" t="str">
        <x:v>Ranked</x:v>
      </x:c>
      <x:c r="I200" s="15" t="str">
        <x:v>University of York</x:v>
      </x:c>
      <x:c r="J200" s="31" t="str">
        <x:v>https://www.timeshighereducation.com/world-university-rankings/university-york</x:v>
      </x:c>
      <x:c r="K200" s="31" t="str">
        <x:v>https://www.timeshighereducation.com/rankings/impact/overall/2022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str">
        <x:v>101–200</x:v>
      </x:c>
      <x:c r="G201" s="36" t="str">
        <x:v>82.2–88.2</x:v>
      </x:c>
      <x:c r="H201" s="15" t="str">
        <x:v>Ranked</x:v>
      </x:c>
      <x:c r="I201" s="15" t="str">
        <x:v>University of York</x:v>
      </x:c>
      <x:c r="J201" s="31" t="str">
        <x:v>https://www.timeshighereducation.com/world-university-rankings/university-york</x:v>
      </x:c>
      <x:c r="K201" s="31" t="str">
        <x:v>https://www.timeshighereducation.com/rankings/impact/overall/2023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101–200</x:v>
      </x:c>
      <x:c r="G202" s="36" t="str">
        <x:v>84.0–89.1</x:v>
      </x:c>
      <x:c r="H202" s="15" t="str">
        <x:v>Ranked</x:v>
      </x:c>
      <x:c r="I202" s="15" t="str">
        <x:v>University of York</x:v>
      </x:c>
      <x:c r="J202" s="31" t="str">
        <x:v>https://www.timeshighereducation.com/world-university-rankings/university-york</x:v>
      </x:c>
      <x:c r="K202" s="31" t="str">
        <x:v>https://www.timeshighereducation.com/rankings/impact/overall/2024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str">
        <x:v>201–300</x:v>
      </x:c>
      <x:c r="G203" s="36" t="str">
        <x:v>79.4–83.6</x:v>
      </x:c>
      <x:c r="H203" s="15" t="str">
        <x:v>Ranked</x:v>
      </x:c>
      <x:c r="I203" s="15" t="str">
        <x:v>University of York</x:v>
      </x:c>
      <x:c r="J203" s="31" t="str">
        <x:v>https://www.timeshighereducation.com/world-university-rankings/university-york</x:v>
      </x:c>
      <x:c r="K203" s="31" t="str">
        <x:v>https://www.timeshighereducation.com/rankings/impact/overall/2025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str">
        <x:v>301–400</x:v>
      </x:c>
      <x:c r="G204" s="36" t="str">
        <x:v>73.9–77.4</x:v>
      </x:c>
      <x:c r="H204" s="15" t="str">
        <x:v>Ranked</x:v>
      </x:c>
      <x:c r="I204" s="15" t="str">
        <x:v>University of York</x:v>
      </x:c>
      <x:c r="J204" s="31" t="str">
        <x:v>https://www.timeshighereducation.com/world-university-rankings/university-york</x:v>
      </x:c>
      <x:c r="K204" s="31" t="str">
        <x:v>https://www.timeshighereducation.com/impactrankings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NR</x:v>
      </x:c>
      <x:c r="G205" s="36"/>
      <x:c r="H205" s="15" t="str">
        <x:v>Not ranked in complete official table</x:v>
      </x:c>
      <x:c r="I205" s="15" t="str"/>
      <x:c r="J205" s="31" t="str"/>
      <x:c r="K205" s="31" t="str">
        <x:v>https://www.timeshighereducation.com/rankings/impact/overall/2022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str">
        <x:v>NR</x:v>
      </x:c>
      <x:c r="G206" s="36"/>
      <x:c r="H206" s="15" t="str">
        <x:v>Not ranked in complete official table</x:v>
      </x:c>
      <x:c r="I206" s="15" t="str"/>
      <x:c r="J206" s="31" t="str"/>
      <x:c r="K206" s="31" t="str">
        <x:v>https://www.timeshighereducation.com/rankings/impact/overall/2023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str">
        <x:v>NR</x:v>
      </x:c>
      <x:c r="G207" s="36"/>
      <x:c r="H207" s="15" t="str">
        <x:v>Not ranked in complete official table</x:v>
      </x:c>
      <x:c r="I207" s="15" t="str"/>
      <x:c r="J207" s="31" t="str"/>
      <x:c r="K207" s="31" t="str">
        <x:v>https://www.timeshighereducation.com/rankings/impact/overall/2024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NR</x:v>
      </x:c>
      <x:c r="G208" s="36"/>
      <x:c r="H208" s="15" t="str">
        <x:v>Not ranked in complete official table</x:v>
      </x:c>
      <x:c r="I208" s="15" t="str"/>
      <x:c r="J208" s="31" t="str"/>
      <x:c r="K208" s="31" t="str">
        <x:v>https://www.timeshighereducation.com/rankings/impact/overall/2025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str">
        <x:v>NR</x:v>
      </x:c>
      <x:c r="G209" s="36"/>
      <x:c r="H209" s="15" t="str">
        <x:v>Not ranked in complete official table</x:v>
      </x:c>
      <x:c r="I209" s="15" t="str"/>
      <x:c r="J209" s="31" t="str"/>
      <x:c r="K209" s="31" t="str">
        <x:v>https://www.timeshighereducation.com/impactrankings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str">
        <x:v>NR</x:v>
      </x:c>
      <x:c r="G210" s="36"/>
      <x:c r="H210" s="15" t="str">
        <x:v>Not ranked in complete official table</x:v>
      </x:c>
      <x:c r="I210" s="15" t="str"/>
      <x:c r="J210" s="31" t="str"/>
      <x:c r="K210" s="31" t="str">
        <x:v>https://www.timeshighereducation.com/rankings/impact/overall/2022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NR</x:v>
      </x:c>
      <x:c r="G211" s="36"/>
      <x:c r="H211" s="15" t="str">
        <x:v>Not ranked in complete official table</x:v>
      </x:c>
      <x:c r="I211" s="15" t="str"/>
      <x:c r="J211" s="31" t="str"/>
      <x:c r="K211" s="31" t="str">
        <x:v>https://www.timeshighereducation.com/rankings/impact/overall/2023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str">
        <x:v>NR</x:v>
      </x:c>
      <x:c r="G212" s="36"/>
      <x:c r="H212" s="15" t="str">
        <x:v>Not ranked in complete official table</x:v>
      </x:c>
      <x:c r="I212" s="15" t="str"/>
      <x:c r="J212" s="31" t="str"/>
      <x:c r="K212" s="31" t="str">
        <x:v>https://www.timeshighereducation.com/rankings/impact/overall/2024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NR</x:v>
      </x:c>
      <x:c r="G213" s="36"/>
      <x:c r="H213" s="15" t="str">
        <x:v>Not ranked in complete official table</x:v>
      </x:c>
      <x:c r="I213" s="15" t="str"/>
      <x:c r="J213" s="31" t="str"/>
      <x:c r="K213" s="31" t="str">
        <x:v>https://www.timeshighereducation.com/rankings/impact/overall/2025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str">
        <x:v>NR</x:v>
      </x:c>
      <x:c r="G214" s="36"/>
      <x:c r="H214" s="15" t="str">
        <x:v>Not ranked in complete official table</x:v>
      </x:c>
      <x:c r="I214" s="15" t="str"/>
      <x:c r="J214" s="31" t="str"/>
      <x:c r="K214" s="31" t="str">
        <x:v>https://www.timeshighereducation.com/impactrankings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str">
        <x:v>101–200</x:v>
      </x:c>
      <x:c r="G215" s="36" t="str">
        <x:v>82.1–88.5</x:v>
      </x:c>
      <x:c r="H215" s="15" t="str">
        <x:v>Ranked</x:v>
      </x:c>
      <x:c r="I215" s="15" t="str">
        <x:v>Massachusetts Institute of Technology</x:v>
      </x:c>
      <x:c r="J215" s="31" t="str">
        <x:v>https://www.timeshighereducation.com/world-university-rankings/massachusetts-institute-technology</x:v>
      </x:c>
      <x:c r="K215" s="31" t="str">
        <x:v>https://www.timeshighereducation.com/rankings/impact/overall/2022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101–200</x:v>
      </x:c>
      <x:c r="G216" s="36" t="str">
        <x:v>82.2–88.2</x:v>
      </x:c>
      <x:c r="H216" s="15" t="str">
        <x:v>Ranked</x:v>
      </x:c>
      <x:c r="I216" s="15" t="str">
        <x:v>Massachusetts Institute of Technology</x:v>
      </x:c>
      <x:c r="J216" s="31" t="str">
        <x:v>https://www.timeshighereducation.com/world-university-rankings/massachusetts-institute-technology</x:v>
      </x:c>
      <x:c r="K216" s="31" t="str">
        <x:v>https://www.timeshighereducation.com/rankings/impact/overall/2023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str">
        <x:v>101–200</x:v>
      </x:c>
      <x:c r="G217" s="36" t="str">
        <x:v>84.0–89.1</x:v>
      </x:c>
      <x:c r="H217" s="15" t="str">
        <x:v>Ranked</x:v>
      </x:c>
      <x:c r="I217" s="15" t="str">
        <x:v>Massachusetts Institute of Technology</x:v>
      </x:c>
      <x:c r="J217" s="31" t="str">
        <x:v>https://www.timeshighereducation.com/world-university-rankings/massachusetts-institute-technology</x:v>
      </x:c>
      <x:c r="K217" s="31" t="str">
        <x:v>https://www.timeshighereducation.com/rankings/impact/overall/2024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201–300</x:v>
      </x:c>
      <x:c r="G218" s="36" t="str">
        <x:v>79.4–83.6</x:v>
      </x:c>
      <x:c r="H218" s="15" t="str">
        <x:v>Ranked</x:v>
      </x:c>
      <x:c r="I218" s="15" t="str">
        <x:v>Massachusetts Institute of Technology</x:v>
      </x:c>
      <x:c r="J218" s="31" t="str">
        <x:v>https://www.timeshighereducation.com/world-university-rankings/massachusetts-institute-technology</x:v>
      </x:c>
      <x:c r="K218" s="31" t="str">
        <x:v>https://www.timeshighereducation.com/rankings/impact/overall/2025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str">
        <x:v>201–300</x:v>
      </x:c>
      <x:c r="G219" s="36" t="str">
        <x:v>77.5–82.2</x:v>
      </x:c>
      <x:c r="H219" s="15" t="str">
        <x:v>Ranked</x:v>
      </x:c>
      <x:c r="I219" s="15" t="str">
        <x:v>Massachusetts Institute of Technology</x:v>
      </x:c>
      <x:c r="J219" s="31" t="str">
        <x:v>https://www.timeshighereducation.com/world-university-rankings/massachusetts-institute-technology</x:v>
      </x:c>
      <x:c r="K219" s="31" t="str">
        <x:v>https://www.timeshighereducation.com/impactrankings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str">
        <x:v>NR</x:v>
      </x:c>
      <x:c r="G220" s="36"/>
      <x:c r="H220" s="15" t="str">
        <x:v>Not ranked in complete official table</x:v>
      </x:c>
      <x:c r="I220" s="15" t="str"/>
      <x:c r="J220" s="31" t="str"/>
      <x:c r="K220" s="31" t="str">
        <x:v>https://www.timeshighereducation.com/rankings/impact/overall/2022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str">
        <x:v>NR</x:v>
      </x:c>
      <x:c r="G221" s="36"/>
      <x:c r="H221" s="15" t="str">
        <x:v>Not ranked in complete official table</x:v>
      </x:c>
      <x:c r="I221" s="15" t="str"/>
      <x:c r="J221" s="31" t="str"/>
      <x:c r="K221" s="31" t="str">
        <x:v>https://www.timeshighereducation.com/rankings/impact/overall/2023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NR</x:v>
      </x:c>
      <x:c r="G222" s="36"/>
      <x:c r="H222" s="15" t="str">
        <x:v>Not ranked in complete official table</x:v>
      </x:c>
      <x:c r="I222" s="15" t="str"/>
      <x:c r="J222" s="31" t="str"/>
      <x:c r="K222" s="31" t="str">
        <x:v>https://www.timeshighereducation.com/rankings/impact/overall/2024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str">
        <x:v>NR</x:v>
      </x:c>
      <x:c r="G223" s="36"/>
      <x:c r="H223" s="15" t="str">
        <x:v>Not ranked in complete official table</x:v>
      </x:c>
      <x:c r="I223" s="15" t="str"/>
      <x:c r="J223" s="31" t="str"/>
      <x:c r="K223" s="31" t="str">
        <x:v>https://www.timeshighereducation.com/rankings/impact/overall/2025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str">
        <x:v>NR</x:v>
      </x:c>
      <x:c r="G224" s="36"/>
      <x:c r="H224" s="15" t="str">
        <x:v>Not ranked in complete official table</x:v>
      </x:c>
      <x:c r="I224" s="15" t="str"/>
      <x:c r="J224" s="31" t="str"/>
      <x:c r="K224" s="31" t="str">
        <x:v>https://www.timeshighereducation.com/impactrankings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str">
        <x:v>NR</x:v>
      </x:c>
      <x:c r="G225" s="36"/>
      <x:c r="H225" s="15" t="str">
        <x:v>Not ranked in complete official table</x:v>
      </x:c>
      <x:c r="I225" s="15" t="str"/>
      <x:c r="J225" s="31" t="str"/>
      <x:c r="K225" s="31" t="str">
        <x:v>https://www.timeshighereducation.com/rankings/impact/overall/2022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NR</x:v>
      </x:c>
      <x:c r="G226" s="36"/>
      <x:c r="H226" s="15" t="str">
        <x:v>Not ranked in complete official table</x:v>
      </x:c>
      <x:c r="I226" s="15" t="str"/>
      <x:c r="J226" s="31" t="str"/>
      <x:c r="K226" s="31" t="str">
        <x:v>https://www.timeshighereducation.com/rankings/impact/overall/2023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str">
        <x:v>NR</x:v>
      </x:c>
      <x:c r="G227" s="36"/>
      <x:c r="H227" s="15" t="str">
        <x:v>Not ranked in complete official table</x:v>
      </x:c>
      <x:c r="I227" s="15" t="str"/>
      <x:c r="J227" s="31" t="str"/>
      <x:c r="K227" s="31" t="str">
        <x:v>https://www.timeshighereducation.com/rankings/impact/overall/2024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str">
        <x:v>NR</x:v>
      </x:c>
      <x:c r="G228" s="36"/>
      <x:c r="H228" s="15" t="str">
        <x:v>Not ranked in complete official table</x:v>
      </x:c>
      <x:c r="I228" s="15" t="str"/>
      <x:c r="J228" s="31" t="str"/>
      <x:c r="K228" s="31" t="str">
        <x:v>https://www.timeshighereducation.com/rankings/impact/overall/2025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str">
        <x:v>NR</x:v>
      </x:c>
      <x:c r="G229" s="36"/>
      <x:c r="H229" s="15" t="str">
        <x:v>Not ranked in complete official table</x:v>
      </x:c>
      <x:c r="I229" s="15" t="str"/>
      <x:c r="J229" s="31" t="str"/>
      <x:c r="K229" s="31" t="str">
        <x:v>https://www.timeshighereducation.com/impactrankings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str">
        <x:v>401–600</x:v>
      </x:c>
      <x:c r="G230" s="36" t="str">
        <x:v>65.0–71.9</x:v>
      </x:c>
      <x:c r="H230" s="15" t="str">
        <x:v>Ranked</x:v>
      </x:c>
      <x:c r="I230" s="15" t="str">
        <x:v>University of Hamburg</x:v>
      </x:c>
      <x:c r="J230" s="31" t="str">
        <x:v>https://www.timeshighereducation.com/world-university-rankings/university-hamburg</x:v>
      </x:c>
      <x:c r="K230" s="31" t="str">
        <x:v>https://www.timeshighereducation.com/rankings/impact/overall/2022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str">
        <x:v>401–600</x:v>
      </x:c>
      <x:c r="G231" s="36" t="str">
        <x:v>66.9–72.6</x:v>
      </x:c>
      <x:c r="H231" s="15" t="str">
        <x:v>Ranked</x:v>
      </x:c>
      <x:c r="I231" s="15" t="str">
        <x:v>University of Hamburg</x:v>
      </x:c>
      <x:c r="J231" s="31" t="str">
        <x:v>https://www.timeshighereducation.com/world-university-rankings/university-hamburg</x:v>
      </x:c>
      <x:c r="K231" s="31" t="str">
        <x:v>https://www.timeshighereducation.com/rankings/impact/overall/2023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str">
        <x:v>601–800</x:v>
      </x:c>
      <x:c r="G232" s="36" t="str">
        <x:v>64.5–69.8</x:v>
      </x:c>
      <x:c r="H232" s="15" t="str">
        <x:v>Ranked</x:v>
      </x:c>
      <x:c r="I232" s="15" t="str">
        <x:v>University of Hamburg</x:v>
      </x:c>
      <x:c r="J232" s="31" t="str">
        <x:v>https://www.timeshighereducation.com/world-university-rankings/university-hamburg</x:v>
      </x:c>
      <x:c r="K232" s="31" t="str">
        <x:v>https://www.timeshighereducation.com/rankings/impact/overall/2024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str">
        <x:v>601–800</x:v>
      </x:c>
      <x:c r="G233" s="36" t="str">
        <x:v>65.6–70.2</x:v>
      </x:c>
      <x:c r="H233" s="15" t="str">
        <x:v>Ranked</x:v>
      </x:c>
      <x:c r="I233" s="15" t="str">
        <x:v>University of Hamburg</x:v>
      </x:c>
      <x:c r="J233" s="31" t="str">
        <x:v>https://www.timeshighereducation.com/world-university-rankings/university-hamburg</x:v>
      </x:c>
      <x:c r="K233" s="31" t="str">
        <x:v>https://www.timeshighereducation.com/rankings/impact/overall/2025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str">
        <x:v>NR</x:v>
      </x:c>
      <x:c r="G234" s="36"/>
      <x:c r="H234" s="15" t="str">
        <x:v>Not ranked in complete official table</x:v>
      </x:c>
      <x:c r="I234" s="15" t="str"/>
      <x:c r="J234" s="31" t="str"/>
      <x:c r="K234" s="31" t="str">
        <x:v>https://www.timeshighereducation.com/impactrankings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101–200</x:v>
      </x:c>
      <x:c r="G235" s="36" t="str">
        <x:v>82.1–88.5</x:v>
      </x:c>
      <x:c r="H235" s="15" t="str">
        <x:v>Ranked</x:v>
      </x:c>
      <x:c r="I235" s="15" t="str">
        <x:v>University College Dublin</x:v>
      </x:c>
      <x:c r="J235" s="31" t="str">
        <x:v>https://www.timeshighereducation.com/world-university-rankings/university-college-dublin</x:v>
      </x:c>
      <x:c r="K235" s="31" t="str">
        <x:v>https://www.timeshighereducation.com/rankings/impact/overall/2022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101–200</x:v>
      </x:c>
      <x:c r="G236" s="36" t="str">
        <x:v>82.2–88.2</x:v>
      </x:c>
      <x:c r="H236" s="15" t="str">
        <x:v>Ranked</x:v>
      </x:c>
      <x:c r="I236" s="15" t="str">
        <x:v>University College Dublin</x:v>
      </x:c>
      <x:c r="J236" s="31" t="str">
        <x:v>https://www.timeshighereducation.com/world-university-rankings/university-college-dublin</x:v>
      </x:c>
      <x:c r="K236" s="31" t="str">
        <x:v>https://www.timeshighereducation.com/rankings/impact/overall/2023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str">
        <x:v>201–300</x:v>
      </x:c>
      <x:c r="G237" s="36" t="str">
        <x:v>79.3–83.9</x:v>
      </x:c>
      <x:c r="H237" s="15" t="str">
        <x:v>Ranked</x:v>
      </x:c>
      <x:c r="I237" s="15" t="str">
        <x:v>University College Dublin</x:v>
      </x:c>
      <x:c r="J237" s="31" t="str">
        <x:v>https://www.timeshighereducation.com/world-university-rankings/university-college-dublin</x:v>
      </x:c>
      <x:c r="K237" s="31" t="str">
        <x:v>https://www.timeshighereducation.com/rankings/impact/overall/2024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str">
        <x:v>NR</x:v>
      </x:c>
      <x:c r="G238" s="36"/>
      <x:c r="H238" s="15" t="str">
        <x:v>Not ranked in complete official table</x:v>
      </x:c>
      <x:c r="I238" s="15" t="str"/>
      <x:c r="J238" s="31" t="str"/>
      <x:c r="K238" s="31" t="str">
        <x:v>https://www.timeshighereducation.com/rankings/impact/overall/2025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NR</x:v>
      </x:c>
      <x:c r="G239" s="36"/>
      <x:c r="H239" s="15" t="str">
        <x:v>Not ranked in complete official table</x:v>
      </x:c>
      <x:c r="I239" s="15" t="str"/>
      <x:c r="J239" s="31" t="str"/>
      <x:c r="K239" s="31" t="str">
        <x:v>https://www.timeshighereducation.com/impactrankings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str">
        <x:v>NR</x:v>
      </x:c>
      <x:c r="G240" s="36"/>
      <x:c r="H240" s="15" t="str">
        <x:v>Not ranked in complete official table</x:v>
      </x:c>
      <x:c r="I240" s="15" t="str"/>
      <x:c r="J240" s="31" t="str"/>
      <x:c r="K240" s="31" t="str">
        <x:v>https://www.timeshighereducation.com/rankings/impact/overall/2022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NR</x:v>
      </x:c>
      <x:c r="G241" s="36"/>
      <x:c r="H241" s="15" t="str">
        <x:v>Not ranked in complete official table</x:v>
      </x:c>
      <x:c r="I241" s="15" t="str"/>
      <x:c r="J241" s="31" t="str"/>
      <x:c r="K241" s="31" t="str">
        <x:v>https://www.timeshighereducation.com/rankings/impact/overall/2023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NR</x:v>
      </x:c>
      <x:c r="G242" s="36"/>
      <x:c r="H242" s="15" t="str">
        <x:v>Not ranked in complete official table</x:v>
      </x:c>
      <x:c r="I242" s="15" t="str"/>
      <x:c r="J242" s="31" t="str"/>
      <x:c r="K242" s="31" t="str">
        <x:v>https://www.timeshighereducation.com/rankings/impact/overall/2024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NR</x:v>
      </x:c>
      <x:c r="G243" s="36"/>
      <x:c r="H243" s="15" t="str">
        <x:v>Not ranked in complete official table</x:v>
      </x:c>
      <x:c r="I243" s="15" t="str"/>
      <x:c r="J243" s="31" t="str"/>
      <x:c r="K243" s="31" t="str">
        <x:v>https://www.timeshighereducation.com/rankings/impact/overall/2025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str">
        <x:v>NR</x:v>
      </x:c>
      <x:c r="G244" s="36"/>
      <x:c r="H244" s="15" t="str">
        <x:v>Not ranked in complete official table</x:v>
      </x:c>
      <x:c r="I244" s="15" t="str"/>
      <x:c r="J244" s="31" t="str"/>
      <x:c r="K244" s="31" t="str">
        <x:v>https://www.timeshighereducation.com/impactrankings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n">
        <x:f>42</x:f>
        <x:v>42</x:v>
      </x:c>
      <x:c r="G245" s="36" t="n">
        <x:v>92.9</x:v>
      </x:c>
      <x:c r="H245" s="15" t="str">
        <x:v>Ranked</x:v>
      </x:c>
      <x:c r="I245" s="15" t="str">
        <x:v>University of Exeter</x:v>
      </x:c>
      <x:c r="J245" s="31" t="str">
        <x:v>https://www.timeshighereducation.com/world-university-rankings/university-exeter</x:v>
      </x:c>
      <x:c r="K245" s="31" t="str">
        <x:v>https://www.timeshighereducation.com/rankings/impact/overall/2022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n">
        <x:f>18</x:f>
        <x:v>18</x:v>
      </x:c>
      <x:c r="G246" s="36" t="n">
        <x:v>94.5</x:v>
      </x:c>
      <x:c r="H246" s="15" t="str">
        <x:v>Ranked</x:v>
      </x:c>
      <x:c r="I246" s="15" t="str">
        <x:v>University of Exeter</x:v>
      </x:c>
      <x:c r="J246" s="31" t="str">
        <x:v>https://www.timeshighereducation.com/world-university-rankings/university-exeter</x:v>
      </x:c>
      <x:c r="K246" s="31" t="str">
        <x:v>https://www.timeshighereducation.com/rankings/impact/overall/2023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str">
        <x:v>10</x:v>
      </x:c>
      <x:c r="G247" s="36" t="n">
        <x:v>96.1</x:v>
      </x:c>
      <x:c r="H247" s="15" t="str">
        <x:v>Ranked</x:v>
      </x:c>
      <x:c r="I247" s="15" t="str">
        <x:v>University of Exeter</x:v>
      </x:c>
      <x:c r="J247" s="31" t="str">
        <x:v>https://www.timeshighereducation.com/world-university-rankings/university-exeter</x:v>
      </x:c>
      <x:c r="K247" s="31" t="str">
        <x:v>https://www.timeshighereducation.com/rankings/impact/overall/2024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n">
        <x:f>28</x:f>
        <x:v>28</x:v>
      </x:c>
      <x:c r="G248" s="36" t="n">
        <x:v>94.6</x:v>
      </x:c>
      <x:c r="H248" s="15" t="str">
        <x:v>Ranked</x:v>
      </x:c>
      <x:c r="I248" s="15" t="str">
        <x:v>University of Exeter</x:v>
      </x:c>
      <x:c r="J248" s="31" t="str">
        <x:v>https://www.timeshighereducation.com/world-university-rankings/university-exeter</x:v>
      </x:c>
      <x:c r="K248" s="31" t="str">
        <x:v>https://www.timeshighereducation.com/rankings/impact/overall/2025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20</x:f>
        <x:v>20</x:v>
      </x:c>
      <x:c r="G249" s="36" t="n">
        <x:v>95.3</x:v>
      </x:c>
      <x:c r="H249" s="15" t="str">
        <x:v>Ranked</x:v>
      </x:c>
      <x:c r="I249" s="15" t="str">
        <x:v>University of Exeter</x:v>
      </x:c>
      <x:c r="J249" s="31" t="str">
        <x:v>https://www.timeshighereducation.com/world-university-rankings/university-exeter</x:v>
      </x:c>
      <x:c r="K249" s="31" t="str">
        <x:v>https://www.timeshighereducation.com/impactrankings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str">
        <x:v>101–200</x:v>
      </x:c>
      <x:c r="G250" s="36" t="str">
        <x:v>82.1–88.5</x:v>
      </x:c>
      <x:c r="H250" s="15" t="str">
        <x:v>Ranked</x:v>
      </x:c>
      <x:c r="I250" s="15" t="str">
        <x:v>The University of Queensland</x:v>
      </x:c>
      <x:c r="J250" s="31" t="str">
        <x:v>https://www.timeshighereducation.com/world-university-rankings/university-queensland</x:v>
      </x:c>
      <x:c r="K250" s="31" t="str">
        <x:v>https://www.timeshighereducation.com/rankings/impact/overall/2022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str">
        <x:v>NR</x:v>
      </x:c>
      <x:c r="G251" s="36"/>
      <x:c r="H251" s="15" t="str">
        <x:v>Not ranked in complete official table</x:v>
      </x:c>
      <x:c r="I251" s="15" t="str"/>
      <x:c r="J251" s="31" t="str"/>
      <x:c r="K251" s="31" t="str">
        <x:v>https://www.timeshighereducation.com/rankings/impact/overall/2023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NR</x:v>
      </x:c>
      <x:c r="G252" s="36"/>
      <x:c r="H252" s="15" t="str">
        <x:v>Not ranked in complete official table</x:v>
      </x:c>
      <x:c r="I252" s="15" t="str"/>
      <x:c r="J252" s="31" t="str"/>
      <x:c r="K252" s="31" t="str">
        <x:v>https://www.timeshighereducation.com/rankings/impact/overall/2024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NR</x:v>
      </x:c>
      <x:c r="G253" s="36"/>
      <x:c r="H253" s="15" t="str">
        <x:v>Not ranked in complete official table</x:v>
      </x:c>
      <x:c r="I253" s="15" t="str"/>
      <x:c r="J253" s="31" t="str"/>
      <x:c r="K253" s="31" t="str">
        <x:v>https://www.timeshighereducation.com/rankings/impact/overall/2025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str">
        <x:v>101–200</x:v>
      </x:c>
      <x:c r="G254" s="36" t="str">
        <x:v>82.3–89.2</x:v>
      </x:c>
      <x:c r="H254" s="15" t="str">
        <x:v>Ranked</x:v>
      </x:c>
      <x:c r="I254" s="15" t="str">
        <x:v>The University of Queensland</x:v>
      </x:c>
      <x:c r="J254" s="31" t="str">
        <x:v>https://www.timeshighereducation.com/world-university-rankings/university-queensland</x:v>
      </x:c>
      <x:c r="K254" s="31" t="str">
        <x:v>https://www.timeshighereducation.com/impactrankings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str">
        <x:v>101–200</x:v>
      </x:c>
      <x:c r="G255" s="36" t="str">
        <x:v>82.1–88.5</x:v>
      </x:c>
      <x:c r="H255" s="15" t="str">
        <x:v>Ranked</x:v>
      </x:c>
      <x:c r="I255" s="15" t="str">
        <x:v>University of Gothenburg</x:v>
      </x:c>
      <x:c r="J255" s="31" t="str">
        <x:v>https://www.timeshighereducation.com/world-university-rankings/university-gothenburg</x:v>
      </x:c>
      <x:c r="K255" s="31" t="str">
        <x:v>https://www.timeshighereducation.com/rankings/impact/overall/2022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str">
        <x:v>NR</x:v>
      </x:c>
      <x:c r="G256" s="36"/>
      <x:c r="H256" s="15" t="str">
        <x:v>Not ranked in complete official table</x:v>
      </x:c>
      <x:c r="I256" s="15" t="str"/>
      <x:c r="J256" s="31" t="str"/>
      <x:c r="K256" s="31" t="str">
        <x:v>https://www.timeshighereducation.com/rankings/impact/overall/2023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NR</x:v>
      </x:c>
      <x:c r="G257" s="36"/>
      <x:c r="H257" s="15" t="str">
        <x:v>Not ranked in complete official table</x:v>
      </x:c>
      <x:c r="I257" s="15" t="str"/>
      <x:c r="J257" s="31" t="str"/>
      <x:c r="K257" s="31" t="str">
        <x:v>https://www.timeshighereducation.com/rankings/impact/overall/2024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str">
        <x:v>NR</x:v>
      </x:c>
      <x:c r="G258" s="36"/>
      <x:c r="H258" s="15" t="str">
        <x:v>Not ranked in complete official table</x:v>
      </x:c>
      <x:c r="I258" s="15" t="str"/>
      <x:c r="J258" s="31" t="str"/>
      <x:c r="K258" s="31" t="str">
        <x:v>https://www.timeshighereducation.com/rankings/impact/overall/2025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str">
        <x:v>NR</x:v>
      </x:c>
      <x:c r="G259" s="36"/>
      <x:c r="H259" s="15" t="str">
        <x:v>Not ranked in complete official table</x:v>
      </x:c>
      <x:c r="I259" s="15" t="str"/>
      <x:c r="J259" s="31" t="str"/>
      <x:c r="K259" s="31" t="str">
        <x:v>https://www.timeshighereducation.com/impactrankings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n">
        <x:f>92</x:f>
        <x:v>92</x:v>
      </x:c>
      <x:c r="G260" s="36" t="n">
        <x:v>88.9</x:v>
      </x:c>
      <x:c r="H260" s="15" t="str">
        <x:v>Ranked</x:v>
      </x:c>
      <x:c r="I260" s="15" t="str">
        <x:v>Griffith University</x:v>
      </x:c>
      <x:c r="J260" s="31" t="str">
        <x:v>https://www.timeshighereducation.com/world-university-rankings/griffith-university</x:v>
      </x:c>
      <x:c r="K260" s="31" t="str">
        <x:v>https://www.timeshighereducation.com/rankings/impact/overall/2022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n">
        <x:f>72</x:f>
        <x:v>72</x:v>
      </x:c>
      <x:c r="G261" s="36" t="n">
        <x:v>89.8</x:v>
      </x:c>
      <x:c r="H261" s="15" t="str">
        <x:v>Ranked</x:v>
      </x:c>
      <x:c r="I261" s="15" t="str">
        <x:v>Griffith University</x:v>
      </x:c>
      <x:c r="J261" s="31" t="str">
        <x:v>https://www.timeshighereducation.com/world-university-rankings/griffith-university</x:v>
      </x:c>
      <x:c r="K261" s="31" t="str">
        <x:v>https://www.timeshighereducation.com/rankings/impact/overall/2023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24</x:v>
      </x:c>
      <x:c r="G262" s="36" t="n">
        <x:v>94.2</x:v>
      </x:c>
      <x:c r="H262" s="15" t="str">
        <x:v>Ranked</x:v>
      </x:c>
      <x:c r="I262" s="15" t="str">
        <x:v>Griffith University</x:v>
      </x:c>
      <x:c r="J262" s="31" t="str">
        <x:v>https://www.timeshighereducation.com/world-university-rankings/griffith-university</x:v>
      </x:c>
      <x:c r="K262" s="31" t="str">
        <x:v>https://www.timeshighereducation.com/rankings/impact/overall/2024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n">
        <x:f>4</x:f>
        <x:v>4</x:v>
      </x:c>
      <x:c r="G263" s="36" t="n">
        <x:v>97.7</x:v>
      </x:c>
      <x:c r="H263" s="15" t="str">
        <x:v>Ranked</x:v>
      </x:c>
      <x:c r="I263" s="15" t="str">
        <x:v>Griffith University</x:v>
      </x:c>
      <x:c r="J263" s="31" t="str">
        <x:v>https://www.timeshighereducation.com/world-university-rankings/griffith-university</x:v>
      </x:c>
      <x:c r="K263" s="31" t="str">
        <x:v>https://www.timeshighereducation.com/rankings/impact/overall/2025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2</x:v>
      </x:c>
      <x:c r="G264" s="36" t="n">
        <x:v>97.9</x:v>
      </x:c>
      <x:c r="H264" s="15" t="str">
        <x:v>Ranked</x:v>
      </x:c>
      <x:c r="I264" s="15" t="str">
        <x:v>Griffith University</x:v>
      </x:c>
      <x:c r="J264" s="31" t="str">
        <x:v>https://www.timeshighereducation.com/world-university-rankings/griffith-university</x:v>
      </x:c>
      <x:c r="K264" s="31" t="str">
        <x:v>https://www.timeshighereducation.com/impactrankings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1</x:v>
      </x:c>
      <x:c r="G265" s="36" t="n">
        <x:v>99.1</x:v>
      </x:c>
      <x:c r="H265" s="15" t="str">
        <x:v>Ranked</x:v>
      </x:c>
      <x:c r="I265" s="15" t="str">
        <x:v>Western Sydney University</x:v>
      </x:c>
      <x:c r="J265" s="31" t="str">
        <x:v>https://www.timeshighereducation.com/world-university-rankings/western-sydney-university</x:v>
      </x:c>
      <x:c r="K265" s="31" t="str">
        <x:v>https://www.timeshighereducation.com/rankings/impact/overall/2022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str">
        <x:v>1</x:v>
      </x:c>
      <x:c r="G266" s="36" t="n">
        <x:v>99.4</x:v>
      </x:c>
      <x:c r="H266" s="15" t="str">
        <x:v>Ranked</x:v>
      </x:c>
      <x:c r="I266" s="15" t="str">
        <x:v>Western Sydney University</x:v>
      </x:c>
      <x:c r="J266" s="31" t="str">
        <x:v>https://www.timeshighereducation.com/world-university-rankings/western-sydney-university</x:v>
      </x:c>
      <x:c r="K266" s="31" t="str">
        <x:v>https://www.timeshighereducation.com/rankings/impact/overall/2023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str">
        <x:v>1</x:v>
      </x:c>
      <x:c r="G267" s="36" t="n">
        <x:v>99.7</x:v>
      </x:c>
      <x:c r="H267" s="15" t="str">
        <x:v>Ranked</x:v>
      </x:c>
      <x:c r="I267" s="15" t="str">
        <x:v>Western Sydney University</x:v>
      </x:c>
      <x:c r="J267" s="31" t="str">
        <x:v>https://www.timeshighereducation.com/world-university-rankings/western-sydney-university</x:v>
      </x:c>
      <x:c r="K267" s="31" t="str">
        <x:v>https://www.timeshighereducation.com/rankings/impact/overall/2024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1</x:v>
      </x:c>
      <x:c r="G268" s="36" t="n">
        <x:v>98.7</x:v>
      </x:c>
      <x:c r="H268" s="15" t="str">
        <x:v>Ranked</x:v>
      </x:c>
      <x:c r="I268" s="15" t="str">
        <x:v>Western Sydney University</x:v>
      </x:c>
      <x:c r="J268" s="31" t="str">
        <x:v>https://www.timeshighereducation.com/world-university-rankings/western-sydney-university</x:v>
      </x:c>
      <x:c r="K268" s="31" t="str">
        <x:v>https://www.timeshighereducation.com/rankings/impact/overall/2025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str">
        <x:v>3</x:v>
      </x:c>
      <x:c r="G269" s="36" t="n">
        <x:v>97.8</x:v>
      </x:c>
      <x:c r="H269" s="15" t="str">
        <x:v>Ranked</x:v>
      </x:c>
      <x:c r="I269" s="15" t="str">
        <x:v>Western Sydney University</x:v>
      </x:c>
      <x:c r="J269" s="31" t="str">
        <x:v>https://www.timeshighereducation.com/world-university-rankings/western-sydney-university</x:v>
      </x:c>
      <x:c r="K269" s="31" t="str">
        <x:v>https://www.timeshighereducation.com/impactrankings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7</x:v>
      </x:c>
      <x:c r="G270" s="36" t="n">
        <x:v>96.6</x:v>
      </x:c>
      <x:c r="H270" s="15" t="str">
        <x:v>Ranked</x:v>
      </x:c>
      <x:c r="I270" s="15" t="str">
        <x:v>Queen’s University</x:v>
      </x:c>
      <x:c r="J270" s="31" t="str">
        <x:v>https://www.timeshighereducation.com/world-university-rankings/queens-university</x:v>
      </x:c>
      <x:c r="K270" s="31" t="str">
        <x:v>https://www.timeshighereducation.com/rankings/impact/overall/2022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3</x:v>
      </x:c>
      <x:c r="G271" s="36" t="n">
        <x:v>97.2</x:v>
      </x:c>
      <x:c r="H271" s="15" t="str">
        <x:v>Ranked</x:v>
      </x:c>
      <x:c r="I271" s="15" t="str">
        <x:v>Queen’s University</x:v>
      </x:c>
      <x:c r="J271" s="31" t="str">
        <x:v>https://www.timeshighereducation.com/world-university-rankings/queens-university</x:v>
      </x:c>
      <x:c r="K271" s="31" t="str">
        <x:v>https://www.timeshighereducation.com/rankings/impact/overall/2023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str">
        <x:v>8</x:v>
      </x:c>
      <x:c r="G272" s="36" t="n">
        <x:v>97.1</x:v>
      </x:c>
      <x:c r="H272" s="15" t="str">
        <x:v>Ranked</x:v>
      </x:c>
      <x:c r="I272" s="15" t="str">
        <x:v>Queen’s University</x:v>
      </x:c>
      <x:c r="J272" s="31" t="str">
        <x:v>https://www.timeshighereducation.com/world-university-rankings/queens-university</x:v>
      </x:c>
      <x:c r="K272" s="31" t="str">
        <x:v>https://www.timeshighereducation.com/rankings/impact/overall/2024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n">
        <x:f>6</x:f>
        <x:v>6</x:v>
      </x:c>
      <x:c r="G273" s="36" t="n">
        <x:v>97.1</x:v>
      </x:c>
      <x:c r="H273" s="15" t="str">
        <x:v>Ranked</x:v>
      </x:c>
      <x:c r="I273" s="15" t="str">
        <x:v>Queen’s University</x:v>
      </x:c>
      <x:c r="J273" s="31" t="str">
        <x:v>https://www.timeshighereducation.com/world-university-rankings/queens-university</x:v>
      </x:c>
      <x:c r="K273" s="31" t="str">
        <x:v>https://www.timeshighereducation.com/rankings/impact/overall/2025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str">
        <x:v>4</x:v>
      </x:c>
      <x:c r="G274" s="36" t="n">
        <x:v>97.5</x:v>
      </x:c>
      <x:c r="H274" s="15" t="str">
        <x:v>Ranked</x:v>
      </x:c>
      <x:c r="I274" s="15" t="str">
        <x:v>Queen’s University</x:v>
      </x:c>
      <x:c r="J274" s="31" t="str">
        <x:v>https://www.timeshighereducation.com/world-university-rankings/queens-university</x:v>
      </x:c>
      <x:c r="K274" s="31" t="str">
        <x:v>https://www.timeshighereducation.com/impactrankings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n">
        <x:f>4</x:f>
        <x:v>4</x:v>
      </x:c>
      <x:c r="G275" s="36" t="n">
        <x:v>97.5</x:v>
      </x:c>
      <x:c r="H275" s="15" t="str">
        <x:v>Ranked</x:v>
      </x:c>
      <x:c r="I275" s="15" t="str">
        <x:v>Universiti Sains Malaysia</x:v>
      </x:c>
      <x:c r="J275" s="31" t="str">
        <x:v>https://www.timeshighereducation.com/world-university-rankings/universiti-sains-malaysia</x:v>
      </x:c>
      <x:c r="K275" s="31" t="str">
        <x:v>https://www.timeshighereducation.com/rankings/impact/overall/2022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str">
        <x:v>4</x:v>
      </x:c>
      <x:c r="G276" s="36" t="n">
        <x:v>96.9</x:v>
      </x:c>
      <x:c r="H276" s="15" t="str">
        <x:v>Ranked</x:v>
      </x:c>
      <x:c r="I276" s="15" t="str">
        <x:v>Universiti Sains Malaysia</x:v>
      </x:c>
      <x:c r="J276" s="31" t="str">
        <x:v>https://www.timeshighereducation.com/world-university-rankings/universiti-sains-malaysia</x:v>
      </x:c>
      <x:c r="K276" s="31" t="str">
        <x:v>https://www.timeshighereducation.com/rankings/impact/overall/2023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str">
        <x:v>18</x:v>
      </x:c>
      <x:c r="G277" s="36" t="n">
        <x:v>95</x:v>
      </x:c>
      <x:c r="H277" s="15" t="str">
        <x:v>Ranked</x:v>
      </x:c>
      <x:c r="I277" s="15" t="str">
        <x:v>Universiti Sains Malaysia</x:v>
      </x:c>
      <x:c r="J277" s="31" t="str">
        <x:v>https://www.timeshighereducation.com/world-university-rankings/universiti-sains-malaysia</x:v>
      </x:c>
      <x:c r="K277" s="31" t="str">
        <x:v>https://www.timeshighereducation.com/rankings/impact/overall/2024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n">
        <x:f>14</x:f>
        <x:v>14</x:v>
      </x:c>
      <x:c r="G278" s="36" t="n">
        <x:v>95.6</x:v>
      </x:c>
      <x:c r="H278" s="15" t="str">
        <x:v>Ranked</x:v>
      </x:c>
      <x:c r="I278" s="15" t="str">
        <x:v>Universiti Sains Malaysia</x:v>
      </x:c>
      <x:c r="J278" s="31" t="str">
        <x:v>https://www.timeshighereducation.com/world-university-rankings/universiti-sains-malaysia</x:v>
      </x:c>
      <x:c r="K278" s="31" t="str">
        <x:v>https://www.timeshighereducation.com/rankings/impact/overall/2025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str">
        <x:v>5</x:v>
      </x:c>
      <x:c r="G279" s="36" t="n">
        <x:v>97.3</x:v>
      </x:c>
      <x:c r="H279" s="15" t="str">
        <x:v>Ranked</x:v>
      </x:c>
      <x:c r="I279" s="15" t="str">
        <x:v>Universiti Sains Malaysia</x:v>
      </x:c>
      <x:c r="J279" s="31" t="str">
        <x:v>https://www.timeshighereducation.com/world-university-rankings/universiti-sains-malaysia</x:v>
      </x:c>
      <x:c r="K279" s="31" t="str">
        <x:v>https://www.timeshighereducation.com/impactrankings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n">
        <x:f>92</x:f>
        <x:v>92</x:v>
      </x:c>
      <x:c r="G280" s="36" t="n">
        <x:v>88.9</x:v>
      </x:c>
      <x:c r="H280" s="15" t="str">
        <x:v>Ranked</x:v>
      </x:c>
      <x:c r="I280" s="15" t="str">
        <x:v>Hanyang University</x:v>
      </x:c>
      <x:c r="J280" s="31" t="str">
        <x:v>https://www.timeshighereducation.com/world-university-rankings/hanyang-university</x:v>
      </x:c>
      <x:c r="K280" s="31" t="str">
        <x:v>https://www.timeshighereducation.com/rankings/impact/overall/2022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101–200</x:v>
      </x:c>
      <x:c r="G281" s="36" t="str">
        <x:v>82.2–88.2</x:v>
      </x:c>
      <x:c r="H281" s="15" t="str">
        <x:v>Ranked</x:v>
      </x:c>
      <x:c r="I281" s="15" t="str">
        <x:v>Hanyang University</x:v>
      </x:c>
      <x:c r="J281" s="31" t="str">
        <x:v>https://www.timeshighereducation.com/world-university-rankings/hanyang-university</x:v>
      </x:c>
      <x:c r="K281" s="31" t="str">
        <x:v>https://www.timeshighereducation.com/rankings/impact/overall/2023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str">
        <x:v>101–200</x:v>
      </x:c>
      <x:c r="G282" s="36" t="str">
        <x:v>84.0–89.1</x:v>
      </x:c>
      <x:c r="H282" s="15" t="str">
        <x:v>Ranked</x:v>
      </x:c>
      <x:c r="I282" s="15" t="str">
        <x:v>Hanyang University</x:v>
      </x:c>
      <x:c r="J282" s="31" t="str">
        <x:v>https://www.timeshighereducation.com/world-university-rankings/hanyang-university</x:v>
      </x:c>
      <x:c r="K282" s="31" t="str">
        <x:v>https://www.timeshighereducation.com/rankings/impact/overall/2024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n">
        <x:f>44</x:f>
        <x:v>44</x:v>
      </x:c>
      <x:c r="G283" s="36" t="n">
        <x:v>92.7</x:v>
      </x:c>
      <x:c r="H283" s="15" t="str">
        <x:v>Ranked</x:v>
      </x:c>
      <x:c r="I283" s="15" t="str">
        <x:v>Hanyang University</x:v>
      </x:c>
      <x:c r="J283" s="31" t="str">
        <x:v>https://www.timeshighereducation.com/world-university-rankings/hanyang-university</x:v>
      </x:c>
      <x:c r="K283" s="31" t="str">
        <x:v>https://www.timeshighereducation.com/rankings/impact/overall/2025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str">
        <x:v>6</x:v>
      </x:c>
      <x:c r="G284" s="36" t="n">
        <x:v>96.8</x:v>
      </x:c>
      <x:c r="H284" s="15" t="str">
        <x:v>Ranked</x:v>
      </x:c>
      <x:c r="I284" s="15" t="str">
        <x:v>Hanyang University</x:v>
      </x:c>
      <x:c r="J284" s="31" t="str">
        <x:v>https://www.timeshighereducation.com/world-university-rankings/hanyang-university</x:v>
      </x:c>
      <x:c r="K284" s="31" t="str">
        <x:v>https://www.timeshighereducation.com/impactrankings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10</x:v>
      </x:c>
      <x:c r="G285" s="36" t="n">
        <x:v>96.2</x:v>
      </x:c>
      <x:c r="H285" s="15" t="str">
        <x:v>Ranked</x:v>
      </x:c>
      <x:c r="I285" s="15" t="str">
        <x:v>Hokkaido University</x:v>
      </x:c>
      <x:c r="J285" s="31" t="str">
        <x:v>https://www.timeshighereducation.com/world-university-rankings/hokkaido-university</x:v>
      </x:c>
      <x:c r="K285" s="31" t="str">
        <x:v>https://www.timeshighereducation.com/rankings/impact/overall/2022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22</x:v>
      </x:c>
      <x:c r="G286" s="36" t="n">
        <x:v>93.9</x:v>
      </x:c>
      <x:c r="H286" s="15" t="str">
        <x:v>Ranked</x:v>
      </x:c>
      <x:c r="I286" s="15" t="str">
        <x:v>Hokkaido University</x:v>
      </x:c>
      <x:c r="J286" s="31" t="str">
        <x:v>https://www.timeshighereducation.com/world-university-rankings/hokkaido-university</x:v>
      </x:c>
      <x:c r="K286" s="31" t="str">
        <x:v>https://www.timeshighereducation.com/rankings/impact/overall/2023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n">
        <x:f>72</x:f>
        <x:v>72</x:v>
      </x:c>
      <x:c r="G287" s="36" t="n">
        <x:v>90.6</x:v>
      </x:c>
      <x:c r="H287" s="15" t="str">
        <x:v>Ranked</x:v>
      </x:c>
      <x:c r="I287" s="15" t="str">
        <x:v>Hokkaido University</x:v>
      </x:c>
      <x:c r="J287" s="31" t="str">
        <x:v>https://www.timeshighereducation.com/world-university-rankings/hokkaido-university</x:v>
      </x:c>
      <x:c r="K287" s="31" t="str">
        <x:v>https://www.timeshighereducation.com/rankings/impact/overall/2024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n">
        <x:f>44</x:f>
        <x:v>44</x:v>
      </x:c>
      <x:c r="G288" s="36" t="n">
        <x:v>92.7</x:v>
      </x:c>
      <x:c r="H288" s="15" t="str">
        <x:v>Ranked</x:v>
      </x:c>
      <x:c r="I288" s="15" t="str">
        <x:v>Hokkaido University</x:v>
      </x:c>
      <x:c r="J288" s="31" t="str">
        <x:v>https://www.timeshighereducation.com/world-university-rankings/hokkaido-university</x:v>
      </x:c>
      <x:c r="K288" s="31" t="str">
        <x:v>https://www.timeshighereducation.com/rankings/impact/overall/2025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n">
        <x:f>7</x:f>
        <x:v>7</x:v>
      </x:c>
      <x:c r="G289" s="36" t="n">
        <x:v>96.3</x:v>
      </x:c>
      <x:c r="H289" s="15" t="str">
        <x:v>Ranked</x:v>
      </x:c>
      <x:c r="I289" s="15" t="str">
        <x:v>Hokkaido University</x:v>
      </x:c>
      <x:c r="J289" s="31" t="str">
        <x:v>https://www.timeshighereducation.com/world-university-rankings/hokkaido-university</x:v>
      </x:c>
      <x:c r="K289" s="31" t="str">
        <x:v>https://www.timeshighereducation.com/impactrankings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401–600</x:v>
      </x:c>
      <x:c r="G290" s="36" t="str">
        <x:v>65.0–71.9</x:v>
      </x:c>
      <x:c r="H290" s="15" t="str">
        <x:v>Ranked</x:v>
      </x:c>
      <x:c r="I290" s="15" t="str">
        <x:v>Universiti Kebangsaan Malaysia</x:v>
      </x:c>
      <x:c r="J290" s="31" t="str">
        <x:v>https://www.timeshighereducation.com/world-university-rankings/universiti-kebangsaan-malaysia</x:v>
      </x:c>
      <x:c r="K290" s="31" t="str">
        <x:v>https://www.timeshighereducation.com/rankings/impact/overall/2022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401–600</x:v>
      </x:c>
      <x:c r="G291" s="36" t="str">
        <x:v>66.9–72.6</x:v>
      </x:c>
      <x:c r="H291" s="15" t="str">
        <x:v>Ranked</x:v>
      </x:c>
      <x:c r="I291" s="15" t="str">
        <x:v>Universiti Kebangsaan Malaysia</x:v>
      </x:c>
      <x:c r="J291" s="31" t="str">
        <x:v>https://www.timeshighereducation.com/world-university-rankings/universiti-kebangsaan-malaysia</x:v>
      </x:c>
      <x:c r="K291" s="31" t="str">
        <x:v>https://www.timeshighereducation.com/rankings/impact/overall/2023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str">
        <x:v>201–300</x:v>
      </x:c>
      <x:c r="G292" s="36" t="str">
        <x:v>79.3–83.9</x:v>
      </x:c>
      <x:c r="H292" s="15" t="str">
        <x:v>Ranked</x:v>
      </x:c>
      <x:c r="I292" s="15" t="str">
        <x:v>Universiti Kebangsaan Malaysia</x:v>
      </x:c>
      <x:c r="J292" s="31" t="str">
        <x:v>https://www.timeshighereducation.com/world-university-rankings/universiti-kebangsaan-malaysia</x:v>
      </x:c>
      <x:c r="K292" s="31" t="str">
        <x:v>https://www.timeshighereducation.com/rankings/impact/overall/2024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n">
        <x:f>53</x:f>
        <x:v>53</x:v>
      </x:c>
      <x:c r="G293" s="36" t="n">
        <x:v>92.2</x:v>
      </x:c>
      <x:c r="H293" s="15" t="str">
        <x:v>Ranked</x:v>
      </x:c>
      <x:c r="I293" s="15" t="str">
        <x:v>Universiti Kebangsaan Malaysia</x:v>
      </x:c>
      <x:c r="J293" s="31" t="str">
        <x:v>https://www.timeshighereducation.com/world-university-rankings/universiti-kebangsaan-malaysia</x:v>
      </x:c>
      <x:c r="K293" s="31" t="str">
        <x:v>https://www.timeshighereducation.com/rankings/impact/overall/2025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n">
        <x:f>7</x:f>
        <x:v>7</x:v>
      </x:c>
      <x:c r="G294" s="36" t="n">
        <x:v>96.3</x:v>
      </x:c>
      <x:c r="H294" s="15" t="str">
        <x:v>Ranked</x:v>
      </x:c>
      <x:c r="I294" s="15" t="str">
        <x:v>Universiti Kebangsaan Malaysia</x:v>
      </x:c>
      <x:c r="J294" s="31" t="str">
        <x:v>https://www.timeshighereducation.com/world-university-rankings/universiti-kebangsaan-malaysia</x:v>
      </x:c>
      <x:c r="K294" s="31" t="str">
        <x:v>https://www.timeshighereducation.com/impactrankings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NR</x:v>
      </x:c>
      <x:c r="G295" s="36"/>
      <x:c r="H295" s="15" t="str">
        <x:v>Not ranked in complete official table</x:v>
      </x:c>
      <x:c r="I295" s="15" t="str"/>
      <x:c r="J295" s="31" t="str"/>
      <x:c r="K295" s="31" t="str">
        <x:v>https://www.timeshighereducation.com/rankings/impact/overall/2022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NR</x:v>
      </x:c>
      <x:c r="G296" s="36"/>
      <x:c r="H296" s="15" t="str">
        <x:v>Not ranked in complete official table</x:v>
      </x:c>
      <x:c r="I296" s="15" t="str"/>
      <x:c r="J296" s="31" t="str"/>
      <x:c r="K296" s="31" t="str">
        <x:v>https://www.timeshighereducation.com/rankings/impact/overall/2023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n">
        <x:f>21</x:f>
        <x:v>21</x:v>
      </x:c>
      <x:c r="G297" s="36" t="n">
        <x:v>94.8</x:v>
      </x:c>
      <x:c r="H297" s="15" t="str">
        <x:v>Ranked</x:v>
      </x:c>
      <x:c r="I297" s="15" t="str">
        <x:v>Institut Agro</x:v>
      </x:c>
      <x:c r="J297" s="31" t="str">
        <x:v>https://www.timeshighereducation.com/world-university-rankings/institut-agro</x:v>
      </x:c>
      <x:c r="K297" s="31" t="str">
        <x:v>https://www.timeshighereducation.com/rankings/impact/overall/2024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n">
        <x:f>23</x:f>
        <x:v>23</x:v>
      </x:c>
      <x:c r="G298" s="36" t="n">
        <x:v>94.9</x:v>
      </x:c>
      <x:c r="H298" s="15" t="str">
        <x:v>Ranked</x:v>
      </x:c>
      <x:c r="I298" s="15" t="str">
        <x:v>Institut Agro</x:v>
      </x:c>
      <x:c r="J298" s="31" t="str">
        <x:v>https://www.timeshighereducation.com/world-university-rankings/institut-agro</x:v>
      </x:c>
      <x:c r="K298" s="31" t="str">
        <x:v>https://www.timeshighereducation.com/rankings/impact/overall/2025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9</x:v>
      </x:c>
      <x:c r="G299" s="36" t="n">
        <x:v>96.1</x:v>
      </x:c>
      <x:c r="H299" s="15" t="str">
        <x:v>Ranked</x:v>
      </x:c>
      <x:c r="I299" s="15" t="str">
        <x:v>Institut Agro</x:v>
      </x:c>
      <x:c r="J299" s="31" t="str">
        <x:v>https://www.timeshighereducation.com/world-university-rankings/institut-agro</x:v>
      </x:c>
      <x:c r="K299" s="31" t="str">
        <x:v>https://www.timeshighereducation.com/impactrankings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n">
        <x:f>37</x:f>
        <x:v>37</x:v>
      </x:c>
      <x:c r="G300" s="36" t="n">
        <x:v>93.1</x:v>
      </x:c>
      <x:c r="H300" s="15" t="str">
        <x:v>Ranked</x:v>
      </x:c>
      <x:c r="I300" s="15" t="str">
        <x:v>National Taiwan University (NTU)</x:v>
      </x:c>
      <x:c r="J300" s="31" t="str">
        <x:v>https://www.timeshighereducation.com/world-university-rankings/national-taiwan-university-ntu</x:v>
      </x:c>
      <x:c r="K300" s="31" t="str">
        <x:v>https://www.timeshighereducation.com/rankings/impact/overall/2022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67</x:f>
        <x:v>67</x:v>
      </x:c>
      <x:c r="G301" s="36" t="n">
        <x:v>90.3</x:v>
      </x:c>
      <x:c r="H301" s="15" t="str">
        <x:v>Ranked</x:v>
      </x:c>
      <x:c r="I301" s="15" t="str">
        <x:v>National Taiwan University (NTU)</x:v>
      </x:c>
      <x:c r="J301" s="31" t="str">
        <x:v>https://www.timeshighereducation.com/world-university-rankings/national-taiwan-university-ntu</x:v>
      </x:c>
      <x:c r="K301" s="31" t="str">
        <x:v>https://www.timeshighereducation.com/rankings/impact/overall/2023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55</x:f>
        <x:v>55</x:v>
      </x:c>
      <x:c r="G302" s="36" t="n">
        <x:v>91.6</x:v>
      </x:c>
      <x:c r="H302" s="15" t="str">
        <x:v>Ranked</x:v>
      </x:c>
      <x:c r="I302" s="15" t="str">
        <x:v>National Taiwan University (NTU)</x:v>
      </x:c>
      <x:c r="J302" s="31" t="str">
        <x:v>https://www.timeshighereducation.com/world-university-rankings/national-taiwan-university-ntu</x:v>
      </x:c>
      <x:c r="K302" s="31" t="str">
        <x:v>https://www.timeshighereducation.com/rankings/impact/overall/2024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14</x:f>
        <x:v>14</x:v>
      </x:c>
      <x:c r="G303" s="36" t="n">
        <x:v>95.6</x:v>
      </x:c>
      <x:c r="H303" s="15" t="str">
        <x:v>Ranked</x:v>
      </x:c>
      <x:c r="I303" s="15" t="str">
        <x:v>National Taiwan University (NTU)</x:v>
      </x:c>
      <x:c r="J303" s="31" t="str">
        <x:v>https://www.timeshighereducation.com/world-university-rankings/national-taiwan-university-ntu</x:v>
      </x:c>
      <x:c r="K303" s="31" t="str">
        <x:v>https://www.timeshighereducation.com/rankings/impact/overall/2025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n">
        <x:f>10</x:f>
        <x:v>10</x:v>
      </x:c>
      <x:c r="G304" s="36" t="n">
        <x:v>96</x:v>
      </x:c>
      <x:c r="H304" s="15" t="str">
        <x:v>Ranked</x:v>
      </x:c>
      <x:c r="I304" s="15" t="str">
        <x:v>National Taiwan University (NTU)</x:v>
      </x:c>
      <x:c r="J304" s="31" t="str">
        <x:v>https://www.timeshighereducation.com/world-university-rankings/national-taiwan-university-ntu</x:v>
      </x:c>
      <x:c r="K304" s="31" t="str">
        <x:v>https://www.timeshighereducation.com/impactrankings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11</x:v>
      </x:c>
      <x:c r="G305" s="36" t="n">
        <x:v>96</x:v>
      </x:c>
      <x:c r="H305" s="15" t="str">
        <x:v>Ranked</x:v>
      </x:c>
      <x:c r="I305" s="15" t="str">
        <x:v>University of Alberta</x:v>
      </x:c>
      <x:c r="J305" s="31" t="str">
        <x:v>https://www.timeshighereducation.com/world-university-rankings/university-alberta</x:v>
      </x:c>
      <x:c r="K305" s="31" t="str">
        <x:v>https://www.timeshighereducation.com/rankings/impact/overall/2022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n">
        <x:f>7</x:f>
        <x:v>7</x:v>
      </x:c>
      <x:c r="G306" s="36" t="n">
        <x:v>96.4</x:v>
      </x:c>
      <x:c r="H306" s="15" t="str">
        <x:v>Ranked</x:v>
      </x:c>
      <x:c r="I306" s="15" t="str">
        <x:v>University of Alberta</x:v>
      </x:c>
      <x:c r="J306" s="31" t="str">
        <x:v>https://www.timeshighereducation.com/world-university-rankings/university-alberta</x:v>
      </x:c>
      <x:c r="K306" s="31" t="str">
        <x:v>https://www.timeshighereducation.com/rankings/impact/overall/2023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str">
        <x:v>6</x:v>
      </x:c>
      <x:c r="G307" s="36" t="n">
        <x:v>97.4</x:v>
      </x:c>
      <x:c r="H307" s="15" t="str">
        <x:v>Ranked</x:v>
      </x:c>
      <x:c r="I307" s="15" t="str">
        <x:v>University of Alberta</x:v>
      </x:c>
      <x:c r="J307" s="31" t="str">
        <x:v>https://www.timeshighereducation.com/world-university-rankings/university-alberta</x:v>
      </x:c>
      <x:c r="K307" s="31" t="str">
        <x:v>https://www.timeshighereducation.com/rankings/impact/overall/2024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str">
        <x:v>8</x:v>
      </x:c>
      <x:c r="G308" s="36" t="n">
        <x:v>97</x:v>
      </x:c>
      <x:c r="H308" s="15" t="str">
        <x:v>Ranked</x:v>
      </x:c>
      <x:c r="I308" s="15" t="str">
        <x:v>University of Alberta</x:v>
      </x:c>
      <x:c r="J308" s="31" t="str">
        <x:v>https://www.timeshighereducation.com/world-university-rankings/university-alberta</x:v>
      </x:c>
      <x:c r="K308" s="31" t="str">
        <x:v>https://www.timeshighereducation.com/rankings/impact/overall/2025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n">
        <x:f>10</x:f>
        <x:v>10</x:v>
      </x:c>
      <x:c r="G309" s="36" t="n">
        <x:v>96</x:v>
      </x:c>
      <x:c r="H309" s="15" t="str">
        <x:v>Ranked</x:v>
      </x:c>
      <x:c r="I309" s="15" t="str">
        <x:v>University of Alberta</x:v>
      </x:c>
      <x:c r="J309" s="31" t="str">
        <x:v>https://www.timeshighereducation.com/world-university-rankings/university-alberta</x:v>
      </x:c>
      <x:c r="K309" s="31" t="str">
        <x:v>https://www.timeshighereducation.com/impactrankings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NR</x:v>
      </x:c>
      <x:c r="G310" s="36"/>
      <x:c r="H310" s="15" t="str">
        <x:v>Not ranked in complete official table</x:v>
      </x:c>
      <x:c r="I310" s="15" t="str"/>
      <x:c r="J310" s="31" t="str"/>
      <x:c r="K310" s="31" t="str">
        <x:v>https://www.timeshighereducation.com/rankings/impact/overall/2022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401–600</x:v>
      </x:c>
      <x:c r="G311" s="36" t="str">
        <x:v>66.9–72.6</x:v>
      </x:c>
      <x:c r="H311" s="15" t="str">
        <x:v>Ranked</x:v>
      </x:c>
      <x:c r="I311" s="15" t="str">
        <x:v>Korea University</x:v>
      </x:c>
      <x:c r="J311" s="31" t="str">
        <x:v>https://www.timeshighereducation.com/world-university-rankings/korea-university</x:v>
      </x:c>
      <x:c r="K311" s="31" t="str">
        <x:v>https://www.timeshighereducation.com/rankings/impact/overall/2023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str">
        <x:v>301–400</x:v>
      </x:c>
      <x:c r="G312" s="36" t="str">
        <x:v>75.8–79.2</x:v>
      </x:c>
      <x:c r="H312" s="15" t="str">
        <x:v>Ranked</x:v>
      </x:c>
      <x:c r="I312" s="15" t="str">
        <x:v>Korea University</x:v>
      </x:c>
      <x:c r="J312" s="31" t="str">
        <x:v>https://www.timeshighereducation.com/world-university-rankings/korea-university</x:v>
      </x:c>
      <x:c r="K312" s="31" t="str">
        <x:v>https://www.timeshighereducation.com/rankings/impact/overall/2024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n">
        <x:f>71</x:f>
        <x:v>71</x:v>
      </x:c>
      <x:c r="G313" s="36" t="n">
        <x:v>91</x:v>
      </x:c>
      <x:c r="H313" s="15" t="str">
        <x:v>Ranked</x:v>
      </x:c>
      <x:c r="I313" s="15" t="str">
        <x:v>Korea University</x:v>
      </x:c>
      <x:c r="J313" s="31" t="str">
        <x:v>https://www.timeshighereducation.com/world-university-rankings/korea-university</x:v>
      </x:c>
      <x:c r="K313" s="31" t="str">
        <x:v>https://www.timeshighereducation.com/rankings/impact/overall/2025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12</x:f>
        <x:v>12</x:v>
      </x:c>
      <x:c r="G314" s="36" t="n">
        <x:v>95.9</x:v>
      </x:c>
      <x:c r="H314" s="15" t="str">
        <x:v>Ranked</x:v>
      </x:c>
      <x:c r="I314" s="15" t="str">
        <x:v>Korea University</x:v>
      </x:c>
      <x:c r="J314" s="31" t="str">
        <x:v>https://www.timeshighereducation.com/world-university-rankings/korea-university</x:v>
      </x:c>
      <x:c r="K314" s="31" t="str">
        <x:v>https://www.timeshighereducation.com/impactrankings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201–300</x:v>
      </x:c>
      <x:c r="G315" s="36" t="str">
        <x:v>76.9–82.0</x:v>
      </x:c>
      <x:c r="H315" s="15" t="str">
        <x:v>Ranked</x:v>
      </x:c>
      <x:c r="I315" s="15" t="str">
        <x:v>Universitas Airlangga</x:v>
      </x:c>
      <x:c r="J315" s="31" t="str">
        <x:v>https://www.timeshighereducation.com/world-university-rankings/universitas-airlangga</x:v>
      </x:c>
      <x:c r="K315" s="31" t="str">
        <x:v>https://www.timeshighereducation.com/rankings/impact/overall/2022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101–200</x:v>
      </x:c>
      <x:c r="G316" s="36" t="str">
        <x:v>82.2–88.2</x:v>
      </x:c>
      <x:c r="H316" s="15" t="str">
        <x:v>Ranked</x:v>
      </x:c>
      <x:c r="I316" s="15" t="str">
        <x:v>Universitas Airlangga</x:v>
      </x:c>
      <x:c r="J316" s="31" t="str">
        <x:v>https://www.timeshighereducation.com/world-university-rankings/universitas-airlangga</x:v>
      </x:c>
      <x:c r="K316" s="31" t="str">
        <x:v>https://www.timeshighereducation.com/rankings/impact/overall/2023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n">
        <x:f>81</x:f>
        <x:v>81</x:v>
      </x:c>
      <x:c r="G317" s="36" t="n">
        <x:v>90.3</x:v>
      </x:c>
      <x:c r="H317" s="15" t="str">
        <x:v>Ranked</x:v>
      </x:c>
      <x:c r="I317" s="15" t="str">
        <x:v>Universitas Airlangga</x:v>
      </x:c>
      <x:c r="J317" s="31" t="str">
        <x:v>https://www.timeshighereducation.com/world-university-rankings/universitas-airlangga</x:v>
      </x:c>
      <x:c r="K317" s="31" t="str">
        <x:v>https://www.timeshighereducation.com/rankings/impact/overall/2024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n">
        <x:f>9</x:f>
        <x:v>9</x:v>
      </x:c>
      <x:c r="G318" s="36" t="n">
        <x:v>96.9</x:v>
      </x:c>
      <x:c r="H318" s="15" t="str">
        <x:v>Ranked</x:v>
      </x:c>
      <x:c r="I318" s="15" t="str">
        <x:v>Universitas Airlangga</x:v>
      </x:c>
      <x:c r="J318" s="31" t="str">
        <x:v>https://www.timeshighereducation.com/world-university-rankings/universitas-airlangga</x:v>
      </x:c>
      <x:c r="K318" s="31" t="str">
        <x:v>https://www.timeshighereducation.com/rankings/impact/overall/2025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str">
        <x:v>15</x:v>
      </x:c>
      <x:c r="G319" s="36" t="n">
        <x:v>95.7</x:v>
      </x:c>
      <x:c r="H319" s="15" t="str">
        <x:v>Ranked</x:v>
      </x:c>
      <x:c r="I319" s="15" t="str">
        <x:v>Universitas Airlangga</x:v>
      </x:c>
      <x:c r="J319" s="31" t="str">
        <x:v>https://www.timeshighereducation.com/world-university-rankings/universitas-airlangga</x:v>
      </x:c>
      <x:c r="K319" s="31" t="str">
        <x:v>https://www.timeshighereducation.com/impactrankings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301–400</x:v>
      </x:c>
      <x:c r="G320" s="36" t="str">
        <x:v>72.0–76.7</x:v>
      </x:c>
      <x:c r="H320" s="15" t="str">
        <x:v>Ranked</x:v>
      </x:c>
      <x:c r="I320" s="15" t="str">
        <x:v>Pusan National University</x:v>
      </x:c>
      <x:c r="J320" s="31" t="str">
        <x:v>https://www.timeshighereducation.com/world-university-rankings/pusan-national-university</x:v>
      </x:c>
      <x:c r="K320" s="31" t="str">
        <x:v>https://www.timeshighereducation.com/rankings/impact/overall/2022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201–300</x:v>
      </x:c>
      <x:c r="G321" s="36" t="str">
        <x:v>76.8–82.1</x:v>
      </x:c>
      <x:c r="H321" s="15" t="str">
        <x:v>Ranked</x:v>
      </x:c>
      <x:c r="I321" s="15" t="str">
        <x:v>Pusan National University</x:v>
      </x:c>
      <x:c r="J321" s="31" t="str">
        <x:v>https://www.timeshighereducation.com/world-university-rankings/pusan-national-university</x:v>
      </x:c>
      <x:c r="K321" s="31" t="str">
        <x:v>https://www.timeshighereducation.com/rankings/impact/overall/2023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n">
        <x:f>67</x:f>
        <x:v>67</x:v>
      </x:c>
      <x:c r="G322" s="36" t="n">
        <x:v>90.7</x:v>
      </x:c>
      <x:c r="H322" s="15" t="str">
        <x:v>Ranked</x:v>
      </x:c>
      <x:c r="I322" s="15" t="str">
        <x:v>Pusan National University</x:v>
      </x:c>
      <x:c r="J322" s="31" t="str">
        <x:v>https://www.timeshighereducation.com/world-university-rankings/pusan-national-university</x:v>
      </x:c>
      <x:c r="K322" s="31" t="str">
        <x:v>https://www.timeshighereducation.com/rankings/impact/overall/2024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str">
        <x:v>13</x:v>
      </x:c>
      <x:c r="G323" s="36" t="n">
        <x:v>95.7</x:v>
      </x:c>
      <x:c r="H323" s="15" t="str">
        <x:v>Ranked</x:v>
      </x:c>
      <x:c r="I323" s="15" t="str">
        <x:v>Pusan National University</x:v>
      </x:c>
      <x:c r="J323" s="31" t="str">
        <x:v>https://www.timeshighereducation.com/world-university-rankings/pusan-national-university</x:v>
      </x:c>
      <x:c r="K323" s="31" t="str">
        <x:v>https://www.timeshighereducation.com/rankings/impact/overall/2025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n">
        <x:f>16</x:f>
        <x:v>16</x:v>
      </x:c>
      <x:c r="G324" s="36" t="n">
        <x:v>95.6</x:v>
      </x:c>
      <x:c r="H324" s="15" t="str">
        <x:v>Ranked</x:v>
      </x:c>
      <x:c r="I324" s="15" t="str">
        <x:v>Pusan National University</x:v>
      </x:c>
      <x:c r="J324" s="31" t="str">
        <x:v>https://www.timeshighereducation.com/world-university-rankings/pusan-national-university</x:v>
      </x:c>
      <x:c r="K324" s="31" t="str">
        <x:v>https://www.timeshighereducation.com/impactrankings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25</x:v>
      </x:c>
      <x:c r="G325" s="36" t="n">
        <x:v>94.3</x:v>
      </x:c>
      <x:c r="H325" s="15" t="str">
        <x:v>Ranked</x:v>
      </x:c>
      <x:c r="I325" s="15" t="str">
        <x:v>University of Tasmania</x:v>
      </x:c>
      <x:c r="J325" s="31" t="str">
        <x:v>https://www.timeshighereducation.com/world-university-rankings/university-tasmania</x:v>
      </x:c>
      <x:c r="K325" s="31" t="str">
        <x:v>https://www.timeshighereducation.com/rankings/impact/overall/2022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5</x:v>
      </x:c>
      <x:c r="G326" s="36" t="n">
        <x:v>96.6</x:v>
      </x:c>
      <x:c r="H326" s="15" t="str">
        <x:v>Ranked</x:v>
      </x:c>
      <x:c r="I326" s="15" t="str">
        <x:v>University of Tasmania</x:v>
      </x:c>
      <x:c r="J326" s="31" t="str">
        <x:v>https://www.timeshighereducation.com/world-university-rankings/university-tasmania</x:v>
      </x:c>
      <x:c r="K326" s="31" t="str">
        <x:v>https://www.timeshighereducation.com/rankings/impact/overall/2023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n">
        <x:f>2</x:f>
        <x:v>2</x:v>
      </x:c>
      <x:c r="G327" s="36" t="n">
        <x:v>98.5</x:v>
      </x:c>
      <x:c r="H327" s="15" t="str">
        <x:v>Ranked</x:v>
      </x:c>
      <x:c r="I327" s="15" t="str">
        <x:v>University of Tasmania</x:v>
      </x:c>
      <x:c r="J327" s="31" t="str">
        <x:v>https://www.timeshighereducation.com/world-university-rankings/university-tasmania</x:v>
      </x:c>
      <x:c r="K327" s="31" t="str">
        <x:v>https://www.timeshighereducation.com/rankings/impact/overall/2024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n">
        <x:f>4</x:f>
        <x:v>4</x:v>
      </x:c>
      <x:c r="G328" s="36" t="n">
        <x:v>97.7</x:v>
      </x:c>
      <x:c r="H328" s="15" t="str">
        <x:v>Ranked</x:v>
      </x:c>
      <x:c r="I328" s="15" t="str">
        <x:v>University of Tasmania</x:v>
      </x:c>
      <x:c r="J328" s="31" t="str">
        <x:v>https://www.timeshighereducation.com/world-university-rankings/university-tasmania</x:v>
      </x:c>
      <x:c r="K328" s="31" t="str">
        <x:v>https://www.timeshighereducation.com/rankings/impact/overall/2025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n">
        <x:f>16</x:f>
        <x:v>16</x:v>
      </x:c>
      <x:c r="G329" s="36" t="n">
        <x:v>95.6</x:v>
      </x:c>
      <x:c r="H329" s="15" t="str">
        <x:v>Ranked</x:v>
      </x:c>
      <x:c r="I329" s="15" t="str">
        <x:v>University of Tasmania</x:v>
      </x:c>
      <x:c r="J329" s="31" t="str">
        <x:v>https://www.timeshighereducation.com/world-university-rankings/university-tasmania</x:v>
      </x:c>
      <x:c r="K329" s="31" t="str">
        <x:v>https://www.timeshighereducation.com/impactrankings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n">
        <x:f>37</x:f>
        <x:v>37</x:v>
      </x:c>
      <x:c r="G330" s="36" t="n">
        <x:v>93.1</x:v>
      </x:c>
      <x:c r="H330" s="15" t="str">
        <x:v>Ranked</x:v>
      </x:c>
      <x:c r="I330" s="15" t="str">
        <x:v>McMaster University</x:v>
      </x:c>
      <x:c r="J330" s="31" t="str">
        <x:v>https://www.timeshighereducation.com/world-university-rankings/mcmaster-university</x:v>
      </x:c>
      <x:c r="K330" s="31" t="str">
        <x:v>https://www.timeshighereducation.com/rankings/impact/overall/2022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33</x:v>
      </x:c>
      <x:c r="G331" s="36" t="n">
        <x:v>92.7</x:v>
      </x:c>
      <x:c r="H331" s="15" t="str">
        <x:v>Ranked</x:v>
      </x:c>
      <x:c r="I331" s="15" t="str">
        <x:v>McMaster University</x:v>
      </x:c>
      <x:c r="J331" s="31" t="str">
        <x:v>https://www.timeshighereducation.com/world-university-rankings/mcmaster-university</x:v>
      </x:c>
      <x:c r="K331" s="31" t="str">
        <x:v>https://www.timeshighereducation.com/rankings/impact/overall/2023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str">
        <x:v>30</x:v>
      </x:c>
      <x:c r="G332" s="36" t="n">
        <x:v>93.9</x:v>
      </x:c>
      <x:c r="H332" s="15" t="str">
        <x:v>Ranked</x:v>
      </x:c>
      <x:c r="I332" s="15" t="str">
        <x:v>McMaster University</x:v>
      </x:c>
      <x:c r="J332" s="31" t="str">
        <x:v>https://www.timeshighereducation.com/world-university-rankings/mcmaster-university</x:v>
      </x:c>
      <x:c r="K332" s="31" t="str">
        <x:v>https://www.timeshighereducation.com/rankings/impact/overall/2024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14</x:f>
        <x:v>14</x:v>
      </x:c>
      <x:c r="G333" s="36" t="n">
        <x:v>95.6</x:v>
      </x:c>
      <x:c r="H333" s="15" t="str">
        <x:v>Ranked</x:v>
      </x:c>
      <x:c r="I333" s="15" t="str">
        <x:v>McMaster University</x:v>
      </x:c>
      <x:c r="J333" s="31" t="str">
        <x:v>https://www.timeshighereducation.com/world-university-rankings/mcmaster-university</x:v>
      </x:c>
      <x:c r="K333" s="31" t="str">
        <x:v>https://www.timeshighereducation.com/rankings/impact/overall/2025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str">
        <x:v>18</x:v>
      </x:c>
      <x:c r="G334" s="36" t="n">
        <x:v>95.5</x:v>
      </x:c>
      <x:c r="H334" s="15" t="str">
        <x:v>Ranked</x:v>
      </x:c>
      <x:c r="I334" s="15" t="str">
        <x:v>McMaster University</x:v>
      </x:c>
      <x:c r="J334" s="31" t="str">
        <x:v>https://www.timeshighereducation.com/world-university-rankings/mcmaster-university</x:v>
      </x:c>
      <x:c r="K334" s="31" t="str">
        <x:v>https://www.timeshighereducation.com/impactrankings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n">
        <x:f>16</x:f>
        <x:v>16</x:v>
      </x:c>
      <x:c r="G335" s="36" t="n">
        <x:v>95.2</x:v>
      </x:c>
      <x:c r="H335" s="15" t="str">
        <x:v>Ranked</x:v>
      </x:c>
      <x:c r="I335" s="15" t="str">
        <x:v>Chulalongkorn University</x:v>
      </x:c>
      <x:c r="J335" s="31" t="str">
        <x:v>https://www.timeshighereducation.com/world-university-rankings/chulalongkorn-university</x:v>
      </x:c>
      <x:c r="K335" s="31" t="str">
        <x:v>https://www.timeshighereducation.com/rankings/impact/overall/2022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17</x:v>
      </x:c>
      <x:c r="G336" s="36" t="n">
        <x:v>94.8</x:v>
      </x:c>
      <x:c r="H336" s="15" t="str">
        <x:v>Ranked</x:v>
      </x:c>
      <x:c r="I336" s="15" t="str">
        <x:v>Chulalongkorn University</x:v>
      </x:c>
      <x:c r="J336" s="31" t="str">
        <x:v>https://www.timeshighereducation.com/world-university-rankings/chulalongkorn-university</x:v>
      </x:c>
      <x:c r="K336" s="31" t="str">
        <x:v>https://www.timeshighereducation.com/rankings/impact/overall/2023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str">
        <x:v>43</x:v>
      </x:c>
      <x:c r="G337" s="36" t="n">
        <x:v>92.6</x:v>
      </x:c>
      <x:c r="H337" s="15" t="str">
        <x:v>Ranked</x:v>
      </x:c>
      <x:c r="I337" s="15" t="str">
        <x:v>Chulalongkorn University</x:v>
      </x:c>
      <x:c r="J337" s="31" t="str">
        <x:v>https://www.timeshighereducation.com/world-university-rankings/chulalongkorn-university</x:v>
      </x:c>
      <x:c r="K337" s="31" t="str">
        <x:v>https://www.timeshighereducation.com/rankings/impact/overall/2024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n">
        <x:f>44</x:f>
        <x:v>44</x:v>
      </x:c>
      <x:c r="G338" s="36" t="n">
        <x:v>92.7</x:v>
      </x:c>
      <x:c r="H338" s="15" t="str">
        <x:v>Ranked</x:v>
      </x:c>
      <x:c r="I338" s="15" t="str">
        <x:v>Chulalongkorn University</x:v>
      </x:c>
      <x:c r="J338" s="31" t="str">
        <x:v>https://www.timeshighereducation.com/world-university-rankings/chulalongkorn-university</x:v>
      </x:c>
      <x:c r="K338" s="31" t="str">
        <x:v>https://www.timeshighereducation.com/rankings/impact/overall/2025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19</x:v>
      </x:c>
      <x:c r="G339" s="36" t="n">
        <x:v>95.4</x:v>
      </x:c>
      <x:c r="H339" s="15" t="str">
        <x:v>Ranked</x:v>
      </x:c>
      <x:c r="I339" s="15" t="str">
        <x:v>Chulalongkorn University</x:v>
      </x:c>
      <x:c r="J339" s="31" t="str">
        <x:v>https://www.timeshighereducation.com/world-university-rankings/chulalongkorn-university</x:v>
      </x:c>
      <x:c r="K339" s="31" t="str">
        <x:v>https://www.timeshighereducation.com/impactrankings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n">
        <x:f>13</x:f>
        <x:v>13</x:v>
      </x:c>
      <x:c r="G340" s="36" t="n">
        <x:v>95.8</x:v>
      </x:c>
      <x:c r="H340" s="15" t="str">
        <x:v>Ranked</x:v>
      </x:c>
      <x:c r="I340" s="15" t="str">
        <x:v>Kyungpook National University (KNU)</x:v>
      </x:c>
      <x:c r="J340" s="31" t="str">
        <x:v>https://www.timeshighereducation.com/world-university-rankings/kyungpook-national-university-knu</x:v>
      </x:c>
      <x:c r="K340" s="31" t="str">
        <x:v>https://www.timeshighereducation.com/rankings/impact/overall/2022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n">
        <x:f>42</x:f>
        <x:v>42</x:v>
      </x:c>
      <x:c r="G341" s="36" t="n">
        <x:v>91.9</x:v>
      </x:c>
      <x:c r="H341" s="15" t="str">
        <x:v>Ranked</x:v>
      </x:c>
      <x:c r="I341" s="15" t="str">
        <x:v>Kyungpook National University (KNU)</x:v>
      </x:c>
      <x:c r="J341" s="31" t="str">
        <x:v>https://www.timeshighereducation.com/world-university-rankings/kyungpook-national-university-knu</x:v>
      </x:c>
      <x:c r="K341" s="31" t="str">
        <x:v>https://www.timeshighereducation.com/rankings/impact/overall/2023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n">
        <x:f>39</x:f>
        <x:v>39</x:v>
      </x:c>
      <x:c r="G342" s="36" t="n">
        <x:v>92.9</x:v>
      </x:c>
      <x:c r="H342" s="15" t="str">
        <x:v>Ranked</x:v>
      </x:c>
      <x:c r="I342" s="15" t="str">
        <x:v>Kyungpook National University (KNU)</x:v>
      </x:c>
      <x:c r="J342" s="31" t="str">
        <x:v>https://www.timeshighereducation.com/world-university-rankings/kyungpook-national-university-knu</x:v>
      </x:c>
      <x:c r="K342" s="31" t="str">
        <x:v>https://www.timeshighereducation.com/rankings/impact/overall/2024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str">
        <x:v>3</x:v>
      </x:c>
      <x:c r="G343" s="36" t="n">
        <x:v>97.8</x:v>
      </x:c>
      <x:c r="H343" s="15" t="str">
        <x:v>Ranked</x:v>
      </x:c>
      <x:c r="I343" s="15" t="str">
        <x:v>Kyungpook National University (KNU)</x:v>
      </x:c>
      <x:c r="J343" s="31" t="str">
        <x:v>https://www.timeshighereducation.com/world-university-rankings/kyungpook-national-university-knu</x:v>
      </x:c>
      <x:c r="K343" s="31" t="str">
        <x:v>https://www.timeshighereducation.com/rankings/impact/overall/2025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n">
        <x:f>20</x:f>
        <x:v>20</x:v>
      </x:c>
      <x:c r="G344" s="36" t="n">
        <x:v>95.3</x:v>
      </x:c>
      <x:c r="H344" s="15" t="str">
        <x:v>Ranked</x:v>
      </x:c>
      <x:c r="I344" s="15" t="str">
        <x:v>Kyungpook National University (KNU)</x:v>
      </x:c>
      <x:c r="J344" s="31" t="str">
        <x:v>https://www.timeshighereducation.com/world-university-rankings/kyungpook-national-university-knu</x:v>
      </x:c>
      <x:c r="K344" s="31" t="str">
        <x:v>https://www.timeshighereducation.com/impactrankings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NR</x:v>
      </x:c>
      <x:c r="G345" s="36"/>
      <x:c r="H345" s="15" t="str">
        <x:v>Not ranked in complete official table</x:v>
      </x:c>
      <x:c r="I345" s="15" t="str"/>
      <x:c r="J345" s="31" t="str"/>
      <x:c r="K345" s="31" t="str">
        <x:v>https://www.timeshighereducation.com/rankings/impact/overall/2022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NR</x:v>
      </x:c>
      <x:c r="G346" s="36"/>
      <x:c r="H346" s="15" t="str">
        <x:v>Not ranked in complete official table</x:v>
      </x:c>
      <x:c r="I346" s="15" t="str"/>
      <x:c r="J346" s="31" t="str"/>
      <x:c r="K346" s="31" t="str">
        <x:v>https://www.timeshighereducation.com/rankings/impact/overall/2023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19</x:f>
        <x:v>19</x:v>
      </x:c>
      <x:c r="G347" s="36" t="n">
        <x:v>94.9</x:v>
      </x:c>
      <x:c r="H347" s="15" t="str">
        <x:v>Ranked</x:v>
      </x:c>
      <x:c r="I347" s="15" t="str">
        <x:v>The Hong Kong University of Science and Technology</x:v>
      </x:c>
      <x:c r="J347" s="31" t="str">
        <x:v>https://www.timeshighereducation.com/world-university-rankings/hong-kong-university-science-and-technology</x:v>
      </x:c>
      <x:c r="K347" s="31" t="str">
        <x:v>https://www.timeshighereducation.com/rankings/impact/overall/2024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n">
        <x:f>19</x:f>
        <x:v>19</x:v>
      </x:c>
      <x:c r="G348" s="36" t="n">
        <x:v>95.5</x:v>
      </x:c>
      <x:c r="H348" s="15" t="str">
        <x:v>Ranked</x:v>
      </x:c>
      <x:c r="I348" s="15" t="str">
        <x:v>The Hong Kong University of Science and Technology</x:v>
      </x:c>
      <x:c r="J348" s="31" t="str">
        <x:v>https://www.timeshighereducation.com/world-university-rankings/hong-kong-university-science-and-technology</x:v>
      </x:c>
      <x:c r="K348" s="31" t="str">
        <x:v>https://www.timeshighereducation.com/rankings/impact/overall/2025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20</x:f>
        <x:v>20</x:v>
      </x:c>
      <x:c r="G349" s="36" t="n">
        <x:v>95.3</x:v>
      </x:c>
      <x:c r="H349" s="15" t="str">
        <x:v>Ranked</x:v>
      </x:c>
      <x:c r="I349" s="15" t="str">
        <x:v>The Hong Kong University of Science and Technology</x:v>
      </x:c>
      <x:c r="J349" s="31" t="str">
        <x:v>https://www.timeshighereducation.com/world-university-rankings/hong-kong-university-science-and-technology</x:v>
      </x:c>
      <x:c r="K349" s="31" t="str">
        <x:v>https://www.timeshighereducation.com/impactrankings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n">
        <x:f>74</x:f>
        <x:v>74</x:v>
      </x:c>
      <x:c r="G350" s="36" t="n">
        <x:v>90.2</x:v>
      </x:c>
      <x:c r="H350" s="15" t="str">
        <x:v>Ranked</x:v>
      </x:c>
      <x:c r="I350" s="15" t="str">
        <x:v>Lovely Professional University</x:v>
      </x:c>
      <x:c r="J350" s="31" t="str">
        <x:v>https://www.timeshighereducation.com/world-university-rankings/lovely-professional-university</x:v>
      </x:c>
      <x:c r="K350" s="31" t="str">
        <x:v>https://www.timeshighereducation.com/rankings/impact/overall/2022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101–200</x:v>
      </x:c>
      <x:c r="G351" s="36" t="str">
        <x:v>82.2–88.2</x:v>
      </x:c>
      <x:c r="H351" s="15" t="str">
        <x:v>Ranked</x:v>
      </x:c>
      <x:c r="I351" s="15" t="str">
        <x:v>Lovely Professional University</x:v>
      </x:c>
      <x:c r="J351" s="31" t="str">
        <x:v>https://www.timeshighereducation.com/world-university-rankings/lovely-professional-university</x:v>
      </x:c>
      <x:c r="K351" s="31" t="str">
        <x:v>https://www.timeshighereducation.com/rankings/impact/overall/2023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str">
        <x:v>101–200</x:v>
      </x:c>
      <x:c r="G352" s="36" t="str">
        <x:v>84.0–89.1</x:v>
      </x:c>
      <x:c r="H352" s="15" t="str">
        <x:v>Ranked</x:v>
      </x:c>
      <x:c r="I352" s="15" t="str">
        <x:v>Lovely Professional University</x:v>
      </x:c>
      <x:c r="J352" s="31" t="str">
        <x:v>https://www.timeshighereducation.com/world-university-rankings/lovely-professional-university</x:v>
      </x:c>
      <x:c r="K352" s="31" t="str">
        <x:v>https://www.timeshighereducation.com/rankings/impact/overall/2024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n">
        <x:f>48</x:f>
        <x:v>48</x:v>
      </x:c>
      <x:c r="G353" s="36" t="n">
        <x:v>92.6</x:v>
      </x:c>
      <x:c r="H353" s="15" t="str">
        <x:v>Ranked</x:v>
      </x:c>
      <x:c r="I353" s="15" t="str">
        <x:v>Lovely Professional University</x:v>
      </x:c>
      <x:c r="J353" s="31" t="str">
        <x:v>https://www.timeshighereducation.com/world-university-rankings/lovely-professional-university</x:v>
      </x:c>
      <x:c r="K353" s="31" t="str">
        <x:v>https://www.timeshighereducation.com/rankings/impact/overall/2025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str">
        <x:v>23</x:v>
      </x:c>
      <x:c r="G354" s="36" t="n">
        <x:v>95.2</x:v>
      </x:c>
      <x:c r="H354" s="15" t="str">
        <x:v>Ranked</x:v>
      </x:c>
      <x:c r="I354" s="15" t="str">
        <x:v>Lovely Professional University</x:v>
      </x:c>
      <x:c r="J354" s="31" t="str">
        <x:v>https://www.timeshighereducation.com/world-university-rankings/lovely-professional-university</x:v>
      </x:c>
      <x:c r="K354" s="31" t="str">
        <x:v>https://www.timeshighereducation.com/impactrankings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201–300</x:v>
      </x:c>
      <x:c r="G355" s="36" t="str">
        <x:v>76.9–82.0</x:v>
      </x:c>
      <x:c r="H355" s="15" t="str">
        <x:v>Ranked</x:v>
      </x:c>
      <x:c r="I355" s="15" t="str">
        <x:v>University of Malaya</x:v>
      </x:c>
      <x:c r="J355" s="31" t="str">
        <x:v>https://www.timeshighereducation.com/world-university-rankings/university-malaya</x:v>
      </x:c>
      <x:c r="K355" s="31" t="str">
        <x:v>https://www.timeshighereducation.com/rankings/impact/overall/2022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str">
        <x:v>101–200</x:v>
      </x:c>
      <x:c r="G356" s="36" t="str">
        <x:v>82.2–88.2</x:v>
      </x:c>
      <x:c r="H356" s="15" t="str">
        <x:v>Ranked</x:v>
      </x:c>
      <x:c r="I356" s="15" t="str">
        <x:v>University of Malaya</x:v>
      </x:c>
      <x:c r="J356" s="31" t="str">
        <x:v>https://www.timeshighereducation.com/world-university-rankings/university-malaya</x:v>
      </x:c>
      <x:c r="K356" s="31" t="str">
        <x:v>https://www.timeshighereducation.com/rankings/impact/overall/2023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str">
        <x:v>63</x:v>
      </x:c>
      <x:c r="G357" s="36" t="n">
        <x:v>91.1</x:v>
      </x:c>
      <x:c r="H357" s="15" t="str">
        <x:v>Ranked</x:v>
      </x:c>
      <x:c r="I357" s="15" t="str">
        <x:v>University of Malaya</x:v>
      </x:c>
      <x:c r="J357" s="31" t="str">
        <x:v>https://www.timeshighereducation.com/world-university-rankings/university-malaya</x:v>
      </x:c>
      <x:c r="K357" s="31" t="str">
        <x:v>https://www.timeshighereducation.com/rankings/impact/overall/2024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n">
        <x:f>25</x:f>
        <x:v>25</x:v>
      </x:c>
      <x:c r="G358" s="36" t="n">
        <x:v>94.7</x:v>
      </x:c>
      <x:c r="H358" s="15" t="str">
        <x:v>Ranked</x:v>
      </x:c>
      <x:c r="I358" s="15" t="str">
        <x:v>University of Malaya</x:v>
      </x:c>
      <x:c r="J358" s="31" t="str">
        <x:v>https://www.timeshighereducation.com/world-university-rankings/university-malaya</x:v>
      </x:c>
      <x:c r="K358" s="31" t="str">
        <x:v>https://www.timeshighereducation.com/rankings/impact/overall/2025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str">
        <x:v>24</x:v>
      </x:c>
      <x:c r="G359" s="36" t="n">
        <x:v>95</x:v>
      </x:c>
      <x:c r="H359" s="15" t="str">
        <x:v>Ranked</x:v>
      </x:c>
      <x:c r="I359" s="15" t="str">
        <x:v>University of Malaya</x:v>
      </x:c>
      <x:c r="J359" s="31" t="str">
        <x:v>https://www.timeshighereducation.com/world-university-rankings/university-malaya</x:v>
      </x:c>
      <x:c r="K359" s="31" t="str">
        <x:v>https://www.timeshighereducation.com/impactrankings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n">
        <x:f>31</x:f>
        <x:v>31</x:v>
      </x:c>
      <x:c r="G360" s="36" t="n">
        <x:v>93.6</x:v>
      </x:c>
      <x:c r="H360" s="15" t="str">
        <x:v>Ranked</x:v>
      </x:c>
      <x:c r="I360" s="15" t="str">
        <x:v>Aalborg University</x:v>
      </x:c>
      <x:c r="J360" s="31" t="str">
        <x:v>https://www.timeshighereducation.com/world-university-rankings/aalborg-university</x:v>
      </x:c>
      <x:c r="K360" s="31" t="str">
        <x:v>https://www.timeshighereducation.com/rankings/impact/overall/2022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n">
        <x:f>9</x:f>
        <x:v>9</x:v>
      </x:c>
      <x:c r="G361" s="36" t="n">
        <x:v>95.8</x:v>
      </x:c>
      <x:c r="H361" s="15" t="str">
        <x:v>Ranked</x:v>
      </x:c>
      <x:c r="I361" s="15" t="str">
        <x:v>Aalborg University</x:v>
      </x:c>
      <x:c r="J361" s="31" t="str">
        <x:v>https://www.timeshighereducation.com/world-university-rankings/aalborg-university</x:v>
      </x:c>
      <x:c r="K361" s="31" t="str">
        <x:v>https://www.timeshighereducation.com/rankings/impact/overall/2023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4</x:v>
      </x:c>
      <x:c r="G362" s="36" t="n">
        <x:v>98</x:v>
      </x:c>
      <x:c r="H362" s="15" t="str">
        <x:v>Ranked</x:v>
      </x:c>
      <x:c r="I362" s="15" t="str">
        <x:v>Aalborg University</x:v>
      </x:c>
      <x:c r="J362" s="31" t="str">
        <x:v>https://www.timeshighereducation.com/world-university-rankings/aalborg-university</x:v>
      </x:c>
      <x:c r="K362" s="31" t="str">
        <x:v>https://www.timeshighereducation.com/rankings/impact/overall/2024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n">
        <x:f>9</x:f>
        <x:v>9</x:v>
      </x:c>
      <x:c r="G363" s="36" t="n">
        <x:v>96.9</x:v>
      </x:c>
      <x:c r="H363" s="15" t="str">
        <x:v>Ranked</x:v>
      </x:c>
      <x:c r="I363" s="15" t="str">
        <x:v>Aalborg University</x:v>
      </x:c>
      <x:c r="J363" s="31" t="str">
        <x:v>https://www.timeshighereducation.com/world-university-rankings/aalborg-university</x:v>
      </x:c>
      <x:c r="K363" s="31" t="str">
        <x:v>https://www.timeshighereducation.com/rankings/impact/overall/2025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str">
        <x:v>25</x:v>
      </x:c>
      <x:c r="G364" s="36" t="n">
        <x:v>94.9</x:v>
      </x:c>
      <x:c r="H364" s="15" t="str">
        <x:v>Ranked</x:v>
      </x:c>
      <x:c r="I364" s="15" t="str">
        <x:v>Aalborg University</x:v>
      </x:c>
      <x:c r="J364" s="31" t="str">
        <x:v>https://www.timeshighereducation.com/world-university-rankings/aalborg-university</x:v>
      </x:c>
      <x:c r="K364" s="31" t="str">
        <x:v>https://www.timeshighereducation.com/impactrankings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n">
        <x:f>74</x:f>
        <x:v>74</x:v>
      </x:c>
      <x:c r="G365" s="36" t="n">
        <x:v>90.2</x:v>
      </x:c>
      <x:c r="H365" s="15" t="str">
        <x:v>Ranked</x:v>
      </x:c>
      <x:c r="I365" s="15" t="str">
        <x:v>Kyung Hee University</x:v>
      </x:c>
      <x:c r="J365" s="31" t="str">
        <x:v>https://www.timeshighereducation.com/world-university-rankings/kyung-hee-university</x:v>
      </x:c>
      <x:c r="K365" s="31" t="str">
        <x:v>https://www.timeshighereducation.com/rankings/impact/overall/2022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n">
        <x:f>42</x:f>
        <x:v>42</x:v>
      </x:c>
      <x:c r="G366" s="36" t="n">
        <x:v>91.9</x:v>
      </x:c>
      <x:c r="H366" s="15" t="str">
        <x:v>Ranked</x:v>
      </x:c>
      <x:c r="I366" s="15" t="str">
        <x:v>Kyung Hee University</x:v>
      </x:c>
      <x:c r="J366" s="31" t="str">
        <x:v>https://www.timeshighereducation.com/world-university-rankings/kyung-hee-university</x:v>
      </x:c>
      <x:c r="K366" s="31" t="str">
        <x:v>https://www.timeshighereducation.com/rankings/impact/overall/2023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str">
        <x:v>23</x:v>
      </x:c>
      <x:c r="G367" s="36" t="n">
        <x:v>94.3</x:v>
      </x:c>
      <x:c r="H367" s="15" t="str">
        <x:v>Ranked</x:v>
      </x:c>
      <x:c r="I367" s="15" t="str">
        <x:v>Kyung Hee University</x:v>
      </x:c>
      <x:c r="J367" s="31" t="str">
        <x:v>https://www.timeshighereducation.com/world-university-rankings/kyung-hee-university</x:v>
      </x:c>
      <x:c r="K367" s="31" t="str">
        <x:v>https://www.timeshighereducation.com/rankings/impact/overall/2024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n">
        <x:f>19</x:f>
        <x:v>19</x:v>
      </x:c>
      <x:c r="G368" s="36" t="n">
        <x:v>95.5</x:v>
      </x:c>
      <x:c r="H368" s="15" t="str">
        <x:v>Ranked</x:v>
      </x:c>
      <x:c r="I368" s="15" t="str">
        <x:v>Kyung Hee University</x:v>
      </x:c>
      <x:c r="J368" s="31" t="str">
        <x:v>https://www.timeshighereducation.com/world-university-rankings/kyung-hee-university</x:v>
      </x:c>
      <x:c r="K368" s="31" t="str">
        <x:v>https://www.timeshighereducation.com/rankings/impact/overall/2025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str">
        <x:v>26</x:v>
      </x:c>
      <x:c r="G369" s="36" t="n">
        <x:v>94.7</x:v>
      </x:c>
      <x:c r="H369" s="15" t="str">
        <x:v>Ranked</x:v>
      </x:c>
      <x:c r="I369" s="15" t="str">
        <x:v>Kyung Hee University</x:v>
      </x:c>
      <x:c r="J369" s="31" t="str">
        <x:v>https://www.timeshighereducation.com/world-university-rankings/kyung-hee-university</x:v>
      </x:c>
      <x:c r="K369" s="31" t="str">
        <x:v>https://www.timeshighereducation.com/impactrankings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12</x:v>
      </x:c>
      <x:c r="G370" s="36" t="n">
        <x:v>95.9</x:v>
      </x:c>
      <x:c r="H370" s="15" t="str">
        <x:v>Ranked</x:v>
      </x:c>
      <x:c r="I370" s="15" t="str">
        <x:v>University of Victoria</x:v>
      </x:c>
      <x:c r="J370" s="31" t="str">
        <x:v>https://www.timeshighereducation.com/world-university-rankings/university-victoria</x:v>
      </x:c>
      <x:c r="K370" s="31" t="str">
        <x:v>https://www.timeshighereducation.com/rankings/impact/overall/2022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n">
        <x:f>9</x:f>
        <x:v>9</x:v>
      </x:c>
      <x:c r="G371" s="36" t="n">
        <x:v>95.8</x:v>
      </x:c>
      <x:c r="H371" s="15" t="str">
        <x:v>Ranked</x:v>
      </x:c>
      <x:c r="I371" s="15" t="str">
        <x:v>University of Victoria</x:v>
      </x:c>
      <x:c r="J371" s="31" t="str">
        <x:v>https://www.timeshighereducation.com/world-university-rankings/university-victoria</x:v>
      </x:c>
      <x:c r="K371" s="31" t="str">
        <x:v>https://www.timeshighereducation.com/rankings/impact/overall/2023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n">
        <x:f>13</x:f>
        <x:v>13</x:v>
      </x:c>
      <x:c r="G372" s="36" t="n">
        <x:v>95.2</x:v>
      </x:c>
      <x:c r="H372" s="15" t="str">
        <x:v>Ranked</x:v>
      </x:c>
      <x:c r="I372" s="15" t="str">
        <x:v>University of Victoria</x:v>
      </x:c>
      <x:c r="J372" s="31" t="str">
        <x:v>https://www.timeshighereducation.com/world-university-rankings/university-victoria</x:v>
      </x:c>
      <x:c r="K372" s="31" t="str">
        <x:v>https://www.timeshighereducation.com/rankings/impact/overall/2024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n">
        <x:f>14</x:f>
        <x:v>14</x:v>
      </x:c>
      <x:c r="G373" s="36" t="n">
        <x:v>95.6</x:v>
      </x:c>
      <x:c r="H373" s="15" t="str">
        <x:v>Ranked</x:v>
      </x:c>
      <x:c r="I373" s="15" t="str">
        <x:v>University of Victoria</x:v>
      </x:c>
      <x:c r="J373" s="31" t="str">
        <x:v>https://www.timeshighereducation.com/world-university-rankings/university-victoria</x:v>
      </x:c>
      <x:c r="K373" s="31" t="str">
        <x:v>https://www.timeshighereducation.com/rankings/impact/overall/2025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str">
        <x:v>27</x:v>
      </x:c>
      <x:c r="G374" s="36" t="n">
        <x:v>94.6</x:v>
      </x:c>
      <x:c r="H374" s="15" t="str">
        <x:v>Ranked</x:v>
      </x:c>
      <x:c r="I374" s="15" t="str">
        <x:v>University of Victoria</x:v>
      </x:c>
      <x:c r="J374" s="31" t="str">
        <x:v>https://www.timeshighereducation.com/world-university-rankings/university-victoria</x:v>
      </x:c>
      <x:c r="K374" s="31" t="str">
        <x:v>https://www.timeshighereducation.com/impactrankings</x:v>
      </x:c>
      <x:c r="L374" s="31" t="str">
        <x:v>https://www.uvic.ca/socialsciences/environmental/programs/graduate/index.php</x:v>
      </x:c>
    </x:row>
    <x:row r="375">
      <x:c r="A375" s="15" t="n">
        <x:v>76</x:v>
      </x:c>
      <x:c r="B375" s="15" t="str">
        <x:v>Central Queensland University</x:v>
      </x:c>
      <x:c r="C375" s="15" t="str">
        <x:v>Australia</x:v>
      </x:c>
      <x:c r="D375" s="15" t="str">
        <x:v>Master of Sustainable Development</x:v>
      </x:c>
      <x:c r="E375" s="32" t="n">
        <x:v>2022</x:v>
      </x:c>
      <x:c r="F375" s="32" t="n">
        <x:f>83</x:f>
        <x:v>83</x:v>
      </x:c>
      <x:c r="G375" s="36" t="n">
        <x:v>89.4</x:v>
      </x:c>
      <x:c r="H375" s="15" t="str">
        <x:v>Ranked</x:v>
      </x:c>
      <x:c r="I375" s="15" t="str">
        <x:v>Central Queensland University</x:v>
      </x:c>
      <x:c r="J375" s="31" t="str">
        <x:v>https://www.timeshighereducation.com/world-university-rankings/central-queensland-university</x:v>
      </x:c>
      <x:c r="K375" s="31" t="str">
        <x:v>https://www.timeshighereducation.com/rankings/impact/overall/2022</x:v>
      </x:c>
      <x:c r="L375" s="31" t="str">
        <x:v>https://handbook.cqu.edu.au/he/courses/view/CM82/HT1/2025</x:v>
      </x:c>
    </x:row>
    <x:row r="376">
      <x:c r="A376" s="15" t="n">
        <x:v>76</x:v>
      </x:c>
      <x:c r="B376" s="15" t="str">
        <x:v>Central Queensland University</x:v>
      </x:c>
      <x:c r="C376" s="15" t="str">
        <x:v>Australia</x:v>
      </x:c>
      <x:c r="D376" s="15" t="str">
        <x:v>Master of Sustainable Development</x:v>
      </x:c>
      <x:c r="E376" s="32" t="n">
        <x:v>2023</x:v>
      </x:c>
      <x:c r="F376" s="32" t="n">
        <x:f>74</x:f>
        <x:v>74</x:v>
      </x:c>
      <x:c r="G376" s="36" t="n">
        <x:v>89.7</x:v>
      </x:c>
      <x:c r="H376" s="15" t="str">
        <x:v>Ranked</x:v>
      </x:c>
      <x:c r="I376" s="15" t="str">
        <x:v>Central Queensland University</x:v>
      </x:c>
      <x:c r="J376" s="31" t="str">
        <x:v>https://www.timeshighereducation.com/world-university-rankings/central-queensland-university</x:v>
      </x:c>
      <x:c r="K376" s="31" t="str">
        <x:v>https://www.timeshighereducation.com/rankings/impact/overall/2023</x:v>
      </x:c>
      <x:c r="L376" s="31" t="str">
        <x:v>https://handbook.cqu.edu.au/he/courses/view/CM82/HT1/2025</x:v>
      </x:c>
    </x:row>
    <x:row r="377">
      <x:c r="A377" s="15" t="n">
        <x:v>76</x:v>
      </x:c>
      <x:c r="B377" s="15" t="str">
        <x:v>Central Queensland University</x:v>
      </x:c>
      <x:c r="C377" s="15" t="str">
        <x:v>Australia</x:v>
      </x:c>
      <x:c r="D377" s="15" t="str">
        <x:v>Master of Sustainable Development</x:v>
      </x:c>
      <x:c r="E377" s="32" t="n">
        <x:v>2024</x:v>
      </x:c>
      <x:c r="F377" s="32" t="n">
        <x:f>52</x:f>
        <x:v>52</x:v>
      </x:c>
      <x:c r="G377" s="36" t="n">
        <x:v>91.7</x:v>
      </x:c>
      <x:c r="H377" s="15" t="str">
        <x:v>Ranked</x:v>
      </x:c>
      <x:c r="I377" s="15" t="str">
        <x:v>Central Queensland University</x:v>
      </x:c>
      <x:c r="J377" s="31" t="str">
        <x:v>https://www.timeshighereducation.com/world-university-rankings/central-queensland-university</x:v>
      </x:c>
      <x:c r="K377" s="31" t="str">
        <x:v>https://www.timeshighereducation.com/rankings/impact/overall/2024</x:v>
      </x:c>
      <x:c r="L377" s="31" t="str">
        <x:v>https://handbook.cqu.edu.au/he/courses/view/CM82/HT1/2025</x:v>
      </x:c>
    </x:row>
    <x:row r="378">
      <x:c r="A378" s="15" t="n">
        <x:v>76</x:v>
      </x:c>
      <x:c r="B378" s="15" t="str">
        <x:v>Central Queensland University</x:v>
      </x:c>
      <x:c r="C378" s="15" t="str">
        <x:v>Australia</x:v>
      </x:c>
      <x:c r="D378" s="15" t="str">
        <x:v>Master of Sustainable Development</x:v>
      </x:c>
      <x:c r="E378" s="32" t="n">
        <x:v>2025</x:v>
      </x:c>
      <x:c r="F378" s="32" t="n">
        <x:f>25</x:f>
        <x:v>25</x:v>
      </x:c>
      <x:c r="G378" s="36" t="n">
        <x:v>94.7</x:v>
      </x:c>
      <x:c r="H378" s="15" t="str">
        <x:v>Ranked</x:v>
      </x:c>
      <x:c r="I378" s="15" t="str">
        <x:v>Central Queensland University</x:v>
      </x:c>
      <x:c r="J378" s="31" t="str">
        <x:v>https://www.timeshighereducation.com/world-university-rankings/central-queensland-university</x:v>
      </x:c>
      <x:c r="K378" s="31" t="str">
        <x:v>https://www.timeshighereducation.com/rankings/impact/overall/2025</x:v>
      </x:c>
      <x:c r="L378" s="31" t="str">
        <x:v>https://handbook.cqu.edu.au/he/courses/view/CM82/HT1/2025</x:v>
      </x:c>
    </x:row>
    <x:row r="379">
      <x:c r="A379" s="15" t="n">
        <x:v>76</x:v>
      </x:c>
      <x:c r="B379" s="15" t="str">
        <x:v>Central Queensland University</x:v>
      </x:c>
      <x:c r="C379" s="15" t="str">
        <x:v>Australia</x:v>
      </x:c>
      <x:c r="D379" s="15" t="str">
        <x:v>Master of Sustainable Development</x:v>
      </x:c>
      <x:c r="E379" s="32" t="n">
        <x:v>2026</x:v>
      </x:c>
      <x:c r="F379" s="32" t="str">
        <x:v>29</x:v>
      </x:c>
      <x:c r="G379" s="36" t="n">
        <x:v>94.3</x:v>
      </x:c>
      <x:c r="H379" s="15" t="str">
        <x:v>Ranked</x:v>
      </x:c>
      <x:c r="I379" s="15" t="str">
        <x:v>Central Queensland University</x:v>
      </x:c>
      <x:c r="J379" s="31" t="str">
        <x:v>https://www.timeshighereducation.com/world-university-rankings/central-queensland-university</x:v>
      </x:c>
      <x:c r="K379" s="31" t="str">
        <x:v>https://www.timeshighereducation.com/impactrankings</x:v>
      </x:c>
      <x:c r="L379" s="31" t="str">
        <x:v>https://handbook.cqu.edu.au/he/courses/view/CM82/HT1/2025</x:v>
      </x:c>
    </x:row>
    <x:row r="380">
      <x:c r="A380" s="15" t="n">
        <x:v>77</x:v>
      </x:c>
      <x:c r="B380" s="15" t="str">
        <x:v>University of Newcastle</x:v>
      </x:c>
      <x:c r="C380" s="15" t="str">
        <x:v>Australia</x:v>
      </x:c>
      <x:c r="D380" s="15" t="str">
        <x:v>Master of Environmental Management and Sustainability</x:v>
      </x:c>
      <x:c r="E380" s="32" t="n">
        <x:v>2022</x:v>
      </x:c>
      <x:c r="F380" s="32" t="str">
        <x:v>30</x:v>
      </x:c>
      <x:c r="G380" s="36" t="n">
        <x:v>93.8</x:v>
      </x:c>
      <x:c r="H380" s="15" t="str">
        <x:v>Ranked</x:v>
      </x:c>
      <x:c r="I380" s="15" t="str">
        <x:v>University of Newcastle</x:v>
      </x:c>
      <x:c r="J380" s="31" t="str">
        <x:v>https://www.timeshighereducation.com/world-university-rankings/university-newcastle</x:v>
      </x:c>
      <x:c r="K380" s="31" t="str">
        <x:v>https://www.timeshighereducation.com/rankings/impact/overall/2022</x:v>
      </x:c>
      <x:c r="L380" s="31" t="str">
        <x:v>https://www.newcastle.edu.au/degrees/master-environmental-management-sustainability</x:v>
      </x:c>
    </x:row>
    <x:row r="381">
      <x:c r="A381" s="15" t="n">
        <x:v>77</x:v>
      </x:c>
      <x:c r="B381" s="15" t="str">
        <x:v>University of Newcastle</x:v>
      </x:c>
      <x:c r="C381" s="15" t="str">
        <x:v>Australia</x:v>
      </x:c>
      <x:c r="D381" s="15" t="str">
        <x:v>Master of Environmental Management and Sustainability</x:v>
      </x:c>
      <x:c r="E381" s="32" t="n">
        <x:v>2023</x:v>
      </x:c>
      <x:c r="F381" s="32" t="str">
        <x:v>28</x:v>
      </x:c>
      <x:c r="G381" s="36" t="n">
        <x:v>93</x:v>
      </x:c>
      <x:c r="H381" s="15" t="str">
        <x:v>Ranked</x:v>
      </x:c>
      <x:c r="I381" s="15" t="str">
        <x:v>University of Newcastle</x:v>
      </x:c>
      <x:c r="J381" s="31" t="str">
        <x:v>https://www.timeshighereducation.com/world-university-rankings/university-newcastle</x:v>
      </x:c>
      <x:c r="K381" s="31" t="str">
        <x:v>https://www.timeshighereducation.com/rankings/impact/overall/2023</x:v>
      </x:c>
      <x:c r="L381" s="31" t="str">
        <x:v>https://www.newcastle.edu.au/degrees/master-environmental-management-sustainability</x:v>
      </x:c>
    </x:row>
    <x:row r="382">
      <x:c r="A382" s="15" t="n">
        <x:v>77</x:v>
      </x:c>
      <x:c r="B382" s="15" t="str">
        <x:v>University of Newcastle</x:v>
      </x:c>
      <x:c r="C382" s="15" t="str">
        <x:v>Australia</x:v>
      </x:c>
      <x:c r="D382" s="15" t="str">
        <x:v>Master of Environmental Management and Sustainability</x:v>
      </x:c>
      <x:c r="E382" s="32" t="n">
        <x:v>2024</x:v>
      </x:c>
      <x:c r="F382" s="32" t="n">
        <x:f>39</x:f>
        <x:v>39</x:v>
      </x:c>
      <x:c r="G382" s="36" t="n">
        <x:v>92.9</x:v>
      </x:c>
      <x:c r="H382" s="15" t="str">
        <x:v>Ranked</x:v>
      </x:c>
      <x:c r="I382" s="15" t="str">
        <x:v>University of Newcastle</x:v>
      </x:c>
      <x:c r="J382" s="31" t="str">
        <x:v>https://www.timeshighereducation.com/world-university-rankings/university-newcastle</x:v>
      </x:c>
      <x:c r="K382" s="31" t="str">
        <x:v>https://www.timeshighereducation.com/rankings/impact/overall/2024</x:v>
      </x:c>
      <x:c r="L382" s="31" t="str">
        <x:v>https://www.newcastle.edu.au/degrees/master-environmental-management-sustainability</x:v>
      </x:c>
    </x:row>
    <x:row r="383">
      <x:c r="A383" s="15" t="n">
        <x:v>77</x:v>
      </x:c>
      <x:c r="B383" s="15" t="str">
        <x:v>University of Newcastle</x:v>
      </x:c>
      <x:c r="C383" s="15" t="str">
        <x:v>Australia</x:v>
      </x:c>
      <x:c r="D383" s="15" t="str">
        <x:v>Master of Environmental Management and Sustainability</x:v>
      </x:c>
      <x:c r="E383" s="32" t="n">
        <x:v>2025</x:v>
      </x:c>
      <x:c r="F383" s="32" t="str">
        <x:v>39</x:v>
      </x:c>
      <x:c r="G383" s="36" t="n">
        <x:v>93.4</x:v>
      </x:c>
      <x:c r="H383" s="15" t="str">
        <x:v>Ranked</x:v>
      </x:c>
      <x:c r="I383" s="15" t="str">
        <x:v>University of Newcastle</x:v>
      </x:c>
      <x:c r="J383" s="31" t="str">
        <x:v>https://www.timeshighereducation.com/world-university-rankings/university-newcastle</x:v>
      </x:c>
      <x:c r="K383" s="31" t="str">
        <x:v>https://www.timeshighereducation.com/rankings/impact/overall/2025</x:v>
      </x:c>
      <x:c r="L383" s="31" t="str">
        <x:v>https://www.newcastle.edu.au/degrees/master-environmental-management-sustainability</x:v>
      </x:c>
    </x:row>
    <x:row r="384">
      <x:c r="A384" s="15" t="n">
        <x:v>77</x:v>
      </x:c>
      <x:c r="B384" s="15" t="str">
        <x:v>University of Newcastle</x:v>
      </x:c>
      <x:c r="C384" s="15" t="str">
        <x:v>Australia</x:v>
      </x:c>
      <x:c r="D384" s="15" t="str">
        <x:v>Master of Environmental Management and Sustainability</x:v>
      </x:c>
      <x:c r="E384" s="32" t="n">
        <x:v>2026</x:v>
      </x:c>
      <x:c r="F384" s="32" t="str">
        <x:v>30</x:v>
      </x:c>
      <x:c r="G384" s="36" t="n">
        <x:v>94.1</x:v>
      </x:c>
      <x:c r="H384" s="15" t="str">
        <x:v>Ranked</x:v>
      </x:c>
      <x:c r="I384" s="15" t="str">
        <x:v>University of Newcastle</x:v>
      </x:c>
      <x:c r="J384" s="31" t="str">
        <x:v>https://www.timeshighereducation.com/world-university-rankings/university-newcastle</x:v>
      </x:c>
      <x:c r="K384" s="31" t="str">
        <x:v>https://www.timeshighereducation.com/impactrankings</x:v>
      </x:c>
      <x:c r="L384" s="31" t="str">
        <x:v>https://www.newcastle.edu.au/degrees/master-environmental-management-sustainability</x:v>
      </x:c>
    </x:row>
    <x:row r="385">
      <x:c r="A385" s="15" t="n">
        <x:v>78</x:v>
      </x:c>
      <x:c r="B385" s="15" t="str">
        <x:v>Northumbria University</x:v>
      </x:c>
      <x:c r="C385" s="15" t="str">
        <x:v>United Kingdom</x:v>
      </x:c>
      <x:c r="D385" s="15" t="str">
        <x:v>MSc Disaster Management and Sustainable Development</x:v>
      </x:c>
      <x:c r="E385" s="32" t="n">
        <x:v>2022</x:v>
      </x:c>
      <x:c r="F385" s="32" t="str">
        <x:v>101–200</x:v>
      </x:c>
      <x:c r="G385" s="36" t="str">
        <x:v>82.1–88.5</x:v>
      </x:c>
      <x:c r="H385" s="15" t="str">
        <x:v>Ranked</x:v>
      </x:c>
      <x:c r="I385" s="15" t="str">
        <x:v>Northumbria University</x:v>
      </x:c>
      <x:c r="J385" s="31" t="str">
        <x:v>https://www.timeshighereducation.com/world-university-rankings/northumbria-university</x:v>
      </x:c>
      <x:c r="K385" s="31" t="str">
        <x:v>https://www.timeshighereducation.com/rankings/impact/overall/2022</x:v>
      </x:c>
      <x:c r="L385" s="31" t="str">
        <x:v>https://www.northumbria.ac.uk/study-at-northumbria/courses/disaster-management-and-sustainable-development-with-advanced-practice-msc-ft-dtsdds6/</x:v>
      </x:c>
    </x:row>
    <x:row r="386">
      <x:c r="A386" s="15" t="n">
        <x:v>78</x:v>
      </x:c>
      <x:c r="B386" s="15" t="str">
        <x:v>Northumbria University</x:v>
      </x:c>
      <x:c r="C386" s="15" t="str">
        <x:v>United Kingdom</x:v>
      </x:c>
      <x:c r="D386" s="15" t="str">
        <x:v>MSc Disaster Management and Sustainable Development</x:v>
      </x:c>
      <x:c r="E386" s="32" t="n">
        <x:v>2023</x:v>
      </x:c>
      <x:c r="F386" s="32" t="n">
        <x:f>79</x:f>
        <x:v>79</x:v>
      </x:c>
      <x:c r="G386" s="36" t="n">
        <x:v>89.5</x:v>
      </x:c>
      <x:c r="H386" s="15" t="str">
        <x:v>Ranked</x:v>
      </x:c>
      <x:c r="I386" s="15" t="str">
        <x:v>Northumbria University</x:v>
      </x:c>
      <x:c r="J386" s="31" t="str">
        <x:v>https://www.timeshighereducation.com/world-university-rankings/northumbria-university</x:v>
      </x:c>
      <x:c r="K386" s="31" t="str">
        <x:v>https://www.timeshighereducation.com/rankings/impact/overall/2023</x:v>
      </x:c>
      <x:c r="L386" s="31" t="str">
        <x:v>https://www.northumbria.ac.uk/study-at-northumbria/courses/disaster-management-and-sustainable-development-with-advanced-practice-msc-ft-dtsdds6/</x:v>
      </x:c>
    </x:row>
    <x:row r="387">
      <x:c r="A387" s="15" t="n">
        <x:v>78</x:v>
      </x:c>
      <x:c r="B387" s="15" t="str">
        <x:v>Northumbria University</x:v>
      </x:c>
      <x:c r="C387" s="15" t="str">
        <x:v>United Kingdom</x:v>
      </x:c>
      <x:c r="D387" s="15" t="str">
        <x:v>MSc Disaster Management and Sustainable Development</x:v>
      </x:c>
      <x:c r="E387" s="32" t="n">
        <x:v>2024</x:v>
      </x:c>
      <x:c r="F387" s="32" t="n">
        <x:f>48</x:f>
        <x:v>48</x:v>
      </x:c>
      <x:c r="G387" s="36" t="n">
        <x:v>92.1</x:v>
      </x:c>
      <x:c r="H387" s="15" t="str">
        <x:v>Ranked</x:v>
      </x:c>
      <x:c r="I387" s="15" t="str">
        <x:v>Northumbria University</x:v>
      </x:c>
      <x:c r="J387" s="31" t="str">
        <x:v>https://www.timeshighereducation.com/world-university-rankings/northumbria-university</x:v>
      </x:c>
      <x:c r="K387" s="31" t="str">
        <x:v>https://www.timeshighereducation.com/rankings/impact/overall/2024</x:v>
      </x:c>
      <x:c r="L387" s="31" t="str">
        <x:v>https://www.northumbria.ac.uk/study-at-northumbria/courses/disaster-management-and-sustainable-development-with-advanced-practice-msc-ft-dtsdds6/</x:v>
      </x:c>
    </x:row>
    <x:row r="388">
      <x:c r="A388" s="15" t="n">
        <x:v>78</x:v>
      </x:c>
      <x:c r="B388" s="15" t="str">
        <x:v>Northumbria University</x:v>
      </x:c>
      <x:c r="C388" s="15" t="str">
        <x:v>United Kingdom</x:v>
      </x:c>
      <x:c r="D388" s="15" t="str">
        <x:v>MSc Disaster Management and Sustainable Development</x:v>
      </x:c>
      <x:c r="E388" s="32" t="n">
        <x:v>2025</x:v>
      </x:c>
      <x:c r="F388" s="32" t="n">
        <x:f>53</x:f>
        <x:v>53</x:v>
      </x:c>
      <x:c r="G388" s="36" t="n">
        <x:v>92.2</x:v>
      </x:c>
      <x:c r="H388" s="15" t="str">
        <x:v>Ranked</x:v>
      </x:c>
      <x:c r="I388" s="15" t="str">
        <x:v>Northumbria University</x:v>
      </x:c>
      <x:c r="J388" s="31" t="str">
        <x:v>https://www.timeshighereducation.com/world-university-rankings/northumbria-university</x:v>
      </x:c>
      <x:c r="K388" s="31" t="str">
        <x:v>https://www.timeshighereducation.com/rankings/impact/overall/2025</x:v>
      </x:c>
      <x:c r="L388" s="31" t="str">
        <x:v>https://www.northumbria.ac.uk/study-at-northumbria/courses/disaster-management-and-sustainable-development-with-advanced-practice-msc-ft-dtsdds6/</x:v>
      </x:c>
    </x:row>
    <x:row r="389">
      <x:c r="A389" s="15" t="n">
        <x:v>78</x:v>
      </x:c>
      <x:c r="B389" s="15" t="str">
        <x:v>Northumbria University</x:v>
      </x:c>
      <x:c r="C389" s="15" t="str">
        <x:v>United Kingdom</x:v>
      </x:c>
      <x:c r="D389" s="15" t="str">
        <x:v>MSc Disaster Management and Sustainable Development</x:v>
      </x:c>
      <x:c r="E389" s="32" t="n">
        <x:v>2026</x:v>
      </x:c>
      <x:c r="F389" s="32" t="n">
        <x:f>31</x:f>
        <x:v>31</x:v>
      </x:c>
      <x:c r="G389" s="36" t="n">
        <x:v>94</x:v>
      </x:c>
      <x:c r="H389" s="15" t="str">
        <x:v>Ranked</x:v>
      </x:c>
      <x:c r="I389" s="15" t="str">
        <x:v>Northumbria University</x:v>
      </x:c>
      <x:c r="J389" s="31" t="str">
        <x:v>https://www.timeshighereducation.com/world-university-rankings/northumbria-university</x:v>
      </x:c>
      <x:c r="K389" s="31" t="str">
        <x:v>https://www.timeshighereducation.com/impactrankings</x:v>
      </x:c>
      <x:c r="L389" s="31" t="str">
        <x:v>https://www.northumbria.ac.uk/study-at-northumbria/courses/disaster-management-and-sustainable-development-with-advanced-practice-msc-ft-dtsdds6/</x:v>
      </x:c>
    </x:row>
    <x:row r="390">
      <x:c r="A390" s="15" t="n">
        <x:v>79</x:v>
      </x:c>
      <x:c r="B390" s="15" t="str">
        <x:v>University of Indonesia</x:v>
      </x:c>
      <x:c r="C390" s="15" t="str">
        <x:v>Indonesia</x:v>
      </x:c>
      <x:c r="D390" s="15" t="str">
        <x:v>Master of Environmental Science</x:v>
      </x:c>
      <x:c r="E390" s="32" t="n">
        <x:v>2022</x:v>
      </x:c>
      <x:c r="F390" s="32" t="str">
        <x:v>18</x:v>
      </x:c>
      <x:c r="G390" s="36" t="n">
        <x:v>95.1</x:v>
      </x:c>
      <x:c r="H390" s="15" t="str">
        <x:v>Ranked</x:v>
      </x:c>
      <x:c r="I390" s="15" t="str">
        <x:v>University of Indonesia</x:v>
      </x:c>
      <x:c r="J390" s="31" t="str">
        <x:v>https://www.timeshighereducation.com/world-university-rankings/university-indonesia</x:v>
      </x:c>
      <x:c r="K390" s="31" t="str">
        <x:v>https://www.timeshighereducation.com/rankings/impact/overall/2022</x:v>
      </x:c>
      <x:c r="L390" s="31" t="str">
        <x:v>https://sil.ui.ac.id/en/master-of-environmental-science/</x:v>
      </x:c>
    </x:row>
    <x:row r="391">
      <x:c r="A391" s="15" t="n">
        <x:v>79</x:v>
      </x:c>
      <x:c r="B391" s="15" t="str">
        <x:v>University of Indonesia</x:v>
      </x:c>
      <x:c r="C391" s="15" t="str">
        <x:v>Indonesia</x:v>
      </x:c>
      <x:c r="D391" s="15" t="str">
        <x:v>Master of Environmental Science</x:v>
      </x:c>
      <x:c r="E391" s="32" t="n">
        <x:v>2023</x:v>
      </x:c>
      <x:c r="F391" s="32" t="str">
        <x:v>20</x:v>
      </x:c>
      <x:c r="G391" s="36" t="n">
        <x:v>94.4</x:v>
      </x:c>
      <x:c r="H391" s="15" t="str">
        <x:v>Ranked</x:v>
      </x:c>
      <x:c r="I391" s="15" t="str">
        <x:v>University of Indonesia</x:v>
      </x:c>
      <x:c r="J391" s="31" t="str">
        <x:v>https://www.timeshighereducation.com/world-university-rankings/university-indonesia</x:v>
      </x:c>
      <x:c r="K391" s="31" t="str">
        <x:v>https://www.timeshighereducation.com/rankings/impact/overall/2023</x:v>
      </x:c>
      <x:c r="L391" s="31" t="str">
        <x:v>https://sil.ui.ac.id/en/master-of-environmental-science/</x:v>
      </x:c>
    </x:row>
    <x:row r="392">
      <x:c r="A392" s="15" t="n">
        <x:v>79</x:v>
      </x:c>
      <x:c r="B392" s="15" t="str">
        <x:v>University of Indonesia</x:v>
      </x:c>
      <x:c r="C392" s="15" t="str">
        <x:v>Indonesia</x:v>
      </x:c>
      <x:c r="D392" s="15" t="str">
        <x:v>Master of Environmental Science</x:v>
      </x:c>
      <x:c r="E392" s="32" t="n">
        <x:v>2024</x:v>
      </x:c>
      <x:c r="F392" s="32" t="str">
        <x:v>31</x:v>
      </x:c>
      <x:c r="G392" s="36" t="n">
        <x:v>93.7</x:v>
      </x:c>
      <x:c r="H392" s="15" t="str">
        <x:v>Ranked</x:v>
      </x:c>
      <x:c r="I392" s="15" t="str">
        <x:v>University of Indonesia</x:v>
      </x:c>
      <x:c r="J392" s="31" t="str">
        <x:v>https://www.timeshighereducation.com/world-university-rankings/university-indonesia</x:v>
      </x:c>
      <x:c r="K392" s="31" t="str">
        <x:v>https://www.timeshighereducation.com/rankings/impact/overall/2024</x:v>
      </x:c>
      <x:c r="L392" s="31" t="str">
        <x:v>https://sil.ui.ac.id/en/master-of-environmental-science/</x:v>
      </x:c>
    </x:row>
    <x:row r="393">
      <x:c r="A393" s="15" t="n">
        <x:v>79</x:v>
      </x:c>
      <x:c r="B393" s="15" t="str">
        <x:v>University of Indonesia</x:v>
      </x:c>
      <x:c r="C393" s="15" t="str">
        <x:v>Indonesia</x:v>
      </x:c>
      <x:c r="D393" s="15" t="str">
        <x:v>Master of Environmental Science</x:v>
      </x:c>
      <x:c r="E393" s="32" t="n">
        <x:v>2025</x:v>
      </x:c>
      <x:c r="F393" s="32" t="str">
        <x:v>30</x:v>
      </x:c>
      <x:c r="G393" s="36" t="n">
        <x:v>94.4</x:v>
      </x:c>
      <x:c r="H393" s="15" t="str">
        <x:v>Ranked</x:v>
      </x:c>
      <x:c r="I393" s="15" t="str">
        <x:v>University of Indonesia</x:v>
      </x:c>
      <x:c r="J393" s="31" t="str">
        <x:v>https://www.timeshighereducation.com/world-university-rankings/university-indonesia</x:v>
      </x:c>
      <x:c r="K393" s="31" t="str">
        <x:v>https://www.timeshighereducation.com/rankings/impact/overall/2025</x:v>
      </x:c>
      <x:c r="L393" s="31" t="str">
        <x:v>https://sil.ui.ac.id/en/master-of-environmental-science/</x:v>
      </x:c>
    </x:row>
    <x:row r="394">
      <x:c r="A394" s="15" t="n">
        <x:v>79</x:v>
      </x:c>
      <x:c r="B394" s="15" t="str">
        <x:v>University of Indonesia</x:v>
      </x:c>
      <x:c r="C394" s="15" t="str">
        <x:v>Indonesia</x:v>
      </x:c>
      <x:c r="D394" s="15" t="str">
        <x:v>Master of Environmental Science</x:v>
      </x:c>
      <x:c r="E394" s="32" t="n">
        <x:v>2026</x:v>
      </x:c>
      <x:c r="F394" s="32" t="n">
        <x:f>31</x:f>
        <x:v>31</x:v>
      </x:c>
      <x:c r="G394" s="36" t="n">
        <x:v>94</x:v>
      </x:c>
      <x:c r="H394" s="15" t="str">
        <x:v>Ranked</x:v>
      </x:c>
      <x:c r="I394" s="15" t="str">
        <x:v>University of Indonesia</x:v>
      </x:c>
      <x:c r="J394" s="31" t="str">
        <x:v>https://www.timeshighereducation.com/world-university-rankings/university-indonesia</x:v>
      </x:c>
      <x:c r="K394" s="31" t="str">
        <x:v>https://www.timeshighereducation.com/impactrankings</x:v>
      </x:c>
      <x:c r="L394" s="31" t="str">
        <x:v>https://sil.ui.ac.id/en/master-of-environmental-science/</x:v>
      </x:c>
    </x:row>
    <x:row r="395">
      <x:c r="A395" s="15" t="n">
        <x:v>80</x:v>
      </x:c>
      <x:c r="B395" s="15" t="str">
        <x:v>An-Najah National University</x:v>
      </x:c>
      <x:c r="C395" s="15" t="str">
        <x:v>Palestine</x:v>
      </x:c>
      <x:c r="D395" s="15" t="str">
        <x:v>MSc Environmental Sciences</x:v>
      </x:c>
      <x:c r="E395" s="32" t="n">
        <x:v>2022</x:v>
      </x:c>
      <x:c r="F395" s="32" t="str">
        <x:v>101–200</x:v>
      </x:c>
      <x:c r="G395" s="36" t="str">
        <x:v>82.1–88.5</x:v>
      </x:c>
      <x:c r="H395" s="15" t="str">
        <x:v>Ranked</x:v>
      </x:c>
      <x:c r="I395" s="15" t="str">
        <x:v>An-Najah National University</x:v>
      </x:c>
      <x:c r="J395" s="31" t="str">
        <x:v>https://www.timeshighereducation.com/world-university-rankings/najah-national-university</x:v>
      </x:c>
      <x:c r="K395" s="31" t="str">
        <x:v>https://www.timeshighereducation.com/rankings/impact/overall/2022</x:v>
      </x:c>
      <x:c r="L395" s="31" t="str">
        <x:v>https://www.najah.edu/en/academic/postgraduate-programs/program/environmental-sciences/info-card/</x:v>
      </x:c>
    </x:row>
    <x:row r="396">
      <x:c r="A396" s="15" t="n">
        <x:v>80</x:v>
      </x:c>
      <x:c r="B396" s="15" t="str">
        <x:v>An-Najah National University</x:v>
      </x:c>
      <x:c r="C396" s="15" t="str">
        <x:v>Palestine</x:v>
      </x:c>
      <x:c r="D396" s="15" t="str">
        <x:v>MSc Environmental Sciences</x:v>
      </x:c>
      <x:c r="E396" s="32" t="n">
        <x:v>2023</x:v>
      </x:c>
      <x:c r="F396" s="32" t="str">
        <x:v>201–300</x:v>
      </x:c>
      <x:c r="G396" s="36" t="str">
        <x:v>76.8–82.1</x:v>
      </x:c>
      <x:c r="H396" s="15" t="str">
        <x:v>Ranked</x:v>
      </x:c>
      <x:c r="I396" s="15" t="str">
        <x:v>An-Najah National University</x:v>
      </x:c>
      <x:c r="J396" s="31" t="str">
        <x:v>https://www.timeshighereducation.com/world-university-rankings/najah-national-university</x:v>
      </x:c>
      <x:c r="K396" s="31" t="str">
        <x:v>https://www.timeshighereducation.com/rankings/impact/overall/2023</x:v>
      </x:c>
      <x:c r="L396" s="31" t="str">
        <x:v>https://www.najah.edu/en/academic/postgraduate-programs/program/environmental-sciences/info-card/</x:v>
      </x:c>
    </x:row>
    <x:row r="397">
      <x:c r="A397" s="15" t="n">
        <x:v>80</x:v>
      </x:c>
      <x:c r="B397" s="15" t="str">
        <x:v>An-Najah National University</x:v>
      </x:c>
      <x:c r="C397" s="15" t="str">
        <x:v>Palestine</x:v>
      </x:c>
      <x:c r="D397" s="15" t="str">
        <x:v>MSc Environmental Sciences</x:v>
      </x:c>
      <x:c r="E397" s="32" t="n">
        <x:v>2024</x:v>
      </x:c>
      <x:c r="F397" s="32" t="str">
        <x:v>201–300</x:v>
      </x:c>
      <x:c r="G397" s="36" t="str">
        <x:v>79.3–83.9</x:v>
      </x:c>
      <x:c r="H397" s="15" t="str">
        <x:v>Ranked</x:v>
      </x:c>
      <x:c r="I397" s="15" t="str">
        <x:v>An-Najah National University</x:v>
      </x:c>
      <x:c r="J397" s="31" t="str">
        <x:v>https://www.timeshighereducation.com/world-university-rankings/najah-national-university</x:v>
      </x:c>
      <x:c r="K397" s="31" t="str">
        <x:v>https://www.timeshighereducation.com/rankings/impact/overall/2024</x:v>
      </x:c>
      <x:c r="L397" s="31" t="str">
        <x:v>https://www.najah.edu/en/academic/postgraduate-programs/program/environmental-sciences/info-card/</x:v>
      </x:c>
    </x:row>
    <x:row r="398">
      <x:c r="A398" s="15" t="n">
        <x:v>80</x:v>
      </x:c>
      <x:c r="B398" s="15" t="str">
        <x:v>An-Najah National University</x:v>
      </x:c>
      <x:c r="C398" s="15" t="str">
        <x:v>Palestine</x:v>
      </x:c>
      <x:c r="D398" s="15" t="str">
        <x:v>MSc Environmental Sciences</x:v>
      </x:c>
      <x:c r="E398" s="32" t="n">
        <x:v>2025</x:v>
      </x:c>
      <x:c r="F398" s="32" t="n">
        <x:f>82</x:f>
        <x:v>82</x:v>
      </x:c>
      <x:c r="G398" s="36" t="n">
        <x:v>90.3</x:v>
      </x:c>
      <x:c r="H398" s="15" t="str">
        <x:v>Ranked</x:v>
      </x:c>
      <x:c r="I398" s="15" t="str">
        <x:v>An-Najah National University</x:v>
      </x:c>
      <x:c r="J398" s="31" t="str">
        <x:v>https://www.timeshighereducation.com/world-university-rankings/najah-national-university</x:v>
      </x:c>
      <x:c r="K398" s="31" t="str">
        <x:v>https://www.timeshighereducation.com/rankings/impact/overall/2025</x:v>
      </x:c>
      <x:c r="L398" s="31" t="str">
        <x:v>https://www.najah.edu/en/academic/postgraduate-programs/program/environmental-sciences/info-card/</x:v>
      </x:c>
    </x:row>
    <x:row r="399">
      <x:c r="A399" s="15" t="n">
        <x:v>80</x:v>
      </x:c>
      <x:c r="B399" s="15" t="str">
        <x:v>An-Najah National University</x:v>
      </x:c>
      <x:c r="C399" s="15" t="str">
        <x:v>Palestine</x:v>
      </x:c>
      <x:c r="D399" s="15" t="str">
        <x:v>MSc Environmental Sciences</x:v>
      </x:c>
      <x:c r="E399" s="32" t="n">
        <x:v>2026</x:v>
      </x:c>
      <x:c r="F399" s="32" t="n">
        <x:f>33</x:f>
        <x:v>33</x:v>
      </x:c>
      <x:c r="G399" s="36" t="n">
        <x:v>93.9</x:v>
      </x:c>
      <x:c r="H399" s="15" t="str">
        <x:v>Ranked</x:v>
      </x:c>
      <x:c r="I399" s="15" t="str">
        <x:v>An-Najah National University</x:v>
      </x:c>
      <x:c r="J399" s="31" t="str">
        <x:v>https://www.timeshighereducation.com/world-university-rankings/najah-national-university</x:v>
      </x:c>
      <x:c r="K399" s="31" t="str">
        <x:v>https://www.timeshighereducation.com/impactrankings</x:v>
      </x:c>
      <x:c r="L399" s="31" t="str">
        <x:v>https://www.najah.edu/en/academic/postgraduate-programs/program/environmental-sciences/info-card/</x:v>
      </x:c>
    </x:row>
    <x:row r="400">
      <x:c r="A400" s="15" t="n">
        <x:v>81</x:v>
      </x:c>
      <x:c r="B400" s="15" t="str">
        <x:v>Arizona State University (Tempe)</x:v>
      </x:c>
      <x:c r="C400" s="15" t="str">
        <x:v>United States</x:v>
      </x:c>
      <x:c r="D400" s="15" t="str">
        <x:v>Master of Sustainability Solutions</x:v>
      </x:c>
      <x:c r="E400" s="32" t="n">
        <x:v>2022</x:v>
      </x:c>
      <x:c r="F400" s="32" t="str">
        <x:v>2</x:v>
      </x:c>
      <x:c r="G400" s="36" t="n">
        <x:v>98.5</x:v>
      </x:c>
      <x:c r="H400" s="15" t="str">
        <x:v>Ranked</x:v>
      </x:c>
      <x:c r="I400" s="15" t="str">
        <x:v>Arizona State University (Tempe)</x:v>
      </x:c>
      <x:c r="J400" s="31" t="str">
        <x:v>https://www.timeshighereducation.com/world-university-rankings/arizona-state-university-tempe</x:v>
      </x:c>
      <x:c r="K400" s="31" t="str">
        <x:v>https://www.timeshighereducation.com/rankings/impact/overall/2022</x:v>
      </x:c>
      <x:c r="L400" s="31" t="str">
        <x:v>https://degrees.apps.asu.edu/masters-phd/major/ASU00/SUSUSOMSUS/sustainability-solutions-msus?init=false&amp;nopassive=true</x:v>
      </x:c>
    </x:row>
    <x:row r="401">
      <x:c r="A401" s="15" t="n">
        <x:v>81</x:v>
      </x:c>
      <x:c r="B401" s="15" t="str">
        <x:v>Arizona State University (Tempe)</x:v>
      </x:c>
      <x:c r="C401" s="15" t="str">
        <x:v>United States</x:v>
      </x:c>
      <x:c r="D401" s="15" t="str">
        <x:v>Master of Sustainability Solutions</x:v>
      </x:c>
      <x:c r="E401" s="32" t="n">
        <x:v>2023</x:v>
      </x:c>
      <x:c r="F401" s="32" t="str">
        <x:v>6</x:v>
      </x:c>
      <x:c r="G401" s="36" t="n">
        <x:v>96.5</x:v>
      </x:c>
      <x:c r="H401" s="15" t="str">
        <x:v>Ranked</x:v>
      </x:c>
      <x:c r="I401" s="15" t="str">
        <x:v>Arizona State University (Tempe)</x:v>
      </x:c>
      <x:c r="J401" s="31" t="str">
        <x:v>https://www.timeshighereducation.com/world-university-rankings/arizona-state-university-tempe</x:v>
      </x:c>
      <x:c r="K401" s="31" t="str">
        <x:v>https://www.timeshighereducation.com/rankings/impact/overall/2023</x:v>
      </x:c>
      <x:c r="L401" s="31" t="str">
        <x:v>https://degrees.apps.asu.edu/masters-phd/major/ASU00/SUSUSOMSUS/sustainability-solutions-msus?init=false&amp;nopassive=true</x:v>
      </x:c>
    </x:row>
    <x:row r="402">
      <x:c r="A402" s="15" t="n">
        <x:v>81</x:v>
      </x:c>
      <x:c r="B402" s="15" t="str">
        <x:v>Arizona State University (Tempe)</x:v>
      </x:c>
      <x:c r="C402" s="15" t="str">
        <x:v>United States</x:v>
      </x:c>
      <x:c r="D402" s="15" t="str">
        <x:v>Master of Sustainability Solutions</x:v>
      </x:c>
      <x:c r="E402" s="32" t="n">
        <x:v>2024</x:v>
      </x:c>
      <x:c r="F402" s="32" t="str">
        <x:v>9</x:v>
      </x:c>
      <x:c r="G402" s="36" t="n">
        <x:v>96.4</x:v>
      </x:c>
      <x:c r="H402" s="15" t="str">
        <x:v>Ranked</x:v>
      </x:c>
      <x:c r="I402" s="15" t="str">
        <x:v>Arizona State University (Tempe)</x:v>
      </x:c>
      <x:c r="J402" s="31" t="str">
        <x:v>https://www.timeshighereducation.com/world-university-rankings/arizona-state-university-tempe</x:v>
      </x:c>
      <x:c r="K402" s="31" t="str">
        <x:v>https://www.timeshighereducation.com/rankings/impact/overall/2024</x:v>
      </x:c>
      <x:c r="L402" s="31" t="str">
        <x:v>https://degrees.apps.asu.edu/masters-phd/major/ASU00/SUSUSOMSUS/sustainability-solutions-msus?init=false&amp;nopassive=true</x:v>
      </x:c>
    </x:row>
    <x:row r="403">
      <x:c r="A403" s="15" t="n">
        <x:v>81</x:v>
      </x:c>
      <x:c r="B403" s="15" t="str">
        <x:v>Arizona State University (Tempe)</x:v>
      </x:c>
      <x:c r="C403" s="15" t="str">
        <x:v>United States</x:v>
      </x:c>
      <x:c r="D403" s="15" t="str">
        <x:v>Master of Sustainability Solutions</x:v>
      </x:c>
      <x:c r="E403" s="32" t="n">
        <x:v>2025</x:v>
      </x:c>
      <x:c r="F403" s="32" t="n">
        <x:f>6</x:f>
        <x:v>6</x:v>
      </x:c>
      <x:c r="G403" s="36" t="n">
        <x:v>97.1</x:v>
      </x:c>
      <x:c r="H403" s="15" t="str">
        <x:v>Ranked</x:v>
      </x:c>
      <x:c r="I403" s="15" t="str">
        <x:v>Arizona State University (Tempe)</x:v>
      </x:c>
      <x:c r="J403" s="31" t="str">
        <x:v>https://www.timeshighereducation.com/world-university-rankings/arizona-state-university-tempe</x:v>
      </x:c>
      <x:c r="K403" s="31" t="str">
        <x:v>https://www.timeshighereducation.com/rankings/impact/overall/2025</x:v>
      </x:c>
      <x:c r="L403" s="31" t="str">
        <x:v>https://degrees.apps.asu.edu/masters-phd/major/ASU00/SUSUSOMSUS/sustainability-solutions-msus?init=false&amp;nopassive=true</x:v>
      </x:c>
    </x:row>
    <x:row r="404">
      <x:c r="A404" s="15" t="n">
        <x:v>81</x:v>
      </x:c>
      <x:c r="B404" s="15" t="str">
        <x:v>Arizona State University (Tempe)</x:v>
      </x:c>
      <x:c r="C404" s="15" t="str">
        <x:v>United States</x:v>
      </x:c>
      <x:c r="D404" s="15" t="str">
        <x:v>Master of Sustainability Solutions</x:v>
      </x:c>
      <x:c r="E404" s="32" t="n">
        <x:v>2026</x:v>
      </x:c>
      <x:c r="F404" s="32" t="n">
        <x:f>33</x:f>
        <x:v>33</x:v>
      </x:c>
      <x:c r="G404" s="36" t="n">
        <x:v>93.9</x:v>
      </x:c>
      <x:c r="H404" s="15" t="str">
        <x:v>Ranked</x:v>
      </x:c>
      <x:c r="I404" s="15" t="str">
        <x:v>Arizona State University (Tempe)</x:v>
      </x:c>
      <x:c r="J404" s="31" t="str">
        <x:v>https://www.timeshighereducation.com/world-university-rankings/arizona-state-university-tempe</x:v>
      </x:c>
      <x:c r="K404" s="31" t="str">
        <x:v>https://www.timeshighereducation.com/impactrankings</x:v>
      </x:c>
      <x:c r="L404" s="31" t="str">
        <x:v>https://degrees.apps.asu.edu/masters-phd/major/ASU00/SUSUSOMSUS/sustainability-solutions-msus?init=false&amp;nopassive=true</x:v>
      </x:c>
    </x:row>
    <x:row r="405">
      <x:c r="A405" s="15" t="n">
        <x:v>82</x:v>
      </x:c>
      <x:c r="B405" s="15" t="str">
        <x:v>King Faisal University</x:v>
      </x:c>
      <x:c r="C405" s="15" t="str">
        <x:v>Saudi Arabia</x:v>
      </x:c>
      <x:c r="D405" s="15" t="str">
        <x:v>MSc Agricultural Systems Engineering - Environmental Systems discipline</x:v>
      </x:c>
      <x:c r="E405" s="32" t="n">
        <x:v>2022</x:v>
      </x:c>
      <x:c r="F405" s="32" t="str">
        <x:v>201–300</x:v>
      </x:c>
      <x:c r="G405" s="36" t="str">
        <x:v>76.9–82.0</x:v>
      </x:c>
      <x:c r="H405" s="15" t="str">
        <x:v>Ranked</x:v>
      </x:c>
      <x:c r="I405" s="15" t="str">
        <x:v>King Faisal University</x:v>
      </x:c>
      <x:c r="J405" s="31" t="str">
        <x:v>https://www.timeshighereducation.com/world-university-rankings/king-faisal-university</x:v>
      </x:c>
      <x:c r="K405" s="31" t="str">
        <x:v>https://www.timeshighereducation.com/rankings/impact/overall/2022</x:v>
      </x:c>
      <x:c r="L405" s="31" t="str">
        <x:v>https://www.kfu.edu.sa/ar/Deans/HigherStudies/Documents/custompages/studyplans/MSc_Agriculture_Engineering_Information.pdf</x:v>
      </x:c>
    </x:row>
    <x:row r="406">
      <x:c r="A406" s="15" t="n">
        <x:v>82</x:v>
      </x:c>
      <x:c r="B406" s="15" t="str">
        <x:v>King Faisal University</x:v>
      </x:c>
      <x:c r="C406" s="15" t="str">
        <x:v>Saudi Arabia</x:v>
      </x:c>
      <x:c r="D406" s="15" t="str">
        <x:v>MSc Agricultural Systems Engineering - Environmental Systems discipline</x:v>
      </x:c>
      <x:c r="E406" s="32" t="n">
        <x:v>2023</x:v>
      </x:c>
      <x:c r="F406" s="32" t="str">
        <x:v>101–200</x:v>
      </x:c>
      <x:c r="G406" s="36" t="str">
        <x:v>82.2–88.2</x:v>
      </x:c>
      <x:c r="H406" s="15" t="str">
        <x:v>Ranked</x:v>
      </x:c>
      <x:c r="I406" s="15" t="str">
        <x:v>King Faisal University</x:v>
      </x:c>
      <x:c r="J406" s="31" t="str">
        <x:v>https://www.timeshighereducation.com/world-university-rankings/king-faisal-university</x:v>
      </x:c>
      <x:c r="K406" s="31" t="str">
        <x:v>https://www.timeshighereducation.com/rankings/impact/overall/2023</x:v>
      </x:c>
      <x:c r="L406" s="31" t="str">
        <x:v>https://www.kfu.edu.sa/ar/Deans/HigherStudies/Documents/custompages/studyplans/MSc_Agriculture_Engineering_Information.pdf</x:v>
      </x:c>
    </x:row>
    <x:row r="407">
      <x:c r="A407" s="15" t="n">
        <x:v>82</x:v>
      </x:c>
      <x:c r="B407" s="15" t="str">
        <x:v>King Faisal University</x:v>
      </x:c>
      <x:c r="C407" s="15" t="str">
        <x:v>Saudi Arabia</x:v>
      </x:c>
      <x:c r="D407" s="15" t="str">
        <x:v>MSc Agricultural Systems Engineering - Environmental Systems discipline</x:v>
      </x:c>
      <x:c r="E407" s="32" t="n">
        <x:v>2024</x:v>
      </x:c>
      <x:c r="F407" s="32" t="str">
        <x:v>99</x:v>
      </x:c>
      <x:c r="G407" s="36" t="n">
        <x:v>89.3</x:v>
      </x:c>
      <x:c r="H407" s="15" t="str">
        <x:v>Ranked</x:v>
      </x:c>
      <x:c r="I407" s="15" t="str">
        <x:v>King Faisal University</x:v>
      </x:c>
      <x:c r="J407" s="31" t="str">
        <x:v>https://www.timeshighereducation.com/world-university-rankings/king-faisal-university</x:v>
      </x:c>
      <x:c r="K407" s="31" t="str">
        <x:v>https://www.timeshighereducation.com/rankings/impact/overall/2024</x:v>
      </x:c>
      <x:c r="L407" s="31" t="str">
        <x:v>https://www.kfu.edu.sa/ar/Deans/HigherStudies/Documents/custompages/studyplans/MSc_Agriculture_Engineering_Information.pdf</x:v>
      </x:c>
    </x:row>
    <x:row r="408">
      <x:c r="A408" s="15" t="n">
        <x:v>82</x:v>
      </x:c>
      <x:c r="B408" s="15" t="str">
        <x:v>King Faisal University</x:v>
      </x:c>
      <x:c r="C408" s="15" t="str">
        <x:v>Saudi Arabia</x:v>
      </x:c>
      <x:c r="D408" s="15" t="str">
        <x:v>MSc Agricultural Systems Engineering - Environmental Systems discipline</x:v>
      </x:c>
      <x:c r="E408" s="32" t="n">
        <x:v>2025</x:v>
      </x:c>
      <x:c r="F408" s="32" t="str">
        <x:v>40</x:v>
      </x:c>
      <x:c r="G408" s="36" t="n">
        <x:v>93.1</x:v>
      </x:c>
      <x:c r="H408" s="15" t="str">
        <x:v>Ranked</x:v>
      </x:c>
      <x:c r="I408" s="15" t="str">
        <x:v>King Faisal University</x:v>
      </x:c>
      <x:c r="J408" s="31" t="str">
        <x:v>https://www.timeshighereducation.com/world-university-rankings/king-faisal-university</x:v>
      </x:c>
      <x:c r="K408" s="31" t="str">
        <x:v>https://www.timeshighereducation.com/rankings/impact/overall/2025</x:v>
      </x:c>
      <x:c r="L408" s="31" t="str">
        <x:v>https://www.kfu.edu.sa/ar/Deans/HigherStudies/Documents/custompages/studyplans/MSc_Agriculture_Engineering_Information.pdf</x:v>
      </x:c>
    </x:row>
    <x:row r="409">
      <x:c r="A409" s="15" t="n">
        <x:v>82</x:v>
      </x:c>
      <x:c r="B409" s="15" t="str">
        <x:v>King Faisal University</x:v>
      </x:c>
      <x:c r="C409" s="15" t="str">
        <x:v>Saudi Arabia</x:v>
      </x:c>
      <x:c r="D409" s="15" t="str">
        <x:v>MSc Agricultural Systems Engineering - Environmental Systems discipline</x:v>
      </x:c>
      <x:c r="E409" s="32" t="n">
        <x:v>2026</x:v>
      </x:c>
      <x:c r="F409" s="32" t="str">
        <x:v>35</x:v>
      </x:c>
      <x:c r="G409" s="36" t="n">
        <x:v>93.8</x:v>
      </x:c>
      <x:c r="H409" s="15" t="str">
        <x:v>Ranked</x:v>
      </x:c>
      <x:c r="I409" s="15" t="str">
        <x:v>King Faisal University</x:v>
      </x:c>
      <x:c r="J409" s="31" t="str">
        <x:v>https://www.timeshighereducation.com/world-university-rankings/king-faisal-university</x:v>
      </x:c>
      <x:c r="K409" s="31" t="str">
        <x:v>https://www.timeshighereducation.com/impactrankings</x:v>
      </x:c>
      <x:c r="L409" s="31" t="str">
        <x:v>https://www.kfu.edu.sa/ar/Deans/HigherStudies/Documents/custompages/studyplans/MSc_Agriculture_Engineering_Information.pdf</x:v>
      </x:c>
    </x:row>
    <x:row r="410">
      <x:c r="A410" s="15" t="n">
        <x:v>83</x:v>
      </x:c>
      <x:c r="B410" s="15" t="str">
        <x:v>Flinders University</x:v>
      </x:c>
      <x:c r="C410" s="15" t="str">
        <x:v>Australia</x:v>
      </x:c>
      <x:c r="D410" s="15" t="str">
        <x:v>Master of Environmental Management and Sustainability</x:v>
      </x:c>
      <x:c r="E410" s="32" t="n">
        <x:v>2022</x:v>
      </x:c>
      <x:c r="F410" s="32" t="str">
        <x:v>NR</x:v>
      </x:c>
      <x:c r="G410" s="36"/>
      <x:c r="H410" s="15" t="str">
        <x:v>Not ranked in complete official table</x:v>
      </x:c>
      <x:c r="I410" s="15" t="str"/>
      <x:c r="J410" s="31" t="str"/>
      <x:c r="K410" s="31" t="str">
        <x:v>https://www.timeshighereducation.com/rankings/impact/overall/2022</x:v>
      </x:c>
      <x:c r="L410" s="31" t="str">
        <x:v>https://www.flinders.edu.au/study/courses/postgraduate-environmental-management-sustainability</x:v>
      </x:c>
    </x:row>
    <x:row r="411">
      <x:c r="A411" s="15" t="n">
        <x:v>83</x:v>
      </x:c>
      <x:c r="B411" s="15" t="str">
        <x:v>Flinders University</x:v>
      </x:c>
      <x:c r="C411" s="15" t="str">
        <x:v>Australia</x:v>
      </x:c>
      <x:c r="D411" s="15" t="str">
        <x:v>Master of Environmental Management and Sustainability</x:v>
      </x:c>
      <x:c r="E411" s="32" t="n">
        <x:v>2023</x:v>
      </x:c>
      <x:c r="F411" s="32" t="str">
        <x:v>NR</x:v>
      </x:c>
      <x:c r="G411" s="36"/>
      <x:c r="H411" s="15" t="str">
        <x:v>Not ranked in complete official table</x:v>
      </x:c>
      <x:c r="I411" s="15" t="str"/>
      <x:c r="J411" s="31" t="str"/>
      <x:c r="K411" s="31" t="str">
        <x:v>https://www.timeshighereducation.com/rankings/impact/overall/2023</x:v>
      </x:c>
      <x:c r="L411" s="31" t="str">
        <x:v>https://www.flinders.edu.au/study/courses/postgraduate-environmental-management-sustainability</x:v>
      </x:c>
    </x:row>
    <x:row r="412">
      <x:c r="A412" s="15" t="n">
        <x:v>83</x:v>
      </x:c>
      <x:c r="B412" s="15" t="str">
        <x:v>Flinders University</x:v>
      </x:c>
      <x:c r="C412" s="15" t="str">
        <x:v>Australia</x:v>
      </x:c>
      <x:c r="D412" s="15" t="str">
        <x:v>Master of Environmental Management and Sustainability</x:v>
      </x:c>
      <x:c r="E412" s="32" t="n">
        <x:v>2024</x:v>
      </x:c>
      <x:c r="F412" s="32" t="str">
        <x:v>NR</x:v>
      </x:c>
      <x:c r="G412" s="36"/>
      <x:c r="H412" s="15" t="str">
        <x:v>Not ranked in complete official table</x:v>
      </x:c>
      <x:c r="I412" s="15" t="str"/>
      <x:c r="J412" s="31" t="str"/>
      <x:c r="K412" s="31" t="str">
        <x:v>https://www.timeshighereducation.com/rankings/impact/overall/2024</x:v>
      </x:c>
      <x:c r="L412" s="31" t="str">
        <x:v>https://www.flinders.edu.au/study/courses/postgraduate-environmental-management-sustainability</x:v>
      </x:c>
    </x:row>
    <x:row r="413">
      <x:c r="A413" s="15" t="n">
        <x:v>83</x:v>
      </x:c>
      <x:c r="B413" s="15" t="str">
        <x:v>Flinders University</x:v>
      </x:c>
      <x:c r="C413" s="15" t="str">
        <x:v>Australia</x:v>
      </x:c>
      <x:c r="D413" s="15" t="str">
        <x:v>Master of Environmental Management and Sustainability</x:v>
      </x:c>
      <x:c r="E413" s="32" t="n">
        <x:v>2025</x:v>
      </x:c>
      <x:c r="F413" s="32" t="n">
        <x:f>21</x:f>
        <x:v>21</x:v>
      </x:c>
      <x:c r="G413" s="36" t="n">
        <x:v>95</x:v>
      </x:c>
      <x:c r="H413" s="15" t="str">
        <x:v>Ranked</x:v>
      </x:c>
      <x:c r="I413" s="15" t="str">
        <x:v>Flinders University</x:v>
      </x:c>
      <x:c r="J413" s="31" t="str">
        <x:v>https://www.timeshighereducation.com/world-university-rankings/flinders-university</x:v>
      </x:c>
      <x:c r="K413" s="31" t="str">
        <x:v>https://www.timeshighereducation.com/rankings/impact/overall/2025</x:v>
      </x:c>
      <x:c r="L413" s="31" t="str">
        <x:v>https://www.flinders.edu.au/study/courses/postgraduate-environmental-management-sustainability</x:v>
      </x:c>
    </x:row>
    <x:row r="414">
      <x:c r="A414" s="15" t="n">
        <x:v>83</x:v>
      </x:c>
      <x:c r="B414" s="15" t="str">
        <x:v>Flinders University</x:v>
      </x:c>
      <x:c r="C414" s="15" t="str">
        <x:v>Australia</x:v>
      </x:c>
      <x:c r="D414" s="15" t="str">
        <x:v>Master of Environmental Management and Sustainability</x:v>
      </x:c>
      <x:c r="E414" s="32" t="n">
        <x:v>2026</x:v>
      </x:c>
      <x:c r="F414" s="32" t="str">
        <x:v>36</x:v>
      </x:c>
      <x:c r="G414" s="36" t="n">
        <x:v>93.6</x:v>
      </x:c>
      <x:c r="H414" s="15" t="str">
        <x:v>Ranked</x:v>
      </x:c>
      <x:c r="I414" s="15" t="str">
        <x:v>Flinders University</x:v>
      </x:c>
      <x:c r="J414" s="31" t="str">
        <x:v>https://www.timeshighereducation.com/world-university-rankings/flinders-university</x:v>
      </x:c>
      <x:c r="K414" s="31" t="str">
        <x:v>https://www.timeshighereducation.com/impactrankings</x:v>
      </x:c>
      <x:c r="L414" s="31" t="str">
        <x:v>https://www.flinders.edu.au/study/courses/postgraduate-environmental-management-sustainability</x:v>
      </x:c>
    </x:row>
    <x:row r="415">
      <x:c r="A415" s="15" t="n">
        <x:v>84</x:v>
      </x:c>
      <x:c r="B415" s="15" t="str">
        <x:v>Amrita Vishwa Vidyapeetham</x:v>
      </x:c>
      <x:c r="C415" s="15" t="str">
        <x:v>India</x:v>
      </x:c>
      <x:c r="D415" s="15" t="str">
        <x:v>No standalone sustainability/environment master's confirmed</x:v>
      </x:c>
      <x:c r="E415" s="32" t="n">
        <x:v>2022</x:v>
      </x:c>
      <x:c r="F415" s="32" t="str">
        <x:v>41</x:v>
      </x:c>
      <x:c r="G415" s="36" t="n">
        <x:v>93</x:v>
      </x:c>
      <x:c r="H415" s="15" t="str">
        <x:v>Ranked</x:v>
      </x:c>
      <x:c r="I415" s="15" t="str">
        <x:v>Amrita Vishwa Vidyapeetham</x:v>
      </x:c>
      <x:c r="J415" s="31" t="str">
        <x:v>https://www.timeshighereducation.com/world-university-rankings/amrita-vishwa-vidyapeetham</x:v>
      </x:c>
      <x:c r="K415" s="31" t="str">
        <x:v>https://www.timeshighereducation.com/rankings/impact/overall/2022</x:v>
      </x:c>
      <x:c r="L415" s="31" t="str">
        <x:v>https://www.amrita.edu/course/environmental-science-and-sustainability-6/</x:v>
      </x:c>
    </x:row>
    <x:row r="416">
      <x:c r="A416" s="15" t="n">
        <x:v>84</x:v>
      </x:c>
      <x:c r="B416" s="15" t="str">
        <x:v>Amrita Vishwa Vidyapeetham</x:v>
      </x:c>
      <x:c r="C416" s="15" t="str">
        <x:v>India</x:v>
      </x:c>
      <x:c r="D416" s="15" t="str">
        <x:v>No standalone sustainability/environment master's confirmed</x:v>
      </x:c>
      <x:c r="E416" s="32" t="n">
        <x:v>2023</x:v>
      </x:c>
      <x:c r="F416" s="32" t="n">
        <x:f>52</x:f>
        <x:v>52</x:v>
      </x:c>
      <x:c r="G416" s="36" t="n">
        <x:v>91.2</x:v>
      </x:c>
      <x:c r="H416" s="15" t="str">
        <x:v>Ranked</x:v>
      </x:c>
      <x:c r="I416" s="15" t="str">
        <x:v>Amrita Vishwa Vidyapeetham</x:v>
      </x:c>
      <x:c r="J416" s="31" t="str">
        <x:v>https://www.timeshighereducation.com/world-university-rankings/amrita-vishwa-vidyapeetham</x:v>
      </x:c>
      <x:c r="K416" s="31" t="str">
        <x:v>https://www.timeshighereducation.com/rankings/impact/overall/2023</x:v>
      </x:c>
      <x:c r="L416" s="31" t="str">
        <x:v>https://www.amrita.edu/course/environmental-science-and-sustainability-6/</x:v>
      </x:c>
    </x:row>
    <x:row r="417">
      <x:c r="A417" s="15" t="n">
        <x:v>84</x:v>
      </x:c>
      <x:c r="B417" s="15" t="str">
        <x:v>Amrita Vishwa Vidyapeetham</x:v>
      </x:c>
      <x:c r="C417" s="15" t="str">
        <x:v>India</x:v>
      </x:c>
      <x:c r="D417" s="15" t="str">
        <x:v>No standalone sustainability/environment master's confirmed</x:v>
      </x:c>
      <x:c r="E417" s="32" t="n">
        <x:v>2024</x:v>
      </x:c>
      <x:c r="F417" s="32" t="n">
        <x:f>81</x:f>
        <x:v>81</x:v>
      </x:c>
      <x:c r="G417" s="36" t="n">
        <x:v>90.3</x:v>
      </x:c>
      <x:c r="H417" s="15" t="str">
        <x:v>Ranked</x:v>
      </x:c>
      <x:c r="I417" s="15" t="str">
        <x:v>Amrita Vishwa Vidyapeetham</x:v>
      </x:c>
      <x:c r="J417" s="31" t="str">
        <x:v>https://www.timeshighereducation.com/world-university-rankings/amrita-vishwa-vidyapeetham</x:v>
      </x:c>
      <x:c r="K417" s="31" t="str">
        <x:v>https://www.timeshighereducation.com/rankings/impact/overall/2024</x:v>
      </x:c>
      <x:c r="L417" s="31" t="str">
        <x:v>https://www.amrita.edu/course/environmental-science-and-sustainability-6/</x:v>
      </x:c>
    </x:row>
    <x:row r="418">
      <x:c r="A418" s="15" t="n">
        <x:v>84</x:v>
      </x:c>
      <x:c r="B418" s="15" t="str">
        <x:v>Amrita Vishwa Vidyapeetham</x:v>
      </x:c>
      <x:c r="C418" s="15" t="str">
        <x:v>India</x:v>
      </x:c>
      <x:c r="D418" s="15" t="str">
        <x:v>No standalone sustainability/environment master's confirmed</x:v>
      </x:c>
      <x:c r="E418" s="32" t="n">
        <x:v>2025</x:v>
      </x:c>
      <x:c r="F418" s="32" t="n">
        <x:f>41</x:f>
        <x:v>41</x:v>
      </x:c>
      <x:c r="G418" s="36" t="n">
        <x:v>92.9</x:v>
      </x:c>
      <x:c r="H418" s="15" t="str">
        <x:v>Ranked</x:v>
      </x:c>
      <x:c r="I418" s="15" t="str">
        <x:v>Amrita Vishwa Vidyapeetham</x:v>
      </x:c>
      <x:c r="J418" s="31" t="str">
        <x:v>https://www.timeshighereducation.com/world-university-rankings/amrita-vishwa-vidyapeetham</x:v>
      </x:c>
      <x:c r="K418" s="31" t="str">
        <x:v>https://www.timeshighereducation.com/rankings/impact/overall/2025</x:v>
      </x:c>
      <x:c r="L418" s="31" t="str">
        <x:v>https://www.amrita.edu/course/environmental-science-and-sustainability-6/</x:v>
      </x:c>
    </x:row>
    <x:row r="419">
      <x:c r="A419" s="15" t="n">
        <x:v>84</x:v>
      </x:c>
      <x:c r="B419" s="15" t="str">
        <x:v>Amrita Vishwa Vidyapeetham</x:v>
      </x:c>
      <x:c r="C419" s="15" t="str">
        <x:v>India</x:v>
      </x:c>
      <x:c r="D419" s="15" t="str">
        <x:v>No standalone sustainability/environment master's confirmed</x:v>
      </x:c>
      <x:c r="E419" s="32" t="n">
        <x:v>2026</x:v>
      </x:c>
      <x:c r="F419" s="32" t="n">
        <x:f>37</x:f>
        <x:v>37</x:v>
      </x:c>
      <x:c r="G419" s="36" t="n">
        <x:v>93.4</x:v>
      </x:c>
      <x:c r="H419" s="15" t="str">
        <x:v>Ranked</x:v>
      </x:c>
      <x:c r="I419" s="15" t="str">
        <x:v>Amrita Vishwa Vidyapeetham</x:v>
      </x:c>
      <x:c r="J419" s="31" t="str">
        <x:v>https://www.timeshighereducation.com/world-university-rankings/amrita-vishwa-vidyapeetham</x:v>
      </x:c>
      <x:c r="K419" s="31" t="str">
        <x:v>https://www.timeshighereducation.com/impactrankings</x:v>
      </x:c>
      <x:c r="L419" s="31" t="str">
        <x:v>https://www.amrita.edu/course/environmental-science-and-sustainability-6/</x:v>
      </x:c>
    </x:row>
    <x:row r="420">
      <x:c r="A420" s="15" t="n">
        <x:v>85</x:v>
      </x:c>
      <x:c r="B420" s="15" t="str">
        <x:v>Queen's University Belfast</x:v>
      </x:c>
      <x:c r="C420" s="15" t="str">
        <x:v>United Kingdom</x:v>
      </x:c>
      <x:c r="D420" s="15" t="str">
        <x:v>MSc Leadership for Sustainable Development</x:v>
      </x:c>
      <x:c r="E420" s="32" t="n">
        <x:v>2022</x:v>
      </x:c>
      <x:c r="F420" s="32" t="n">
        <x:f>85</x:f>
        <x:v>85</x:v>
      </x:c>
      <x:c r="G420" s="36" t="n">
        <x:v>89.3</x:v>
      </x:c>
      <x:c r="H420" s="15" t="str">
        <x:v>Ranked</x:v>
      </x:c>
      <x:c r="I420" s="15" t="str">
        <x:v>Queen’s University Belfast</x:v>
      </x:c>
      <x:c r="J420" s="31" t="str">
        <x:v>https://www.timeshighereducation.com/world-university-rankings/queens-university-belfast</x:v>
      </x:c>
      <x:c r="K420" s="31" t="str">
        <x:v>https://www.timeshighereducation.com/rankings/impact/overall/2022</x:v>
      </x:c>
      <x:c r="L420" s="31" t="str">
        <x:v>https://www.qub.ac.uk/courses/postgraduate-taught/leadership-sustainable-development-msc/</x:v>
      </x:c>
    </x:row>
    <x:row r="421">
      <x:c r="A421" s="15" t="n">
        <x:v>85</x:v>
      </x:c>
      <x:c r="B421" s="15" t="str">
        <x:v>Queen's University Belfast</x:v>
      </x:c>
      <x:c r="C421" s="15" t="str">
        <x:v>United Kingdom</x:v>
      </x:c>
      <x:c r="D421" s="15" t="str">
        <x:v>MSc Leadership for Sustainable Development</x:v>
      </x:c>
      <x:c r="E421" s="32" t="n">
        <x:v>2023</x:v>
      </x:c>
      <x:c r="F421" s="32" t="str">
        <x:v>85</x:v>
      </x:c>
      <x:c r="G421" s="36" t="n">
        <x:v>89.3</x:v>
      </x:c>
      <x:c r="H421" s="15" t="str">
        <x:v>Ranked</x:v>
      </x:c>
      <x:c r="I421" s="15" t="str">
        <x:v>Queen’s University Belfast</x:v>
      </x:c>
      <x:c r="J421" s="31" t="str">
        <x:v>https://www.timeshighereducation.com/world-university-rankings/queens-university-belfast</x:v>
      </x:c>
      <x:c r="K421" s="31" t="str">
        <x:v>https://www.timeshighereducation.com/rankings/impact/overall/2023</x:v>
      </x:c>
      <x:c r="L421" s="31" t="str">
        <x:v>https://www.qub.ac.uk/courses/postgraduate-taught/leadership-sustainable-development-msc/</x:v>
      </x:c>
    </x:row>
    <x:row r="422">
      <x:c r="A422" s="15" t="n">
        <x:v>85</x:v>
      </x:c>
      <x:c r="B422" s="15" t="str">
        <x:v>Queen's University Belfast</x:v>
      </x:c>
      <x:c r="C422" s="15" t="str">
        <x:v>United Kingdom</x:v>
      </x:c>
      <x:c r="D422" s="15" t="str">
        <x:v>MSc Leadership for Sustainable Development</x:v>
      </x:c>
      <x:c r="E422" s="32" t="n">
        <x:v>2024</x:v>
      </x:c>
      <x:c r="F422" s="32" t="str">
        <x:v>101–200</x:v>
      </x:c>
      <x:c r="G422" s="36" t="str">
        <x:v>84.0–89.1</x:v>
      </x:c>
      <x:c r="H422" s="15" t="str">
        <x:v>Ranked</x:v>
      </x:c>
      <x:c r="I422" s="15" t="str">
        <x:v>Queen’s University Belfast</x:v>
      </x:c>
      <x:c r="J422" s="31" t="str">
        <x:v>https://www.timeshighereducation.com/world-university-rankings/queens-university-belfast</x:v>
      </x:c>
      <x:c r="K422" s="31" t="str">
        <x:v>https://www.timeshighereducation.com/rankings/impact/overall/2024</x:v>
      </x:c>
      <x:c r="L422" s="31" t="str">
        <x:v>https://www.qub.ac.uk/courses/postgraduate-taught/leadership-sustainable-development-msc/</x:v>
      </x:c>
    </x:row>
    <x:row r="423">
      <x:c r="A423" s="15" t="n">
        <x:v>85</x:v>
      </x:c>
      <x:c r="B423" s="15" t="str">
        <x:v>Queen's University Belfast</x:v>
      </x:c>
      <x:c r="C423" s="15" t="str">
        <x:v>United Kingdom</x:v>
      </x:c>
      <x:c r="D423" s="15" t="str">
        <x:v>MSc Leadership for Sustainable Development</x:v>
      </x:c>
      <x:c r="E423" s="32" t="n">
        <x:v>2025</x:v>
      </x:c>
      <x:c r="F423" s="32" t="str">
        <x:v>79</x:v>
      </x:c>
      <x:c r="G423" s="36" t="n">
        <x:v>90.6</x:v>
      </x:c>
      <x:c r="H423" s="15" t="str">
        <x:v>Ranked</x:v>
      </x:c>
      <x:c r="I423" s="15" t="str">
        <x:v>Queen’s University Belfast</x:v>
      </x:c>
      <x:c r="J423" s="31" t="str">
        <x:v>https://www.timeshighereducation.com/world-university-rankings/queens-university-belfast</x:v>
      </x:c>
      <x:c r="K423" s="31" t="str">
        <x:v>https://www.timeshighereducation.com/rankings/impact/overall/2025</x:v>
      </x:c>
      <x:c r="L423" s="31" t="str">
        <x:v>https://www.qub.ac.uk/courses/postgraduate-taught/leadership-sustainable-development-msc/</x:v>
      </x:c>
    </x:row>
    <x:row r="424">
      <x:c r="A424" s="15" t="n">
        <x:v>85</x:v>
      </x:c>
      <x:c r="B424" s="15" t="str">
        <x:v>Queen's University Belfast</x:v>
      </x:c>
      <x:c r="C424" s="15" t="str">
        <x:v>United Kingdom</x:v>
      </x:c>
      <x:c r="D424" s="15" t="str">
        <x:v>MSc Leadership for Sustainable Development</x:v>
      </x:c>
      <x:c r="E424" s="32" t="n">
        <x:v>2026</x:v>
      </x:c>
      <x:c r="F424" s="32" t="n">
        <x:f>37</x:f>
        <x:v>37</x:v>
      </x:c>
      <x:c r="G424" s="36" t="n">
        <x:v>93.4</x:v>
      </x:c>
      <x:c r="H424" s="15" t="str">
        <x:v>Ranked</x:v>
      </x:c>
      <x:c r="I424" s="15" t="str">
        <x:v>Queen’s University Belfast</x:v>
      </x:c>
      <x:c r="J424" s="31" t="str">
        <x:v>https://www.timeshighereducation.com/world-university-rankings/queens-university-belfast</x:v>
      </x:c>
      <x:c r="K424" s="31" t="str">
        <x:v>https://www.timeshighereducation.com/impactrankings</x:v>
      </x:c>
      <x:c r="L424" s="31" t="str">
        <x:v>https://www.qub.ac.uk/courses/postgraduate-taught/leadership-sustainable-development-msc/</x:v>
      </x:c>
    </x:row>
    <x:row r="425">
      <x:c r="A425" s="15" t="n">
        <x:v>86</x:v>
      </x:c>
      <x:c r="B425" s="15" t="str">
        <x:v>Near East University</x:v>
      </x:c>
      <x:c r="C425" s="15" t="str">
        <x:v>Northern Cyprus</x:v>
      </x:c>
      <x:c r="D425" s="15" t="str">
        <x:v>Master's in Environmental Education</x:v>
      </x:c>
      <x:c r="E425" s="32" t="n">
        <x:v>2022</x:v>
      </x:c>
      <x:c r="F425" s="32" t="str">
        <x:v>401–600</x:v>
      </x:c>
      <x:c r="G425" s="36" t="str">
        <x:v>65.0–71.9</x:v>
      </x:c>
      <x:c r="H425" s="15" t="str">
        <x:v>Ranked</x:v>
      </x:c>
      <x:c r="I425" s="15" t="str">
        <x:v>Near East University</x:v>
      </x:c>
      <x:c r="J425" s="31" t="str">
        <x:v>https://www.timeshighereducation.com/world-university-rankings/near-east-university</x:v>
      </x:c>
      <x:c r="K425" s="31" t="str">
        <x:v>https://www.timeshighereducation.com/rankings/impact/overall/2022</x:v>
      </x:c>
      <x:c r="L425" s="31" t="str">
        <x:v>https://sustainability.neu.edu.tr/education/sustainability-programmes/</x:v>
      </x:c>
    </x:row>
    <x:row r="426">
      <x:c r="A426" s="15" t="n">
        <x:v>86</x:v>
      </x:c>
      <x:c r="B426" s="15" t="str">
        <x:v>Near East University</x:v>
      </x:c>
      <x:c r="C426" s="15" t="str">
        <x:v>Northern Cyprus</x:v>
      </x:c>
      <x:c r="D426" s="15" t="str">
        <x:v>Master's in Environmental Education</x:v>
      </x:c>
      <x:c r="E426" s="32" t="n">
        <x:v>2023</x:v>
      </x:c>
      <x:c r="F426" s="32" t="str">
        <x:v>401–600</x:v>
      </x:c>
      <x:c r="G426" s="36" t="str">
        <x:v>66.9–72.6</x:v>
      </x:c>
      <x:c r="H426" s="15" t="str">
        <x:v>Ranked</x:v>
      </x:c>
      <x:c r="I426" s="15" t="str">
        <x:v>Near East University</x:v>
      </x:c>
      <x:c r="J426" s="31" t="str">
        <x:v>https://www.timeshighereducation.com/world-university-rankings/near-east-university</x:v>
      </x:c>
      <x:c r="K426" s="31" t="str">
        <x:v>https://www.timeshighereducation.com/rankings/impact/overall/2023</x:v>
      </x:c>
      <x:c r="L426" s="31" t="str">
        <x:v>https://sustainability.neu.edu.tr/education/sustainability-programmes/</x:v>
      </x:c>
    </x:row>
    <x:row r="427">
      <x:c r="A427" s="15" t="n">
        <x:v>86</x:v>
      </x:c>
      <x:c r="B427" s="15" t="str">
        <x:v>Near East University</x:v>
      </x:c>
      <x:c r="C427" s="15" t="str">
        <x:v>Northern Cyprus</x:v>
      </x:c>
      <x:c r="D427" s="15" t="str">
        <x:v>Master's in Environmental Education</x:v>
      </x:c>
      <x:c r="E427" s="32" t="n">
        <x:v>2024</x:v>
      </x:c>
      <x:c r="F427" s="32" t="str">
        <x:v>201–300</x:v>
      </x:c>
      <x:c r="G427" s="36" t="str">
        <x:v>79.3–83.9</x:v>
      </x:c>
      <x:c r="H427" s="15" t="str">
        <x:v>Ranked</x:v>
      </x:c>
      <x:c r="I427" s="15" t="str">
        <x:v>Near East University</x:v>
      </x:c>
      <x:c r="J427" s="31" t="str">
        <x:v>https://www.timeshighereducation.com/world-university-rankings/near-east-university</x:v>
      </x:c>
      <x:c r="K427" s="31" t="str">
        <x:v>https://www.timeshighereducation.com/rankings/impact/overall/2024</x:v>
      </x:c>
      <x:c r="L427" s="31" t="str">
        <x:v>https://sustainability.neu.edu.tr/education/sustainability-programmes/</x:v>
      </x:c>
    </x:row>
    <x:row r="428">
      <x:c r="A428" s="15" t="n">
        <x:v>86</x:v>
      </x:c>
      <x:c r="B428" s="15" t="str">
        <x:v>Near East University</x:v>
      </x:c>
      <x:c r="C428" s="15" t="str">
        <x:v>Northern Cyprus</x:v>
      </x:c>
      <x:c r="D428" s="15" t="str">
        <x:v>Master's in Environmental Education</x:v>
      </x:c>
      <x:c r="E428" s="32" t="n">
        <x:v>2025</x:v>
      </x:c>
      <x:c r="F428" s="32" t="str">
        <x:v>43</x:v>
      </x:c>
      <x:c r="G428" s="36" t="n">
        <x:v>92.8</x:v>
      </x:c>
      <x:c r="H428" s="15" t="str">
        <x:v>Ranked</x:v>
      </x:c>
      <x:c r="I428" s="15" t="str">
        <x:v>Near East University</x:v>
      </x:c>
      <x:c r="J428" s="31" t="str">
        <x:v>https://www.timeshighereducation.com/world-university-rankings/near-east-university</x:v>
      </x:c>
      <x:c r="K428" s="31" t="str">
        <x:v>https://www.timeshighereducation.com/rankings/impact/overall/2025</x:v>
      </x:c>
      <x:c r="L428" s="31" t="str">
        <x:v>https://sustainability.neu.edu.tr/education/sustainability-programmes/</x:v>
      </x:c>
    </x:row>
    <x:row r="429">
      <x:c r="A429" s="15" t="n">
        <x:v>86</x:v>
      </x:c>
      <x:c r="B429" s="15" t="str">
        <x:v>Near East University</x:v>
      </x:c>
      <x:c r="C429" s="15" t="str">
        <x:v>Northern Cyprus</x:v>
      </x:c>
      <x:c r="D429" s="15" t="str">
        <x:v>Master's in Environmental Education</x:v>
      </x:c>
      <x:c r="E429" s="32" t="n">
        <x:v>2026</x:v>
      </x:c>
      <x:c r="F429" s="32" t="n">
        <x:f>39</x:f>
        <x:v>39</x:v>
      </x:c>
      <x:c r="G429" s="36" t="n">
        <x:v>93.3</x:v>
      </x:c>
      <x:c r="H429" s="15" t="str">
        <x:v>Ranked</x:v>
      </x:c>
      <x:c r="I429" s="15" t="str">
        <x:v>Near East University</x:v>
      </x:c>
      <x:c r="J429" s="31" t="str">
        <x:v>https://www.timeshighereducation.com/world-university-rankings/near-east-university</x:v>
      </x:c>
      <x:c r="K429" s="31" t="str">
        <x:v>https://www.timeshighereducation.com/impactrankings</x:v>
      </x:c>
      <x:c r="L429" s="31" t="str">
        <x:v>https://sustainability.neu.edu.tr/education/sustainability-programmes/</x:v>
      </x:c>
    </x:row>
    <x:row r="430">
      <x:c r="A430" s="15" t="n">
        <x:v>87</x:v>
      </x:c>
      <x:c r="B430" s="15" t="str">
        <x:v>University of Johannesburg</x:v>
      </x:c>
      <x:c r="C430" s="15" t="str">
        <x:v>South Africa</x:v>
      </x:c>
      <x:c r="D430" s="15" t="str">
        <x:v>Master's in Sustainability Management</x:v>
      </x:c>
      <x:c r="E430" s="32" t="n">
        <x:v>2022</x:v>
      </x:c>
      <x:c r="F430" s="32" t="str">
        <x:v>69</x:v>
      </x:c>
      <x:c r="G430" s="36" t="n">
        <x:v>90.5</x:v>
      </x:c>
      <x:c r="H430" s="15" t="str">
        <x:v>Ranked</x:v>
      </x:c>
      <x:c r="I430" s="15" t="str">
        <x:v>University of Johannesburg</x:v>
      </x:c>
      <x:c r="J430" s="31" t="str">
        <x:v>https://www.timeshighereducation.com/world-university-rankings/university-johannesburg</x:v>
      </x:c>
      <x:c r="K430" s="31" t="str">
        <x:v>https://www.timeshighereducation.com/rankings/impact/overall/2022</x:v>
      </x:c>
      <x:c r="L430" s="31" t="str">
        <x:v>https://www.uj.ac.za/university-courses/masters-in-sustainability-management/</x:v>
      </x:c>
    </x:row>
    <x:row r="431">
      <x:c r="A431" s="15" t="n">
        <x:v>87</x:v>
      </x:c>
      <x:c r="B431" s="15" t="str">
        <x:v>University of Johannesburg</x:v>
      </x:c>
      <x:c r="C431" s="15" t="str">
        <x:v>South Africa</x:v>
      </x:c>
      <x:c r="D431" s="15" t="str">
        <x:v>Master's in Sustainability Management</x:v>
      </x:c>
      <x:c r="E431" s="32" t="n">
        <x:v>2023</x:v>
      </x:c>
      <x:c r="F431" s="32" t="n">
        <x:f>46</x:f>
        <x:v>46</x:v>
      </x:c>
      <x:c r="G431" s="36" t="n">
        <x:v>91.8</x:v>
      </x:c>
      <x:c r="H431" s="15" t="str">
        <x:v>Ranked</x:v>
      </x:c>
      <x:c r="I431" s="15" t="str">
        <x:v>University of Johannesburg</x:v>
      </x:c>
      <x:c r="J431" s="31" t="str">
        <x:v>https://www.timeshighereducation.com/world-university-rankings/university-johannesburg</x:v>
      </x:c>
      <x:c r="K431" s="31" t="str">
        <x:v>https://www.timeshighereducation.com/rankings/impact/overall/2023</x:v>
      </x:c>
      <x:c r="L431" s="31" t="str">
        <x:v>https://www.uj.ac.za/university-courses/masters-in-sustainability-management/</x:v>
      </x:c>
    </x:row>
    <x:row r="432">
      <x:c r="A432" s="15" t="n">
        <x:v>87</x:v>
      </x:c>
      <x:c r="B432" s="15" t="str">
        <x:v>University of Johannesburg</x:v>
      </x:c>
      <x:c r="C432" s="15" t="str">
        <x:v>South Africa</x:v>
      </x:c>
      <x:c r="D432" s="15" t="str">
        <x:v>Master's in Sustainability Management</x:v>
      </x:c>
      <x:c r="E432" s="32" t="n">
        <x:v>2024</x:v>
      </x:c>
      <x:c r="F432" s="32" t="n">
        <x:f>36</x:f>
        <x:v>36</x:v>
      </x:c>
      <x:c r="G432" s="36" t="n">
        <x:v>93</x:v>
      </x:c>
      <x:c r="H432" s="15" t="str">
        <x:v>Ranked</x:v>
      </x:c>
      <x:c r="I432" s="15" t="str">
        <x:v>University of Johannesburg</x:v>
      </x:c>
      <x:c r="J432" s="31" t="str">
        <x:v>https://www.timeshighereducation.com/world-university-rankings/university-johannesburg</x:v>
      </x:c>
      <x:c r="K432" s="31" t="str">
        <x:v>https://www.timeshighereducation.com/rankings/impact/overall/2024</x:v>
      </x:c>
      <x:c r="L432" s="31" t="str">
        <x:v>https://www.uj.ac.za/university-courses/masters-in-sustainability-management/</x:v>
      </x:c>
    </x:row>
    <x:row r="433">
      <x:c r="A433" s="15" t="n">
        <x:v>87</x:v>
      </x:c>
      <x:c r="B433" s="15" t="str">
        <x:v>University of Johannesburg</x:v>
      </x:c>
      <x:c r="C433" s="15" t="str">
        <x:v>South Africa</x:v>
      </x:c>
      <x:c r="D433" s="15" t="str">
        <x:v>Master's in Sustainability Management</x:v>
      </x:c>
      <x:c r="E433" s="32" t="n">
        <x:v>2025</x:v>
      </x:c>
      <x:c r="F433" s="32" t="n">
        <x:f>23</x:f>
        <x:v>23</x:v>
      </x:c>
      <x:c r="G433" s="36" t="n">
        <x:v>94.9</x:v>
      </x:c>
      <x:c r="H433" s="15" t="str">
        <x:v>Ranked</x:v>
      </x:c>
      <x:c r="I433" s="15" t="str">
        <x:v>University of Johannesburg</x:v>
      </x:c>
      <x:c r="J433" s="31" t="str">
        <x:v>https://www.timeshighereducation.com/world-university-rankings/university-johannesburg</x:v>
      </x:c>
      <x:c r="K433" s="31" t="str">
        <x:v>https://www.timeshighereducation.com/rankings/impact/overall/2025</x:v>
      </x:c>
      <x:c r="L433" s="31" t="str">
        <x:v>https://www.uj.ac.za/university-courses/masters-in-sustainability-management/</x:v>
      </x:c>
    </x:row>
    <x:row r="434">
      <x:c r="A434" s="15" t="n">
        <x:v>87</x:v>
      </x:c>
      <x:c r="B434" s="15" t="str">
        <x:v>University of Johannesburg</x:v>
      </x:c>
      <x:c r="C434" s="15" t="str">
        <x:v>South Africa</x:v>
      </x:c>
      <x:c r="D434" s="15" t="str">
        <x:v>Master's in Sustainability Management</x:v>
      </x:c>
      <x:c r="E434" s="32" t="n">
        <x:v>2026</x:v>
      </x:c>
      <x:c r="F434" s="32" t="n">
        <x:f>39</x:f>
        <x:v>39</x:v>
      </x:c>
      <x:c r="G434" s="36" t="n">
        <x:v>93.3</x:v>
      </x:c>
      <x:c r="H434" s="15" t="str">
        <x:v>Ranked</x:v>
      </x:c>
      <x:c r="I434" s="15" t="str">
        <x:v>University of Johannesburg</x:v>
      </x:c>
      <x:c r="J434" s="31" t="str">
        <x:v>https://www.timeshighereducation.com/world-university-rankings/university-johannesburg</x:v>
      </x:c>
      <x:c r="K434" s="31" t="str">
        <x:v>https://www.timeshighereducation.com/impactrankings</x:v>
      </x:c>
      <x:c r="L434" s="31" t="str">
        <x:v>https://www.uj.ac.za/university-courses/masters-in-sustainability-management/</x:v>
      </x:c>
    </x:row>
    <x:row r="435">
      <x:c r="A435" s="15" t="n">
        <x:v>88</x:v>
      </x:c>
      <x:c r="B435" s="15" t="str">
        <x:v>Universitas Gadjah Mada</x:v>
      </x:c>
      <x:c r="C435" s="15" t="str">
        <x:v>Indonesia</x:v>
      </x:c>
      <x:c r="D435" s="15" t="str">
        <x:v>Master in Environmental Science</x:v>
      </x:c>
      <x:c r="E435" s="32" t="n">
        <x:v>2022</x:v>
      </x:c>
      <x:c r="F435" s="32" t="str">
        <x:v>87</x:v>
      </x:c>
      <x:c r="G435" s="36" t="n">
        <x:v>89.2</x:v>
      </x:c>
      <x:c r="H435" s="15" t="str">
        <x:v>Ranked</x:v>
      </x:c>
      <x:c r="I435" s="15" t="str">
        <x:v>Universitas Gadjah Mada</x:v>
      </x:c>
      <x:c r="J435" s="31" t="str">
        <x:v>https://www.timeshighereducation.com/world-university-rankings/universitas-gadjah-mada</x:v>
      </x:c>
      <x:c r="K435" s="31" t="str">
        <x:v>https://www.timeshighereducation.com/rankings/impact/overall/2022</x:v>
      </x:c>
      <x:c r="L435" s="31" t="str">
        <x:v>https://admissions.ugm.ac.id/v26/program-studi/magister-ilmu-lingkungan-master-in-environmental-science/</x:v>
      </x:c>
    </x:row>
    <x:row r="436">
      <x:c r="A436" s="15" t="n">
        <x:v>88</x:v>
      </x:c>
      <x:c r="B436" s="15" t="str">
        <x:v>Universitas Gadjah Mada</x:v>
      </x:c>
      <x:c r="C436" s="15" t="str">
        <x:v>Indonesia</x:v>
      </x:c>
      <x:c r="D436" s="15" t="str">
        <x:v>Master in Environmental Science</x:v>
      </x:c>
      <x:c r="E436" s="32" t="n">
        <x:v>2023</x:v>
      </x:c>
      <x:c r="F436" s="32" t="str">
        <x:v>101–200</x:v>
      </x:c>
      <x:c r="G436" s="36" t="str">
        <x:v>82.2–88.2</x:v>
      </x:c>
      <x:c r="H436" s="15" t="str">
        <x:v>Ranked</x:v>
      </x:c>
      <x:c r="I436" s="15" t="str">
        <x:v>Universitas Gadjah Mada</x:v>
      </x:c>
      <x:c r="J436" s="31" t="str">
        <x:v>https://www.timeshighereducation.com/world-university-rankings/universitas-gadjah-mada</x:v>
      </x:c>
      <x:c r="K436" s="31" t="str">
        <x:v>https://www.timeshighereducation.com/rankings/impact/overall/2023</x:v>
      </x:c>
      <x:c r="L436" s="31" t="str">
        <x:v>https://admissions.ugm.ac.id/v26/program-studi/magister-ilmu-lingkungan-master-in-environmental-science/</x:v>
      </x:c>
    </x:row>
    <x:row r="437">
      <x:c r="A437" s="15" t="n">
        <x:v>88</x:v>
      </x:c>
      <x:c r="B437" s="15" t="str">
        <x:v>Universitas Gadjah Mada</x:v>
      </x:c>
      <x:c r="C437" s="15" t="str">
        <x:v>Indonesia</x:v>
      </x:c>
      <x:c r="D437" s="15" t="str">
        <x:v>Master in Environmental Science</x:v>
      </x:c>
      <x:c r="E437" s="32" t="n">
        <x:v>2024</x:v>
      </x:c>
      <x:c r="F437" s="32" t="str">
        <x:v>101–200</x:v>
      </x:c>
      <x:c r="G437" s="36" t="str">
        <x:v>84.0–89.1</x:v>
      </x:c>
      <x:c r="H437" s="15" t="str">
        <x:v>Ranked</x:v>
      </x:c>
      <x:c r="I437" s="15" t="str">
        <x:v>Universitas Gadjah Mada</x:v>
      </x:c>
      <x:c r="J437" s="31" t="str">
        <x:v>https://www.timeshighereducation.com/world-university-rankings/universitas-gadjah-mada</x:v>
      </x:c>
      <x:c r="K437" s="31" t="str">
        <x:v>https://www.timeshighereducation.com/rankings/impact/overall/2024</x:v>
      </x:c>
      <x:c r="L437" s="31" t="str">
        <x:v>https://admissions.ugm.ac.id/v26/program-studi/magister-ilmu-lingkungan-master-in-environmental-science/</x:v>
      </x:c>
    </x:row>
    <x:row r="438">
      <x:c r="A438" s="15" t="n">
        <x:v>88</x:v>
      </x:c>
      <x:c r="B438" s="15" t="str">
        <x:v>Universitas Gadjah Mada</x:v>
      </x:c>
      <x:c r="C438" s="15" t="str">
        <x:v>Indonesia</x:v>
      </x:c>
      <x:c r="D438" s="15" t="str">
        <x:v>Master in Environmental Science</x:v>
      </x:c>
      <x:c r="E438" s="32" t="n">
        <x:v>2025</x:v>
      </x:c>
      <x:c r="F438" s="32" t="n">
        <x:f>82</x:f>
        <x:v>82</x:v>
      </x:c>
      <x:c r="G438" s="36" t="n">
        <x:v>90.3</x:v>
      </x:c>
      <x:c r="H438" s="15" t="str">
        <x:v>Ranked</x:v>
      </x:c>
      <x:c r="I438" s="15" t="str">
        <x:v>Universitas Gadjah Mada</x:v>
      </x:c>
      <x:c r="J438" s="31" t="str">
        <x:v>https://www.timeshighereducation.com/world-university-rankings/universitas-gadjah-mada</x:v>
      </x:c>
      <x:c r="K438" s="31" t="str">
        <x:v>https://www.timeshighereducation.com/rankings/impact/overall/2025</x:v>
      </x:c>
      <x:c r="L438" s="31" t="str">
        <x:v>https://admissions.ugm.ac.id/v26/program-studi/magister-ilmu-lingkungan-master-in-environmental-science/</x:v>
      </x:c>
    </x:row>
    <x:row r="439">
      <x:c r="A439" s="15" t="n">
        <x:v>88</x:v>
      </x:c>
      <x:c r="B439" s="15" t="str">
        <x:v>Universitas Gadjah Mada</x:v>
      </x:c>
      <x:c r="C439" s="15" t="str">
        <x:v>Indonesia</x:v>
      </x:c>
      <x:c r="D439" s="15" t="str">
        <x:v>Master in Environmental Science</x:v>
      </x:c>
      <x:c r="E439" s="32" t="n">
        <x:v>2026</x:v>
      </x:c>
      <x:c r="F439" s="32" t="n">
        <x:f>41</x:f>
        <x:v>41</x:v>
      </x:c>
      <x:c r="G439" s="36" t="n">
        <x:v>93.2</x:v>
      </x:c>
      <x:c r="H439" s="15" t="str">
        <x:v>Ranked</x:v>
      </x:c>
      <x:c r="I439" s="15" t="str">
        <x:v>Universitas Gadjah Mada</x:v>
      </x:c>
      <x:c r="J439" s="31" t="str">
        <x:v>https://www.timeshighereducation.com/world-university-rankings/universitas-gadjah-mada</x:v>
      </x:c>
      <x:c r="K439" s="31" t="str">
        <x:v>https://www.timeshighereducation.com/impactrankings</x:v>
      </x:c>
      <x:c r="L439" s="31" t="str">
        <x:v>https://admissions.ugm.ac.id/v26/program-studi/magister-ilmu-lingkungan-master-in-environmental-science/</x:v>
      </x:c>
    </x:row>
    <x:row r="440">
      <x:c r="A440" s="15" t="n">
        <x:v>89</x:v>
      </x:c>
      <x:c r="B440" s="15" t="str">
        <x:v>University of Wollongong</x:v>
      </x:c>
      <x:c r="C440" s="15" t="str">
        <x:v>Australia</x:v>
      </x:c>
      <x:c r="D440" s="15" t="str">
        <x:v>Master of Earth and Environmental Sciences</x:v>
      </x:c>
      <x:c r="E440" s="32" t="n">
        <x:v>2022</x:v>
      </x:c>
      <x:c r="F440" s="32" t="n">
        <x:f>70</x:f>
        <x:v>70</x:v>
      </x:c>
      <x:c r="G440" s="36" t="n">
        <x:v>90.4</x:v>
      </x:c>
      <x:c r="H440" s="15" t="str">
        <x:v>Ranked</x:v>
      </x:c>
      <x:c r="I440" s="15" t="str">
        <x:v>University of Wollongong</x:v>
      </x:c>
      <x:c r="J440" s="31" t="str">
        <x:v>https://www.timeshighereducation.com/world-university-rankings/university-wollongong</x:v>
      </x:c>
      <x:c r="K440" s="31" t="str">
        <x:v>https://www.timeshighereducation.com/rankings/impact/overall/2022</x:v>
      </x:c>
      <x:c r="L440" s="31" t="str">
        <x:v>https://www.uow.edu.au/study/courses/master-of-earth-and-environmental-sciences/</x:v>
      </x:c>
    </x:row>
    <x:row r="441">
      <x:c r="A441" s="15" t="n">
        <x:v>89</x:v>
      </x:c>
      <x:c r="B441" s="15" t="str">
        <x:v>University of Wollongong</x:v>
      </x:c>
      <x:c r="C441" s="15" t="str">
        <x:v>Australia</x:v>
      </x:c>
      <x:c r="D441" s="15" t="str">
        <x:v>Master of Earth and Environmental Sciences</x:v>
      </x:c>
      <x:c r="E441" s="32" t="n">
        <x:v>2023</x:v>
      </x:c>
      <x:c r="F441" s="32" t="n">
        <x:f>61</x:f>
        <x:v>61</x:v>
      </x:c>
      <x:c r="G441" s="36" t="n">
        <x:v>90.7</x:v>
      </x:c>
      <x:c r="H441" s="15" t="str">
        <x:v>Ranked</x:v>
      </x:c>
      <x:c r="I441" s="15" t="str">
        <x:v>University of Wollongong</x:v>
      </x:c>
      <x:c r="J441" s="31" t="str">
        <x:v>https://www.timeshighereducation.com/world-university-rankings/university-wollongong</x:v>
      </x:c>
      <x:c r="K441" s="31" t="str">
        <x:v>https://www.timeshighereducation.com/rankings/impact/overall/2023</x:v>
      </x:c>
      <x:c r="L441" s="31" t="str">
        <x:v>https://www.uow.edu.au/study/courses/master-of-earth-and-environmental-sciences/</x:v>
      </x:c>
    </x:row>
    <x:row r="442">
      <x:c r="A442" s="15" t="n">
        <x:v>89</x:v>
      </x:c>
      <x:c r="B442" s="15" t="str">
        <x:v>University of Wollongong</x:v>
      </x:c>
      <x:c r="C442" s="15" t="str">
        <x:v>Australia</x:v>
      </x:c>
      <x:c r="D442" s="15" t="str">
        <x:v>Master of Earth and Environmental Sciences</x:v>
      </x:c>
      <x:c r="E442" s="32" t="n">
        <x:v>2024</x:v>
      </x:c>
      <x:c r="F442" s="32" t="n">
        <x:f>44</x:f>
        <x:v>44</x:v>
      </x:c>
      <x:c r="G442" s="36" t="n">
        <x:v>92.4</x:v>
      </x:c>
      <x:c r="H442" s="15" t="str">
        <x:v>Ranked</x:v>
      </x:c>
      <x:c r="I442" s="15" t="str">
        <x:v>University of Wollongong</x:v>
      </x:c>
      <x:c r="J442" s="31" t="str">
        <x:v>https://www.timeshighereducation.com/world-university-rankings/university-wollongong</x:v>
      </x:c>
      <x:c r="K442" s="31" t="str">
        <x:v>https://www.timeshighereducation.com/rankings/impact/overall/2024</x:v>
      </x:c>
      <x:c r="L442" s="31" t="str">
        <x:v>https://www.uow.edu.au/study/courses/master-of-earth-and-environmental-sciences/</x:v>
      </x:c>
    </x:row>
    <x:row r="443">
      <x:c r="A443" s="15" t="n">
        <x:v>89</x:v>
      </x:c>
      <x:c r="B443" s="15" t="str">
        <x:v>University of Wollongong</x:v>
      </x:c>
      <x:c r="C443" s="15" t="str">
        <x:v>Australia</x:v>
      </x:c>
      <x:c r="D443" s="15" t="str">
        <x:v>Master of Earth and Environmental Sciences</x:v>
      </x:c>
      <x:c r="E443" s="32" t="n">
        <x:v>2025</x:v>
      </x:c>
      <x:c r="F443" s="32" t="n">
        <x:f>31</x:f>
        <x:v>31</x:v>
      </x:c>
      <x:c r="G443" s="36" t="n">
        <x:v>94.2</x:v>
      </x:c>
      <x:c r="H443" s="15" t="str">
        <x:v>Ranked</x:v>
      </x:c>
      <x:c r="I443" s="15" t="str">
        <x:v>University of Wollongong</x:v>
      </x:c>
      <x:c r="J443" s="31" t="str">
        <x:v>https://www.timeshighereducation.com/world-university-rankings/university-wollongong</x:v>
      </x:c>
      <x:c r="K443" s="31" t="str">
        <x:v>https://www.timeshighereducation.com/rankings/impact/overall/2025</x:v>
      </x:c>
      <x:c r="L443" s="31" t="str">
        <x:v>https://www.uow.edu.au/study/courses/master-of-earth-and-environmental-sciences/</x:v>
      </x:c>
    </x:row>
    <x:row r="444">
      <x:c r="A444" s="15" t="n">
        <x:v>89</x:v>
      </x:c>
      <x:c r="B444" s="15" t="str">
        <x:v>University of Wollongong</x:v>
      </x:c>
      <x:c r="C444" s="15" t="str">
        <x:v>Australia</x:v>
      </x:c>
      <x:c r="D444" s="15" t="str">
        <x:v>Master of Earth and Environmental Sciences</x:v>
      </x:c>
      <x:c r="E444" s="32" t="n">
        <x:v>2026</x:v>
      </x:c>
      <x:c r="F444" s="32" t="n">
        <x:f>41</x:f>
        <x:v>41</x:v>
      </x:c>
      <x:c r="G444" s="36" t="n">
        <x:v>93.2</x:v>
      </x:c>
      <x:c r="H444" s="15" t="str">
        <x:v>Ranked</x:v>
      </x:c>
      <x:c r="I444" s="15" t="str">
        <x:v>University of Wollongong</x:v>
      </x:c>
      <x:c r="J444" s="31" t="str">
        <x:v>https://www.timeshighereducation.com/world-university-rankings/university-wollongong</x:v>
      </x:c>
      <x:c r="K444" s="31" t="str">
        <x:v>https://www.timeshighereducation.com/impactrankings</x:v>
      </x:c>
      <x:c r="L444" s="31" t="str">
        <x:v>https://www.uow.edu.au/study/courses/master-of-earth-and-environmental-sciences/</x:v>
      </x:c>
    </x:row>
    <x:row r="445">
      <x:c r="A445" s="15" t="n">
        <x:v>90</x:v>
      </x:c>
      <x:c r="B445" s="15" t="str">
        <x:v>Yonsei University (Seoul campus)</x:v>
      </x:c>
      <x:c r="C445" s="15" t="str">
        <x:v>South Korea</x:v>
      </x:c>
      <x:c r="D445" s="15" t="str">
        <x:v>Master of Global Civic Studies - Global Citizenship and Sustainable Development</x:v>
      </x:c>
      <x:c r="E445" s="32" t="n">
        <x:v>2022</x:v>
      </x:c>
      <x:c r="F445" s="32" t="n">
        <x:f>27</x:f>
        <x:v>27</x:v>
      </x:c>
      <x:c r="G445" s="36" t="n">
        <x:v>94</x:v>
      </x:c>
      <x:c r="H445" s="15" t="str">
        <x:v>Ranked</x:v>
      </x:c>
      <x:c r="I445" s="15" t="str">
        <x:v>Yonsei University (Seoul campus)</x:v>
      </x:c>
      <x:c r="J445" s="31" t="str">
        <x:v>https://www.timeshighereducation.com/world-university-rankings/yonsei-university-seoul-campus</x:v>
      </x:c>
      <x:c r="K445" s="31" t="str">
        <x:v>https://www.timeshighereducation.com/rankings/impact/overall/2022</x:v>
      </x:c>
      <x:c r="L445" s="31" t="str">
        <x:v>https://lawschool.yonsei.ac.kr/gsis/intro/status.do</x:v>
      </x:c>
    </x:row>
    <x:row r="446">
      <x:c r="A446" s="15" t="n">
        <x:v>90</x:v>
      </x:c>
      <x:c r="B446" s="15" t="str">
        <x:v>Yonsei University (Seoul campus)</x:v>
      </x:c>
      <x:c r="C446" s="15" t="str">
        <x:v>South Korea</x:v>
      </x:c>
      <x:c r="D446" s="15" t="str">
        <x:v>Master of Global Civic Studies - Global Citizenship and Sustainable Development</x:v>
      </x:c>
      <x:c r="E446" s="32" t="n">
        <x:v>2023</x:v>
      </x:c>
      <x:c r="F446" s="32" t="n">
        <x:f>14</x:f>
        <x:v>14</x:v>
      </x:c>
      <x:c r="G446" s="36" t="n">
        <x:v>95</x:v>
      </x:c>
      <x:c r="H446" s="15" t="str">
        <x:v>Ranked</x:v>
      </x:c>
      <x:c r="I446" s="15" t="str">
        <x:v>Yonsei University (Seoul campus)</x:v>
      </x:c>
      <x:c r="J446" s="31" t="str">
        <x:v>https://www.timeshighereducation.com/world-university-rankings/yonsei-university-seoul-campus</x:v>
      </x:c>
      <x:c r="K446" s="31" t="str">
        <x:v>https://www.timeshighereducation.com/rankings/impact/overall/2023</x:v>
      </x:c>
      <x:c r="L446" s="31" t="str">
        <x:v>https://lawschool.yonsei.ac.kr/gsis/intro/status.do</x:v>
      </x:c>
    </x:row>
    <x:row r="447">
      <x:c r="A447" s="15" t="n">
        <x:v>90</x:v>
      </x:c>
      <x:c r="B447" s="15" t="str">
        <x:v>Yonsei University (Seoul campus)</x:v>
      </x:c>
      <x:c r="C447" s="15" t="str">
        <x:v>South Korea</x:v>
      </x:c>
      <x:c r="D447" s="15" t="str">
        <x:v>Master of Global Civic Studies - Global Citizenship and Sustainable Development</x:v>
      </x:c>
      <x:c r="E447" s="32" t="n">
        <x:v>2024</x:v>
      </x:c>
      <x:c r="F447" s="32" t="str">
        <x:v>11</x:v>
      </x:c>
      <x:c r="G447" s="36" t="n">
        <x:v>96</x:v>
      </x:c>
      <x:c r="H447" s="15" t="str">
        <x:v>Ranked</x:v>
      </x:c>
      <x:c r="I447" s="15" t="str">
        <x:v>Yonsei University (Seoul campus)</x:v>
      </x:c>
      <x:c r="J447" s="31" t="str">
        <x:v>https://www.timeshighereducation.com/world-university-rankings/yonsei-university-seoul-campus</x:v>
      </x:c>
      <x:c r="K447" s="31" t="str">
        <x:v>https://www.timeshighereducation.com/rankings/impact/overall/2024</x:v>
      </x:c>
      <x:c r="L447" s="31" t="str">
        <x:v>https://lawschool.yonsei.ac.kr/gsis/intro/status.do</x:v>
      </x:c>
    </x:row>
    <x:row r="448">
      <x:c r="A448" s="15" t="n">
        <x:v>90</x:v>
      </x:c>
      <x:c r="B448" s="15" t="str">
        <x:v>Yonsei University (Seoul campus)</x:v>
      </x:c>
      <x:c r="C448" s="15" t="str">
        <x:v>South Korea</x:v>
      </x:c>
      <x:c r="D448" s="15" t="str">
        <x:v>Master of Global Civic Studies - Global Citizenship and Sustainable Development</x:v>
      </x:c>
      <x:c r="E448" s="32" t="n">
        <x:v>2025</x:v>
      </x:c>
      <x:c r="F448" s="32" t="n">
        <x:f>21</x:f>
        <x:v>21</x:v>
      </x:c>
      <x:c r="G448" s="36" t="n">
        <x:v>95</x:v>
      </x:c>
      <x:c r="H448" s="15" t="str">
        <x:v>Ranked</x:v>
      </x:c>
      <x:c r="I448" s="15" t="str">
        <x:v>Yonsei University (Seoul campus)</x:v>
      </x:c>
      <x:c r="J448" s="31" t="str">
        <x:v>https://www.timeshighereducation.com/world-university-rankings/yonsei-university-seoul-campus</x:v>
      </x:c>
      <x:c r="K448" s="31" t="str">
        <x:v>https://www.timeshighereducation.com/rankings/impact/overall/2025</x:v>
      </x:c>
      <x:c r="L448" s="31" t="str">
        <x:v>https://lawschool.yonsei.ac.kr/gsis/intro/status.do</x:v>
      </x:c>
    </x:row>
    <x:row r="449">
      <x:c r="A449" s="15" t="n">
        <x:v>90</x:v>
      </x:c>
      <x:c r="B449" s="15" t="str">
        <x:v>Yonsei University (Seoul campus)</x:v>
      </x:c>
      <x:c r="C449" s="15" t="str">
        <x:v>South Korea</x:v>
      </x:c>
      <x:c r="D449" s="15" t="str">
        <x:v>Master of Global Civic Studies - Global Citizenship and Sustainable Development</x:v>
      </x:c>
      <x:c r="E449" s="32" t="n">
        <x:v>2026</x:v>
      </x:c>
      <x:c r="F449" s="32" t="n">
        <x:f>41</x:f>
        <x:v>41</x:v>
      </x:c>
      <x:c r="G449" s="36" t="n">
        <x:v>93.2</x:v>
      </x:c>
      <x:c r="H449" s="15" t="str">
        <x:v>Ranked</x:v>
      </x:c>
      <x:c r="I449" s="15" t="str">
        <x:v>Yonsei University (Seoul campus)</x:v>
      </x:c>
      <x:c r="J449" s="31" t="str">
        <x:v>https://www.timeshighereducation.com/world-university-rankings/yonsei-university-seoul-campus</x:v>
      </x:c>
      <x:c r="K449" s="31" t="str">
        <x:v>https://www.timeshighereducation.com/impactrankings</x:v>
      </x:c>
      <x:c r="L449" s="31" t="str">
        <x:v>https://lawschool.yonsei.ac.kr/gsis/intro/status.do</x:v>
      </x:c>
    </x:row>
    <x:row r="450">
      <x:c r="A450" s="15" t="n">
        <x:v>91</x:v>
      </x:c>
      <x:c r="B450" s="15" t="str">
        <x:v>Sunway University</x:v>
      </x:c>
      <x:c r="C450" s="15" t="str">
        <x:v>Malaysia</x:v>
      </x:c>
      <x:c r="D450" s="15" t="str">
        <x:v>Master in Sustainable Development Management</x:v>
      </x:c>
      <x:c r="E450" s="32" t="n">
        <x:v>2022</x:v>
      </x:c>
      <x:c r="F450" s="32" t="str">
        <x:v>301–400</x:v>
      </x:c>
      <x:c r="G450" s="36" t="str">
        <x:v>72.0–76.7</x:v>
      </x:c>
      <x:c r="H450" s="15" t="str">
        <x:v>Ranked</x:v>
      </x:c>
      <x:c r="I450" s="15" t="str">
        <x:v>Sunway University</x:v>
      </x:c>
      <x:c r="J450" s="31" t="str">
        <x:v>https://www.timeshighereducation.com/world-university-rankings/sunway-university</x:v>
      </x:c>
      <x:c r="K450" s="31" t="str">
        <x:v>https://www.timeshighereducation.com/rankings/impact/overall/2022</x:v>
      </x:c>
      <x:c r="L450" s="31" t="str">
        <x:v>https://sunwayuniversity.edu.my/jsc/courses/master-sustainable-development-management-0</x:v>
      </x:c>
    </x:row>
    <x:row r="451">
      <x:c r="A451" s="15" t="n">
        <x:v>91</x:v>
      </x:c>
      <x:c r="B451" s="15" t="str">
        <x:v>Sunway University</x:v>
      </x:c>
      <x:c r="C451" s="15" t="str">
        <x:v>Malaysia</x:v>
      </x:c>
      <x:c r="D451" s="15" t="str">
        <x:v>Master in Sustainable Development Management</x:v>
      </x:c>
      <x:c r="E451" s="32" t="n">
        <x:v>2023</x:v>
      </x:c>
      <x:c r="F451" s="32" t="str">
        <x:v>301–400</x:v>
      </x:c>
      <x:c r="G451" s="36" t="str">
        <x:v>72.7–76.7</x:v>
      </x:c>
      <x:c r="H451" s="15" t="str">
        <x:v>Ranked</x:v>
      </x:c>
      <x:c r="I451" s="15" t="str">
        <x:v>Sunway University</x:v>
      </x:c>
      <x:c r="J451" s="31" t="str">
        <x:v>https://www.timeshighereducation.com/world-university-rankings/sunway-university</x:v>
      </x:c>
      <x:c r="K451" s="31" t="str">
        <x:v>https://www.timeshighereducation.com/rankings/impact/overall/2023</x:v>
      </x:c>
      <x:c r="L451" s="31" t="str">
        <x:v>https://sunwayuniversity.edu.my/jsc/courses/master-sustainable-development-management-0</x:v>
      </x:c>
    </x:row>
    <x:row r="452">
      <x:c r="A452" s="15" t="n">
        <x:v>91</x:v>
      </x:c>
      <x:c r="B452" s="15" t="str">
        <x:v>Sunway University</x:v>
      </x:c>
      <x:c r="C452" s="15" t="str">
        <x:v>Malaysia</x:v>
      </x:c>
      <x:c r="D452" s="15" t="str">
        <x:v>Master in Sustainable Development Management</x:v>
      </x:c>
      <x:c r="E452" s="32" t="n">
        <x:v>2024</x:v>
      </x:c>
      <x:c r="F452" s="32" t="str">
        <x:v>201–300</x:v>
      </x:c>
      <x:c r="G452" s="36" t="str">
        <x:v>79.3–83.9</x:v>
      </x:c>
      <x:c r="H452" s="15" t="str">
        <x:v>Ranked</x:v>
      </x:c>
      <x:c r="I452" s="15" t="str">
        <x:v>Sunway University</x:v>
      </x:c>
      <x:c r="J452" s="31" t="str">
        <x:v>https://www.timeshighereducation.com/world-university-rankings/sunway-university</x:v>
      </x:c>
      <x:c r="K452" s="31" t="str">
        <x:v>https://www.timeshighereducation.com/rankings/impact/overall/2024</x:v>
      </x:c>
      <x:c r="L452" s="31" t="str">
        <x:v>https://sunwayuniversity.edu.my/jsc/courses/master-sustainable-development-management-0</x:v>
      </x:c>
    </x:row>
    <x:row r="453">
      <x:c r="A453" s="15" t="n">
        <x:v>91</x:v>
      </x:c>
      <x:c r="B453" s="15" t="str">
        <x:v>Sunway University</x:v>
      </x:c>
      <x:c r="C453" s="15" t="str">
        <x:v>Malaysia</x:v>
      </x:c>
      <x:c r="D453" s="15" t="str">
        <x:v>Master in Sustainable Development Management</x:v>
      </x:c>
      <x:c r="E453" s="32" t="n">
        <x:v>2025</x:v>
      </x:c>
      <x:c r="F453" s="32" t="str">
        <x:v>81</x:v>
      </x:c>
      <x:c r="G453" s="36" t="n">
        <x:v>90.4</x:v>
      </x:c>
      <x:c r="H453" s="15" t="str">
        <x:v>Ranked</x:v>
      </x:c>
      <x:c r="I453" s="15" t="str">
        <x:v>Sunway University</x:v>
      </x:c>
      <x:c r="J453" s="31" t="str">
        <x:v>https://www.timeshighereducation.com/world-university-rankings/sunway-university</x:v>
      </x:c>
      <x:c r="K453" s="31" t="str">
        <x:v>https://www.timeshighereducation.com/rankings/impact/overall/2025</x:v>
      </x:c>
      <x:c r="L453" s="31" t="str">
        <x:v>https://sunwayuniversity.edu.my/jsc/courses/master-sustainable-development-management-0</x:v>
      </x:c>
    </x:row>
    <x:row r="454">
      <x:c r="A454" s="15" t="n">
        <x:v>91</x:v>
      </x:c>
      <x:c r="B454" s="15" t="str">
        <x:v>Sunway University</x:v>
      </x:c>
      <x:c r="C454" s="15" t="str">
        <x:v>Malaysia</x:v>
      </x:c>
      <x:c r="D454" s="15" t="str">
        <x:v>Master in Sustainable Development Management</x:v>
      </x:c>
      <x:c r="E454" s="32" t="n">
        <x:v>2026</x:v>
      </x:c>
      <x:c r="F454" s="32" t="str">
        <x:v>45</x:v>
      </x:c>
      <x:c r="G454" s="36" t="n">
        <x:v>93</x:v>
      </x:c>
      <x:c r="H454" s="15" t="str">
        <x:v>Ranked</x:v>
      </x:c>
      <x:c r="I454" s="15" t="str">
        <x:v>Sunway University</x:v>
      </x:c>
      <x:c r="J454" s="31" t="str">
        <x:v>https://www.timeshighereducation.com/world-university-rankings/sunway-university</x:v>
      </x:c>
      <x:c r="K454" s="31" t="str">
        <x:v>https://www.timeshighereducation.com/impactrankings</x:v>
      </x:c>
      <x:c r="L454" s="31" t="str">
        <x:v>https://sunwayuniversity.edu.my/jsc/courses/master-sustainable-development-management-0</x:v>
      </x:c>
    </x:row>
    <x:row r="455">
      <x:c r="A455" s="15" t="n">
        <x:v>92</x:v>
      </x:c>
      <x:c r="B455" s="15" t="str">
        <x:v>Thammasat University</x:v>
      </x:c>
      <x:c r="C455" s="15" t="str">
        <x:v>Thailand</x:v>
      </x:c>
      <x:c r="D455" s="15" t="str">
        <x:v>MA Social Innovation and Sustainability</x:v>
      </x:c>
      <x:c r="E455" s="32" t="n">
        <x:v>2022</x:v>
      </x:c>
      <x:c r="F455" s="32" t="str">
        <x:v>101–200</x:v>
      </x:c>
      <x:c r="G455" s="36" t="str">
        <x:v>82.1–88.5</x:v>
      </x:c>
      <x:c r="H455" s="15" t="str">
        <x:v>Ranked</x:v>
      </x:c>
      <x:c r="I455" s="15" t="str">
        <x:v>Thammasat University</x:v>
      </x:c>
      <x:c r="J455" s="31" t="str">
        <x:v>https://www.timeshighereducation.com/world-university-rankings/thammasat-university</x:v>
      </x:c>
      <x:c r="K455" s="31" t="str">
        <x:v>https://www.timeshighereducation.com/rankings/impact/overall/2022</x:v>
      </x:c>
      <x:c r="L455" s="31" t="str">
        <x:v>https://sgs.tu.ac.th/ma-program/</x:v>
      </x:c>
    </x:row>
    <x:row r="456">
      <x:c r="A456" s="15" t="n">
        <x:v>92</x:v>
      </x:c>
      <x:c r="B456" s="15" t="str">
        <x:v>Thammasat University</x:v>
      </x:c>
      <x:c r="C456" s="15" t="str">
        <x:v>Thailand</x:v>
      </x:c>
      <x:c r="D456" s="15" t="str">
        <x:v>MA Social Innovation and Sustainability</x:v>
      </x:c>
      <x:c r="E456" s="32" t="n">
        <x:v>2023</x:v>
      </x:c>
      <x:c r="F456" s="32" t="str">
        <x:v>101–200</x:v>
      </x:c>
      <x:c r="G456" s="36" t="str">
        <x:v>82.2–88.2</x:v>
      </x:c>
      <x:c r="H456" s="15" t="str">
        <x:v>Ranked</x:v>
      </x:c>
      <x:c r="I456" s="15" t="str">
        <x:v>Thammasat University</x:v>
      </x:c>
      <x:c r="J456" s="31" t="str">
        <x:v>https://www.timeshighereducation.com/world-university-rankings/thammasat-university</x:v>
      </x:c>
      <x:c r="K456" s="31" t="str">
        <x:v>https://www.timeshighereducation.com/rankings/impact/overall/2023</x:v>
      </x:c>
      <x:c r="L456" s="31" t="str">
        <x:v>https://sgs.tu.ac.th/ma-program/</x:v>
      </x:c>
    </x:row>
    <x:row r="457">
      <x:c r="A457" s="15" t="n">
        <x:v>92</x:v>
      </x:c>
      <x:c r="B457" s="15" t="str">
        <x:v>Thammasat University</x:v>
      </x:c>
      <x:c r="C457" s="15" t="str">
        <x:v>Thailand</x:v>
      </x:c>
      <x:c r="D457" s="15" t="str">
        <x:v>MA Social Innovation and Sustainability</x:v>
      </x:c>
      <x:c r="E457" s="32" t="n">
        <x:v>2024</x:v>
      </x:c>
      <x:c r="F457" s="32" t="n">
        <x:f>81</x:f>
        <x:v>81</x:v>
      </x:c>
      <x:c r="G457" s="36" t="n">
        <x:v>90.3</x:v>
      </x:c>
      <x:c r="H457" s="15" t="str">
        <x:v>Ranked</x:v>
      </x:c>
      <x:c r="I457" s="15" t="str">
        <x:v>Thammasat University</x:v>
      </x:c>
      <x:c r="J457" s="31" t="str">
        <x:v>https://www.timeshighereducation.com/world-university-rankings/thammasat-university</x:v>
      </x:c>
      <x:c r="K457" s="31" t="str">
        <x:v>https://www.timeshighereducation.com/rankings/impact/overall/2024</x:v>
      </x:c>
      <x:c r="L457" s="31" t="str">
        <x:v>https://sgs.tu.ac.th/ma-program/</x:v>
      </x:c>
    </x:row>
    <x:row r="458">
      <x:c r="A458" s="15" t="n">
        <x:v>92</x:v>
      </x:c>
      <x:c r="B458" s="15" t="str">
        <x:v>Thammasat University</x:v>
      </x:c>
      <x:c r="C458" s="15" t="str">
        <x:v>Thailand</x:v>
      </x:c>
      <x:c r="D458" s="15" t="str">
        <x:v>MA Social Innovation and Sustainability</x:v>
      </x:c>
      <x:c r="E458" s="32" t="n">
        <x:v>2025</x:v>
      </x:c>
      <x:c r="F458" s="32" t="n">
        <x:f>64</x:f>
        <x:v>64</x:v>
      </x:c>
      <x:c r="G458" s="36" t="n">
        <x:v>91.3</x:v>
      </x:c>
      <x:c r="H458" s="15" t="str">
        <x:v>Ranked</x:v>
      </x:c>
      <x:c r="I458" s="15" t="str">
        <x:v>Thammasat University</x:v>
      </x:c>
      <x:c r="J458" s="31" t="str">
        <x:v>https://www.timeshighereducation.com/world-university-rankings/thammasat-university</x:v>
      </x:c>
      <x:c r="K458" s="31" t="str">
        <x:v>https://www.timeshighereducation.com/rankings/impact/overall/2025</x:v>
      </x:c>
      <x:c r="L458" s="31" t="str">
        <x:v>https://sgs.tu.ac.th/ma-program/</x:v>
      </x:c>
    </x:row>
    <x:row r="459">
      <x:c r="A459" s="15" t="n">
        <x:v>92</x:v>
      </x:c>
      <x:c r="B459" s="15" t="str">
        <x:v>Thammasat University</x:v>
      </x:c>
      <x:c r="C459" s="15" t="str">
        <x:v>Thailand</x:v>
      </x:c>
      <x:c r="D459" s="15" t="str">
        <x:v>MA Social Innovation and Sustainability</x:v>
      </x:c>
      <x:c r="E459" s="32" t="n">
        <x:v>2026</x:v>
      </x:c>
      <x:c r="F459" s="32" t="str">
        <x:v>46</x:v>
      </x:c>
      <x:c r="G459" s="36" t="n">
        <x:v>92.9</x:v>
      </x:c>
      <x:c r="H459" s="15" t="str">
        <x:v>Ranked</x:v>
      </x:c>
      <x:c r="I459" s="15" t="str">
        <x:v>Thammasat University</x:v>
      </x:c>
      <x:c r="J459" s="31" t="str">
        <x:v>https://www.timeshighereducation.com/world-university-rankings/thammasat-university</x:v>
      </x:c>
      <x:c r="K459" s="31" t="str">
        <x:v>https://www.timeshighereducation.com/impactrankings</x:v>
      </x:c>
      <x:c r="L459" s="31" t="str">
        <x:v>https://sgs.tu.ac.th/ma-program/</x:v>
      </x:c>
    </x:row>
    <x:row r="460">
      <x:c r="A460" s="15" t="n">
        <x:v>93</x:v>
      </x:c>
      <x:c r="B460" s="15" t="str">
        <x:v>Walailak University</x:v>
      </x:c>
      <x:c r="C460" s="15" t="str">
        <x:v>Thailand</x:v>
      </x:c>
      <x:c r="D460" s="15" t="str">
        <x:v>MSc Environmental, Safety Technology and Health</x:v>
      </x:c>
      <x:c r="E460" s="32" t="n">
        <x:v>2022</x:v>
      </x:c>
      <x:c r="F460" s="32" t="str">
        <x:v>601–800</x:v>
      </x:c>
      <x:c r="G460" s="36" t="str">
        <x:v>57.3–64.9</x:v>
      </x:c>
      <x:c r="H460" s="15" t="str">
        <x:v>Ranked</x:v>
      </x:c>
      <x:c r="I460" s="15" t="str">
        <x:v>Walailak University</x:v>
      </x:c>
      <x:c r="J460" s="31" t="str">
        <x:v>https://www.timeshighereducation.com/world-university-rankings/walailak-university</x:v>
      </x:c>
      <x:c r="K460" s="31" t="str">
        <x:v>https://www.timeshighereducation.com/rankings/impact/overall/2022</x:v>
      </x:c>
      <x:c r="L460" s="31" t="str">
        <x:v>https://www.wu.ac.th/en/news/21010/School-College</x:v>
      </x:c>
    </x:row>
    <x:row r="461">
      <x:c r="A461" s="15" t="n">
        <x:v>93</x:v>
      </x:c>
      <x:c r="B461" s="15" t="str">
        <x:v>Walailak University</x:v>
      </x:c>
      <x:c r="C461" s="15" t="str">
        <x:v>Thailand</x:v>
      </x:c>
      <x:c r="D461" s="15" t="str">
        <x:v>MSc Environmental, Safety Technology and Health</x:v>
      </x:c>
      <x:c r="E461" s="32" t="n">
        <x:v>2023</x:v>
      </x:c>
      <x:c r="F461" s="32" t="str">
        <x:v>401–600</x:v>
      </x:c>
      <x:c r="G461" s="36" t="str">
        <x:v>66.9–72.6</x:v>
      </x:c>
      <x:c r="H461" s="15" t="str">
        <x:v>Ranked</x:v>
      </x:c>
      <x:c r="I461" s="15" t="str">
        <x:v>Walailak University</x:v>
      </x:c>
      <x:c r="J461" s="31" t="str">
        <x:v>https://www.timeshighereducation.com/world-university-rankings/walailak-university</x:v>
      </x:c>
      <x:c r="K461" s="31" t="str">
        <x:v>https://www.timeshighereducation.com/rankings/impact/overall/2023</x:v>
      </x:c>
      <x:c r="L461" s="31" t="str">
        <x:v>https://www.wu.ac.th/en/news/21010/School-College</x:v>
      </x:c>
    </x:row>
    <x:row r="462">
      <x:c r="A462" s="15" t="n">
        <x:v>93</x:v>
      </x:c>
      <x:c r="B462" s="15" t="str">
        <x:v>Walailak University</x:v>
      </x:c>
      <x:c r="C462" s="15" t="str">
        <x:v>Thailand</x:v>
      </x:c>
      <x:c r="D462" s="15" t="str">
        <x:v>MSc Environmental, Safety Technology and Health</x:v>
      </x:c>
      <x:c r="E462" s="32" t="n">
        <x:v>2024</x:v>
      </x:c>
      <x:c r="F462" s="32" t="str">
        <x:v>101–200</x:v>
      </x:c>
      <x:c r="G462" s="36" t="str">
        <x:v>84.0–89.1</x:v>
      </x:c>
      <x:c r="H462" s="15" t="str">
        <x:v>Ranked</x:v>
      </x:c>
      <x:c r="I462" s="15" t="str">
        <x:v>Walailak University</x:v>
      </x:c>
      <x:c r="J462" s="31" t="str">
        <x:v>https://www.timeshighereducation.com/world-university-rankings/walailak-university</x:v>
      </x:c>
      <x:c r="K462" s="31" t="str">
        <x:v>https://www.timeshighereducation.com/rankings/impact/overall/2024</x:v>
      </x:c>
      <x:c r="L462" s="31" t="str">
        <x:v>https://www.wu.ac.th/en/news/21010/School-College</x:v>
      </x:c>
    </x:row>
    <x:row r="463">
      <x:c r="A463" s="15" t="n">
        <x:v>93</x:v>
      </x:c>
      <x:c r="B463" s="15" t="str">
        <x:v>Walailak University</x:v>
      </x:c>
      <x:c r="C463" s="15" t="str">
        <x:v>Thailand</x:v>
      </x:c>
      <x:c r="D463" s="15" t="str">
        <x:v>MSc Environmental, Safety Technology and Health</x:v>
      </x:c>
      <x:c r="E463" s="32" t="n">
        <x:v>2025</x:v>
      </x:c>
      <x:c r="F463" s="32" t="n">
        <x:f>93</x:f>
        <x:v>93</x:v>
      </x:c>
      <x:c r="G463" s="36" t="n">
        <x:v>89.7</x:v>
      </x:c>
      <x:c r="H463" s="15" t="str">
        <x:v>Ranked</x:v>
      </x:c>
      <x:c r="I463" s="15" t="str">
        <x:v>Walailak University</x:v>
      </x:c>
      <x:c r="J463" s="31" t="str">
        <x:v>https://www.timeshighereducation.com/world-university-rankings/walailak-university</x:v>
      </x:c>
      <x:c r="K463" s="31" t="str">
        <x:v>https://www.timeshighereducation.com/rankings/impact/overall/2025</x:v>
      </x:c>
      <x:c r="L463" s="31" t="str">
        <x:v>https://www.wu.ac.th/en/news/21010/School-College</x:v>
      </x:c>
    </x:row>
    <x:row r="464">
      <x:c r="A464" s="15" t="n">
        <x:v>93</x:v>
      </x:c>
      <x:c r="B464" s="15" t="str">
        <x:v>Walailak University</x:v>
      </x:c>
      <x:c r="C464" s="15" t="str">
        <x:v>Thailand</x:v>
      </x:c>
      <x:c r="D464" s="15" t="str">
        <x:v>MSc Environmental, Safety Technology and Health</x:v>
      </x:c>
      <x:c r="E464" s="32" t="n">
        <x:v>2026</x:v>
      </x:c>
      <x:c r="F464" s="32" t="str">
        <x:v>47</x:v>
      </x:c>
      <x:c r="G464" s="36" t="n">
        <x:v>92.8</x:v>
      </x:c>
      <x:c r="H464" s="15" t="str">
        <x:v>Ranked</x:v>
      </x:c>
      <x:c r="I464" s="15" t="str">
        <x:v>Walailak University</x:v>
      </x:c>
      <x:c r="J464" s="31" t="str">
        <x:v>https://www.timeshighereducation.com/world-university-rankings/walailak-university</x:v>
      </x:c>
      <x:c r="K464" s="31" t="str">
        <x:v>https://www.timeshighereducation.com/impactrankings</x:v>
      </x:c>
      <x:c r="L464" s="31" t="str">
        <x:v>https://www.wu.ac.th/en/news/21010/School-College</x:v>
      </x:c>
    </x:row>
    <x:row r="465">
      <x:c r="A465" s="15" t="n">
        <x:v>94</x:v>
      </x:c>
      <x:c r="B465" s="15" t="str">
        <x:v>King Abdullah University of Science and Technology (KAUST)</x:v>
      </x:c>
      <x:c r="C465" s="15" t="str">
        <x:v>Saudi Arabia</x:v>
      </x:c>
      <x:c r="D465" s="15" t="str">
        <x:v>MS Environmental Science and Engineering</x:v>
      </x:c>
      <x:c r="E465" s="32" t="n">
        <x:v>2022</x:v>
      </x:c>
      <x:c r="F465" s="32" t="str">
        <x:v>201–300</x:v>
      </x:c>
      <x:c r="G465" s="36" t="str">
        <x:v>76.9–82.0</x:v>
      </x:c>
      <x:c r="H465" s="15" t="str">
        <x:v>Ranked</x:v>
      </x:c>
      <x:c r="I465" s="15" t="str">
        <x:v>King Abdullah University of Science and Technology (KAUST)</x:v>
      </x:c>
      <x:c r="J465" s="31" t="str">
        <x:v>https://www.timeshighereducation.com/world-university-rankings/king-abdullah-university-science-and-technology-kaust</x:v>
      </x:c>
      <x:c r="K465" s="31" t="str">
        <x:v>https://www.timeshighereducation.com/rankings/impact/overall/2022</x:v>
      </x:c>
      <x:c r="L465" s="31" t="str">
        <x:v>https://bese.kaust.edu.sa/study/academic-programs/ense</x:v>
      </x:c>
    </x:row>
    <x:row r="466">
      <x:c r="A466" s="15" t="n">
        <x:v>94</x:v>
      </x:c>
      <x:c r="B466" s="15" t="str">
        <x:v>King Abdullah University of Science and Technology (KAUST)</x:v>
      </x:c>
      <x:c r="C466" s="15" t="str">
        <x:v>Saudi Arabia</x:v>
      </x:c>
      <x:c r="D466" s="15" t="str">
        <x:v>MS Environmental Science and Engineering</x:v>
      </x:c>
      <x:c r="E466" s="32" t="n">
        <x:v>2023</x:v>
      </x:c>
      <x:c r="F466" s="32" t="str">
        <x:v>101–200</x:v>
      </x:c>
      <x:c r="G466" s="36" t="str">
        <x:v>82.2–88.2</x:v>
      </x:c>
      <x:c r="H466" s="15" t="str">
        <x:v>Ranked</x:v>
      </x:c>
      <x:c r="I466" s="15" t="str">
        <x:v>King Abdullah University of Science and Technology (KAUST)</x:v>
      </x:c>
      <x:c r="J466" s="31" t="str">
        <x:v>https://www.timeshighereducation.com/world-university-rankings/king-abdullah-university-science-and-technology-kaust</x:v>
      </x:c>
      <x:c r="K466" s="31" t="str">
        <x:v>https://www.timeshighereducation.com/rankings/impact/overall/2023</x:v>
      </x:c>
      <x:c r="L466" s="31" t="str">
        <x:v>https://bese.kaust.edu.sa/study/academic-programs/ense</x:v>
      </x:c>
    </x:row>
    <x:row r="467">
      <x:c r="A467" s="15" t="n">
        <x:v>94</x:v>
      </x:c>
      <x:c r="B467" s="15" t="str">
        <x:v>King Abdullah University of Science and Technology (KAUST)</x:v>
      </x:c>
      <x:c r="C467" s="15" t="str">
        <x:v>Saudi Arabia</x:v>
      </x:c>
      <x:c r="D467" s="15" t="str">
        <x:v>MS Environmental Science and Engineering</x:v>
      </x:c>
      <x:c r="E467" s="32" t="n">
        <x:v>2024</x:v>
      </x:c>
      <x:c r="F467" s="32" t="str">
        <x:v>101–200</x:v>
      </x:c>
      <x:c r="G467" s="36" t="str">
        <x:v>84.0–89.1</x:v>
      </x:c>
      <x:c r="H467" s="15" t="str">
        <x:v>Ranked</x:v>
      </x:c>
      <x:c r="I467" s="15" t="str">
        <x:v>King Abdullah University of Science and Technology (KAUST)</x:v>
      </x:c>
      <x:c r="J467" s="31" t="str">
        <x:v>https://www.timeshighereducation.com/world-university-rankings/king-abdullah-university-science-and-technology-kaust</x:v>
      </x:c>
      <x:c r="K467" s="31" t="str">
        <x:v>https://www.timeshighereducation.com/rankings/impact/overall/2024</x:v>
      </x:c>
      <x:c r="L467" s="31" t="str">
        <x:v>https://bese.kaust.edu.sa/study/academic-programs/ense</x:v>
      </x:c>
    </x:row>
    <x:row r="468">
      <x:c r="A468" s="15" t="n">
        <x:v>94</x:v>
      </x:c>
      <x:c r="B468" s="15" t="str">
        <x:v>King Abdullah University of Science and Technology (KAUST)</x:v>
      </x:c>
      <x:c r="C468" s="15" t="str">
        <x:v>Saudi Arabia</x:v>
      </x:c>
      <x:c r="D468" s="15" t="str">
        <x:v>MS Environmental Science and Engineering</x:v>
      </x:c>
      <x:c r="E468" s="32" t="n">
        <x:v>2025</x:v>
      </x:c>
      <x:c r="F468" s="32" t="n">
        <x:f>90</x:f>
        <x:v>90</x:v>
      </x:c>
      <x:c r="G468" s="36" t="n">
        <x:v>89.8</x:v>
      </x:c>
      <x:c r="H468" s="15" t="str">
        <x:v>Ranked</x:v>
      </x:c>
      <x:c r="I468" s="15" t="str">
        <x:v>King Abdullah University of Science and Technology (KAUST)</x:v>
      </x:c>
      <x:c r="J468" s="31" t="str">
        <x:v>https://www.timeshighereducation.com/world-university-rankings/king-abdullah-university-science-and-technology-kaust</x:v>
      </x:c>
      <x:c r="K468" s="31" t="str">
        <x:v>https://www.timeshighereducation.com/rankings/impact/overall/2025</x:v>
      </x:c>
      <x:c r="L468" s="31" t="str">
        <x:v>https://bese.kaust.edu.sa/study/academic-programs/ense</x:v>
      </x:c>
    </x:row>
    <x:row r="469">
      <x:c r="A469" s="15" t="n">
        <x:v>94</x:v>
      </x:c>
      <x:c r="B469" s="15" t="str">
        <x:v>King Abdullah University of Science and Technology (KAUST)</x:v>
      </x:c>
      <x:c r="C469" s="15" t="str">
        <x:v>Saudi Arabia</x:v>
      </x:c>
      <x:c r="D469" s="15" t="str">
        <x:v>MS Environmental Science and Engineering</x:v>
      </x:c>
      <x:c r="E469" s="32" t="n">
        <x:v>2026</x:v>
      </x:c>
      <x:c r="F469" s="32" t="str">
        <x:v>48</x:v>
      </x:c>
      <x:c r="G469" s="36" t="n">
        <x:v>92.6</x:v>
      </x:c>
      <x:c r="H469" s="15" t="str">
        <x:v>Ranked</x:v>
      </x:c>
      <x:c r="I469" s="15" t="str">
        <x:v>King Abdullah University of Science and Technology (KAUST)</x:v>
      </x:c>
      <x:c r="J469" s="31" t="str">
        <x:v>https://www.timeshighereducation.com/world-university-rankings/king-abdullah-university-science-and-technology-kaust</x:v>
      </x:c>
      <x:c r="K469" s="31" t="str">
        <x:v>https://www.timeshighereducation.com/impactrankings</x:v>
      </x:c>
      <x:c r="L469" s="31" t="str">
        <x:v>https://bese.kaust.edu.sa/study/academic-programs/ense</x:v>
      </x:c>
    </x:row>
    <x:row r="470">
      <x:c r="A470" s="15" t="n">
        <x:v>95</x:v>
      </x:c>
      <x:c r="B470" s="15" t="str">
        <x:v>Chiang Mai University</x:v>
      </x:c>
      <x:c r="C470" s="15" t="str">
        <x:v>Thailand</x:v>
      </x:c>
      <x:c r="D470" s="15" t="str">
        <x:v>MSc Environmental Science</x:v>
      </x:c>
      <x:c r="E470" s="32" t="n">
        <x:v>2022</x:v>
      </x:c>
      <x:c r="F470" s="32" t="n">
        <x:f>70</x:f>
        <x:v>70</x:v>
      </x:c>
      <x:c r="G470" s="36" t="n">
        <x:v>90.4</x:v>
      </x:c>
      <x:c r="H470" s="15" t="str">
        <x:v>Ranked</x:v>
      </x:c>
      <x:c r="I470" s="15" t="str">
        <x:v>Chiang Mai University</x:v>
      </x:c>
      <x:c r="J470" s="31" t="str">
        <x:v>https://www.timeshighereducation.com/world-university-rankings/chiang-mai-university</x:v>
      </x:c>
      <x:c r="K470" s="31" t="str">
        <x:v>https://www.timeshighereducation.com/rankings/impact/overall/2022</x:v>
      </x:c>
      <x:c r="L470" s="31" t="str">
        <x:v>https://www.science.cmu.ac.th/english/master.php</x:v>
      </x:c>
    </x:row>
    <x:row r="471">
      <x:c r="A471" s="15" t="n">
        <x:v>95</x:v>
      </x:c>
      <x:c r="B471" s="15" t="str">
        <x:v>Chiang Mai University</x:v>
      </x:c>
      <x:c r="C471" s="15" t="str">
        <x:v>Thailand</x:v>
      </x:c>
      <x:c r="D471" s="15" t="str">
        <x:v>MSc Environmental Science</x:v>
      </x:c>
      <x:c r="E471" s="32" t="n">
        <x:v>2023</x:v>
      </x:c>
      <x:c r="F471" s="32" t="n">
        <x:f>74</x:f>
        <x:v>74</x:v>
      </x:c>
      <x:c r="G471" s="36" t="n">
        <x:v>89.7</x:v>
      </x:c>
      <x:c r="H471" s="15" t="str">
        <x:v>Ranked</x:v>
      </x:c>
      <x:c r="I471" s="15" t="str">
        <x:v>Chiang Mai University</x:v>
      </x:c>
      <x:c r="J471" s="31" t="str">
        <x:v>https://www.timeshighereducation.com/world-university-rankings/chiang-mai-university</x:v>
      </x:c>
      <x:c r="K471" s="31" t="str">
        <x:v>https://www.timeshighereducation.com/rankings/impact/overall/2023</x:v>
      </x:c>
      <x:c r="L471" s="31" t="str">
        <x:v>https://www.science.cmu.ac.th/english/master.php</x:v>
      </x:c>
    </x:row>
    <x:row r="472">
      <x:c r="A472" s="15" t="n">
        <x:v>95</x:v>
      </x:c>
      <x:c r="B472" s="15" t="str">
        <x:v>Chiang Mai University</x:v>
      </x:c>
      <x:c r="C472" s="15" t="str">
        <x:v>Thailand</x:v>
      </x:c>
      <x:c r="D472" s="15" t="str">
        <x:v>MSc Environmental Science</x:v>
      </x:c>
      <x:c r="E472" s="32" t="n">
        <x:v>2024</x:v>
      </x:c>
      <x:c r="F472" s="32" t="n">
        <x:f>75</x:f>
        <x:v>75</x:v>
      </x:c>
      <x:c r="G472" s="36" t="n">
        <x:v>90.5</x:v>
      </x:c>
      <x:c r="H472" s="15" t="str">
        <x:v>Ranked</x:v>
      </x:c>
      <x:c r="I472" s="15" t="str">
        <x:v>Chiang Mai University</x:v>
      </x:c>
      <x:c r="J472" s="31" t="str">
        <x:v>https://www.timeshighereducation.com/world-university-rankings/chiang-mai-university</x:v>
      </x:c>
      <x:c r="K472" s="31" t="str">
        <x:v>https://www.timeshighereducation.com/rankings/impact/overall/2024</x:v>
      </x:c>
      <x:c r="L472" s="31" t="str">
        <x:v>https://www.science.cmu.ac.th/english/master.php</x:v>
      </x:c>
    </x:row>
    <x:row r="473">
      <x:c r="A473" s="15" t="n">
        <x:v>95</x:v>
      </x:c>
      <x:c r="B473" s="15" t="str">
        <x:v>Chiang Mai University</x:v>
      </x:c>
      <x:c r="C473" s="15" t="str">
        <x:v>Thailand</x:v>
      </x:c>
      <x:c r="D473" s="15" t="str">
        <x:v>MSc Environmental Science</x:v>
      </x:c>
      <x:c r="E473" s="32" t="n">
        <x:v>2025</x:v>
      </x:c>
      <x:c r="F473" s="32" t="n">
        <x:f>44</x:f>
        <x:v>44</x:v>
      </x:c>
      <x:c r="G473" s="36" t="n">
        <x:v>92.7</x:v>
      </x:c>
      <x:c r="H473" s="15" t="str">
        <x:v>Ranked</x:v>
      </x:c>
      <x:c r="I473" s="15" t="str">
        <x:v>Chiang Mai University</x:v>
      </x:c>
      <x:c r="J473" s="31" t="str">
        <x:v>https://www.timeshighereducation.com/world-university-rankings/chiang-mai-university</x:v>
      </x:c>
      <x:c r="K473" s="31" t="str">
        <x:v>https://www.timeshighereducation.com/rankings/impact/overall/2025</x:v>
      </x:c>
      <x:c r="L473" s="31" t="str">
        <x:v>https://www.science.cmu.ac.th/english/master.php</x:v>
      </x:c>
    </x:row>
    <x:row r="474">
      <x:c r="A474" s="15" t="n">
        <x:v>95</x:v>
      </x:c>
      <x:c r="B474" s="15" t="str">
        <x:v>Chiang Mai University</x:v>
      </x:c>
      <x:c r="C474" s="15" t="str">
        <x:v>Thailand</x:v>
      </x:c>
      <x:c r="D474" s="15" t="str">
        <x:v>MSc Environmental Science</x:v>
      </x:c>
      <x:c r="E474" s="32" t="n">
        <x:v>2026</x:v>
      </x:c>
      <x:c r="F474" s="32" t="n">
        <x:f>49</x:f>
        <x:v>49</x:v>
      </x:c>
      <x:c r="G474" s="36" t="n">
        <x:v>92.5</x:v>
      </x:c>
      <x:c r="H474" s="15" t="str">
        <x:v>Ranked</x:v>
      </x:c>
      <x:c r="I474" s="15" t="str">
        <x:v>Chiang Mai University</x:v>
      </x:c>
      <x:c r="J474" s="31" t="str">
        <x:v>https://www.timeshighereducation.com/world-university-rankings/chiang-mai-university</x:v>
      </x:c>
      <x:c r="K474" s="31" t="str">
        <x:v>https://www.timeshighereducation.com/impactrankings</x:v>
      </x:c>
      <x:c r="L474" s="31" t="str">
        <x:v>https://www.science.cmu.ac.th/english/master.php</x:v>
      </x:c>
    </x:row>
    <x:row r="475">
      <x:c r="A475" s="15" t="n">
        <x:v>96</x:v>
      </x:c>
      <x:c r="B475" s="15" t="str">
        <x:v>Jeonbuk National University</x:v>
      </x:c>
      <x:c r="C475" s="15" t="str">
        <x:v>South Korea</x:v>
      </x:c>
      <x:c r="D475" s="15" t="str">
        <x:v>Master of Engineering in Environmental Engineering</x:v>
      </x:c>
      <x:c r="E475" s="32" t="n">
        <x:v>2022</x:v>
      </x:c>
      <x:c r="F475" s="32" t="str">
        <x:v>95</x:v>
      </x:c>
      <x:c r="G475" s="36" t="n">
        <x:v>88.8</x:v>
      </x:c>
      <x:c r="H475" s="15" t="str">
        <x:v>Ranked</x:v>
      </x:c>
      <x:c r="I475" s="15" t="str">
        <x:v>Jeonbuk National University</x:v>
      </x:c>
      <x:c r="J475" s="31" t="str">
        <x:v>https://www.timeshighereducation.com/world-university-rankings/jeonbuk-national-university</x:v>
      </x:c>
      <x:c r="K475" s="31" t="str">
        <x:v>https://www.timeshighereducation.com/rankings/impact/overall/2022</x:v>
      </x:c>
      <x:c r="L475" s="31" t="str">
        <x:v>https://gse.jbnu.ac.kr/gse/1394/subview.do</x:v>
      </x:c>
    </x:row>
    <x:row r="476">
      <x:c r="A476" s="15" t="n">
        <x:v>96</x:v>
      </x:c>
      <x:c r="B476" s="15" t="str">
        <x:v>Jeonbuk National University</x:v>
      </x:c>
      <x:c r="C476" s="15" t="str">
        <x:v>South Korea</x:v>
      </x:c>
      <x:c r="D476" s="15" t="str">
        <x:v>Master of Engineering in Environmental Engineering</x:v>
      </x:c>
      <x:c r="E476" s="32" t="n">
        <x:v>2023</x:v>
      </x:c>
      <x:c r="F476" s="32" t="str">
        <x:v>101–200</x:v>
      </x:c>
      <x:c r="G476" s="36" t="str">
        <x:v>82.2–88.2</x:v>
      </x:c>
      <x:c r="H476" s="15" t="str">
        <x:v>Ranked</x:v>
      </x:c>
      <x:c r="I476" s="15" t="str">
        <x:v>Jeonbuk National University</x:v>
      </x:c>
      <x:c r="J476" s="31" t="str">
        <x:v>https://www.timeshighereducation.com/world-university-rankings/jeonbuk-national-university</x:v>
      </x:c>
      <x:c r="K476" s="31" t="str">
        <x:v>https://www.timeshighereducation.com/rankings/impact/overall/2023</x:v>
      </x:c>
      <x:c r="L476" s="31" t="str">
        <x:v>https://gse.jbnu.ac.kr/gse/1394/subview.do</x:v>
      </x:c>
    </x:row>
    <x:row r="477">
      <x:c r="A477" s="15" t="n">
        <x:v>96</x:v>
      </x:c>
      <x:c r="B477" s="15" t="str">
        <x:v>Jeonbuk National University</x:v>
      </x:c>
      <x:c r="C477" s="15" t="str">
        <x:v>South Korea</x:v>
      </x:c>
      <x:c r="D477" s="15" t="str">
        <x:v>Master of Engineering in Environmental Engineering</x:v>
      </x:c>
      <x:c r="E477" s="32" t="n">
        <x:v>2024</x:v>
      </x:c>
      <x:c r="F477" s="32" t="str">
        <x:v>101–200</x:v>
      </x:c>
      <x:c r="G477" s="36" t="str">
        <x:v>84.0–89.1</x:v>
      </x:c>
      <x:c r="H477" s="15" t="str">
        <x:v>Ranked</x:v>
      </x:c>
      <x:c r="I477" s="15" t="str">
        <x:v>Jeonbuk National University</x:v>
      </x:c>
      <x:c r="J477" s="31" t="str">
        <x:v>https://www.timeshighereducation.com/world-university-rankings/jeonbuk-national-university</x:v>
      </x:c>
      <x:c r="K477" s="31" t="str">
        <x:v>https://www.timeshighereducation.com/rankings/impact/overall/2024</x:v>
      </x:c>
      <x:c r="L477" s="31" t="str">
        <x:v>https://gse.jbnu.ac.kr/gse/1394/subview.do</x:v>
      </x:c>
    </x:row>
    <x:row r="478">
      <x:c r="A478" s="15" t="n">
        <x:v>96</x:v>
      </x:c>
      <x:c r="B478" s="15" t="str">
        <x:v>Jeonbuk National University</x:v>
      </x:c>
      <x:c r="C478" s="15" t="str">
        <x:v>South Korea</x:v>
      </x:c>
      <x:c r="D478" s="15" t="str">
        <x:v>Master of Engineering in Environmental Engineering</x:v>
      </x:c>
      <x:c r="E478" s="32" t="n">
        <x:v>2025</x:v>
      </x:c>
      <x:c r="F478" s="32" t="str">
        <x:v>101–200</x:v>
      </x:c>
      <x:c r="G478" s="36" t="str">
        <x:v>83.7–89.4</x:v>
      </x:c>
      <x:c r="H478" s="15" t="str">
        <x:v>Ranked</x:v>
      </x:c>
      <x:c r="I478" s="15" t="str">
        <x:v>Jeonbuk National University</x:v>
      </x:c>
      <x:c r="J478" s="31" t="str">
        <x:v>https://www.timeshighereducation.com/world-university-rankings/jeonbuk-national-university</x:v>
      </x:c>
      <x:c r="K478" s="31" t="str">
        <x:v>https://www.timeshighereducation.com/rankings/impact/overall/2025</x:v>
      </x:c>
      <x:c r="L478" s="31" t="str">
        <x:v>https://gse.jbnu.ac.kr/gse/1394/subview.do</x:v>
      </x:c>
    </x:row>
    <x:row r="479">
      <x:c r="A479" s="15" t="n">
        <x:v>96</x:v>
      </x:c>
      <x:c r="B479" s="15" t="str">
        <x:v>Jeonbuk National University</x:v>
      </x:c>
      <x:c r="C479" s="15" t="str">
        <x:v>South Korea</x:v>
      </x:c>
      <x:c r="D479" s="15" t="str">
        <x:v>Master of Engineering in Environmental Engineering</x:v>
      </x:c>
      <x:c r="E479" s="32" t="n">
        <x:v>2026</x:v>
      </x:c>
      <x:c r="F479" s="32" t="n">
        <x:f>49</x:f>
        <x:v>49</x:v>
      </x:c>
      <x:c r="G479" s="36" t="n">
        <x:v>92.5</x:v>
      </x:c>
      <x:c r="H479" s="15" t="str">
        <x:v>Ranked</x:v>
      </x:c>
      <x:c r="I479" s="15" t="str">
        <x:v>Jeonbuk National University</x:v>
      </x:c>
      <x:c r="J479" s="31" t="str">
        <x:v>https://www.timeshighereducation.com/world-university-rankings/jeonbuk-national-university</x:v>
      </x:c>
      <x:c r="K479" s="31" t="str">
        <x:v>https://www.timeshighereducation.com/impactrankings</x:v>
      </x:c>
      <x:c r="L479" s="31" t="str">
        <x:v>https://gse.jbnu.ac.kr/gse/1394/subview.do</x:v>
      </x:c>
    </x:row>
    <x:row r="480">
      <x:c r="A480" s="15" t="n">
        <x:v>97</x:v>
      </x:c>
      <x:c r="B480" s="15" t="str">
        <x:v>National Yang Ming Chiao Tung University (NYCU Taiwan)</x:v>
      </x:c>
      <x:c r="C480" s="15" t="str">
        <x:v>Taiwan</x:v>
      </x:c>
      <x:c r="D480" s="15" t="str">
        <x:v>Master Program in Environmental Engineering</x:v>
      </x:c>
      <x:c r="E480" s="32" t="n">
        <x:v>2022</x:v>
      </x:c>
      <x:c r="F480" s="32" t="str">
        <x:v>101–200</x:v>
      </x:c>
      <x:c r="G480" s="36" t="str">
        <x:v>82.1–88.5</x:v>
      </x:c>
      <x:c r="H480" s="15" t="str">
        <x:v>Ranked</x:v>
      </x:c>
      <x:c r="I480" s="15" t="str">
        <x:v>National Yang Ming Chiao Tung University (NYCU Taiwan)</x:v>
      </x:c>
      <x:c r="J480" s="31" t="str">
        <x:v>https://www.timeshighereducation.com/world-university-rankings/national-yang-ming-chiao-tung-university-nycu-taiwan</x:v>
      </x:c>
      <x:c r="K480" s="31" t="str">
        <x:v>https://www.timeshighereducation.com/rankings/impact/overall/2022</x:v>
      </x:c>
      <x:c r="L480" s="31" t="str">
        <x:v>https://sdgs.nycu.edu.tw/archives/27449/</x:v>
      </x:c>
    </x:row>
    <x:row r="481">
      <x:c r="A481" s="15" t="n">
        <x:v>97</x:v>
      </x:c>
      <x:c r="B481" s="15" t="str">
        <x:v>National Yang Ming Chiao Tung University (NYCU Taiwan)</x:v>
      </x:c>
      <x:c r="C481" s="15" t="str">
        <x:v>Taiwan</x:v>
      </x:c>
      <x:c r="D481" s="15" t="str">
        <x:v>Master Program in Environmental Engineering</x:v>
      </x:c>
      <x:c r="E481" s="32" t="n">
        <x:v>2023</x:v>
      </x:c>
      <x:c r="F481" s="32" t="n">
        <x:f>83</x:f>
        <x:v>83</x:v>
      </x:c>
      <x:c r="G481" s="36" t="n">
        <x:v>89.4</x:v>
      </x:c>
      <x:c r="H481" s="15" t="str">
        <x:v>Ranked</x:v>
      </x:c>
      <x:c r="I481" s="15" t="str">
        <x:v>National Yang Ming Chiao Tung University (NYCU Taiwan)</x:v>
      </x:c>
      <x:c r="J481" s="31" t="str">
        <x:v>https://www.timeshighereducation.com/world-university-rankings/national-yang-ming-chiao-tung-university-nycu-taiwan</x:v>
      </x:c>
      <x:c r="K481" s="31" t="str">
        <x:v>https://www.timeshighereducation.com/rankings/impact/overall/2023</x:v>
      </x:c>
      <x:c r="L481" s="31" t="str">
        <x:v>https://sdgs.nycu.edu.tw/archives/27449/</x:v>
      </x:c>
    </x:row>
    <x:row r="482">
      <x:c r="A482" s="15" t="n">
        <x:v>97</x:v>
      </x:c>
      <x:c r="B482" s="15" t="str">
        <x:v>National Yang Ming Chiao Tung University (NYCU Taiwan)</x:v>
      </x:c>
      <x:c r="C482" s="15" t="str">
        <x:v>Taiwan</x:v>
      </x:c>
      <x:c r="D482" s="15" t="str">
        <x:v>Master Program in Environmental Engineering</x:v>
      </x:c>
      <x:c r="E482" s="32" t="n">
        <x:v>2024</x:v>
      </x:c>
      <x:c r="F482" s="32" t="str">
        <x:v>50</x:v>
      </x:c>
      <x:c r="G482" s="36" t="n">
        <x:v>92</x:v>
      </x:c>
      <x:c r="H482" s="15" t="str">
        <x:v>Ranked</x:v>
      </x:c>
      <x:c r="I482" s="15" t="str">
        <x:v>National Yang Ming Chiao Tung University (NYCU Taiwan)</x:v>
      </x:c>
      <x:c r="J482" s="31" t="str">
        <x:v>https://www.timeshighereducation.com/world-university-rankings/national-yang-ming-chiao-tung-university-nycu-taiwan</x:v>
      </x:c>
      <x:c r="K482" s="31" t="str">
        <x:v>https://www.timeshighereducation.com/rankings/impact/overall/2024</x:v>
      </x:c>
      <x:c r="L482" s="31" t="str">
        <x:v>https://sdgs.nycu.edu.tw/archives/27449/</x:v>
      </x:c>
    </x:row>
    <x:row r="483">
      <x:c r="A483" s="15" t="n">
        <x:v>97</x:v>
      </x:c>
      <x:c r="B483" s="15" t="str">
        <x:v>National Yang Ming Chiao Tung University (NYCU Taiwan)</x:v>
      </x:c>
      <x:c r="C483" s="15" t="str">
        <x:v>Taiwan</x:v>
      </x:c>
      <x:c r="D483" s="15" t="str">
        <x:v>Master Program in Environmental Engineering</x:v>
      </x:c>
      <x:c r="E483" s="32" t="n">
        <x:v>2025</x:v>
      </x:c>
      <x:c r="F483" s="32" t="n">
        <x:f>41</x:f>
        <x:v>41</x:v>
      </x:c>
      <x:c r="G483" s="36" t="n">
        <x:v>92.9</x:v>
      </x:c>
      <x:c r="H483" s="15" t="str">
        <x:v>Ranked</x:v>
      </x:c>
      <x:c r="I483" s="15" t="str">
        <x:v>National Yang Ming Chiao Tung University (NYCU Taiwan)</x:v>
      </x:c>
      <x:c r="J483" s="31" t="str">
        <x:v>https://www.timeshighereducation.com/world-university-rankings/national-yang-ming-chiao-tung-university-nycu-taiwan</x:v>
      </x:c>
      <x:c r="K483" s="31" t="str">
        <x:v>https://www.timeshighereducation.com/rankings/impact/overall/2025</x:v>
      </x:c>
      <x:c r="L483" s="31" t="str">
        <x:v>https://sdgs.nycu.edu.tw/archives/27449/</x:v>
      </x:c>
    </x:row>
    <x:row r="484">
      <x:c r="A484" s="15" t="n">
        <x:v>97</x:v>
      </x:c>
      <x:c r="B484" s="15" t="str">
        <x:v>National Yang Ming Chiao Tung University (NYCU Taiwan)</x:v>
      </x:c>
      <x:c r="C484" s="15" t="str">
        <x:v>Taiwan</x:v>
      </x:c>
      <x:c r="D484" s="15" t="str">
        <x:v>Master Program in Environmental Engineering</x:v>
      </x:c>
      <x:c r="E484" s="32" t="n">
        <x:v>2026</x:v>
      </x:c>
      <x:c r="F484" s="32" t="n">
        <x:f>49</x:f>
        <x:v>49</x:v>
      </x:c>
      <x:c r="G484" s="36" t="n">
        <x:v>92.5</x:v>
      </x:c>
      <x:c r="H484" s="15" t="str">
        <x:v>Ranked</x:v>
      </x:c>
      <x:c r="I484" s="15" t="str">
        <x:v>National Yang Ming Chiao Tung University (NYCU Taiwan)</x:v>
      </x:c>
      <x:c r="J484" s="31" t="str">
        <x:v>https://www.timeshighereducation.com/world-university-rankings/national-yang-ming-chiao-tung-university-nycu-taiwan</x:v>
      </x:c>
      <x:c r="K484" s="31" t="str">
        <x:v>https://www.timeshighereducation.com/impactrankings</x:v>
      </x:c>
      <x:c r="L484" s="31" t="str">
        <x:v>https://sdgs.nycu.edu.tw/archives/27449/</x:v>
      </x:c>
    </x:row>
  </x:sheetData>
  <x:mergeCells>
    <x:mergeCell ref="A1:L1"/>
    <x:mergeCell ref="A2:L2"/>
  </x:mergeCells>
  <x:conditionalFormatting sqref="F5:F484">
    <x:cfRule type="containsText" dxfId="9" priority="1" operator="containsText" text="NR"/>
    <x:cfRule type="containsText" dxfId="10" priority="2" operator="containsText" text="N/P"/>
    <x:cfRule type="containsText" dxfId="11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f551ce618e9240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QS World University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Latest five available QS WUR editions as of July 2026: 2023-2027. Published ranks after 200 are intentionally reported as 200+.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7" t="str">
        <x:v>ID</x:v>
      </x:c>
      <x:c r="B4" s="27" t="str">
        <x:v>Institution</x:v>
      </x:c>
      <x:c r="C4" s="27" t="str">
        <x:v>Country</x:v>
      </x:c>
      <x:c r="D4" s="27" t="str">
        <x:v>Selected Program</x:v>
      </x:c>
      <x:c r="E4" s="27" t="str">
        <x:v>Edition</x:v>
      </x:c>
      <x:c r="F4" s="27" t="str">
        <x:v>Rank</x:v>
      </x:c>
      <x:c r="G4" s="27" t="str">
        <x:v>Score</x:v>
      </x:c>
      <x:c r="H4" s="27" t="str">
        <x:v>Status</x:v>
      </x:c>
      <x:c r="I4" s="27" t="str">
        <x:v>Official Ranked Name</x:v>
      </x:c>
      <x:c r="J4" s="27" t="str">
        <x:v>Profile URL</x:v>
      </x:c>
      <x:c r="K4" s="27" t="str">
        <x:v>Official Ranking Page</x:v>
      </x:c>
      <x:c r="L4" s="27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2023</x:v>
      </x:c>
      <x:c r="F5" s="32" t="str">
        <x:v>95</x:v>
      </x:c>
      <x:c r="G5" s="36" t="n">
        <x:v>60.1</x:v>
      </x:c>
      <x:c r="H5" s="15" t="str">
        <x:v>Published rank retained</x:v>
      </x:c>
      <x:c r="I5" s="15" t="str">
        <x:v>Lund University</x:v>
      </x:c>
      <x:c r="J5" s="31" t="str">
        <x:v>https://www.topuniversities.com/universities/lund-university</x:v>
      </x:c>
      <x:c r="K5" s="31" t="str">
        <x:v>https://www.topuniversities.com/world-university-rankings/2023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2024</x:v>
      </x:c>
      <x:c r="F6" s="32" t="n">
        <x:f>85</x:f>
        <x:v>85</x:v>
      </x:c>
      <x:c r="G6" s="36" t="n">
        <x:v>62.8</x:v>
      </x:c>
      <x:c r="H6" s="15" t="str">
        <x:v>Published rank retained</x:v>
      </x:c>
      <x:c r="I6" s="15" t="str">
        <x:v>Lund University</x:v>
      </x:c>
      <x:c r="J6" s="31" t="str">
        <x:v>https://www.topuniversities.com/universities/lund-university</x:v>
      </x:c>
      <x:c r="K6" s="31" t="str">
        <x:v>https://www.topuniversities.com/world-university-rankings/2024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2025</x:v>
      </x:c>
      <x:c r="F7" s="32" t="str">
        <x:v>75</x:v>
      </x:c>
      <x:c r="G7" s="36" t="n">
        <x:v>65.6</x:v>
      </x:c>
      <x:c r="H7" s="15" t="str">
        <x:v>Published rank retained</x:v>
      </x:c>
      <x:c r="I7" s="15" t="str">
        <x:v>Lund University</x:v>
      </x:c>
      <x:c r="J7" s="31" t="str">
        <x:v>https://www.topuniversities.com/universities/lund-university</x:v>
      </x:c>
      <x:c r="K7" s="31" t="str">
        <x:v>https://www.topuniversities.com/world-university-rankings/2025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2026</x:v>
      </x:c>
      <x:c r="F8" s="32" t="n">
        <x:f>72</x:f>
        <x:v>72</x:v>
      </x:c>
      <x:c r="G8" s="36" t="n">
        <x:v>75.7</x:v>
      </x:c>
      <x:c r="H8" s="15" t="str">
        <x:v>Published rank retained</x:v>
      </x:c>
      <x:c r="I8" s="15" t="str">
        <x:v>Lund University</x:v>
      </x:c>
      <x:c r="J8" s="31" t="str">
        <x:v>https://www.topuniversities.com/universities/lund-university</x:v>
      </x:c>
      <x:c r="K8" s="31" t="str">
        <x:v>https://www.topuniversities.com/world-university-rankings/2026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2027</x:v>
      </x:c>
      <x:c r="F9" s="32" t="str">
        <x:v>71</x:v>
      </x:c>
      <x:c r="G9" s="36" t="n">
        <x:v>75.7</x:v>
      </x:c>
      <x:c r="H9" s="15" t="str">
        <x:v>Published rank retained</x:v>
      </x:c>
      <x:c r="I9" s="15" t="str">
        <x:v>Lund University</x:v>
      </x:c>
      <x:c r="J9" s="31" t="str">
        <x:v>https://www.topuniversities.com/universities/lund-university</x:v>
      </x:c>
      <x:c r="K9" s="31" t="str">
        <x:v>https://www.topuniversities.com/world-university-rankings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2023</x:v>
      </x:c>
      <x:c r="F10" s="32" t="n">
        <x:f>34</x:f>
        <x:v>34</x:v>
      </x:c>
      <x:c r="G10" s="36" t="n">
        <x:v>81.5</x:v>
      </x:c>
      <x:c r="H10" s="15" t="str">
        <x:v>Published rank retained</x:v>
      </x:c>
      <x:c r="I10" s="15" t="str">
        <x:v>University of Toronto</x:v>
      </x:c>
      <x:c r="J10" s="31" t="str">
        <x:v>https://www.topuniversities.com/universities/university-toronto</x:v>
      </x:c>
      <x:c r="K10" s="31" t="str">
        <x:v>https://www.topuniversities.com/world-university-rankings/2023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2024</x:v>
      </x:c>
      <x:c r="F11" s="32" t="str">
        <x:v>21</x:v>
      </x:c>
      <x:c r="G11" s="36" t="n">
        <x:v>86.3</x:v>
      </x:c>
      <x:c r="H11" s="15" t="str">
        <x:v>Published rank retained</x:v>
      </x:c>
      <x:c r="I11" s="15" t="str">
        <x:v>University of Toronto</x:v>
      </x:c>
      <x:c r="J11" s="31" t="str">
        <x:v>https://www.topuniversities.com/universities/university-toronto</x:v>
      </x:c>
      <x:c r="K11" s="31" t="str">
        <x:v>https://www.topuniversities.com/world-university-rankings/2024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2025</x:v>
      </x:c>
      <x:c r="F12" s="32" t="str">
        <x:v>25</x:v>
      </x:c>
      <x:c r="G12" s="36" t="n">
        <x:v>84.1</x:v>
      </x:c>
      <x:c r="H12" s="15" t="str">
        <x:v>Published rank retained</x:v>
      </x:c>
      <x:c r="I12" s="15" t="str">
        <x:v>University of Toronto</x:v>
      </x:c>
      <x:c r="J12" s="31" t="str">
        <x:v>https://www.topuniversities.com/universities/university-toronto</x:v>
      </x:c>
      <x:c r="K12" s="31" t="str">
        <x:v>https://www.topuniversities.com/world-university-rankings/2025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2026</x:v>
      </x:c>
      <x:c r="F13" s="32" t="str">
        <x:v>29</x:v>
      </x:c>
      <x:c r="G13" s="36" t="n">
        <x:v>88.5</x:v>
      </x:c>
      <x:c r="H13" s="15" t="str">
        <x:v>Published rank retained</x:v>
      </x:c>
      <x:c r="I13" s="15" t="str">
        <x:v>University of Toronto</x:v>
      </x:c>
      <x:c r="J13" s="31" t="str">
        <x:v>https://www.topuniversities.com/universities/university-toronto</x:v>
      </x:c>
      <x:c r="K13" s="31" t="str">
        <x:v>https://www.topuniversities.com/world-university-rankings/2026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2027</x:v>
      </x:c>
      <x:c r="F14" s="32" t="str">
        <x:v>32</x:v>
      </x:c>
      <x:c r="G14" s="36" t="n">
        <x:v>86.8</x:v>
      </x:c>
      <x:c r="H14" s="15" t="str">
        <x:v>Published rank retained</x:v>
      </x:c>
      <x:c r="I14" s="15" t="str">
        <x:v>University of Toronto</x:v>
      </x:c>
      <x:c r="J14" s="31" t="str">
        <x:v>https://www.topuniversities.com/universities/university-toronto</x:v>
      </x:c>
      <x:c r="K14" s="31" t="str">
        <x:v>https://www.topuniversities.com/world-university-rankings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2023</x:v>
      </x:c>
      <x:c r="F15" s="32" t="str">
        <x:v>8</x:v>
      </x:c>
      <x:c r="G15" s="36" t="n">
        <x:v>95</x:v>
      </x:c>
      <x:c r="H15" s="15" t="str">
        <x:v>Published rank retained</x:v>
      </x:c>
      <x:c r="I15" s="15" t="str">
        <x:v>UCL</x:v>
      </x:c>
      <x:c r="J15" s="31" t="str">
        <x:v>https://www.topuniversities.com/universities/ucl</x:v>
      </x:c>
      <x:c r="K15" s="31" t="str">
        <x:v>https://www.topuniversities.com/world-university-rankings/2023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2024</x:v>
      </x:c>
      <x:c r="F16" s="32" t="str">
        <x:v>9</x:v>
      </x:c>
      <x:c r="G16" s="36" t="n">
        <x:v>92.4</x:v>
      </x:c>
      <x:c r="H16" s="15" t="str">
        <x:v>Published rank retained</x:v>
      </x:c>
      <x:c r="I16" s="15" t="str">
        <x:v>UCL</x:v>
      </x:c>
      <x:c r="J16" s="31" t="str">
        <x:v>https://www.topuniversities.com/universities/ucl</x:v>
      </x:c>
      <x:c r="K16" s="31" t="str">
        <x:v>https://www.topuniversities.com/world-university-rankings/2024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2025</x:v>
      </x:c>
      <x:c r="F17" s="32" t="str">
        <x:v>9</x:v>
      </x:c>
      <x:c r="G17" s="36" t="n">
        <x:v>91.6</x:v>
      </x:c>
      <x:c r="H17" s="15" t="str">
        <x:v>Published rank retained</x:v>
      </x:c>
      <x:c r="I17" s="15" t="str">
        <x:v>UCL</x:v>
      </x:c>
      <x:c r="J17" s="31" t="str">
        <x:v>https://www.topuniversities.com/universities/ucl</x:v>
      </x:c>
      <x:c r="K17" s="31" t="str">
        <x:v>https://www.topuniversities.com/world-university-rankings/2025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2026</x:v>
      </x:c>
      <x:c r="F18" s="32" t="str">
        <x:v>9</x:v>
      </x:c>
      <x:c r="G18" s="36" t="n">
        <x:v>95.8</x:v>
      </x:c>
      <x:c r="H18" s="15" t="str">
        <x:v>Published rank retained</x:v>
      </x:c>
      <x:c r="I18" s="15" t="str">
        <x:v>UCL</x:v>
      </x:c>
      <x:c r="J18" s="31" t="str">
        <x:v>https://www.topuniversities.com/universities/ucl</x:v>
      </x:c>
      <x:c r="K18" s="31" t="str">
        <x:v>https://www.topuniversities.com/world-university-rankings/2026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2027</x:v>
      </x:c>
      <x:c r="F19" s="32" t="n">
        <x:f>8</x:f>
        <x:v>8</x:v>
      </x:c>
      <x:c r="G19" s="36" t="n">
        <x:v>96.3</x:v>
      </x:c>
      <x:c r="H19" s="15" t="str">
        <x:v>Published rank retained</x:v>
      </x:c>
      <x:c r="I19" s="15" t="str">
        <x:v>UCL</x:v>
      </x:c>
      <x:c r="J19" s="31" t="str">
        <x:v>https://www.topuniversities.com/universities/ucl</x:v>
      </x:c>
      <x:c r="K19" s="31" t="str">
        <x:v>https://www.topuniversities.com/world-university-rankings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2023</x:v>
      </x:c>
      <x:c r="F20" s="32" t="str">
        <x:v>15</x:v>
      </x:c>
      <x:c r="G20" s="36" t="n">
        <x:v>89.5</x:v>
      </x:c>
      <x:c r="H20" s="15" t="str">
        <x:v>Published rank retained</x:v>
      </x:c>
      <x:c r="I20" s="15" t="str">
        <x:v>The University of Edinburgh</x:v>
      </x:c>
      <x:c r="J20" s="31" t="str">
        <x:v>https://www.topuniversities.com/universities/university-edinburgh</x:v>
      </x:c>
      <x:c r="K20" s="31" t="str">
        <x:v>https://www.topuniversities.com/world-university-rankings/2023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2024</x:v>
      </x:c>
      <x:c r="F21" s="32" t="str">
        <x:v>22</x:v>
      </x:c>
      <x:c r="G21" s="36" t="n">
        <x:v>86.1</x:v>
      </x:c>
      <x:c r="H21" s="15" t="str">
        <x:v>Published rank retained</x:v>
      </x:c>
      <x:c r="I21" s="15" t="str">
        <x:v>The University of Edinburgh</x:v>
      </x:c>
      <x:c r="J21" s="31" t="str">
        <x:v>https://www.topuniversities.com/universities/university-edinburgh</x:v>
      </x:c>
      <x:c r="K21" s="31" t="str">
        <x:v>https://www.topuniversities.com/world-university-rankings/2024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2025</x:v>
      </x:c>
      <x:c r="F22" s="32" t="str">
        <x:v>27</x:v>
      </x:c>
      <x:c r="G22" s="36" t="n">
        <x:v>83.3</x:v>
      </x:c>
      <x:c r="H22" s="15" t="str">
        <x:v>Published rank retained</x:v>
      </x:c>
      <x:c r="I22" s="15" t="str">
        <x:v>The University of Edinburgh</x:v>
      </x:c>
      <x:c r="J22" s="31" t="str">
        <x:v>https://www.topuniversities.com/universities/university-edinburgh</x:v>
      </x:c>
      <x:c r="K22" s="31" t="str">
        <x:v>https://www.topuniversities.com/world-university-rankings/2025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2026</x:v>
      </x:c>
      <x:c r="F23" s="32" t="str">
        <x:v>34</x:v>
      </x:c>
      <x:c r="G23" s="36" t="n">
        <x:v>87.2</x:v>
      </x:c>
      <x:c r="H23" s="15" t="str">
        <x:v>Published rank retained</x:v>
      </x:c>
      <x:c r="I23" s="15" t="str">
        <x:v>The University of Edinburgh</x:v>
      </x:c>
      <x:c r="J23" s="31" t="str">
        <x:v>https://www.topuniversities.com/universities/university-edinburgh</x:v>
      </x:c>
      <x:c r="K23" s="31" t="str">
        <x:v>https://www.topuniversities.com/world-university-rankings/2026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2027</x:v>
      </x:c>
      <x:c r="F24" s="32" t="str">
        <x:v>35</x:v>
      </x:c>
      <x:c r="G24" s="36" t="n">
        <x:v>85.9</x:v>
      </x:c>
      <x:c r="H24" s="15" t="str">
        <x:v>Published rank retained</x:v>
      </x:c>
      <x:c r="I24" s="15" t="str">
        <x:v>The University of Edinburgh</x:v>
      </x:c>
      <x:c r="J24" s="31" t="str">
        <x:v>https://www.topuniversities.com/universities/university-edinburgh</x:v>
      </x:c>
      <x:c r="K24" s="31" t="str">
        <x:v>https://www.topuniversities.com/world-university-rankings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2023</x:v>
      </x:c>
      <x:c r="F25" s="32" t="str">
        <x:v>47</x:v>
      </x:c>
      <x:c r="G25" s="36" t="n">
        <x:v>77</x:v>
      </x:c>
      <x:c r="H25" s="15" t="str">
        <x:v>Published rank retained</x:v>
      </x:c>
      <x:c r="I25" s="15" t="str">
        <x:v>University of British Columbia</x:v>
      </x:c>
      <x:c r="J25" s="31" t="str">
        <x:v>https://www.topuniversities.com/universities/university-british-columbia</x:v>
      </x:c>
      <x:c r="K25" s="31" t="str">
        <x:v>https://www.topuniversities.com/world-university-rankings/2023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2024</x:v>
      </x:c>
      <x:c r="F26" s="32" t="n">
        <x:f>34</x:f>
        <x:v>34</x:v>
      </x:c>
      <x:c r="G26" s="36" t="n">
        <x:v>81.5</x:v>
      </x:c>
      <x:c r="H26" s="15" t="str">
        <x:v>Published rank retained</x:v>
      </x:c>
      <x:c r="I26" s="15" t="str">
        <x:v>University of British Columbia</x:v>
      </x:c>
      <x:c r="J26" s="31" t="str">
        <x:v>https://www.topuniversities.com/universities/university-british-columbia</x:v>
      </x:c>
      <x:c r="K26" s="31" t="str">
        <x:v>https://www.topuniversities.com/world-university-rankings/2024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2025</x:v>
      </x:c>
      <x:c r="F27" s="32" t="str">
        <x:v>38</x:v>
      </x:c>
      <x:c r="G27" s="36" t="n">
        <x:v>81</x:v>
      </x:c>
      <x:c r="H27" s="15" t="str">
        <x:v>Published rank retained</x:v>
      </x:c>
      <x:c r="I27" s="15" t="str">
        <x:v>University of British Columbia</x:v>
      </x:c>
      <x:c r="J27" s="31" t="str">
        <x:v>https://www.topuniversities.com/universities/university-british-columbia</x:v>
      </x:c>
      <x:c r="K27" s="31" t="str">
        <x:v>https://www.topuniversities.com/world-university-rankings/2025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2026</x:v>
      </x:c>
      <x:c r="F28" s="32" t="str">
        <x:v>40</x:v>
      </x:c>
      <x:c r="G28" s="36" t="n">
        <x:v>85.5</x:v>
      </x:c>
      <x:c r="H28" s="15" t="str">
        <x:v>Published rank retained</x:v>
      </x:c>
      <x:c r="I28" s="15" t="str">
        <x:v>University of British Columbia</x:v>
      </x:c>
      <x:c r="J28" s="31" t="str">
        <x:v>https://www.topuniversities.com/universities/university-british-columbia</x:v>
      </x:c>
      <x:c r="K28" s="31" t="str">
        <x:v>https://www.topuniversities.com/world-university-rankings/2026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2027</x:v>
      </x:c>
      <x:c r="F29" s="32" t="n">
        <x:f>45</x:f>
        <x:v>45</x:v>
      </x:c>
      <x:c r="G29" s="36" t="n">
        <x:v>83.9</x:v>
      </x:c>
      <x:c r="H29" s="15" t="str">
        <x:v>Published rank retained</x:v>
      </x:c>
      <x:c r="I29" s="15" t="str">
        <x:v>University of British Columbia</x:v>
      </x:c>
      <x:c r="J29" s="31" t="str">
        <x:v>https://www.topuniversities.com/universities/university-british-columbia</x:v>
      </x:c>
      <x:c r="K29" s="31" t="str">
        <x:v>https://www.topuniversities.com/world-university-rankings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2023</x:v>
      </x:c>
      <x:c r="F30" s="32" t="str">
        <x:v>56</x:v>
      </x:c>
      <x:c r="G30" s="36" t="n">
        <x:v>72.3</x:v>
      </x:c>
      <x:c r="H30" s="15" t="str">
        <x:v>Published rank retained</x:v>
      </x:c>
      <x:c r="I30" s="15" t="str">
        <x:v>The London School of Economics and Political Science (LSE)</x:v>
      </x:c>
      <x:c r="J30" s="31" t="str">
        <x:v>https://www.topuniversities.com/universities/london-school-economics-political-science-lse</x:v>
      </x:c>
      <x:c r="K30" s="31" t="str">
        <x:v>https://www.topuniversities.com/world-university-rankings/2023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2024</x:v>
      </x:c>
      <x:c r="F31" s="32" t="str">
        <x:v>45</x:v>
      </x:c>
      <x:c r="G31" s="36" t="n">
        <x:v>76.9</x:v>
      </x:c>
      <x:c r="H31" s="15" t="str">
        <x:v>Published rank retained</x:v>
      </x:c>
      <x:c r="I31" s="15" t="str">
        <x:v>The London School of Economics and Political Science (LSE)</x:v>
      </x:c>
      <x:c r="J31" s="31" t="str">
        <x:v>https://www.topuniversities.com/universities/london-school-economics-political-science-lse</x:v>
      </x:c>
      <x:c r="K31" s="31" t="str">
        <x:v>https://www.topuniversities.com/world-university-rankings/2024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2025</x:v>
      </x:c>
      <x:c r="F32" s="32" t="n">
        <x:f>50</x:f>
        <x:v>50</x:v>
      </x:c>
      <x:c r="G32" s="36" t="n">
        <x:v>76</x:v>
      </x:c>
      <x:c r="H32" s="15" t="str">
        <x:v>Published rank retained</x:v>
      </x:c>
      <x:c r="I32" s="15" t="str">
        <x:v>The London School of Economics and Political Science (LSE)</x:v>
      </x:c>
      <x:c r="J32" s="31" t="str">
        <x:v>https://www.topuniversities.com/universities/london-school-economics-political-science-lse</x:v>
      </x:c>
      <x:c r="K32" s="31" t="str">
        <x:v>https://www.topuniversities.com/world-university-rankings/2025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2026</x:v>
      </x:c>
      <x:c r="F33" s="32" t="str">
        <x:v>56</x:v>
      </x:c>
      <x:c r="G33" s="36" t="n">
        <x:v>80.5</x:v>
      </x:c>
      <x:c r="H33" s="15" t="str">
        <x:v>Published rank retained</x:v>
      </x:c>
      <x:c r="I33" s="15" t="str">
        <x:v>The London School of Economics and Political Science (LSE)</x:v>
      </x:c>
      <x:c r="J33" s="31" t="str">
        <x:v>https://www.topuniversities.com/universities/london-school-economics-political-science-lse</x:v>
      </x:c>
      <x:c r="K33" s="31" t="str">
        <x:v>https://www.topuniversities.com/world-university-rankings/2026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2027</x:v>
      </x:c>
      <x:c r="F34" s="32" t="str">
        <x:v>62</x:v>
      </x:c>
      <x:c r="G34" s="36" t="n">
        <x:v>78.8</x:v>
      </x:c>
      <x:c r="H34" s="15" t="str">
        <x:v>Published rank retained</x:v>
      </x:c>
      <x:c r="I34" s="15" t="str">
        <x:v>The London School of Economics and Political Science (LSE)</x:v>
      </x:c>
      <x:c r="J34" s="31" t="str">
        <x:v>https://www.topuniversities.com/universities/london-school-economics-political-science-lse</x:v>
      </x:c>
      <x:c r="K34" s="31" t="str">
        <x:v>https://www.topuniversities.com/world-university-rankings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2023</x:v>
      </x:c>
      <x:c r="F35" s="32" t="n">
        <x:f>6</x:f>
        <x:v>6</x:v>
      </x:c>
      <x:c r="G35" s="36" t="n">
        <x:v>97</x:v>
      </x:c>
      <x:c r="H35" s="15" t="str">
        <x:v>Published rank retained</x:v>
      </x:c>
      <x:c r="I35" s="15" t="str">
        <x:v>Imperial College London</x:v>
      </x:c>
      <x:c r="J35" s="31" t="str">
        <x:v>https://www.topuniversities.com/universities/imperial-college-london</x:v>
      </x:c>
      <x:c r="K35" s="31" t="str">
        <x:v>https://www.topuniversities.com/world-university-rankings/2023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2024</x:v>
      </x:c>
      <x:c r="F36" s="32" t="str">
        <x:v>6</x:v>
      </x:c>
      <x:c r="G36" s="36" t="n">
        <x:v>97.8</x:v>
      </x:c>
      <x:c r="H36" s="15" t="str">
        <x:v>Published rank retained</x:v>
      </x:c>
      <x:c r="I36" s="15" t="str">
        <x:v>Imperial College London</x:v>
      </x:c>
      <x:c r="J36" s="31" t="str">
        <x:v>https://www.topuniversities.com/universities/imperial-college-london</x:v>
      </x:c>
      <x:c r="K36" s="31" t="str">
        <x:v>https://www.topuniversities.com/world-university-rankings/2024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2025</x:v>
      </x:c>
      <x:c r="F37" s="32" t="str">
        <x:v>2</x:v>
      </x:c>
      <x:c r="G37" s="36" t="n">
        <x:v>98.5</x:v>
      </x:c>
      <x:c r="H37" s="15" t="str">
        <x:v>Published rank retained</x:v>
      </x:c>
      <x:c r="I37" s="15" t="str">
        <x:v>Imperial College London</x:v>
      </x:c>
      <x:c r="J37" s="31" t="str">
        <x:v>https://www.topuniversities.com/universities/imperial-college-london</x:v>
      </x:c>
      <x:c r="K37" s="31" t="str">
        <x:v>https://www.topuniversities.com/world-university-rankings/2025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2026</x:v>
      </x:c>
      <x:c r="F38" s="32" t="str">
        <x:v>2</x:v>
      </x:c>
      <x:c r="G38" s="36" t="n">
        <x:v>99.4</x:v>
      </x:c>
      <x:c r="H38" s="15" t="str">
        <x:v>Published rank retained</x:v>
      </x:c>
      <x:c r="I38" s="15" t="str">
        <x:v>Imperial College London</x:v>
      </x:c>
      <x:c r="J38" s="31" t="str">
        <x:v>https://www.topuniversities.com/universities/imperial-college-london</x:v>
      </x:c>
      <x:c r="K38" s="31" t="str">
        <x:v>https://www.topuniversities.com/world-university-rankings/2026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2027</x:v>
      </x:c>
      <x:c r="F39" s="32" t="n">
        <x:f>2</x:f>
        <x:v>2</x:v>
      </x:c>
      <x:c r="G39" s="36" t="n">
        <x:v>99.2</x:v>
      </x:c>
      <x:c r="H39" s="15" t="str">
        <x:v>Published rank retained</x:v>
      </x:c>
      <x:c r="I39" s="15" t="str">
        <x:v>Imperial College London</x:v>
      </x:c>
      <x:c r="J39" s="31" t="str">
        <x:v>https://www.topuniversities.com/universities/imperial-college-london</x:v>
      </x:c>
      <x:c r="K39" s="31" t="str">
        <x:v>https://www.topuniversities.com/world-university-rankings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2023</x:v>
      </x:c>
      <x:c r="F40" s="32" t="str">
        <x:v>45</x:v>
      </x:c>
      <x:c r="G40" s="36" t="n">
        <x:v>78</x:v>
      </x:c>
      <x:c r="H40" s="15" t="str">
        <x:v>Published rank retained</x:v>
      </x:c>
      <x:c r="I40" s="15" t="str">
        <x:v>The University of New South Wales (UNSW Sydney)</x:v>
      </x:c>
      <x:c r="J40" s="31" t="str">
        <x:v>https://www.topuniversities.com/universities/university-new-south-wales-unsw-sydney</x:v>
      </x:c>
      <x:c r="K40" s="31" t="str">
        <x:v>https://www.topuniversities.com/world-university-rankings/2023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2024</x:v>
      </x:c>
      <x:c r="F41" s="32" t="n">
        <x:f>19</x:f>
        <x:v>19</x:v>
      </x:c>
      <x:c r="G41" s="36" t="n">
        <x:v>86.7</x:v>
      </x:c>
      <x:c r="H41" s="15" t="str">
        <x:v>Published rank retained</x:v>
      </x:c>
      <x:c r="I41" s="15" t="str">
        <x:v>The University of New South Wales (UNSW Sydney)</x:v>
      </x:c>
      <x:c r="J41" s="31" t="str">
        <x:v>https://www.topuniversities.com/universities/university-new-south-wales-unsw-sydney</x:v>
      </x:c>
      <x:c r="K41" s="31" t="str">
        <x:v>https://www.topuniversities.com/world-university-rankings/2024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2025</x:v>
      </x:c>
      <x:c r="F42" s="32" t="str">
        <x:v>19</x:v>
      </x:c>
      <x:c r="G42" s="36" t="n">
        <x:v>87.1</x:v>
      </x:c>
      <x:c r="H42" s="15" t="str">
        <x:v>Published rank retained</x:v>
      </x:c>
      <x:c r="I42" s="15" t="str">
        <x:v>The University of New South Wales (UNSW Sydney)</x:v>
      </x:c>
      <x:c r="J42" s="31" t="str">
        <x:v>https://www.topuniversities.com/universities/university-new-south-wales-unsw-sydney</x:v>
      </x:c>
      <x:c r="K42" s="31" t="str">
        <x:v>https://www.topuniversities.com/world-university-rankings/2025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2026</x:v>
      </x:c>
      <x:c r="F43" s="32" t="str">
        <x:v>20</x:v>
      </x:c>
      <x:c r="G43" s="36" t="n">
        <x:v>90.7</x:v>
      </x:c>
      <x:c r="H43" s="15" t="str">
        <x:v>Published rank retained</x:v>
      </x:c>
      <x:c r="I43" s="15" t="str">
        <x:v>The University of New South Wales (UNSW Sydney)</x:v>
      </x:c>
      <x:c r="J43" s="31" t="str">
        <x:v>https://www.topuniversities.com/universities/university-new-south-wales-unsw-sydney</x:v>
      </x:c>
      <x:c r="K43" s="31" t="str">
        <x:v>https://www.topuniversities.com/world-university-rankings/2026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2027</x:v>
      </x:c>
      <x:c r="F44" s="32" t="str">
        <x:v>19</x:v>
      </x:c>
      <x:c r="G44" s="36" t="n">
        <x:v>89.8</x:v>
      </x:c>
      <x:c r="H44" s="15" t="str">
        <x:v>Published rank retained</x:v>
      </x:c>
      <x:c r="I44" s="15" t="str">
        <x:v>The University of New South Wales (UNSW Sydney)</x:v>
      </x:c>
      <x:c r="J44" s="31" t="str">
        <x:v>https://www.topuniversities.com/universities/university-new-south-wales-unsw-sydney</x:v>
      </x:c>
      <x:c r="K44" s="31" t="str">
        <x:v>https://www.topuniversities.com/world-university-rankings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2023</x:v>
      </x:c>
      <x:c r="F45" s="32" t="str">
        <x:v>31</x:v>
      </x:c>
      <x:c r="G45" s="36" t="n">
        <x:v>81.9</x:v>
      </x:c>
      <x:c r="H45" s="15" t="str">
        <x:v>Published rank retained</x:v>
      </x:c>
      <x:c r="I45" s="15" t="str">
        <x:v>McGill University</x:v>
      </x:c>
      <x:c r="J45" s="31" t="str">
        <x:v>https://www.topuniversities.com/universities/mcgill-university</x:v>
      </x:c>
      <x:c r="K45" s="31" t="str">
        <x:v>https://www.topuniversities.com/world-university-rankings/2023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2024</x:v>
      </x:c>
      <x:c r="F46" s="32" t="str">
        <x:v>30</x:v>
      </x:c>
      <x:c r="G46" s="36" t="n">
        <x:v>83.7</x:v>
      </x:c>
      <x:c r="H46" s="15" t="str">
        <x:v>Published rank retained</x:v>
      </x:c>
      <x:c r="I46" s="15" t="str">
        <x:v>McGill University</x:v>
      </x:c>
      <x:c r="J46" s="31" t="str">
        <x:v>https://www.topuniversities.com/universities/mcgill-university</x:v>
      </x:c>
      <x:c r="K46" s="31" t="str">
        <x:v>https://www.topuniversities.com/world-university-rankings/2024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2025</x:v>
      </x:c>
      <x:c r="F47" s="32" t="str">
        <x:v>29</x:v>
      </x:c>
      <x:c r="G47" s="36" t="n">
        <x:v>83</x:v>
      </x:c>
      <x:c r="H47" s="15" t="str">
        <x:v>Published rank retained</x:v>
      </x:c>
      <x:c r="I47" s="15" t="str">
        <x:v>McGill University</x:v>
      </x:c>
      <x:c r="J47" s="31" t="str">
        <x:v>https://www.topuniversities.com/universities/mcgill-university</x:v>
      </x:c>
      <x:c r="K47" s="31" t="str">
        <x:v>https://www.topuniversities.com/world-university-rankings/2025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2026</x:v>
      </x:c>
      <x:c r="F48" s="32" t="str">
        <x:v>27</x:v>
      </x:c>
      <x:c r="G48" s="36" t="n">
        <x:v>88.9</x:v>
      </x:c>
      <x:c r="H48" s="15" t="str">
        <x:v>Published rank retained</x:v>
      </x:c>
      <x:c r="I48" s="15" t="str">
        <x:v>McGill University</x:v>
      </x:c>
      <x:c r="J48" s="31" t="str">
        <x:v>https://www.topuniversities.com/universities/mcgill-university</x:v>
      </x:c>
      <x:c r="K48" s="31" t="str">
        <x:v>https://www.topuniversities.com/world-university-rankings/2026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2027</x:v>
      </x:c>
      <x:c r="F49" s="32" t="str">
        <x:v>30</x:v>
      </x:c>
      <x:c r="G49" s="36" t="n">
        <x:v>87.5</x:v>
      </x:c>
      <x:c r="H49" s="15" t="str">
        <x:v>Published rank retained</x:v>
      </x:c>
      <x:c r="I49" s="15" t="str">
        <x:v>McGill University</x:v>
      </x:c>
      <x:c r="J49" s="31" t="str">
        <x:v>https://www.topuniversities.com/universities/mcgill-university</x:v>
      </x:c>
      <x:c r="K49" s="31" t="str">
        <x:v>https://www.topuniversities.com/world-university-rankings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2023</x:v>
      </x:c>
      <x:c r="F50" s="32" t="str">
        <x:v>28</x:v>
      </x:c>
      <x:c r="G50" s="36" t="n">
        <x:v>82.3</x:v>
      </x:c>
      <x:c r="H50" s="15" t="str">
        <x:v>Published rank retained</x:v>
      </x:c>
      <x:c r="I50" s="15" t="str">
        <x:v>The University of Manchester</x:v>
      </x:c>
      <x:c r="J50" s="31" t="str">
        <x:v>https://www.topuniversities.com/universities/university-manchester</x:v>
      </x:c>
      <x:c r="K50" s="31" t="str">
        <x:v>https://www.topuniversities.com/world-university-rankings/2023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2024</x:v>
      </x:c>
      <x:c r="F51" s="32" t="str">
        <x:v>32</x:v>
      </x:c>
      <x:c r="G51" s="36" t="n">
        <x:v>82.2</x:v>
      </x:c>
      <x:c r="H51" s="15" t="str">
        <x:v>Published rank retained</x:v>
      </x:c>
      <x:c r="I51" s="15" t="str">
        <x:v>The University of Manchester</x:v>
      </x:c>
      <x:c r="J51" s="31" t="str">
        <x:v>https://www.topuniversities.com/universities/university-manchester</x:v>
      </x:c>
      <x:c r="K51" s="31" t="str">
        <x:v>https://www.topuniversities.com/world-university-rankings/2024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2025</x:v>
      </x:c>
      <x:c r="F52" s="32" t="n">
        <x:f>34</x:f>
        <x:v>34</x:v>
      </x:c>
      <x:c r="G52" s="36" t="n">
        <x:v>82</x:v>
      </x:c>
      <x:c r="H52" s="15" t="str">
        <x:v>Published rank retained</x:v>
      </x:c>
      <x:c r="I52" s="15" t="str">
        <x:v>The University of Manchester</x:v>
      </x:c>
      <x:c r="J52" s="31" t="str">
        <x:v>https://www.topuniversities.com/universities/university-manchester</x:v>
      </x:c>
      <x:c r="K52" s="31" t="str">
        <x:v>https://www.topuniversities.com/world-university-rankings/2025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2026</x:v>
      </x:c>
      <x:c r="F53" s="32" t="str">
        <x:v>35</x:v>
      </x:c>
      <x:c r="G53" s="36" t="n">
        <x:v>86.4</x:v>
      </x:c>
      <x:c r="H53" s="15" t="str">
        <x:v>Published rank retained</x:v>
      </x:c>
      <x:c r="I53" s="15" t="str">
        <x:v>The University of Manchester</x:v>
      </x:c>
      <x:c r="J53" s="31" t="str">
        <x:v>https://www.topuniversities.com/universities/university-manchester</x:v>
      </x:c>
      <x:c r="K53" s="31" t="str">
        <x:v>https://www.topuniversities.com/world-university-rankings/2026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2027</x:v>
      </x:c>
      <x:c r="F54" s="32" t="n">
        <x:f>40</x:f>
        <x:v>40</x:v>
      </x:c>
      <x:c r="G54" s="36" t="n">
        <x:v>84.6</x:v>
      </x:c>
      <x:c r="H54" s="15" t="str">
        <x:v>Published rank retained</x:v>
      </x:c>
      <x:c r="I54" s="15" t="str">
        <x:v>The University of Manchester</x:v>
      </x:c>
      <x:c r="J54" s="31" t="str">
        <x:v>https://www.topuniversities.com/universities/university-manchester</x:v>
      </x:c>
      <x:c r="K54" s="31" t="str">
        <x:v>https://www.topuniversities.com/world-university-rankings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2023</x:v>
      </x:c>
      <x:c r="F55" s="32" t="str">
        <x:v>9</x:v>
      </x:c>
      <x:c r="G55" s="36" t="n">
        <x:v>93.6</x:v>
      </x:c>
      <x:c r="H55" s="15" t="str">
        <x:v>Published rank retained</x:v>
      </x:c>
      <x:c r="I55" s="15" t="str">
        <x:v>ETH Zurich</x:v>
      </x:c>
      <x:c r="J55" s="31" t="str">
        <x:v>https://www.topuniversities.com/universities/eth-zurich</x:v>
      </x:c>
      <x:c r="K55" s="31" t="str">
        <x:v>https://www.topuniversities.com/world-university-rankings/2023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2024</x:v>
      </x:c>
      <x:c r="F56" s="32" t="str">
        <x:v>7</x:v>
      </x:c>
      <x:c r="G56" s="36" t="n">
        <x:v>93.3</x:v>
      </x:c>
      <x:c r="H56" s="15" t="str">
        <x:v>Published rank retained</x:v>
      </x:c>
      <x:c r="I56" s="15" t="str">
        <x:v>ETH Zurich</x:v>
      </x:c>
      <x:c r="J56" s="31" t="str">
        <x:v>https://www.topuniversities.com/universities/eth-zurich</x:v>
      </x:c>
      <x:c r="K56" s="31" t="str">
        <x:v>https://www.topuniversities.com/world-university-rankings/2024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2025</x:v>
      </x:c>
      <x:c r="F57" s="32" t="str">
        <x:v>7</x:v>
      </x:c>
      <x:c r="G57" s="36" t="n">
        <x:v>93.9</x:v>
      </x:c>
      <x:c r="H57" s="15" t="str">
        <x:v>Published rank retained</x:v>
      </x:c>
      <x:c r="I57" s="15" t="str">
        <x:v>ETH Zurich</x:v>
      </x:c>
      <x:c r="J57" s="31" t="str">
        <x:v>https://www.topuniversities.com/universities/eth-zurich</x:v>
      </x:c>
      <x:c r="K57" s="31" t="str">
        <x:v>https://www.topuniversities.com/world-university-rankings/2025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2026</x:v>
      </x:c>
      <x:c r="F58" s="32" t="str">
        <x:v>7</x:v>
      </x:c>
      <x:c r="G58" s="36" t="n">
        <x:v>96.7</x:v>
      </x:c>
      <x:c r="H58" s="15" t="str">
        <x:v>Published rank retained</x:v>
      </x:c>
      <x:c r="I58" s="15" t="str">
        <x:v>ETH Zurich</x:v>
      </x:c>
      <x:c r="J58" s="31" t="str">
        <x:v>https://www.topuniversities.com/universities/eth-zurich</x:v>
      </x:c>
      <x:c r="K58" s="31" t="str">
        <x:v>https://www.topuniversities.com/world-university-rankings/2026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2027</x:v>
      </x:c>
      <x:c r="F59" s="32" t="n">
        <x:f>8</x:f>
        <x:v>8</x:v>
      </x:c>
      <x:c r="G59" s="36" t="n">
        <x:v>96.3</x:v>
      </x:c>
      <x:c r="H59" s="15" t="str">
        <x:v>Published rank retained</x:v>
      </x:c>
      <x:c r="I59" s="15" t="str">
        <x:v>ETH Zurich</x:v>
      </x:c>
      <x:c r="J59" s="31" t="str">
        <x:v>https://www.topuniversities.com/universities/eth-zurich</x:v>
      </x:c>
      <x:c r="K59" s="31" t="str">
        <x:v>https://www.topuniversities.com/world-university-rankings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2023</x:v>
      </x:c>
      <x:c r="F60" s="32" t="str">
        <x:v>33</x:v>
      </x:c>
      <x:c r="G60" s="36" t="n">
        <x:v>81.6</x:v>
      </x:c>
      <x:c r="H60" s="15" t="str">
        <x:v>Published rank retained</x:v>
      </x:c>
      <x:c r="I60" s="15" t="str">
        <x:v>The University of Melbourne</x:v>
      </x:c>
      <x:c r="J60" s="31" t="str">
        <x:v>https://www.topuniversities.com/universities/university-melbourne</x:v>
      </x:c>
      <x:c r="K60" s="31" t="str">
        <x:v>https://www.topuniversities.com/world-university-rankings/2023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2024</x:v>
      </x:c>
      <x:c r="F61" s="32" t="str">
        <x:v>14</x:v>
      </x:c>
      <x:c r="G61" s="36" t="n">
        <x:v>87.9</x:v>
      </x:c>
      <x:c r="H61" s="15" t="str">
        <x:v>Published rank retained</x:v>
      </x:c>
      <x:c r="I61" s="15" t="str">
        <x:v>The University of Melbourne</x:v>
      </x:c>
      <x:c r="J61" s="31" t="str">
        <x:v>https://www.topuniversities.com/universities/university-melbourne</x:v>
      </x:c>
      <x:c r="K61" s="31" t="str">
        <x:v>https://www.topuniversities.com/world-university-rankings/2024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2025</x:v>
      </x:c>
      <x:c r="F62" s="32" t="str">
        <x:v>13</x:v>
      </x:c>
      <x:c r="G62" s="36" t="n">
        <x:v>88.9</x:v>
      </x:c>
      <x:c r="H62" s="15" t="str">
        <x:v>Published rank retained</x:v>
      </x:c>
      <x:c r="I62" s="15" t="str">
        <x:v>The University of Melbourne</x:v>
      </x:c>
      <x:c r="J62" s="31" t="str">
        <x:v>https://www.topuniversities.com/universities/university-melbourne</x:v>
      </x:c>
      <x:c r="K62" s="31" t="str">
        <x:v>https://www.topuniversities.com/world-university-rankings/2025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2026</x:v>
      </x:c>
      <x:c r="F63" s="32" t="str">
        <x:v>19</x:v>
      </x:c>
      <x:c r="G63" s="36" t="n">
        <x:v>90.8</x:v>
      </x:c>
      <x:c r="H63" s="15" t="str">
        <x:v>Published rank retained</x:v>
      </x:c>
      <x:c r="I63" s="15" t="str">
        <x:v>The University of Melbourne</x:v>
      </x:c>
      <x:c r="J63" s="31" t="str">
        <x:v>https://www.topuniversities.com/universities/university-melbourne</x:v>
      </x:c>
      <x:c r="K63" s="31" t="str">
        <x:v>https://www.topuniversities.com/world-university-rankings/2026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2027</x:v>
      </x:c>
      <x:c r="F64" s="32" t="n">
        <x:f>22</x:f>
        <x:v>22</x:v>
      </x:c>
      <x:c r="G64" s="36" t="n">
        <x:v>89.6</x:v>
      </x:c>
      <x:c r="H64" s="15" t="str">
        <x:v>Published rank retained</x:v>
      </x:c>
      <x:c r="I64" s="15" t="str">
        <x:v>The University of Melbourne</x:v>
      </x:c>
      <x:c r="J64" s="31" t="str">
        <x:v>https://www.topuniversities.com/universities/university-melbourne</x:v>
      </x:c>
      <x:c r="K64" s="31" t="str">
        <x:v>https://www.topuniversities.com/world-university-rankings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2023</x:v>
      </x:c>
      <x:c r="F65" s="32" t="str">
        <x:v>27</x:v>
      </x:c>
      <x:c r="G65" s="36" t="n">
        <x:v>82.7</x:v>
      </x:c>
      <x:c r="H65" s="15" t="str">
        <x:v>Published rank retained</x:v>
      </x:c>
      <x:c r="I65" s="15" t="str">
        <x:v>University of California, Berkeley (UCB)</x:v>
      </x:c>
      <x:c r="J65" s="31" t="str">
        <x:v>https://www.topuniversities.com/universities/university-california-berkeley-ucb</x:v>
      </x:c>
      <x:c r="K65" s="31" t="str">
        <x:v>https://www.topuniversities.com/world-university-rankings/2023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2024</x:v>
      </x:c>
      <x:c r="F66" s="32" t="str">
        <x:v>10</x:v>
      </x:c>
      <x:c r="G66" s="36" t="n">
        <x:v>90.4</x:v>
      </x:c>
      <x:c r="H66" s="15" t="str">
        <x:v>Published rank retained</x:v>
      </x:c>
      <x:c r="I66" s="15" t="str">
        <x:v>University of California, Berkeley (UCB)</x:v>
      </x:c>
      <x:c r="J66" s="31" t="str">
        <x:v>https://www.topuniversities.com/universities/university-california-berkeley-ucb</x:v>
      </x:c>
      <x:c r="K66" s="31" t="str">
        <x:v>https://www.topuniversities.com/world-university-rankings/2024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2025</x:v>
      </x:c>
      <x:c r="F67" s="32" t="str">
        <x:v>12</x:v>
      </x:c>
      <x:c r="G67" s="36" t="n">
        <x:v>90.1</x:v>
      </x:c>
      <x:c r="H67" s="15" t="str">
        <x:v>Published rank retained</x:v>
      </x:c>
      <x:c r="I67" s="15" t="str">
        <x:v>University of California, Berkeley (UCB)</x:v>
      </x:c>
      <x:c r="J67" s="31" t="str">
        <x:v>https://www.topuniversities.com/universities/university-california-berkeley-ucb</x:v>
      </x:c>
      <x:c r="K67" s="31" t="str">
        <x:v>https://www.topuniversities.com/world-university-rankings/2025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2026</x:v>
      </x:c>
      <x:c r="F68" s="32" t="n">
        <x:f>17</x:f>
        <x:v>17</x:v>
      </x:c>
      <x:c r="G68" s="36" t="n">
        <x:v>91.2</x:v>
      </x:c>
      <x:c r="H68" s="15" t="str">
        <x:v>Published rank retained</x:v>
      </x:c>
      <x:c r="I68" s="15" t="str">
        <x:v>University of California, Berkeley (UCB)</x:v>
      </x:c>
      <x:c r="J68" s="31" t="str">
        <x:v>https://www.topuniversities.com/universities/university-california-berkeley-ucb</x:v>
      </x:c>
      <x:c r="K68" s="31" t="str">
        <x:v>https://www.topuniversities.com/world-university-rankings/2026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2027</x:v>
      </x:c>
      <x:c r="F69" s="32" t="n">
        <x:f>20</x:f>
        <x:v>20</x:v>
      </x:c>
      <x:c r="G69" s="36" t="n">
        <x:v>89.7</x:v>
      </x:c>
      <x:c r="H69" s="15" t="str">
        <x:v>Published rank retained</x:v>
      </x:c>
      <x:c r="I69" s="15" t="str">
        <x:v>University of California, Berkeley (UCB)</x:v>
      </x:c>
      <x:c r="J69" s="31" t="str">
        <x:v>https://www.topuniversities.com/universities/university-california-berkeley-ucb</x:v>
      </x:c>
      <x:c r="K69" s="31" t="str">
        <x:v>https://www.topuniversities.com/world-university-rankings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2023</x:v>
      </x:c>
      <x:c r="F70" s="32" t="str">
        <x:v>3</x:v>
      </x:c>
      <x:c r="G70" s="36" t="n">
        <x:v>98.5</x:v>
      </x:c>
      <x:c r="H70" s="15" t="str">
        <x:v>Published rank retained</x:v>
      </x:c>
      <x:c r="I70" s="15" t="str">
        <x:v>Stanford University</x:v>
      </x:c>
      <x:c r="J70" s="31" t="str">
        <x:v>https://www.topuniversities.com/universities/stanford-university</x:v>
      </x:c>
      <x:c r="K70" s="31" t="str">
        <x:v>https://www.topuniversities.com/world-university-rankings/2023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2024</x:v>
      </x:c>
      <x:c r="F71" s="32" t="str">
        <x:v>5</x:v>
      </x:c>
      <x:c r="G71" s="36" t="n">
        <x:v>98.1</x:v>
      </x:c>
      <x:c r="H71" s="15" t="str">
        <x:v>Published rank retained</x:v>
      </x:c>
      <x:c r="I71" s="15" t="str">
        <x:v>Stanford University</x:v>
      </x:c>
      <x:c r="J71" s="31" t="str">
        <x:v>https://www.topuniversities.com/universities/stanford-university</x:v>
      </x:c>
      <x:c r="K71" s="31" t="str">
        <x:v>https://www.topuniversities.com/world-university-rankings/2024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2025</x:v>
      </x:c>
      <x:c r="F72" s="32" t="str">
        <x:v>6</x:v>
      </x:c>
      <x:c r="G72" s="36" t="n">
        <x:v>96.1</x:v>
      </x:c>
      <x:c r="H72" s="15" t="str">
        <x:v>Published rank retained</x:v>
      </x:c>
      <x:c r="I72" s="15" t="str">
        <x:v>Stanford University</x:v>
      </x:c>
      <x:c r="J72" s="31" t="str">
        <x:v>https://www.topuniversities.com/universities/stanford-university</x:v>
      </x:c>
      <x:c r="K72" s="31" t="str">
        <x:v>https://www.topuniversities.com/world-university-rankings/2025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2026</x:v>
      </x:c>
      <x:c r="F73" s="32" t="str">
        <x:v>3</x:v>
      </x:c>
      <x:c r="G73" s="36" t="n">
        <x:v>98.9</x:v>
      </x:c>
      <x:c r="H73" s="15" t="str">
        <x:v>Published rank retained</x:v>
      </x:c>
      <x:c r="I73" s="15" t="str">
        <x:v>Stanford University</x:v>
      </x:c>
      <x:c r="J73" s="31" t="str">
        <x:v>https://www.topuniversities.com/universities/stanford-university</x:v>
      </x:c>
      <x:c r="K73" s="31" t="str">
        <x:v>https://www.topuniversities.com/world-university-rankings/2026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2027</x:v>
      </x:c>
      <x:c r="F74" s="32" t="n">
        <x:f>2</x:f>
        <x:v>2</x:v>
      </x:c>
      <x:c r="G74" s="36" t="n">
        <x:v>99.2</x:v>
      </x:c>
      <x:c r="H74" s="15" t="str">
        <x:v>Published rank retained</x:v>
      </x:c>
      <x:c r="I74" s="15" t="str">
        <x:v>Stanford University</x:v>
      </x:c>
      <x:c r="J74" s="31" t="str">
        <x:v>https://www.topuniversities.com/universities/stanford-university</x:v>
      </x:c>
      <x:c r="K74" s="31" t="str">
        <x:v>https://www.topuniversities.com/world-university-rankings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2023</x:v>
      </x:c>
      <x:c r="F75" s="32" t="str">
        <x:v>4</x:v>
      </x:c>
      <x:c r="G75" s="36" t="n">
        <x:v>98.4</x:v>
      </x:c>
      <x:c r="H75" s="15" t="str">
        <x:v>Published rank retained</x:v>
      </x:c>
      <x:c r="I75" s="15" t="str">
        <x:v>University of Oxford</x:v>
      </x:c>
      <x:c r="J75" s="31" t="str">
        <x:v>https://www.topuniversities.com/universities/university-oxford</x:v>
      </x:c>
      <x:c r="K75" s="31" t="str">
        <x:v>https://www.topuniversities.com/world-university-rankings/2023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2024</x:v>
      </x:c>
      <x:c r="F76" s="32" t="str">
        <x:v>3</x:v>
      </x:c>
      <x:c r="G76" s="36" t="n">
        <x:v>98.9</x:v>
      </x:c>
      <x:c r="H76" s="15" t="str">
        <x:v>Published rank retained</x:v>
      </x:c>
      <x:c r="I76" s="15" t="str">
        <x:v>University of Oxford</x:v>
      </x:c>
      <x:c r="J76" s="31" t="str">
        <x:v>https://www.topuniversities.com/universities/university-oxford</x:v>
      </x:c>
      <x:c r="K76" s="31" t="str">
        <x:v>https://www.topuniversities.com/world-university-rankings/2024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2025</x:v>
      </x:c>
      <x:c r="F77" s="32" t="str">
        <x:v>3</x:v>
      </x:c>
      <x:c r="G77" s="36" t="n">
        <x:v>96.9</x:v>
      </x:c>
      <x:c r="H77" s="15" t="str">
        <x:v>Published rank retained</x:v>
      </x:c>
      <x:c r="I77" s="15" t="str">
        <x:v>University of Oxford</x:v>
      </x:c>
      <x:c r="J77" s="31" t="str">
        <x:v>https://www.topuniversities.com/universities/university-oxford</x:v>
      </x:c>
      <x:c r="K77" s="31" t="str">
        <x:v>https://www.topuniversities.com/world-university-rankings/2025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2026</x:v>
      </x:c>
      <x:c r="F78" s="32" t="str">
        <x:v>4</x:v>
      </x:c>
      <x:c r="G78" s="36" t="n">
        <x:v>97.9</x:v>
      </x:c>
      <x:c r="H78" s="15" t="str">
        <x:v>Published rank retained</x:v>
      </x:c>
      <x:c r="I78" s="15" t="str">
        <x:v>University of Oxford</x:v>
      </x:c>
      <x:c r="J78" s="31" t="str">
        <x:v>https://www.topuniversities.com/universities/university-oxford</x:v>
      </x:c>
      <x:c r="K78" s="31" t="str">
        <x:v>https://www.topuniversities.com/world-university-rankings/2026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2027</x:v>
      </x:c>
      <x:c r="F79" s="32" t="str">
        <x:v>4</x:v>
      </x:c>
      <x:c r="G79" s="36" t="n">
        <x:v>98.6</x:v>
      </x:c>
      <x:c r="H79" s="15" t="str">
        <x:v>Published rank retained</x:v>
      </x:c>
      <x:c r="I79" s="15" t="str">
        <x:v>University of Oxford</x:v>
      </x:c>
      <x:c r="J79" s="31" t="str">
        <x:v>https://www.topuniversities.com/universities/university-oxford</x:v>
      </x:c>
      <x:c r="K79" s="31" t="str">
        <x:v>https://www.topuniversities.com/world-university-rankings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2023</x:v>
      </x:c>
      <x:c r="F80" s="32" t="str">
        <x:v>41</x:v>
      </x:c>
      <x:c r="G80" s="36" t="n">
        <x:v>79.6</x:v>
      </x:c>
      <x:c r="H80" s="15" t="str">
        <x:v>Published rank retained</x:v>
      </x:c>
      <x:c r="I80" s="15" t="str">
        <x:v>The University of Sydney</x:v>
      </x:c>
      <x:c r="J80" s="31" t="str">
        <x:v>https://www.topuniversities.com/universities/university-sydney</x:v>
      </x:c>
      <x:c r="K80" s="31" t="str">
        <x:v>https://www.topuniversities.com/world-university-rankings/2023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2024</x:v>
      </x:c>
      <x:c r="F81" s="32" t="n">
        <x:f>19</x:f>
        <x:v>19</x:v>
      </x:c>
      <x:c r="G81" s="36" t="n">
        <x:v>86.7</x:v>
      </x:c>
      <x:c r="H81" s="15" t="str">
        <x:v>Published rank retained</x:v>
      </x:c>
      <x:c r="I81" s="15" t="str">
        <x:v>The University of Sydney</x:v>
      </x:c>
      <x:c r="J81" s="31" t="str">
        <x:v>https://www.topuniversities.com/universities/university-sydney</x:v>
      </x:c>
      <x:c r="K81" s="31" t="str">
        <x:v>https://www.topuniversities.com/world-university-rankings/2024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2025</x:v>
      </x:c>
      <x:c r="F82" s="32" t="str">
        <x:v>18</x:v>
      </x:c>
      <x:c r="G82" s="36" t="n">
        <x:v>87.3</x:v>
      </x:c>
      <x:c r="H82" s="15" t="str">
        <x:v>Published rank retained</x:v>
      </x:c>
      <x:c r="I82" s="15" t="str">
        <x:v>The University of Sydney</x:v>
      </x:c>
      <x:c r="J82" s="31" t="str">
        <x:v>https://www.topuniversities.com/universities/university-sydney</x:v>
      </x:c>
      <x:c r="K82" s="31" t="str">
        <x:v>https://www.topuniversities.com/world-university-rankings/2025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2026</x:v>
      </x:c>
      <x:c r="F83" s="32" t="n">
        <x:f>25</x:f>
        <x:v>25</x:v>
      </x:c>
      <x:c r="G83" s="36" t="n">
        <x:v>89.4</x:v>
      </x:c>
      <x:c r="H83" s="15" t="str">
        <x:v>Published rank retained</x:v>
      </x:c>
      <x:c r="I83" s="15" t="str">
        <x:v>The University of Sydney</x:v>
      </x:c>
      <x:c r="J83" s="31" t="str">
        <x:v>https://www.topuniversities.com/universities/university-sydney</x:v>
      </x:c>
      <x:c r="K83" s="31" t="str">
        <x:v>https://www.topuniversities.com/world-university-rankings/2026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2027</x:v>
      </x:c>
      <x:c r="F84" s="32" t="str">
        <x:v>28</x:v>
      </x:c>
      <x:c r="G84" s="36" t="n">
        <x:v>88.4</x:v>
      </x:c>
      <x:c r="H84" s="15" t="str">
        <x:v>Published rank retained</x:v>
      </x:c>
      <x:c r="I84" s="15" t="str">
        <x:v>The University of Sydney</x:v>
      </x:c>
      <x:c r="J84" s="31" t="str">
        <x:v>https://www.topuniversities.com/universities/university-sydney</x:v>
      </x:c>
      <x:c r="K84" s="31" t="str">
        <x:v>https://www.topuniversities.com/world-university-rankings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2023</x:v>
      </x:c>
      <x:c r="F85" s="32" t="str">
        <x:v>30</x:v>
      </x:c>
      <x:c r="G85" s="36" t="n">
        <x:v>82.1</x:v>
      </x:c>
      <x:c r="H85" s="15" t="str">
        <x:v>Published rank retained</x:v>
      </x:c>
      <x:c r="I85" s="15" t="str">
        <x:v>Australian National University (ANU)</x:v>
      </x:c>
      <x:c r="J85" s="31" t="str">
        <x:v>https://www.topuniversities.com/universities/australian-national-university-anu</x:v>
      </x:c>
      <x:c r="K85" s="31" t="str">
        <x:v>https://www.topuniversities.com/world-university-rankings/2023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2024</x:v>
      </x:c>
      <x:c r="F86" s="32" t="n">
        <x:f>34</x:f>
        <x:v>34</x:v>
      </x:c>
      <x:c r="G86" s="36" t="n">
        <x:v>81.5</x:v>
      </x:c>
      <x:c r="H86" s="15" t="str">
        <x:v>Published rank retained</x:v>
      </x:c>
      <x:c r="I86" s="15" t="str">
        <x:v>Australian National University (ANU)</x:v>
      </x:c>
      <x:c r="J86" s="31" t="str">
        <x:v>https://www.topuniversities.com/universities/australian-national-university-anu</x:v>
      </x:c>
      <x:c r="K86" s="31" t="str">
        <x:v>https://www.topuniversities.com/world-university-rankings/2024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2025</x:v>
      </x:c>
      <x:c r="F87" s="32" t="str">
        <x:v>30</x:v>
      </x:c>
      <x:c r="G87" s="36" t="n">
        <x:v>82.4</x:v>
      </x:c>
      <x:c r="H87" s="15" t="str">
        <x:v>Published rank retained</x:v>
      </x:c>
      <x:c r="I87" s="15" t="str">
        <x:v>Australian National University (ANU)</x:v>
      </x:c>
      <x:c r="J87" s="31" t="str">
        <x:v>https://www.topuniversities.com/universities/australian-national-university-anu</x:v>
      </x:c>
      <x:c r="K87" s="31" t="str">
        <x:v>https://www.topuniversities.com/world-university-rankings/2025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2026</x:v>
      </x:c>
      <x:c r="F88" s="32" t="n">
        <x:f>32</x:f>
        <x:v>32</x:v>
      </x:c>
      <x:c r="G88" s="36" t="n">
        <x:v>87.4</x:v>
      </x:c>
      <x:c r="H88" s="15" t="str">
        <x:v>Published rank retained</x:v>
      </x:c>
      <x:c r="I88" s="15" t="str">
        <x:v>Australian National University (ANU)</x:v>
      </x:c>
      <x:c r="J88" s="31" t="str">
        <x:v>https://www.topuniversities.com/universities/australian-national-university-anu</x:v>
      </x:c>
      <x:c r="K88" s="31" t="str">
        <x:v>https://www.topuniversities.com/world-university-rankings/2026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2027</x:v>
      </x:c>
      <x:c r="F89" s="32" t="str">
        <x:v>29</x:v>
      </x:c>
      <x:c r="G89" s="36" t="n">
        <x:v>87.6</x:v>
      </x:c>
      <x:c r="H89" s="15" t="str">
        <x:v>Published rank retained</x:v>
      </x:c>
      <x:c r="I89" s="15" t="str">
        <x:v>Australian National University (ANU)</x:v>
      </x:c>
      <x:c r="J89" s="31" t="str">
        <x:v>https://www.topuniversities.com/universities/australian-national-university-anu</x:v>
      </x:c>
      <x:c r="K89" s="31" t="str">
        <x:v>https://www.topuniversities.com/world-university-rankings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2023</x:v>
      </x:c>
      <x:c r="F90" s="32" t="str">
        <x:v>37</x:v>
      </x:c>
      <x:c r="G90" s="36" t="n">
        <x:v>81.2</x:v>
      </x:c>
      <x:c r="H90" s="15" t="str">
        <x:v>Published rank retained</x:v>
      </x:c>
      <x:c r="I90" s="15" t="str">
        <x:v>King's College London</x:v>
      </x:c>
      <x:c r="J90" s="31" t="str">
        <x:v>https://www.topuniversities.com/universities/kings-college-london</x:v>
      </x:c>
      <x:c r="K90" s="31" t="str">
        <x:v>https://www.topuniversities.com/world-university-rankings/2023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2024</x:v>
      </x:c>
      <x:c r="F91" s="32" t="str">
        <x:v>40</x:v>
      </x:c>
      <x:c r="G91" s="36" t="n">
        <x:v>79.3</x:v>
      </x:c>
      <x:c r="H91" s="15" t="str">
        <x:v>Published rank retained</x:v>
      </x:c>
      <x:c r="I91" s="15" t="str">
        <x:v>King's College London</x:v>
      </x:c>
      <x:c r="J91" s="31" t="str">
        <x:v>https://www.topuniversities.com/universities/kings-college-london</x:v>
      </x:c>
      <x:c r="K91" s="31" t="str">
        <x:v>https://www.topuniversities.com/world-university-rankings/2024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2025</x:v>
      </x:c>
      <x:c r="F92" s="32" t="n">
        <x:f>40</x:f>
        <x:v>40</x:v>
      </x:c>
      <x:c r="G92" s="36" t="n">
        <x:v>80.2</x:v>
      </x:c>
      <x:c r="H92" s="15" t="str">
        <x:v>Published rank retained</x:v>
      </x:c>
      <x:c r="I92" s="15" t="str">
        <x:v>King's College London</x:v>
      </x:c>
      <x:c r="J92" s="31" t="str">
        <x:v>https://www.topuniversities.com/universities/kings-college-london</x:v>
      </x:c>
      <x:c r="K92" s="31" t="str">
        <x:v>https://www.topuniversities.com/world-university-rankings/2025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2026</x:v>
      </x:c>
      <x:c r="F93" s="32" t="str">
        <x:v>31</x:v>
      </x:c>
      <x:c r="G93" s="36" t="n">
        <x:v>88.3</x:v>
      </x:c>
      <x:c r="H93" s="15" t="str">
        <x:v>Published rank retained</x:v>
      </x:c>
      <x:c r="I93" s="15" t="str">
        <x:v>King's College London</x:v>
      </x:c>
      <x:c r="J93" s="31" t="str">
        <x:v>https://www.topuniversities.com/universities/kings-college-london</x:v>
      </x:c>
      <x:c r="K93" s="31" t="str">
        <x:v>https://www.topuniversities.com/world-university-rankings/2026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2027</x:v>
      </x:c>
      <x:c r="F94" s="32" t="str">
        <x:v>37</x:v>
      </x:c>
      <x:c r="G94" s="36" t="n">
        <x:v>85.7</x:v>
      </x:c>
      <x:c r="H94" s="15" t="str">
        <x:v>Published rank retained</x:v>
      </x:c>
      <x:c r="I94" s="15" t="str">
        <x:v>King's College London</x:v>
      </x:c>
      <x:c r="J94" s="31" t="str">
        <x:v>https://www.topuniversities.com/universities/kings-college-london</x:v>
      </x:c>
      <x:c r="K94" s="31" t="str">
        <x:v>https://www.topuniversities.com/world-university-rankings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2023</x:v>
      </x:c>
      <x:c r="F95" s="32" t="n">
        <x:f>61</x:f>
        <x:v>61</x:v>
      </x:c>
      <x:c r="G95" s="36" t="n">
        <x:v>70</x:v>
      </x:c>
      <x:c r="H95" s="15" t="str">
        <x:v>Published rank retained</x:v>
      </x:c>
      <x:c r="I95" s="15" t="str">
        <x:v>University of Bristol</x:v>
      </x:c>
      <x:c r="J95" s="31" t="str">
        <x:v>https://www.topuniversities.com/universities/university-bristol</x:v>
      </x:c>
      <x:c r="K95" s="31" t="str">
        <x:v>https://www.topuniversities.com/world-university-rankings/2023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2024</x:v>
      </x:c>
      <x:c r="F96" s="32" t="str">
        <x:v>55</x:v>
      </x:c>
      <x:c r="G96" s="36" t="n">
        <x:v>72.4</x:v>
      </x:c>
      <x:c r="H96" s="15" t="str">
        <x:v>Published rank retained</x:v>
      </x:c>
      <x:c r="I96" s="15" t="str">
        <x:v>University of Bristol</x:v>
      </x:c>
      <x:c r="J96" s="31" t="str">
        <x:v>https://www.topuniversities.com/universities/university-bristol</x:v>
      </x:c>
      <x:c r="K96" s="31" t="str">
        <x:v>https://www.topuniversities.com/world-university-rankings/2024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2025</x:v>
      </x:c>
      <x:c r="F97" s="32" t="str">
        <x:v>54</x:v>
      </x:c>
      <x:c r="G97" s="36" t="n">
        <x:v>75.4</x:v>
      </x:c>
      <x:c r="H97" s="15" t="str">
        <x:v>Published rank retained</x:v>
      </x:c>
      <x:c r="I97" s="15" t="str">
        <x:v>University of Bristol</x:v>
      </x:c>
      <x:c r="J97" s="31" t="str">
        <x:v>https://www.topuniversities.com/universities/university-bristol</x:v>
      </x:c>
      <x:c r="K97" s="31" t="str">
        <x:v>https://www.topuniversities.com/world-university-rankings/2025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2026</x:v>
      </x:c>
      <x:c r="F98" s="32" t="str">
        <x:v>51</x:v>
      </x:c>
      <x:c r="G98" s="36" t="n">
        <x:v>82.5</x:v>
      </x:c>
      <x:c r="H98" s="15" t="str">
        <x:v>Published rank retained</x:v>
      </x:c>
      <x:c r="I98" s="15" t="str">
        <x:v>University of Bristol</x:v>
      </x:c>
      <x:c r="J98" s="31" t="str">
        <x:v>https://www.topuniversities.com/universities/university-bristol</x:v>
      </x:c>
      <x:c r="K98" s="31" t="str">
        <x:v>https://www.topuniversities.com/world-university-rankings/2026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2027</x:v>
      </x:c>
      <x:c r="F99" s="32" t="str">
        <x:v>57</x:v>
      </x:c>
      <x:c r="G99" s="36" t="n">
        <x:v>80.9</x:v>
      </x:c>
      <x:c r="H99" s="15" t="str">
        <x:v>Published rank retained</x:v>
      </x:c>
      <x:c r="I99" s="15" t="str">
        <x:v>University of Bristol</x:v>
      </x:c>
      <x:c r="J99" s="31" t="str">
        <x:v>https://www.topuniversities.com/universities/university-bristol</x:v>
      </x:c>
      <x:c r="K99" s="31" t="str">
        <x:v>https://www.topuniversities.com/world-university-rankings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2023</x:v>
      </x:c>
      <x:c r="F100" s="32" t="str">
        <x:v>39</x:v>
      </x:c>
      <x:c r="G100" s="36" t="n">
        <x:v>80.3</x:v>
      </x:c>
      <x:c r="H100" s="15" t="str">
        <x:v>Published rank retained</x:v>
      </x:c>
      <x:c r="I100" s="15" t="str">
        <x:v>New York University (NYU)</x:v>
      </x:c>
      <x:c r="J100" s="31" t="str">
        <x:v>https://www.topuniversities.com/universities/new-york-university-nyu</x:v>
      </x:c>
      <x:c r="K100" s="31" t="str">
        <x:v>https://www.topuniversities.com/world-university-rankings/2023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2024</x:v>
      </x:c>
      <x:c r="F101" s="32" t="n">
        <x:f>38</x:f>
        <x:v>38</x:v>
      </x:c>
      <x:c r="G101" s="36" t="n">
        <x:v>79.5</x:v>
      </x:c>
      <x:c r="H101" s="15" t="str">
        <x:v>Published rank retained</x:v>
      </x:c>
      <x:c r="I101" s="15" t="str">
        <x:v>New York University (NYU)</x:v>
      </x:c>
      <x:c r="J101" s="31" t="str">
        <x:v>https://www.topuniversities.com/universities/new-york-university-nyu</x:v>
      </x:c>
      <x:c r="K101" s="31" t="str">
        <x:v>https://www.topuniversities.com/world-university-rankings/2024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2025</x:v>
      </x:c>
      <x:c r="F102" s="32" t="str">
        <x:v>43</x:v>
      </x:c>
      <x:c r="G102" s="36" t="n">
        <x:v>79.6</x:v>
      </x:c>
      <x:c r="H102" s="15" t="str">
        <x:v>Published rank retained</x:v>
      </x:c>
      <x:c r="I102" s="15" t="str">
        <x:v>New York University (NYU)</x:v>
      </x:c>
      <x:c r="J102" s="31" t="str">
        <x:v>https://www.topuniversities.com/universities/new-york-university-nyu</x:v>
      </x:c>
      <x:c r="K102" s="31" t="str">
        <x:v>https://www.topuniversities.com/world-university-rankings/2025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2026</x:v>
      </x:c>
      <x:c r="F103" s="32" t="str">
        <x:v>55</x:v>
      </x:c>
      <x:c r="G103" s="36" t="n">
        <x:v>81.1</x:v>
      </x:c>
      <x:c r="H103" s="15" t="str">
        <x:v>Published rank retained</x:v>
      </x:c>
      <x:c r="I103" s="15" t="str">
        <x:v>New York University (NYU)</x:v>
      </x:c>
      <x:c r="J103" s="31" t="str">
        <x:v>https://www.topuniversities.com/universities/new-york-university-nyu</x:v>
      </x:c>
      <x:c r="K103" s="31" t="str">
        <x:v>https://www.topuniversities.com/world-university-rankings/2026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2027</x:v>
      </x:c>
      <x:c r="F104" s="32" t="str">
        <x:v>58</x:v>
      </x:c>
      <x:c r="G104" s="36" t="n">
        <x:v>80.8</x:v>
      </x:c>
      <x:c r="H104" s="15" t="str">
        <x:v>Published rank retained</x:v>
      </x:c>
      <x:c r="I104" s="15" t="str">
        <x:v>New York University (NYU)</x:v>
      </x:c>
      <x:c r="J104" s="31" t="str">
        <x:v>https://www.topuniversities.com/universities/new-york-university-nyu</x:v>
      </x:c>
      <x:c r="K104" s="31" t="str">
        <x:v>https://www.topuniversities.com/world-university-rankings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2023</x:v>
      </x:c>
      <x:c r="F105" s="32" t="str">
        <x:v>93</x:v>
      </x:c>
      <x:c r="G105" s="36" t="n">
        <x:v>60.8</x:v>
      </x:c>
      <x:c r="H105" s="15" t="str">
        <x:v>Published rank retained</x:v>
      </x:c>
      <x:c r="I105" s="15" t="str">
        <x:v>Pennsylvania State University</x:v>
      </x:c>
      <x:c r="J105" s="31" t="str">
        <x:v>https://www.topuniversities.com/universities/pennsylvania-state-university</x:v>
      </x:c>
      <x:c r="K105" s="31" t="str">
        <x:v>https://www.topuniversities.com/world-university-rankings/2023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2024</x:v>
      </x:c>
      <x:c r="F106" s="32" t="str">
        <x:v>83</x:v>
      </x:c>
      <x:c r="G106" s="36" t="n">
        <x:v>63.1</x:v>
      </x:c>
      <x:c r="H106" s="15" t="str">
        <x:v>Published rank retained</x:v>
      </x:c>
      <x:c r="I106" s="15" t="str">
        <x:v>Pennsylvania State University</x:v>
      </x:c>
      <x:c r="J106" s="31" t="str">
        <x:v>https://www.topuniversities.com/universities/pennsylvania-state-university</x:v>
      </x:c>
      <x:c r="K106" s="31" t="str">
        <x:v>https://www.topuniversities.com/world-university-rankings/2024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2025</x:v>
      </x:c>
      <x:c r="F107" s="32" t="n">
        <x:f>89</x:f>
        <x:v>89</x:v>
      </x:c>
      <x:c r="G107" s="36" t="n">
        <x:v>61.7</x:v>
      </x:c>
      <x:c r="H107" s="15" t="str">
        <x:v>Published rank retained</x:v>
      </x:c>
      <x:c r="I107" s="15" t="str">
        <x:v>Pennsylvania State University</x:v>
      </x:c>
      <x:c r="J107" s="31" t="str">
        <x:v>https://www.topuniversities.com/universities/pennsylvania-state-university</x:v>
      </x:c>
      <x:c r="K107" s="31" t="str">
        <x:v>https://www.topuniversities.com/world-university-rankings/2025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2026</x:v>
      </x:c>
      <x:c r="F108" s="32" t="n">
        <x:f>82</x:f>
        <x:v>82</x:v>
      </x:c>
      <x:c r="G108" s="36" t="n">
        <x:v>72.6</x:v>
      </x:c>
      <x:c r="H108" s="15" t="str">
        <x:v>Published rank retained</x:v>
      </x:c>
      <x:c r="I108" s="15" t="str">
        <x:v>Pennsylvania State University</x:v>
      </x:c>
      <x:c r="J108" s="31" t="str">
        <x:v>https://www.topuniversities.com/universities/pennsylvania-state-university</x:v>
      </x:c>
      <x:c r="K108" s="31" t="str">
        <x:v>https://www.topuniversities.com/world-university-rankings/2026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2027</x:v>
      </x:c>
      <x:c r="F109" s="32" t="n">
        <x:f>92</x:f>
        <x:v>92</x:v>
      </x:c>
      <x:c r="G109" s="36" t="n">
        <x:v>70.2</x:v>
      </x:c>
      <x:c r="H109" s="15" t="str">
        <x:v>Published rank retained</x:v>
      </x:c>
      <x:c r="I109" s="15" t="str">
        <x:v>Pennsylvania State University</x:v>
      </x:c>
      <x:c r="J109" s="31" t="str">
        <x:v>https://www.topuniversities.com/universities/pennsylvania-state-university</x:v>
      </x:c>
      <x:c r="K109" s="31" t="str">
        <x:v>https://www.topuniversities.com/world-university-rankings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2023</x:v>
      </x:c>
      <x:c r="F110" s="32" t="str">
        <x:v>76</x:v>
      </x:c>
      <x:c r="G110" s="36" t="n">
        <x:v>66</x:v>
      </x:c>
      <x:c r="H110" s="15" t="str">
        <x:v>Published rank retained</x:v>
      </x:c>
      <x:c r="I110" s="15" t="str">
        <x:v>KU Leuven</x:v>
      </x:c>
      <x:c r="J110" s="31" t="str">
        <x:v>https://www.topuniversities.com/universities/ku-leuven</x:v>
      </x:c>
      <x:c r="K110" s="31" t="str">
        <x:v>https://www.topuniversities.com/world-university-rankings/2023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2024</x:v>
      </x:c>
      <x:c r="F111" s="32" t="str">
        <x:v>61</x:v>
      </x:c>
      <x:c r="G111" s="36" t="n">
        <x:v>70.1</x:v>
      </x:c>
      <x:c r="H111" s="15" t="str">
        <x:v>Published rank retained</x:v>
      </x:c>
      <x:c r="I111" s="15" t="str">
        <x:v>KU Leuven</x:v>
      </x:c>
      <x:c r="J111" s="31" t="str">
        <x:v>https://www.topuniversities.com/universities/ku-leuven</x:v>
      </x:c>
      <x:c r="K111" s="31" t="str">
        <x:v>https://www.topuniversities.com/world-university-rankings/2024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2025</x:v>
      </x:c>
      <x:c r="F112" s="32" t="n">
        <x:f>63</x:f>
        <x:v>63</x:v>
      </x:c>
      <x:c r="G112" s="36" t="n">
        <x:v>70.3</x:v>
      </x:c>
      <x:c r="H112" s="15" t="str">
        <x:v>Published rank retained</x:v>
      </x:c>
      <x:c r="I112" s="15" t="str">
        <x:v>KU Leuven</x:v>
      </x:c>
      <x:c r="J112" s="31" t="str">
        <x:v>https://www.topuniversities.com/universities/ku-leuven</x:v>
      </x:c>
      <x:c r="K112" s="31" t="str">
        <x:v>https://www.topuniversities.com/world-university-rankings/2025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2026</x:v>
      </x:c>
      <x:c r="F113" s="32" t="str">
        <x:v>60</x:v>
      </x:c>
      <x:c r="G113" s="36" t="n">
        <x:v>79.7</x:v>
      </x:c>
      <x:c r="H113" s="15" t="str">
        <x:v>Published rank retained</x:v>
      </x:c>
      <x:c r="I113" s="15" t="str">
        <x:v>KU Leuven</x:v>
      </x:c>
      <x:c r="J113" s="31" t="str">
        <x:v>https://www.topuniversities.com/universities/ku-leuven</x:v>
      </x:c>
      <x:c r="K113" s="31" t="str">
        <x:v>https://www.topuniversities.com/world-university-rankings/2026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2027</x:v>
      </x:c>
      <x:c r="F114" s="32" t="str">
        <x:v>59</x:v>
      </x:c>
      <x:c r="G114" s="36" t="n">
        <x:v>80.5</x:v>
      </x:c>
      <x:c r="H114" s="15" t="str">
        <x:v>Published rank retained</x:v>
      </x:c>
      <x:c r="I114" s="15" t="str">
        <x:v>KU Leuven</x:v>
      </x:c>
      <x:c r="J114" s="31" t="str">
        <x:v>https://www.topuniversities.com/universities/ku-leuven</x:v>
      </x:c>
      <x:c r="K114" s="31" t="str">
        <x:v>https://www.topuniversities.com/world-university-rankings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2023</x:v>
      </x:c>
      <x:c r="F115" s="32" t="n">
        <x:f>106</x:f>
        <x:v>106</x:v>
      </x:c>
      <x:c r="G115" s="36" t="n">
        <x:v>57.8</x:v>
      </x:c>
      <x:c r="H115" s="15" t="str">
        <x:v>Published rank retained</x:v>
      </x:c>
      <x:c r="I115" s="15" t="str">
        <x:v>University of Helsinki</x:v>
      </x:c>
      <x:c r="J115" s="31" t="str">
        <x:v>https://www.topuniversities.com/universities/university-helsinki</x:v>
      </x:c>
      <x:c r="K115" s="31" t="str">
        <x:v>https://www.topuniversities.com/world-university-rankings/2023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2024</x:v>
      </x:c>
      <x:c r="F116" s="32" t="str">
        <x:v>115</x:v>
      </x:c>
      <x:c r="G116" s="36" t="n">
        <x:v>57.2</x:v>
      </x:c>
      <x:c r="H116" s="15" t="str">
        <x:v>Published rank retained</x:v>
      </x:c>
      <x:c r="I116" s="15" t="str">
        <x:v>University of Helsinki</x:v>
      </x:c>
      <x:c r="J116" s="31" t="str">
        <x:v>https://www.topuniversities.com/universities/university-helsinki</x:v>
      </x:c>
      <x:c r="K116" s="31" t="str">
        <x:v>https://www.topuniversities.com/world-university-rankings/2024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2025</x:v>
      </x:c>
      <x:c r="F117" s="32" t="str">
        <x:v>117</x:v>
      </x:c>
      <x:c r="G117" s="36" t="n">
        <x:v>56.8</x:v>
      </x:c>
      <x:c r="H117" s="15" t="str">
        <x:v>Published rank retained</x:v>
      </x:c>
      <x:c r="I117" s="15" t="str">
        <x:v>University of Helsinki</x:v>
      </x:c>
      <x:c r="J117" s="31" t="str">
        <x:v>https://www.topuniversities.com/universities/university-helsinki</x:v>
      </x:c>
      <x:c r="K117" s="31" t="str">
        <x:v>https://www.topuniversities.com/world-university-rankings/2025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2026</x:v>
      </x:c>
      <x:c r="F118" s="32" t="n">
        <x:f>116</x:f>
        <x:v>116</x:v>
      </x:c>
      <x:c r="G118" s="36" t="n">
        <x:v>66.1</x:v>
      </x:c>
      <x:c r="H118" s="15" t="str">
        <x:v>Published rank retained</x:v>
      </x:c>
      <x:c r="I118" s="15" t="str">
        <x:v>University of Helsinki</x:v>
      </x:c>
      <x:c r="J118" s="31" t="str">
        <x:v>https://www.topuniversities.com/universities/university-helsinki</x:v>
      </x:c>
      <x:c r="K118" s="31" t="str">
        <x:v>https://www.topuniversities.com/world-university-rankings/2026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2027</x:v>
      </x:c>
      <x:c r="F119" s="32" t="n">
        <x:f>123</x:f>
        <x:v>123</x:v>
      </x:c>
      <x:c r="G119" s="36" t="n">
        <x:v>65.3</x:v>
      </x:c>
      <x:c r="H119" s="15" t="str">
        <x:v>Published rank retained</x:v>
      </x:c>
      <x:c r="I119" s="15" t="str">
        <x:v>University of Helsinki</x:v>
      </x:c>
      <x:c r="J119" s="31" t="str">
        <x:v>https://www.topuniversities.com/universities/university-helsinki</x:v>
      </x:c>
      <x:c r="K119" s="31" t="str">
        <x:v>https://www.topuniversities.com/world-university-rankings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2023</x:v>
      </x:c>
      <x:c r="F120" s="32" t="str">
        <x:v>92</x:v>
      </x:c>
      <x:c r="G120" s="36" t="n">
        <x:v>60.9</x:v>
      </x:c>
      <x:c r="H120" s="15" t="str">
        <x:v>Published rank retained</x:v>
      </x:c>
      <x:c r="I120" s="15" t="str">
        <x:v>Durham University</x:v>
      </x:c>
      <x:c r="J120" s="31" t="str">
        <x:v>https://www.topuniversities.com/universities/durham-university</x:v>
      </x:c>
      <x:c r="K120" s="31" t="str">
        <x:v>https://www.topuniversities.com/world-university-rankings/2023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2024</x:v>
      </x:c>
      <x:c r="F121" s="32" t="str">
        <x:v>78</x:v>
      </x:c>
      <x:c r="G121" s="36" t="n">
        <x:v>65.1</x:v>
      </x:c>
      <x:c r="H121" s="15" t="str">
        <x:v>Published rank retained</x:v>
      </x:c>
      <x:c r="I121" s="15" t="str">
        <x:v>Durham University</x:v>
      </x:c>
      <x:c r="J121" s="31" t="str">
        <x:v>https://www.topuniversities.com/universities/durham-university</x:v>
      </x:c>
      <x:c r="K121" s="31" t="str">
        <x:v>https://www.topuniversities.com/world-university-rankings/2024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2025</x:v>
      </x:c>
      <x:c r="F122" s="32" t="n">
        <x:f>89</x:f>
        <x:v>89</x:v>
      </x:c>
      <x:c r="G122" s="36" t="n">
        <x:v>61.7</x:v>
      </x:c>
      <x:c r="H122" s="15" t="str">
        <x:v>Published rank retained</x:v>
      </x:c>
      <x:c r="I122" s="15" t="str">
        <x:v>Durham University</x:v>
      </x:c>
      <x:c r="J122" s="31" t="str">
        <x:v>https://www.topuniversities.com/universities/durham-university</x:v>
      </x:c>
      <x:c r="K122" s="31" t="str">
        <x:v>https://www.topuniversities.com/world-university-rankings/2025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2026</x:v>
      </x:c>
      <x:c r="F123" s="32" t="n">
        <x:f>94</x:f>
        <x:v>94</x:v>
      </x:c>
      <x:c r="G123" s="36" t="n">
        <x:v>70.1</x:v>
      </x:c>
      <x:c r="H123" s="15" t="str">
        <x:v>Published rank retained</x:v>
      </x:c>
      <x:c r="I123" s="15" t="str">
        <x:v>Durham University</x:v>
      </x:c>
      <x:c r="J123" s="31" t="str">
        <x:v>https://www.topuniversities.com/universities/durham-university</x:v>
      </x:c>
      <x:c r="K123" s="31" t="str">
        <x:v>https://www.topuniversities.com/world-university-rankings/2026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2027</x:v>
      </x:c>
      <x:c r="F124" s="32" t="str">
        <x:v>85</x:v>
      </x:c>
      <x:c r="G124" s="36" t="n">
        <x:v>71.7</x:v>
      </x:c>
      <x:c r="H124" s="15" t="str">
        <x:v>Published rank retained</x:v>
      </x:c>
      <x:c r="I124" s="15" t="str">
        <x:v>Durham University</x:v>
      </x:c>
      <x:c r="J124" s="31" t="str">
        <x:v>https://www.topuniversities.com/universities/durham-university</x:v>
      </x:c>
      <x:c r="K124" s="31" t="str">
        <x:v>https://www.topuniversities.com/world-university-rankings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2023</x:v>
      </x:c>
      <x:c r="F125" s="32" t="str">
        <x:v>86</x:v>
      </x:c>
      <x:c r="G125" s="36" t="n">
        <x:v>62.8</x:v>
      </x:c>
      <x:c r="H125" s="15" t="str">
        <x:v>Published rank retained</x:v>
      </x:c>
      <x:c r="I125" s="15" t="str">
        <x:v>University of Leeds</x:v>
      </x:c>
      <x:c r="J125" s="31" t="str">
        <x:v>https://www.topuniversities.com/universities/university-leeds</x:v>
      </x:c>
      <x:c r="K125" s="31" t="str">
        <x:v>https://www.topuniversities.com/world-university-rankings/2023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2024</x:v>
      </x:c>
      <x:c r="F126" s="32" t="str">
        <x:v>75</x:v>
      </x:c>
      <x:c r="G126" s="36" t="n">
        <x:v>65.5</x:v>
      </x:c>
      <x:c r="H126" s="15" t="str">
        <x:v>Published rank retained</x:v>
      </x:c>
      <x:c r="I126" s="15" t="str">
        <x:v>University of Leeds</x:v>
      </x:c>
      <x:c r="J126" s="31" t="str">
        <x:v>https://www.topuniversities.com/universities/university-leeds</x:v>
      </x:c>
      <x:c r="K126" s="31" t="str">
        <x:v>https://www.topuniversities.com/world-university-rankings/2024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2025</x:v>
      </x:c>
      <x:c r="F127" s="32" t="n">
        <x:f>82</x:f>
        <x:v>82</x:v>
      </x:c>
      <x:c r="G127" s="36" t="n">
        <x:v>63.8</x:v>
      </x:c>
      <x:c r="H127" s="15" t="str">
        <x:v>Published rank retained</x:v>
      </x:c>
      <x:c r="I127" s="15" t="str">
        <x:v>University of Leeds</x:v>
      </x:c>
      <x:c r="J127" s="31" t="str">
        <x:v>https://www.topuniversities.com/universities/university-leeds</x:v>
      </x:c>
      <x:c r="K127" s="31" t="str">
        <x:v>https://www.topuniversities.com/world-university-rankings/2025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2026</x:v>
      </x:c>
      <x:c r="F128" s="32" t="str">
        <x:v>86</x:v>
      </x:c>
      <x:c r="G128" s="36" t="n">
        <x:v>72</x:v>
      </x:c>
      <x:c r="H128" s="15" t="str">
        <x:v>Published rank retained</x:v>
      </x:c>
      <x:c r="I128" s="15" t="str">
        <x:v>University of Leeds</x:v>
      </x:c>
      <x:c r="J128" s="31" t="str">
        <x:v>https://www.topuniversities.com/universities/university-leeds</x:v>
      </x:c>
      <x:c r="K128" s="31" t="str">
        <x:v>https://www.topuniversities.com/world-university-rankings/2026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2027</x:v>
      </x:c>
      <x:c r="F129" s="32" t="n">
        <x:f>77</x:f>
        <x:v>77</x:v>
      </x:c>
      <x:c r="G129" s="36" t="n">
        <x:v>73.7</x:v>
      </x:c>
      <x:c r="H129" s="15" t="str">
        <x:v>Published rank retained</x:v>
      </x:c>
      <x:c r="I129" s="15" t="str">
        <x:v>University of Leeds</x:v>
      </x:c>
      <x:c r="J129" s="31" t="str">
        <x:v>https://www.topuniversities.com/universities/university-leeds</x:v>
      </x:c>
      <x:c r="K129" s="31" t="str">
        <x:v>https://www.topuniversities.com/world-university-rankings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2023</x:v>
      </x:c>
      <x:c r="F130" s="32" t="n">
        <x:f>172</x:f>
        <x:v>172</x:v>
      </x:c>
      <x:c r="G130" s="36" t="n">
        <x:v>46.7</x:v>
      </x:c>
      <x:c r="H130" s="15" t="str">
        <x:v>Published rank retained</x:v>
      </x:c>
      <x:c r="I130" s="15" t="str">
        <x:v>Western University</x:v>
      </x:c>
      <x:c r="J130" s="31" t="str">
        <x:v>https://www.topuniversities.com/universities/western-university</x:v>
      </x:c>
      <x:c r="K130" s="31" t="str">
        <x:v>https://www.topuniversities.com/world-university-rankings/2023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2024</x:v>
      </x:c>
      <x:c r="F131" s="32" t="str">
        <x:v>114</x:v>
      </x:c>
      <x:c r="G131" s="36" t="n">
        <x:v>57.4</x:v>
      </x:c>
      <x:c r="H131" s="15" t="str">
        <x:v>Published rank retained</x:v>
      </x:c>
      <x:c r="I131" s="15" t="str">
        <x:v>Western University</x:v>
      </x:c>
      <x:c r="J131" s="31" t="str">
        <x:v>https://www.topuniversities.com/universities/western-university</x:v>
      </x:c>
      <x:c r="K131" s="31" t="str">
        <x:v>https://www.topuniversities.com/world-university-rankings/2024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2025</x:v>
      </x:c>
      <x:c r="F132" s="32" t="n">
        <x:f>120</x:f>
        <x:v>120</x:v>
      </x:c>
      <x:c r="G132" s="36" t="n">
        <x:v>55.8</x:v>
      </x:c>
      <x:c r="H132" s="15" t="str">
        <x:v>Published rank retained</x:v>
      </x:c>
      <x:c r="I132" s="15" t="str">
        <x:v>Western University</x:v>
      </x:c>
      <x:c r="J132" s="31" t="str">
        <x:v>https://www.topuniversities.com/universities/western-university</x:v>
      </x:c>
      <x:c r="K132" s="31" t="str">
        <x:v>https://www.topuniversities.com/world-university-rankings/2025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2026</x:v>
      </x:c>
      <x:c r="F133" s="32" t="str">
        <x:v>151</x:v>
      </x:c>
      <x:c r="G133" s="36" t="n">
        <x:v>62</x:v>
      </x:c>
      <x:c r="H133" s="15" t="str">
        <x:v>Published rank retained</x:v>
      </x:c>
      <x:c r="I133" s="15" t="str">
        <x:v>Western University</x:v>
      </x:c>
      <x:c r="J133" s="31" t="str">
        <x:v>https://www.topuniversities.com/universities/western-university</x:v>
      </x:c>
      <x:c r="K133" s="31" t="str">
        <x:v>https://www.topuniversities.com/world-university-rankings/2026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2027</x:v>
      </x:c>
      <x:c r="F134" s="32" t="n">
        <x:f>142</x:f>
        <x:v>142</x:v>
      </x:c>
      <x:c r="G134" s="36" t="n">
        <x:v>62.5</x:v>
      </x:c>
      <x:c r="H134" s="15" t="str">
        <x:v>Published rank retained</x:v>
      </x:c>
      <x:c r="I134" s="15" t="str">
        <x:v>Western University</x:v>
      </x:c>
      <x:c r="J134" s="31" t="str">
        <x:v>https://www.topuniversities.com/universities/western-university</x:v>
      </x:c>
      <x:c r="K134" s="31" t="str">
        <x:v>https://www.topuniversities.com/world-university-rankings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2023</x:v>
      </x:c>
      <x:c r="F135" s="32" t="str">
        <x:v>81</x:v>
      </x:c>
      <x:c r="G135" s="36" t="n">
        <x:v>64.6</x:v>
      </x:c>
      <x:c r="H135" s="15" t="str">
        <x:v>Published rank retained</x:v>
      </x:c>
      <x:c r="I135" s="15" t="str">
        <x:v>University of Glasgow</x:v>
      </x:c>
      <x:c r="J135" s="31" t="str">
        <x:v>https://www.topuniversities.com/universities/university-glasgow</x:v>
      </x:c>
      <x:c r="K135" s="31" t="str">
        <x:v>https://www.topuniversities.com/world-university-rankings/2023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2024</x:v>
      </x:c>
      <x:c r="F136" s="32" t="n">
        <x:f>76</x:f>
        <x:v>76</x:v>
      </x:c>
      <x:c r="G136" s="36" t="n">
        <x:v>65.2</x:v>
      </x:c>
      <x:c r="H136" s="15" t="str">
        <x:v>Published rank retained</x:v>
      </x:c>
      <x:c r="I136" s="15" t="str">
        <x:v>University of Glasgow</x:v>
      </x:c>
      <x:c r="J136" s="31" t="str">
        <x:v>https://www.topuniversities.com/universities/university-glasgow</x:v>
      </x:c>
      <x:c r="K136" s="31" t="str">
        <x:v>https://www.topuniversities.com/world-university-rankings/2024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2025</x:v>
      </x:c>
      <x:c r="F137" s="32" t="str">
        <x:v>78</x:v>
      </x:c>
      <x:c r="G137" s="36" t="n">
        <x:v>65</x:v>
      </x:c>
      <x:c r="H137" s="15" t="str">
        <x:v>Published rank retained</x:v>
      </x:c>
      <x:c r="I137" s="15" t="str">
        <x:v>University of Glasgow</x:v>
      </x:c>
      <x:c r="J137" s="31" t="str">
        <x:v>https://www.topuniversities.com/universities/university-glasgow</x:v>
      </x:c>
      <x:c r="K137" s="31" t="str">
        <x:v>https://www.topuniversities.com/world-university-rankings/2025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2026</x:v>
      </x:c>
      <x:c r="F138" s="32" t="str">
        <x:v>79</x:v>
      </x:c>
      <x:c r="G138" s="36" t="n">
        <x:v>73.4</x:v>
      </x:c>
      <x:c r="H138" s="15" t="str">
        <x:v>Published rank retained</x:v>
      </x:c>
      <x:c r="I138" s="15" t="str">
        <x:v>University of Glasgow</x:v>
      </x:c>
      <x:c r="J138" s="31" t="str">
        <x:v>https://www.topuniversities.com/universities/university-glasgow</x:v>
      </x:c>
      <x:c r="K138" s="31" t="str">
        <x:v>https://www.topuniversities.com/world-university-rankings/2026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2027</x:v>
      </x:c>
      <x:c r="F139" s="32" t="str">
        <x:v>80</x:v>
      </x:c>
      <x:c r="G139" s="36" t="n">
        <x:v>73.4</x:v>
      </x:c>
      <x:c r="H139" s="15" t="str">
        <x:v>Published rank retained</x:v>
      </x:c>
      <x:c r="I139" s="15" t="str">
        <x:v>University of Glasgow</x:v>
      </x:c>
      <x:c r="J139" s="31" t="str">
        <x:v>https://www.topuniversities.com/universities/university-glasgow</x:v>
      </x:c>
      <x:c r="K139" s="31" t="str">
        <x:v>https://www.topuniversities.com/world-university-rankings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2023</x:v>
      </x:c>
      <x:c r="F140" s="32" t="str">
        <x:v>87</x:v>
      </x:c>
      <x:c r="G140" s="36" t="n">
        <x:v>62.7</x:v>
      </x:c>
      <x:c r="H140" s="15" t="str">
        <x:v>Published rank retained</x:v>
      </x:c>
      <x:c r="I140" s="15" t="str">
        <x:v>The University of Auckland</x:v>
      </x:c>
      <x:c r="J140" s="31" t="str">
        <x:v>https://www.topuniversities.com/universities/university-auckland</x:v>
      </x:c>
      <x:c r="K140" s="31" t="str">
        <x:v>https://www.topuniversities.com/world-university-rankings/2023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2024</x:v>
      </x:c>
      <x:c r="F141" s="32" t="str">
        <x:v>68</x:v>
      </x:c>
      <x:c r="G141" s="36" t="n">
        <x:v>68</x:v>
      </x:c>
      <x:c r="H141" s="15" t="str">
        <x:v>Published rank retained</x:v>
      </x:c>
      <x:c r="I141" s="15" t="str">
        <x:v>The University of Auckland</x:v>
      </x:c>
      <x:c r="J141" s="31" t="str">
        <x:v>https://www.topuniversities.com/universities/university-auckland</x:v>
      </x:c>
      <x:c r="K141" s="31" t="str">
        <x:v>https://www.topuniversities.com/world-university-rankings/2024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2025</x:v>
      </x:c>
      <x:c r="F142" s="32" t="str">
        <x:v>65</x:v>
      </x:c>
      <x:c r="G142" s="36" t="n">
        <x:v>69.7</x:v>
      </x:c>
      <x:c r="H142" s="15" t="str">
        <x:v>Published rank retained</x:v>
      </x:c>
      <x:c r="I142" s="15" t="str">
        <x:v>The University of Auckland</x:v>
      </x:c>
      <x:c r="J142" s="31" t="str">
        <x:v>https://www.topuniversities.com/universities/university-auckland</x:v>
      </x:c>
      <x:c r="K142" s="31" t="str">
        <x:v>https://www.topuniversities.com/world-university-rankings/2025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2026</x:v>
      </x:c>
      <x:c r="F143" s="32" t="str">
        <x:v>65</x:v>
      </x:c>
      <x:c r="G143" s="36" t="n">
        <x:v>77.5</x:v>
      </x:c>
      <x:c r="H143" s="15" t="str">
        <x:v>Published rank retained</x:v>
      </x:c>
      <x:c r="I143" s="15" t="str">
        <x:v>The University of Auckland</x:v>
      </x:c>
      <x:c r="J143" s="31" t="str">
        <x:v>https://www.topuniversities.com/universities/university-auckland</x:v>
      </x:c>
      <x:c r="K143" s="31" t="str">
        <x:v>https://www.topuniversities.com/world-university-rankings/2026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2027</x:v>
      </x:c>
      <x:c r="F144" s="32" t="str">
        <x:v>67</x:v>
      </x:c>
      <x:c r="G144" s="36" t="n">
        <x:v>77</x:v>
      </x:c>
      <x:c r="H144" s="15" t="str">
        <x:v>Published rank retained</x:v>
      </x:c>
      <x:c r="I144" s="15" t="str">
        <x:v>The University of Auckland</x:v>
      </x:c>
      <x:c r="J144" s="31" t="str">
        <x:v>https://www.topuniversities.com/universities/university-auckland</x:v>
      </x:c>
      <x:c r="K144" s="31" t="str">
        <x:v>https://www.topuniversities.com/world-university-rankings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2023</x:v>
      </x:c>
      <x:c r="F145" s="32" t="str">
        <x:v>98</x:v>
      </x:c>
      <x:c r="G145" s="36" t="n">
        <x:v>59.1</x:v>
      </x:c>
      <x:c r="H145" s="15" t="str">
        <x:v>Published rank retained</x:v>
      </x:c>
      <x:c r="I145" s="15" t="str">
        <x:v>Trinity College Dublin, The University of Dublin</x:v>
      </x:c>
      <x:c r="J145" s="31" t="str">
        <x:v>https://www.topuniversities.com/universities/trinity-college-dublin-university-dublin</x:v>
      </x:c>
      <x:c r="K145" s="31" t="str">
        <x:v>https://www.topuniversities.com/world-university-rankings/2023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2024</x:v>
      </x:c>
      <x:c r="F146" s="32" t="n">
        <x:f>81</x:f>
        <x:v>81</x:v>
      </x:c>
      <x:c r="G146" s="36" t="n">
        <x:v>63.5</x:v>
      </x:c>
      <x:c r="H146" s="15" t="str">
        <x:v>Published rank retained</x:v>
      </x:c>
      <x:c r="I146" s="15" t="str">
        <x:v>Trinity College Dublin, The University of Dublin</x:v>
      </x:c>
      <x:c r="J146" s="31" t="str">
        <x:v>https://www.topuniversities.com/universities/trinity-college-dublin-university-dublin</x:v>
      </x:c>
      <x:c r="K146" s="31" t="str">
        <x:v>https://www.topuniversities.com/world-university-rankings/2024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2025</x:v>
      </x:c>
      <x:c r="F147" s="32" t="str">
        <x:v>87</x:v>
      </x:c>
      <x:c r="G147" s="36" t="n">
        <x:v>62.9</x:v>
      </x:c>
      <x:c r="H147" s="15" t="str">
        <x:v>Published rank retained</x:v>
      </x:c>
      <x:c r="I147" s="15" t="str">
        <x:v>Trinity College Dublin, The University of Dublin</x:v>
      </x:c>
      <x:c r="J147" s="31" t="str">
        <x:v>https://www.topuniversities.com/universities/trinity-college-dublin-university-dublin</x:v>
      </x:c>
      <x:c r="K147" s="31" t="str">
        <x:v>https://www.topuniversities.com/world-university-rankings/2025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2026</x:v>
      </x:c>
      <x:c r="F148" s="32" t="str">
        <x:v>75</x:v>
      </x:c>
      <x:c r="G148" s="36" t="n">
        <x:v>73.9</x:v>
      </x:c>
      <x:c r="H148" s="15" t="str">
        <x:v>Published rank retained</x:v>
      </x:c>
      <x:c r="I148" s="15" t="str">
        <x:v>Trinity College Dublin, The University of Dublin</x:v>
      </x:c>
      <x:c r="J148" s="31" t="str">
        <x:v>https://www.topuniversities.com/universities/trinity-college-dublin-university-dublin</x:v>
      </x:c>
      <x:c r="K148" s="31" t="str">
        <x:v>https://www.topuniversities.com/world-university-rankings/2026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2027</x:v>
      </x:c>
      <x:c r="F149" s="32" t="str">
        <x:v>75</x:v>
      </x:c>
      <x:c r="G149" s="36" t="n">
        <x:v>74.4</x:v>
      </x:c>
      <x:c r="H149" s="15" t="str">
        <x:v>Published rank retained</x:v>
      </x:c>
      <x:c r="I149" s="15" t="str">
        <x:v>Trinity College Dublin, The University of Dublin</x:v>
      </x:c>
      <x:c r="J149" s="31" t="str">
        <x:v>https://www.topuniversities.com/universities/trinity-college-dublin-university-dublin</x:v>
      </x:c>
      <x:c r="K149" s="31" t="str">
        <x:v>https://www.topuniversities.com/world-university-rankings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2023</x:v>
      </x:c>
      <x:c r="F150" s="32" t="str">
        <x:v>13</x:v>
      </x:c>
      <x:c r="G150" s="36" t="n">
        <x:v>90.6</x:v>
      </x:c>
      <x:c r="H150" s="15" t="str">
        <x:v>Published rank retained</x:v>
      </x:c>
      <x:c r="I150" s="15" t="str">
        <x:v>University of Pennsylvania</x:v>
      </x:c>
      <x:c r="J150" s="31" t="str">
        <x:v>https://www.topuniversities.com/universities/university-pennsylvania</x:v>
      </x:c>
      <x:c r="K150" s="31" t="str">
        <x:v>https://www.topuniversities.com/world-university-rankings/2023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2024</x:v>
      </x:c>
      <x:c r="F151" s="32" t="str">
        <x:v>12</x:v>
      </x:c>
      <x:c r="G151" s="36" t="n">
        <x:v>89.4</x:v>
      </x:c>
      <x:c r="H151" s="15" t="str">
        <x:v>Published rank retained</x:v>
      </x:c>
      <x:c r="I151" s="15" t="str">
        <x:v>University of Pennsylvania</x:v>
      </x:c>
      <x:c r="J151" s="31" t="str">
        <x:v>https://www.topuniversities.com/universities/university-pennsylvania</x:v>
      </x:c>
      <x:c r="K151" s="31" t="str">
        <x:v>https://www.topuniversities.com/world-university-rankings/2024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2025</x:v>
      </x:c>
      <x:c r="F152" s="32" t="str">
        <x:v>11</x:v>
      </x:c>
      <x:c r="G152" s="36" t="n">
        <x:v>90.3</x:v>
      </x:c>
      <x:c r="H152" s="15" t="str">
        <x:v>Published rank retained</x:v>
      </x:c>
      <x:c r="I152" s="15" t="str">
        <x:v>University of Pennsylvania</x:v>
      </x:c>
      <x:c r="J152" s="31" t="str">
        <x:v>https://www.topuniversities.com/universities/university-pennsylvania</x:v>
      </x:c>
      <x:c r="K152" s="31" t="str">
        <x:v>https://www.topuniversities.com/world-university-rankings/2025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2026</x:v>
      </x:c>
      <x:c r="F153" s="32" t="str">
        <x:v>15</x:v>
      </x:c>
      <x:c r="G153" s="36" t="n">
        <x:v>92.5</x:v>
      </x:c>
      <x:c r="H153" s="15" t="str">
        <x:v>Published rank retained</x:v>
      </x:c>
      <x:c r="I153" s="15" t="str">
        <x:v>University of Pennsylvania</x:v>
      </x:c>
      <x:c r="J153" s="31" t="str">
        <x:v>https://www.topuniversities.com/universities/university-pennsylvania</x:v>
      </x:c>
      <x:c r="K153" s="31" t="str">
        <x:v>https://www.topuniversities.com/world-university-rankings/2026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2027</x:v>
      </x:c>
      <x:c r="F154" s="32" t="str">
        <x:v>15</x:v>
      </x:c>
      <x:c r="G154" s="36" t="n">
        <x:v>91.7</x:v>
      </x:c>
      <x:c r="H154" s="15" t="str">
        <x:v>Published rank retained</x:v>
      </x:c>
      <x:c r="I154" s="15" t="str">
        <x:v>University of Pennsylvania</x:v>
      </x:c>
      <x:c r="J154" s="31" t="str">
        <x:v>https://www.topuniversities.com/universities/university-pennsylvania</x:v>
      </x:c>
      <x:c r="K154" s="31" t="str">
        <x:v>https://www.topuniversities.com/world-university-rankings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2023</x:v>
      </x:c>
      <x:c r="F155" s="32" t="str">
        <x:v>200+</x:v>
      </x:c>
      <x:c r="G155" s="36"/>
      <x:c r="H155" s="15" t="str">
        <x:v>Published beyond rank 200; exact value intentionally suppressed</x:v>
      </x:c>
      <x:c r="I155" s="15" t="str">
        <x:v>University of Reading</x:v>
      </x:c>
      <x:c r="J155" s="31" t="str">
        <x:v>https://www.topuniversities.com/universities/university-reading</x:v>
      </x:c>
      <x:c r="K155" s="31" t="str">
        <x:v>https://www.topuniversities.com/world-university-rankings/2023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2024</x:v>
      </x:c>
      <x:c r="F156" s="32" t="n">
        <x:f>169</x:f>
        <x:v>169</x:v>
      </x:c>
      <x:c r="G156" s="36" t="n">
        <x:v>48.9</x:v>
      </x:c>
      <x:c r="H156" s="15" t="str">
        <x:v>Published rank retained</x:v>
      </x:c>
      <x:c r="I156" s="15" t="str">
        <x:v>University of Reading</x:v>
      </x:c>
      <x:c r="J156" s="31" t="str">
        <x:v>https://www.topuniversities.com/universities/university-reading</x:v>
      </x:c>
      <x:c r="K156" s="31" t="str">
        <x:v>https://www.topuniversities.com/world-university-rankings/2024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2025</x:v>
      </x:c>
      <x:c r="F157" s="32" t="str">
        <x:v>172</x:v>
      </x:c>
      <x:c r="G157" s="36" t="n">
        <x:v>49.9</x:v>
      </x:c>
      <x:c r="H157" s="15" t="str">
        <x:v>Published rank retained</x:v>
      </x:c>
      <x:c r="I157" s="15" t="str">
        <x:v>University of Reading</x:v>
      </x:c>
      <x:c r="J157" s="31" t="str">
        <x:v>https://www.topuniversities.com/universities/university-reading</x:v>
      </x:c>
      <x:c r="K157" s="31" t="str">
        <x:v>https://www.topuniversities.com/world-university-rankings/2025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2026</x:v>
      </x:c>
      <x:c r="F158" s="32" t="n">
        <x:f>194</x:f>
        <x:v>194</x:v>
      </x:c>
      <x:c r="G158" s="36" t="n">
        <x:v>56.2</x:v>
      </x:c>
      <x:c r="H158" s="15" t="str">
        <x:v>Published rank retained</x:v>
      </x:c>
      <x:c r="I158" s="15" t="str">
        <x:v>University of Reading</x:v>
      </x:c>
      <x:c r="J158" s="31" t="str">
        <x:v>https://www.topuniversities.com/universities/university-reading</x:v>
      </x:c>
      <x:c r="K158" s="31" t="str">
        <x:v>https://www.topuniversities.com/world-university-rankings/2026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2027</x:v>
      </x:c>
      <x:c r="F159" s="32" t="n">
        <x:f>196</x:f>
        <x:v>196</x:v>
      </x:c>
      <x:c r="G159" s="36" t="n">
        <x:v>56.5</x:v>
      </x:c>
      <x:c r="H159" s="15" t="str">
        <x:v>Published rank retained</x:v>
      </x:c>
      <x:c r="I159" s="15" t="str">
        <x:v>University of Reading</x:v>
      </x:c>
      <x:c r="J159" s="31" t="str">
        <x:v>https://www.topuniversities.com/universities/university-reading</x:v>
      </x:c>
      <x:c r="K159" s="31" t="str">
        <x:v>https://www.topuniversities.com/world-university-rankings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2023</x:v>
      </x:c>
      <x:c r="F160" s="32" t="str">
        <x:v>128</x:v>
      </x:c>
      <x:c r="G160" s="36" t="n">
        <x:v>54.3</x:v>
      </x:c>
      <x:c r="H160" s="15" t="str">
        <x:v>Published rank retained</x:v>
      </x:c>
      <x:c r="I160" s="15" t="str">
        <x:v>Uppsala University</x:v>
      </x:c>
      <x:c r="J160" s="31" t="str">
        <x:v>https://www.topuniversities.com/universities/uppsala-university</x:v>
      </x:c>
      <x:c r="K160" s="31" t="str">
        <x:v>https://www.topuniversities.com/world-university-rankings/2023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2024</x:v>
      </x:c>
      <x:c r="F161" s="32" t="str">
        <x:v>105</x:v>
      </x:c>
      <x:c r="G161" s="36" t="n">
        <x:v>59.4</x:v>
      </x:c>
      <x:c r="H161" s="15" t="str">
        <x:v>Published rank retained</x:v>
      </x:c>
      <x:c r="I161" s="15" t="str">
        <x:v>Uppsala University</x:v>
      </x:c>
      <x:c r="J161" s="31" t="str">
        <x:v>https://www.topuniversities.com/universities/uppsala-university</x:v>
      </x:c>
      <x:c r="K161" s="31" t="str">
        <x:v>https://www.topuniversities.com/world-university-rankings/2024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2025</x:v>
      </x:c>
      <x:c r="F162" s="32" t="str">
        <x:v>103</x:v>
      </x:c>
      <x:c r="G162" s="36" t="n">
        <x:v>59.3</x:v>
      </x:c>
      <x:c r="H162" s="15" t="str">
        <x:v>Published rank retained</x:v>
      </x:c>
      <x:c r="I162" s="15" t="str">
        <x:v>Uppsala University</x:v>
      </x:c>
      <x:c r="J162" s="31" t="str">
        <x:v>https://www.topuniversities.com/universities/uppsala-university</x:v>
      </x:c>
      <x:c r="K162" s="31" t="str">
        <x:v>https://www.topuniversities.com/world-university-rankings/2025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2026</x:v>
      </x:c>
      <x:c r="F163" s="32" t="str">
        <x:v>93</x:v>
      </x:c>
      <x:c r="G163" s="36" t="n">
        <x:v>70.3</x:v>
      </x:c>
      <x:c r="H163" s="15" t="str">
        <x:v>Published rank retained</x:v>
      </x:c>
      <x:c r="I163" s="15" t="str">
        <x:v>Uppsala University</x:v>
      </x:c>
      <x:c r="J163" s="31" t="str">
        <x:v>https://www.topuniversities.com/universities/uppsala-university</x:v>
      </x:c>
      <x:c r="K163" s="31" t="str">
        <x:v>https://www.topuniversities.com/world-university-rankings/2026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2027</x:v>
      </x:c>
      <x:c r="F164" s="32" t="n">
        <x:f>87</x:f>
        <x:v>87</x:v>
      </x:c>
      <x:c r="G164" s="36" t="n">
        <x:v>70.5</x:v>
      </x:c>
      <x:c r="H164" s="15" t="str">
        <x:v>Published rank retained</x:v>
      </x:c>
      <x:c r="I164" s="15" t="str">
        <x:v>Uppsala University</x:v>
      </x:c>
      <x:c r="J164" s="31" t="str">
        <x:v>https://www.topuniversities.com/universities/uppsala-university</x:v>
      </x:c>
      <x:c r="K164" s="31" t="str">
        <x:v>https://www.topuniversities.com/world-university-rankings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2023</x:v>
      </x:c>
      <x:c r="F165" s="32" t="n">
        <x:f>143</x:f>
        <x:v>143</x:v>
      </x:c>
      <x:c r="G165" s="36" t="n">
        <x:v>51.6</x:v>
      </x:c>
      <x:c r="H165" s="15" t="str">
        <x:v>Published rank retained</x:v>
      </x:c>
      <x:c r="I165" s="15" t="str">
        <x:v>Ghent University</x:v>
      </x:c>
      <x:c r="J165" s="31" t="str">
        <x:v>https://www.topuniversities.com/universities/ghent-university</x:v>
      </x:c>
      <x:c r="K165" s="31" t="str">
        <x:v>https://www.topuniversities.com/world-university-rankings/2023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2024</x:v>
      </x:c>
      <x:c r="F166" s="32" t="n">
        <x:f>159</x:f>
        <x:v>159</x:v>
      </x:c>
      <x:c r="G166" s="36" t="n">
        <x:v>50.2</x:v>
      </x:c>
      <x:c r="H166" s="15" t="str">
        <x:v>Published rank retained</x:v>
      </x:c>
      <x:c r="I166" s="15" t="str">
        <x:v>Ghent University</x:v>
      </x:c>
      <x:c r="J166" s="31" t="str">
        <x:v>https://www.topuniversities.com/universities/ghent-university</x:v>
      </x:c>
      <x:c r="K166" s="31" t="str">
        <x:v>https://www.topuniversities.com/world-university-rankings/2024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2025</x:v>
      </x:c>
      <x:c r="F167" s="32" t="n">
        <x:f>169</x:f>
        <x:v>169</x:v>
      </x:c>
      <x:c r="G167" s="36" t="n">
        <x:v>50.1</x:v>
      </x:c>
      <x:c r="H167" s="15" t="str">
        <x:v>Published rank retained</x:v>
      </x:c>
      <x:c r="I167" s="15" t="str">
        <x:v>Ghent University</x:v>
      </x:c>
      <x:c r="J167" s="31" t="str">
        <x:v>https://www.topuniversities.com/universities/ghent-university</x:v>
      </x:c>
      <x:c r="K167" s="31" t="str">
        <x:v>https://www.topuniversities.com/world-university-rankings/2025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2026</x:v>
      </x:c>
      <x:c r="F168" s="32" t="str">
        <x:v>162</x:v>
      </x:c>
      <x:c r="G168" s="36" t="n">
        <x:v>60.8</x:v>
      </x:c>
      <x:c r="H168" s="15" t="str">
        <x:v>Published rank retained</x:v>
      </x:c>
      <x:c r="I168" s="15" t="str">
        <x:v>Ghent University</x:v>
      </x:c>
      <x:c r="J168" s="31" t="str">
        <x:v>https://www.topuniversities.com/universities/ghent-university</x:v>
      </x:c>
      <x:c r="K168" s="31" t="str">
        <x:v>https://www.topuniversities.com/world-university-rankings/2026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2027</x:v>
      </x:c>
      <x:c r="F169" s="32" t="n">
        <x:f>150</x:f>
        <x:v>150</x:v>
      </x:c>
      <x:c r="G169" s="36" t="n">
        <x:v>61.5</x:v>
      </x:c>
      <x:c r="H169" s="15" t="str">
        <x:v>Published rank retained</x:v>
      </x:c>
      <x:c r="I169" s="15" t="str">
        <x:v>Ghent University</x:v>
      </x:c>
      <x:c r="J169" s="31" t="str">
        <x:v>https://www.topuniversities.com/universities/ghent-university</x:v>
      </x:c>
      <x:c r="K169" s="31" t="str">
        <x:v>https://www.topuniversities.com/world-university-rankings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2023</x:v>
      </x:c>
      <x:c r="F170" s="32" t="n">
        <x:f>96</x:f>
        <x:v>96</x:v>
      </x:c>
      <x:c r="G170" s="36" t="n">
        <x:v>59.5</x:v>
      </x:c>
      <x:c r="H170" s="15" t="str">
        <x:v>Published rank retained</x:v>
      </x:c>
      <x:c r="I170" s="15" t="str">
        <x:v>The University of Sheffield</x:v>
      </x:c>
      <x:c r="J170" s="31" t="str">
        <x:v>https://www.topuniversities.com/universities/university-sheffield</x:v>
      </x:c>
      <x:c r="K170" s="31" t="str">
        <x:v>https://www.topuniversities.com/world-university-rankings/2023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2024</x:v>
      </x:c>
      <x:c r="F171" s="32" t="str">
        <x:v>104</x:v>
      </x:c>
      <x:c r="G171" s="36" t="n">
        <x:v>59.7</x:v>
      </x:c>
      <x:c r="H171" s="15" t="str">
        <x:v>Published rank retained</x:v>
      </x:c>
      <x:c r="I171" s="15" t="str">
        <x:v>The University of Sheffield</x:v>
      </x:c>
      <x:c r="J171" s="31" t="str">
        <x:v>https://www.topuniversities.com/universities/university-sheffield</x:v>
      </x:c>
      <x:c r="K171" s="31" t="str">
        <x:v>https://www.topuniversities.com/world-university-rankings/2024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2025</x:v>
      </x:c>
      <x:c r="F172" s="32" t="n">
        <x:f>105</x:f>
        <x:v>105</x:v>
      </x:c>
      <x:c r="G172" s="36" t="n">
        <x:v>59.1</x:v>
      </x:c>
      <x:c r="H172" s="15" t="str">
        <x:v>Published rank retained</x:v>
      </x:c>
      <x:c r="I172" s="15" t="str">
        <x:v>The University of Sheffield</x:v>
      </x:c>
      <x:c r="J172" s="31" t="str">
        <x:v>https://www.topuniversities.com/universities/university-sheffield</x:v>
      </x:c>
      <x:c r="K172" s="31" t="str">
        <x:v>https://www.topuniversities.com/world-university-rankings/2025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2026</x:v>
      </x:c>
      <x:c r="F173" s="32" t="str">
        <x:v>92</x:v>
      </x:c>
      <x:c r="G173" s="36" t="n">
        <x:v>70.9</x:v>
      </x:c>
      <x:c r="H173" s="15" t="str">
        <x:v>Published rank retained</x:v>
      </x:c>
      <x:c r="I173" s="15" t="str">
        <x:v>The University of Sheffield</x:v>
      </x:c>
      <x:c r="J173" s="31" t="str">
        <x:v>https://www.topuniversities.com/universities/university-sheffield</x:v>
      </x:c>
      <x:c r="K173" s="31" t="str">
        <x:v>https://www.topuniversities.com/world-university-rankings/2026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2027</x:v>
      </x:c>
      <x:c r="F174" s="32" t="n">
        <x:f>82</x:f>
        <x:v>82</x:v>
      </x:c>
      <x:c r="G174" s="36" t="n">
        <x:v>72.7</x:v>
      </x:c>
      <x:c r="H174" s="15" t="str">
        <x:v>Published rank retained</x:v>
      </x:c>
      <x:c r="I174" s="15" t="str">
        <x:v>The University of Sheffield</x:v>
      </x:c>
      <x:c r="J174" s="31" t="str">
        <x:v>https://www.topuniversities.com/universities/university-sheffield</x:v>
      </x:c>
      <x:c r="K174" s="31" t="str">
        <x:v>https://www.topuniversities.com/world-university-rankings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2023</x:v>
      </x:c>
      <x:c r="F175" s="32" t="n">
        <x:f>61</x:f>
        <x:v>61</x:v>
      </x:c>
      <x:c r="G175" s="36" t="n">
        <x:v>70</x:v>
      </x:c>
      <x:c r="H175" s="15" t="str">
        <x:v>Published rank retained</x:v>
      </x:c>
      <x:c r="I175" s="15" t="str">
        <x:v>Delft University of Technology</x:v>
      </x:c>
      <x:c r="J175" s="31" t="str">
        <x:v>https://www.topuniversities.com/universities/delft-university-technology</x:v>
      </x:c>
      <x:c r="K175" s="31" t="str">
        <x:v>https://www.topuniversities.com/world-university-rankings/2023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2024</x:v>
      </x:c>
      <x:c r="F176" s="32" t="n">
        <x:f>47</x:f>
        <x:v>47</x:v>
      </x:c>
      <x:c r="G176" s="36" t="n">
        <x:v>76.2</x:v>
      </x:c>
      <x:c r="H176" s="15" t="str">
        <x:v>Published rank retained</x:v>
      </x:c>
      <x:c r="I176" s="15" t="str">
        <x:v>Delft University of Technology</x:v>
      </x:c>
      <x:c r="J176" s="31" t="str">
        <x:v>https://www.topuniversities.com/universities/delft-university-technology</x:v>
      </x:c>
      <x:c r="K176" s="31" t="str">
        <x:v>https://www.topuniversities.com/world-university-rankings/2024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2025</x:v>
      </x:c>
      <x:c r="F177" s="32" t="str">
        <x:v>49</x:v>
      </x:c>
      <x:c r="G177" s="36" t="n">
        <x:v>77</x:v>
      </x:c>
      <x:c r="H177" s="15" t="str">
        <x:v>Published rank retained</x:v>
      </x:c>
      <x:c r="I177" s="15" t="str">
        <x:v>Delft University of Technology</x:v>
      </x:c>
      <x:c r="J177" s="31" t="str">
        <x:v>https://www.topuniversities.com/universities/delft-university-technology</x:v>
      </x:c>
      <x:c r="K177" s="31" t="str">
        <x:v>https://www.topuniversities.com/world-university-rankings/2025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2026</x:v>
      </x:c>
      <x:c r="F178" s="32" t="n">
        <x:f>47</x:f>
        <x:v>47</x:v>
      </x:c>
      <x:c r="G178" s="36" t="n">
        <x:v>84.3</x:v>
      </x:c>
      <x:c r="H178" s="15" t="str">
        <x:v>Published rank retained</x:v>
      </x:c>
      <x:c r="I178" s="15" t="str">
        <x:v>Delft University of Technology</x:v>
      </x:c>
      <x:c r="J178" s="31" t="str">
        <x:v>https://www.topuniversities.com/universities/delft-university-technology</x:v>
      </x:c>
      <x:c r="K178" s="31" t="str">
        <x:v>https://www.topuniversities.com/world-university-rankings/2026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2027</x:v>
      </x:c>
      <x:c r="F179" s="32" t="str">
        <x:v>48</x:v>
      </x:c>
      <x:c r="G179" s="36" t="n">
        <x:v>83.1</x:v>
      </x:c>
      <x:c r="H179" s="15" t="str">
        <x:v>Published rank retained</x:v>
      </x:c>
      <x:c r="I179" s="15" t="str">
        <x:v>Delft University of Technology</x:v>
      </x:c>
      <x:c r="J179" s="31" t="str">
        <x:v>https://www.topuniversities.com/universities/delft-university-technology</x:v>
      </x:c>
      <x:c r="K179" s="31" t="str">
        <x:v>https://www.topuniversities.com/world-university-rankings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2023</x:v>
      </x:c>
      <x:c r="F180" s="32" t="str">
        <x:v>159</x:v>
      </x:c>
      <x:c r="G180" s="36" t="n">
        <x:v>48.9</x:v>
      </x:c>
      <x:c r="H180" s="15" t="str">
        <x:v>Published rank retained</x:v>
      </x:c>
      <x:c r="I180" s="15" t="str">
        <x:v>Michigan State University</x:v>
      </x:c>
      <x:c r="J180" s="31" t="str">
        <x:v>https://www.topuniversities.com/universities/michigan-state-university</x:v>
      </x:c>
      <x:c r="K180" s="31" t="str">
        <x:v>https://www.topuniversities.com/world-university-rankings/2023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2024</x:v>
      </x:c>
      <x:c r="F181" s="32" t="str">
        <x:v>136</x:v>
      </x:c>
      <x:c r="G181" s="36" t="n">
        <x:v>52.7</x:v>
      </x:c>
      <x:c r="H181" s="15" t="str">
        <x:v>Published rank retained</x:v>
      </x:c>
      <x:c r="I181" s="15" t="str">
        <x:v>Michigan State University</x:v>
      </x:c>
      <x:c r="J181" s="31" t="str">
        <x:v>https://www.topuniversities.com/universities/michigan-state-university</x:v>
      </x:c>
      <x:c r="K181" s="31" t="str">
        <x:v>https://www.topuniversities.com/world-university-rankings/2024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2025</x:v>
      </x:c>
      <x:c r="F182" s="32" t="n">
        <x:f>152</x:f>
        <x:v>152</x:v>
      </x:c>
      <x:c r="G182" s="36" t="n">
        <x:v>51.9</x:v>
      </x:c>
      <x:c r="H182" s="15" t="str">
        <x:v>Published rank retained</x:v>
      </x:c>
      <x:c r="I182" s="15" t="str">
        <x:v>Michigan State University</x:v>
      </x:c>
      <x:c r="J182" s="31" t="str">
        <x:v>https://www.topuniversities.com/universities/michigan-state-university</x:v>
      </x:c>
      <x:c r="K182" s="31" t="str">
        <x:v>https://www.topuniversities.com/world-university-rankings/2025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2026</x:v>
      </x:c>
      <x:c r="F183" s="32" t="str">
        <x:v>161</x:v>
      </x:c>
      <x:c r="G183" s="36" t="n">
        <x:v>60.9</x:v>
      </x:c>
      <x:c r="H183" s="15" t="str">
        <x:v>Published rank retained</x:v>
      </x:c>
      <x:c r="I183" s="15" t="str">
        <x:v>Michigan State University</x:v>
      </x:c>
      <x:c r="J183" s="31" t="str">
        <x:v>https://www.topuniversities.com/universities/michigan-state-university</x:v>
      </x:c>
      <x:c r="K183" s="31" t="str">
        <x:v>https://www.topuniversities.com/world-university-rankings/2026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2027</x:v>
      </x:c>
      <x:c r="F184" s="32" t="str">
        <x:v>182</x:v>
      </x:c>
      <x:c r="G184" s="36" t="n">
        <x:v>57.4</x:v>
      </x:c>
      <x:c r="H184" s="15" t="str">
        <x:v>Published rank retained</x:v>
      </x:c>
      <x:c r="I184" s="15" t="str">
        <x:v>Michigan State University</x:v>
      </x:c>
      <x:c r="J184" s="31" t="str">
        <x:v>https://www.topuniversities.com/universities/michigan-state-university</x:v>
      </x:c>
      <x:c r="K184" s="31" t="str">
        <x:v>https://www.topuniversities.com/world-university-rankings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2023</x:v>
      </x:c>
      <x:c r="F185" s="32" t="str">
        <x:v>57</x:v>
      </x:c>
      <x:c r="G185" s="36" t="n">
        <x:v>71.6</x:v>
      </x:c>
      <x:c r="H185" s="15" t="str">
        <x:v>Published rank retained</x:v>
      </x:c>
      <x:c r="I185" s="15" t="str">
        <x:v>Monash University</x:v>
      </x:c>
      <x:c r="J185" s="31" t="str">
        <x:v>https://www.topuniversities.com/universities/monash-university</x:v>
      </x:c>
      <x:c r="K185" s="31" t="str">
        <x:v>https://www.topuniversities.com/world-university-rankings/2023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2024</x:v>
      </x:c>
      <x:c r="F186" s="32" t="str">
        <x:v>42</x:v>
      </x:c>
      <x:c r="G186" s="36" t="n">
        <x:v>78.2</x:v>
      </x:c>
      <x:c r="H186" s="15" t="str">
        <x:v>Published rank retained</x:v>
      </x:c>
      <x:c r="I186" s="15" t="str">
        <x:v>Monash University</x:v>
      </x:c>
      <x:c r="J186" s="31" t="str">
        <x:v>https://www.topuniversities.com/universities/monash-university</x:v>
      </x:c>
      <x:c r="K186" s="31" t="str">
        <x:v>https://www.topuniversities.com/world-university-rankings/2024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2025</x:v>
      </x:c>
      <x:c r="F187" s="32" t="str">
        <x:v>37</x:v>
      </x:c>
      <x:c r="G187" s="36" t="n">
        <x:v>81.2</x:v>
      </x:c>
      <x:c r="H187" s="15" t="str">
        <x:v>Published rank retained</x:v>
      </x:c>
      <x:c r="I187" s="15" t="str">
        <x:v>Monash University</x:v>
      </x:c>
      <x:c r="J187" s="31" t="str">
        <x:v>https://www.topuniversities.com/universities/monash-university</x:v>
      </x:c>
      <x:c r="K187" s="31" t="str">
        <x:v>https://www.topuniversities.com/world-university-rankings/2025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2026</x:v>
      </x:c>
      <x:c r="F188" s="32" t="n">
        <x:f>36</x:f>
        <x:v>36</x:v>
      </x:c>
      <x:c r="G188" s="36" t="n">
        <x:v>85.8</x:v>
      </x:c>
      <x:c r="H188" s="15" t="str">
        <x:v>Published rank retained</x:v>
      </x:c>
      <x:c r="I188" s="15" t="str">
        <x:v>Monash University</x:v>
      </x:c>
      <x:c r="J188" s="31" t="str">
        <x:v>https://www.topuniversities.com/universities/monash-university</x:v>
      </x:c>
      <x:c r="K188" s="31" t="str">
        <x:v>https://www.topuniversities.com/world-university-rankings/2026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2027</x:v>
      </x:c>
      <x:c r="F189" s="32" t="str">
        <x:v>31</x:v>
      </x:c>
      <x:c r="G189" s="36" t="n">
        <x:v>87</x:v>
      </x:c>
      <x:c r="H189" s="15" t="str">
        <x:v>Published rank retained</x:v>
      </x:c>
      <x:c r="I189" s="15" t="str">
        <x:v>Monash University</x:v>
      </x:c>
      <x:c r="J189" s="31" t="str">
        <x:v>https://www.topuniversities.com/universities/monash-university</x:v>
      </x:c>
      <x:c r="K189" s="31" t="str">
        <x:v>https://www.topuniversities.com/world-university-rankings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2023</x:v>
      </x:c>
      <x:c r="F190" s="32" t="str">
        <x:v>29</x:v>
      </x:c>
      <x:c r="G190" s="36" t="n">
        <x:v>82.2</x:v>
      </x:c>
      <x:c r="H190" s="15" t="str">
        <x:v>Published rank retained</x:v>
      </x:c>
      <x:c r="I190" s="15" t="str">
        <x:v>Seoul National University</x:v>
      </x:c>
      <x:c r="J190" s="31" t="str">
        <x:v>https://www.topuniversities.com/universities/seoul-national-university</x:v>
      </x:c>
      <x:c r="K190" s="31" t="str">
        <x:v>https://www.topuniversities.com/world-university-rankings/2023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2024</x:v>
      </x:c>
      <x:c r="F191" s="32" t="str">
        <x:v>41</x:v>
      </x:c>
      <x:c r="G191" s="36" t="n">
        <x:v>78.5</x:v>
      </x:c>
      <x:c r="H191" s="15" t="str">
        <x:v>Published rank retained</x:v>
      </x:c>
      <x:c r="I191" s="15" t="str">
        <x:v>Seoul National University</x:v>
      </x:c>
      <x:c r="J191" s="31" t="str">
        <x:v>https://www.topuniversities.com/universities/seoul-national-university</x:v>
      </x:c>
      <x:c r="K191" s="31" t="str">
        <x:v>https://www.topuniversities.com/world-university-rankings/2024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2025</x:v>
      </x:c>
      <x:c r="F192" s="32" t="str">
        <x:v>31</x:v>
      </x:c>
      <x:c r="G192" s="36" t="n">
        <x:v>82.3</x:v>
      </x:c>
      <x:c r="H192" s="15" t="str">
        <x:v>Published rank retained</x:v>
      </x:c>
      <x:c r="I192" s="15" t="str">
        <x:v>Seoul National University</x:v>
      </x:c>
      <x:c r="J192" s="31" t="str">
        <x:v>https://www.topuniversities.com/universities/seoul-national-university</x:v>
      </x:c>
      <x:c r="K192" s="31" t="str">
        <x:v>https://www.topuniversities.com/world-university-rankings/2025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2026</x:v>
      </x:c>
      <x:c r="F193" s="32" t="n">
        <x:f>38</x:f>
        <x:v>38</x:v>
      </x:c>
      <x:c r="G193" s="36" t="n">
        <x:v>85.6</x:v>
      </x:c>
      <x:c r="H193" s="15" t="str">
        <x:v>Published rank retained</x:v>
      </x:c>
      <x:c r="I193" s="15" t="str">
        <x:v>Seoul National University</x:v>
      </x:c>
      <x:c r="J193" s="31" t="str">
        <x:v>https://www.topuniversities.com/universities/seoul-national-university</x:v>
      </x:c>
      <x:c r="K193" s="31" t="str">
        <x:v>https://www.topuniversities.com/world-university-rankings/2026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2027</x:v>
      </x:c>
      <x:c r="F194" s="32" t="str">
        <x:v>38</x:v>
      </x:c>
      <x:c r="G194" s="36" t="n">
        <x:v>85.4</x:v>
      </x:c>
      <x:c r="H194" s="15" t="str">
        <x:v>Published rank retained</x:v>
      </x:c>
      <x:c r="I194" s="15" t="str">
        <x:v>Seoul National University</x:v>
      </x:c>
      <x:c r="J194" s="31" t="str">
        <x:v>https://www.topuniversities.com/universities/seoul-national-university</x:v>
      </x:c>
      <x:c r="K194" s="31" t="str">
        <x:v>https://www.topuniversities.com/world-university-rankings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2023</x:v>
      </x:c>
      <x:c r="F195" s="32" t="str">
        <x:v>114</x:v>
      </x:c>
      <x:c r="G195" s="36" t="n">
        <x:v>56.2</x:v>
      </x:c>
      <x:c r="H195" s="15" t="str">
        <x:v>Published rank retained</x:v>
      </x:c>
      <x:c r="I195" s="15" t="str">
        <x:v>University of Nottingham</x:v>
      </x:c>
      <x:c r="J195" s="31" t="str">
        <x:v>https://www.topuniversities.com/universities/university-nottingham</x:v>
      </x:c>
      <x:c r="K195" s="31" t="str">
        <x:v>https://www.topuniversities.com/world-university-rankings/2023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2024</x:v>
      </x:c>
      <x:c r="F196" s="32" t="n">
        <x:f>100</x:f>
        <x:v>100</x:v>
      </x:c>
      <x:c r="G196" s="36" t="n">
        <x:v>60.4</x:v>
      </x:c>
      <x:c r="H196" s="15" t="str">
        <x:v>Published rank retained</x:v>
      </x:c>
      <x:c r="I196" s="15" t="str">
        <x:v>University of Nottingham</x:v>
      </x:c>
      <x:c r="J196" s="31" t="str">
        <x:v>https://www.topuniversities.com/universities/university-nottingham</x:v>
      </x:c>
      <x:c r="K196" s="31" t="str">
        <x:v>https://www.topuniversities.com/world-university-rankings/2024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2025</x:v>
      </x:c>
      <x:c r="F197" s="32" t="str">
        <x:v>108</x:v>
      </x:c>
      <x:c r="G197" s="36" t="n">
        <x:v>58.5</x:v>
      </x:c>
      <x:c r="H197" s="15" t="str">
        <x:v>Published rank retained</x:v>
      </x:c>
      <x:c r="I197" s="15" t="str">
        <x:v>University of Nottingham</x:v>
      </x:c>
      <x:c r="J197" s="31" t="str">
        <x:v>https://www.topuniversities.com/universities/university-nottingham</x:v>
      </x:c>
      <x:c r="K197" s="31" t="str">
        <x:v>https://www.topuniversities.com/world-university-rankings/2025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2026</x:v>
      </x:c>
      <x:c r="F198" s="32" t="str">
        <x:v>97</x:v>
      </x:c>
      <x:c r="G198" s="36" t="n">
        <x:v>69.4</x:v>
      </x:c>
      <x:c r="H198" s="15" t="str">
        <x:v>Published rank retained</x:v>
      </x:c>
      <x:c r="I198" s="15" t="str">
        <x:v>University of Nottingham</x:v>
      </x:c>
      <x:c r="J198" s="31" t="str">
        <x:v>https://www.topuniversities.com/universities/university-nottingham</x:v>
      </x:c>
      <x:c r="K198" s="31" t="str">
        <x:v>https://www.topuniversities.com/world-university-rankings/2026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2027</x:v>
      </x:c>
      <x:c r="F199" s="32" t="n">
        <x:f>97</x:f>
        <x:v>97</x:v>
      </x:c>
      <x:c r="G199" s="36" t="n">
        <x:v>69.2</x:v>
      </x:c>
      <x:c r="H199" s="15" t="str">
        <x:v>Published rank retained</x:v>
      </x:c>
      <x:c r="I199" s="15" t="str">
        <x:v>University of Nottingham</x:v>
      </x:c>
      <x:c r="J199" s="31" t="str">
        <x:v>https://www.topuniversities.com/universities/university-nottingham</x:v>
      </x:c>
      <x:c r="K199" s="31" t="str">
        <x:v>https://www.topuniversities.com/world-university-rankings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2023</x:v>
      </x:c>
      <x:c r="F200" s="32" t="str">
        <x:v>162</x:v>
      </x:c>
      <x:c r="G200" s="36" t="n">
        <x:v>48.4</x:v>
      </x:c>
      <x:c r="H200" s="15" t="str">
        <x:v>Published rank retained</x:v>
      </x:c>
      <x:c r="I200" s="15" t="str">
        <x:v>University of York</x:v>
      </x:c>
      <x:c r="J200" s="31" t="str">
        <x:v>https://www.topuniversities.com/universities/university-york</x:v>
      </x:c>
      <x:c r="K200" s="31" t="str">
        <x:v>https://www.topuniversities.com/world-university-rankings/2023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2024</x:v>
      </x:c>
      <x:c r="F201" s="32" t="str">
        <x:v>167</x:v>
      </x:c>
      <x:c r="G201" s="36" t="n">
        <x:v>49.4</x:v>
      </x:c>
      <x:c r="H201" s="15" t="str">
        <x:v>Published rank retained</x:v>
      </x:c>
      <x:c r="I201" s="15" t="str">
        <x:v>University of York</x:v>
      </x:c>
      <x:c r="J201" s="31" t="str">
        <x:v>https://www.topuniversities.com/universities/university-york</x:v>
      </x:c>
      <x:c r="K201" s="31" t="str">
        <x:v>https://www.topuniversities.com/world-university-rankings/2024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2025</x:v>
      </x:c>
      <x:c r="F202" s="32" t="str">
        <x:v>184</x:v>
      </x:c>
      <x:c r="G202" s="36" t="n">
        <x:v>48.2</x:v>
      </x:c>
      <x:c r="H202" s="15" t="str">
        <x:v>Published rank retained</x:v>
      </x:c>
      <x:c r="I202" s="15" t="str">
        <x:v>University of York</x:v>
      </x:c>
      <x:c r="J202" s="31" t="str">
        <x:v>https://www.topuniversities.com/universities/university-york</x:v>
      </x:c>
      <x:c r="K202" s="31" t="str">
        <x:v>https://www.topuniversities.com/world-university-rankings/2025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2026</x:v>
      </x:c>
      <x:c r="F203" s="32" t="str">
        <x:v>169</x:v>
      </x:c>
      <x:c r="G203" s="36" t="n">
        <x:v>59.4</x:v>
      </x:c>
      <x:c r="H203" s="15" t="str">
        <x:v>Published rank retained</x:v>
      </x:c>
      <x:c r="I203" s="15" t="str">
        <x:v>University of York</x:v>
      </x:c>
      <x:c r="J203" s="31" t="str">
        <x:v>https://www.topuniversities.com/universities/university-york</x:v>
      </x:c>
      <x:c r="K203" s="31" t="str">
        <x:v>https://www.topuniversities.com/world-university-rankings/2026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2027</x:v>
      </x:c>
      <x:c r="F204" s="32" t="n">
        <x:f>158</x:f>
        <x:v>158</x:v>
      </x:c>
      <x:c r="G204" s="36" t="n">
        <x:v>60.6</x:v>
      </x:c>
      <x:c r="H204" s="15" t="str">
        <x:v>Published rank retained</x:v>
      </x:c>
      <x:c r="I204" s="15" t="str">
        <x:v>University of York</x:v>
      </x:c>
      <x:c r="J204" s="31" t="str">
        <x:v>https://www.topuniversities.com/universities/university-york</x:v>
      </x:c>
      <x:c r="K204" s="31" t="str">
        <x:v>https://www.topuniversities.com/world-university-rankings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2023</x:v>
      </x:c>
      <x:c r="F205" s="32" t="str">
        <x:v>108</x:v>
      </x:c>
      <x:c r="G205" s="36" t="n">
        <x:v>57.2</x:v>
      </x:c>
      <x:c r="H205" s="15" t="str">
        <x:v>Published rank retained</x:v>
      </x:c>
      <x:c r="I205" s="15" t="str">
        <x:v>Boston University</x:v>
      </x:c>
      <x:c r="J205" s="31" t="str">
        <x:v>https://www.topuniversities.com/universities/boston-university</x:v>
      </x:c>
      <x:c r="K205" s="31" t="str">
        <x:v>https://www.topuniversities.com/world-university-rankings/2023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2024</x:v>
      </x:c>
      <x:c r="F206" s="32" t="n">
        <x:f>93</x:f>
        <x:v>93</x:v>
      </x:c>
      <x:c r="G206" s="36" t="n">
        <x:v>61.4</x:v>
      </x:c>
      <x:c r="H206" s="15" t="str">
        <x:v>Published rank retained</x:v>
      </x:c>
      <x:c r="I206" s="15" t="str">
        <x:v>Boston University</x:v>
      </x:c>
      <x:c r="J206" s="31" t="str">
        <x:v>https://www.topuniversities.com/universities/boston-university</x:v>
      </x:c>
      <x:c r="K206" s="31" t="str">
        <x:v>https://www.topuniversities.com/world-university-rankings/2024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2025</x:v>
      </x:c>
      <x:c r="F207" s="32" t="str">
        <x:v>108</x:v>
      </x:c>
      <x:c r="G207" s="36" t="n">
        <x:v>58.6</x:v>
      </x:c>
      <x:c r="H207" s="15" t="str">
        <x:v>Published rank retained</x:v>
      </x:c>
      <x:c r="I207" s="15" t="str">
        <x:v>Boston University</x:v>
      </x:c>
      <x:c r="J207" s="31" t="str">
        <x:v>https://www.topuniversities.com/universities/boston-university</x:v>
      </x:c>
      <x:c r="K207" s="31" t="str">
        <x:v>https://www.topuniversities.com/world-university-rankings/2025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2026</x:v>
      </x:c>
      <x:c r="F208" s="32" t="n">
        <x:f>88</x:f>
        <x:v>88</x:v>
      </x:c>
      <x:c r="G208" s="36" t="n">
        <x:v>71.1</x:v>
      </x:c>
      <x:c r="H208" s="15" t="str">
        <x:v>Published rank retained</x:v>
      </x:c>
      <x:c r="I208" s="15" t="str">
        <x:v>Boston University</x:v>
      </x:c>
      <x:c r="J208" s="31" t="str">
        <x:v>https://www.topuniversities.com/universities/boston-university</x:v>
      </x:c>
      <x:c r="K208" s="31" t="str">
        <x:v>https://www.topuniversities.com/world-university-rankings/2026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2027</x:v>
      </x:c>
      <x:c r="F209" s="32" t="str">
        <x:v>94</x:v>
      </x:c>
      <x:c r="G209" s="36" t="n">
        <x:v>70</x:v>
      </x:c>
      <x:c r="H209" s="15" t="str">
        <x:v>Published rank retained</x:v>
      </x:c>
      <x:c r="I209" s="15" t="str">
        <x:v>Boston University</x:v>
      </x:c>
      <x:c r="J209" s="31" t="str">
        <x:v>https://www.topuniversities.com/universities/boston-university</x:v>
      </x:c>
      <x:c r="K209" s="31" t="str">
        <x:v>https://www.topuniversities.com/world-university-rankings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2023</x:v>
      </x:c>
      <x:c r="F210" s="32" t="str">
        <x:v>24</x:v>
      </x:c>
      <x:c r="G210" s="36" t="n">
        <x:v>85.1</x:v>
      </x:c>
      <x:c r="H210" s="15" t="str">
        <x:v>Published rank retained</x:v>
      </x:c>
      <x:c r="I210" s="15" t="str">
        <x:v>Johns Hopkins University</x:v>
      </x:c>
      <x:c r="J210" s="31" t="str">
        <x:v>https://www.topuniversities.com/universities/johns-hopkins-university</x:v>
      </x:c>
      <x:c r="K210" s="31" t="str">
        <x:v>https://www.topuniversities.com/world-university-rankings/2023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2024</x:v>
      </x:c>
      <x:c r="F211" s="32" t="str">
        <x:v>28</x:v>
      </x:c>
      <x:c r="G211" s="36" t="n">
        <x:v>84.5</x:v>
      </x:c>
      <x:c r="H211" s="15" t="str">
        <x:v>Published rank retained</x:v>
      </x:c>
      <x:c r="I211" s="15" t="str">
        <x:v>Johns Hopkins University</x:v>
      </x:c>
      <x:c r="J211" s="31" t="str">
        <x:v>https://www.topuniversities.com/universities/johns-hopkins-university</x:v>
      </x:c>
      <x:c r="K211" s="31" t="str">
        <x:v>https://www.topuniversities.com/world-university-rankings/2024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2025</x:v>
      </x:c>
      <x:c r="F212" s="32" t="n">
        <x:f>32</x:f>
        <x:v>32</x:v>
      </x:c>
      <x:c r="G212" s="36" t="n">
        <x:v>82.1</x:v>
      </x:c>
      <x:c r="H212" s="15" t="str">
        <x:v>Published rank retained</x:v>
      </x:c>
      <x:c r="I212" s="15" t="str">
        <x:v>Johns Hopkins University</x:v>
      </x:c>
      <x:c r="J212" s="31" t="str">
        <x:v>https://www.topuniversities.com/universities/johns-hopkins-university</x:v>
      </x:c>
      <x:c r="K212" s="31" t="str">
        <x:v>https://www.topuniversities.com/world-university-rankings/2025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2026</x:v>
      </x:c>
      <x:c r="F213" s="32" t="str">
        <x:v>24</x:v>
      </x:c>
      <x:c r="G213" s="36" t="n">
        <x:v>89.7</x:v>
      </x:c>
      <x:c r="H213" s="15" t="str">
        <x:v>Published rank retained</x:v>
      </x:c>
      <x:c r="I213" s="15" t="str">
        <x:v>Johns Hopkins University</x:v>
      </x:c>
      <x:c r="J213" s="31" t="str">
        <x:v>https://www.topuniversities.com/universities/johns-hopkins-university</x:v>
      </x:c>
      <x:c r="K213" s="31" t="str">
        <x:v>https://www.topuniversities.com/world-university-rankings/2026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2027</x:v>
      </x:c>
      <x:c r="F214" s="32" t="n">
        <x:f>20</x:f>
        <x:v>20</x:v>
      </x:c>
      <x:c r="G214" s="36" t="n">
        <x:v>89.7</x:v>
      </x:c>
      <x:c r="H214" s="15" t="str">
        <x:v>Published rank retained</x:v>
      </x:c>
      <x:c r="I214" s="15" t="str">
        <x:v>Johns Hopkins University</x:v>
      </x:c>
      <x:c r="J214" s="31" t="str">
        <x:v>https://www.topuniversities.com/universities/johns-hopkins-university</x:v>
      </x:c>
      <x:c r="K214" s="31" t="str">
        <x:v>https://www.topuniversities.com/world-university-rankings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2023</x:v>
      </x:c>
      <x:c r="F215" s="32" t="str">
        <x:v>1</x:v>
      </x:c>
      <x:c r="G215" s="36" t="n">
        <x:v>100</x:v>
      </x:c>
      <x:c r="H215" s="15" t="str">
        <x:v>Published rank retained</x:v>
      </x:c>
      <x:c r="I215" s="15" t="str">
        <x:v>Massachusetts Institute of Technology (MIT)</x:v>
      </x:c>
      <x:c r="J215" s="31" t="str">
        <x:v>https://www.topuniversities.com/universities/massachusetts-institute-technology-mit</x:v>
      </x:c>
      <x:c r="K215" s="31" t="str">
        <x:v>https://www.topuniversities.com/world-university-rankings/2023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2024</x:v>
      </x:c>
      <x:c r="F216" s="32" t="str">
        <x:v>1</x:v>
      </x:c>
      <x:c r="G216" s="36" t="n">
        <x:v>100</x:v>
      </x:c>
      <x:c r="H216" s="15" t="str">
        <x:v>Published rank retained</x:v>
      </x:c>
      <x:c r="I216" s="15" t="str">
        <x:v>Massachusetts Institute of Technology (MIT)</x:v>
      </x:c>
      <x:c r="J216" s="31" t="str">
        <x:v>https://www.topuniversities.com/universities/massachusetts-institute-technology-mit</x:v>
      </x:c>
      <x:c r="K216" s="31" t="str">
        <x:v>https://www.topuniversities.com/world-university-rankings/2024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2025</x:v>
      </x:c>
      <x:c r="F217" s="32" t="str">
        <x:v>1</x:v>
      </x:c>
      <x:c r="G217" s="36" t="n">
        <x:v>100</x:v>
      </x:c>
      <x:c r="H217" s="15" t="str">
        <x:v>Published rank retained</x:v>
      </x:c>
      <x:c r="I217" s="15" t="str">
        <x:v>Massachusetts Institute of Technology (MIT)</x:v>
      </x:c>
      <x:c r="J217" s="31" t="str">
        <x:v>https://www.topuniversities.com/universities/massachusetts-institute-technology-mit</x:v>
      </x:c>
      <x:c r="K217" s="31" t="str">
        <x:v>https://www.topuniversities.com/world-university-rankings/2025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2026</x:v>
      </x:c>
      <x:c r="F218" s="32" t="str">
        <x:v>1</x:v>
      </x:c>
      <x:c r="G218" s="36" t="n">
        <x:v>100</x:v>
      </x:c>
      <x:c r="H218" s="15" t="str">
        <x:v>Published rank retained</x:v>
      </x:c>
      <x:c r="I218" s="15" t="str">
        <x:v>Massachusetts Institute of Technology (MIT)</x:v>
      </x:c>
      <x:c r="J218" s="31" t="str">
        <x:v>https://www.topuniversities.com/universities/massachusetts-institute-technology-mit</x:v>
      </x:c>
      <x:c r="K218" s="31" t="str">
        <x:v>https://www.topuniversities.com/world-university-rankings/2026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2027</x:v>
      </x:c>
      <x:c r="F219" s="32" t="str">
        <x:v>1</x:v>
      </x:c>
      <x:c r="G219" s="36" t="n">
        <x:v>100</x:v>
      </x:c>
      <x:c r="H219" s="15" t="str">
        <x:v>Published rank retained</x:v>
      </x:c>
      <x:c r="I219" s="15" t="str">
        <x:v>Massachusetts Institute of Technology (MIT)</x:v>
      </x:c>
      <x:c r="J219" s="31" t="str">
        <x:v>https://www.topuniversities.com/universities/massachusetts-institute-technology-mit</x:v>
      </x:c>
      <x:c r="K219" s="31" t="str">
        <x:v>https://www.topuniversities.com/world-university-rankings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2023</x:v>
      </x:c>
      <x:c r="F220" s="32" t="str">
        <x:v>91</x:v>
      </x:c>
      <x:c r="G220" s="36" t="n">
        <x:v>61.1</x:v>
      </x:c>
      <x:c r="H220" s="15" t="str">
        <x:v>Published rank retained</x:v>
      </x:c>
      <x:c r="I220" s="15" t="str">
        <x:v>University of Birmingham</x:v>
      </x:c>
      <x:c r="J220" s="31" t="str">
        <x:v>https://www.topuniversities.com/universities/university-birmingham</x:v>
      </x:c>
      <x:c r="K220" s="31" t="str">
        <x:v>https://www.topuniversities.com/world-university-rankings/2023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2024</x:v>
      </x:c>
      <x:c r="F221" s="32" t="str">
        <x:v>84</x:v>
      </x:c>
      <x:c r="G221" s="36" t="n">
        <x:v>63</x:v>
      </x:c>
      <x:c r="H221" s="15" t="str">
        <x:v>Published rank retained</x:v>
      </x:c>
      <x:c r="I221" s="15" t="str">
        <x:v>University of Birmingham</x:v>
      </x:c>
      <x:c r="J221" s="31" t="str">
        <x:v>https://www.topuniversities.com/universities/university-birmingham</x:v>
      </x:c>
      <x:c r="K221" s="31" t="str">
        <x:v>https://www.topuniversities.com/world-university-rankings/2024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2025</x:v>
      </x:c>
      <x:c r="F222" s="32" t="n">
        <x:f>80</x:f>
        <x:v>80</x:v>
      </x:c>
      <x:c r="G222" s="36" t="n">
        <x:v>64.1</x:v>
      </x:c>
      <x:c r="H222" s="15" t="str">
        <x:v>Published rank retained</x:v>
      </x:c>
      <x:c r="I222" s="15" t="str">
        <x:v>University of Birmingham</x:v>
      </x:c>
      <x:c r="J222" s="31" t="str">
        <x:v>https://www.topuniversities.com/universities/university-birmingham</x:v>
      </x:c>
      <x:c r="K222" s="31" t="str">
        <x:v>https://www.topuniversities.com/world-university-rankings/2025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2026</x:v>
      </x:c>
      <x:c r="F223" s="32" t="str">
        <x:v>76</x:v>
      </x:c>
      <x:c r="G223" s="36" t="n">
        <x:v>73.8</x:v>
      </x:c>
      <x:c r="H223" s="15" t="str">
        <x:v>Published rank retained</x:v>
      </x:c>
      <x:c r="I223" s="15" t="str">
        <x:v>University of Birmingham</x:v>
      </x:c>
      <x:c r="J223" s="31" t="str">
        <x:v>https://www.topuniversities.com/universities/university-birmingham</x:v>
      </x:c>
      <x:c r="K223" s="31" t="str">
        <x:v>https://www.topuniversities.com/world-university-rankings/2026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2027</x:v>
      </x:c>
      <x:c r="F224" s="32" t="n">
        <x:f>68</x:f>
        <x:v>68</x:v>
      </x:c>
      <x:c r="G224" s="36" t="n">
        <x:v>75.9</x:v>
      </x:c>
      <x:c r="H224" s="15" t="str">
        <x:v>Published rank retained</x:v>
      </x:c>
      <x:c r="I224" s="15" t="str">
        <x:v>University of Birmingham</x:v>
      </x:c>
      <x:c r="J224" s="31" t="str">
        <x:v>https://www.topuniversities.com/universities/university-birmingham</x:v>
      </x:c>
      <x:c r="K224" s="31" t="str">
        <x:v>https://www.topuniversities.com/world-university-rankings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2023</x:v>
      </x:c>
      <x:c r="F225" s="32" t="str">
        <x:v>69</x:v>
      </x:c>
      <x:c r="G225" s="36" t="n">
        <x:v>68.1</x:v>
      </x:c>
      <x:c r="H225" s="15" t="str">
        <x:v>Published rank retained</x:v>
      </x:c>
      <x:c r="I225" s="15" t="str">
        <x:v>Université Paris-Saclay</x:v>
      </x:c>
      <x:c r="J225" s="31" t="str">
        <x:v>https://www.topuniversities.com/universities/universite-paris-saclay</x:v>
      </x:c>
      <x:c r="K225" s="31" t="str">
        <x:v>https://www.topuniversities.com/world-university-rankings/2023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2024</x:v>
      </x:c>
      <x:c r="F226" s="32" t="str">
        <x:v>71</x:v>
      </x:c>
      <x:c r="G226" s="36" t="n">
        <x:v>67.6</x:v>
      </x:c>
      <x:c r="H226" s="15" t="str">
        <x:v>Published rank retained</x:v>
      </x:c>
      <x:c r="I226" s="15" t="str">
        <x:v>Université Paris-Saclay</x:v>
      </x:c>
      <x:c r="J226" s="31" t="str">
        <x:v>https://www.topuniversities.com/universities/universite-paris-saclay</x:v>
      </x:c>
      <x:c r="K226" s="31" t="str">
        <x:v>https://www.topuniversities.com/world-university-rankings/2024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2025</x:v>
      </x:c>
      <x:c r="F227" s="32" t="str">
        <x:v>73</x:v>
      </x:c>
      <x:c r="G227" s="36" t="n">
        <x:v>67</x:v>
      </x:c>
      <x:c r="H227" s="15" t="str">
        <x:v>Published rank retained</x:v>
      </x:c>
      <x:c r="I227" s="15" t="str">
        <x:v>Université Paris-Saclay</x:v>
      </x:c>
      <x:c r="J227" s="31" t="str">
        <x:v>https://www.topuniversities.com/universities/universite-paris-saclay</x:v>
      </x:c>
      <x:c r="K227" s="31" t="str">
        <x:v>https://www.topuniversities.com/world-university-rankings/2025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2026</x:v>
      </x:c>
      <x:c r="F228" s="32" t="n">
        <x:f>70</x:f>
        <x:v>70</x:v>
      </x:c>
      <x:c r="G228" s="36" t="n">
        <x:v>75.9</x:v>
      </x:c>
      <x:c r="H228" s="15" t="str">
        <x:v>Published rank retained</x:v>
      </x:c>
      <x:c r="I228" s="15" t="str">
        <x:v>Université Paris-Saclay</x:v>
      </x:c>
      <x:c r="J228" s="31" t="str">
        <x:v>https://www.topuniversities.com/universities/universite-paris-saclay</x:v>
      </x:c>
      <x:c r="K228" s="31" t="str">
        <x:v>https://www.topuniversities.com/world-university-rankings/2026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2027</x:v>
      </x:c>
      <x:c r="F229" s="32" t="str">
        <x:v>76</x:v>
      </x:c>
      <x:c r="G229" s="36" t="n">
        <x:v>73.8</x:v>
      </x:c>
      <x:c r="H229" s="15" t="str">
        <x:v>Published rank retained</x:v>
      </x:c>
      <x:c r="I229" s="15" t="str">
        <x:v>Université Paris-Saclay</x:v>
      </x:c>
      <x:c r="J229" s="31" t="str">
        <x:v>https://www.topuniversities.com/universities/universite-paris-saclay</x:v>
      </x:c>
      <x:c r="K229" s="31" t="str">
        <x:v>https://www.topuniversities.com/world-university-rankings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2023</x:v>
      </x:c>
      <x:c r="F230" s="32" t="str">
        <x:v>200+</x:v>
      </x:c>
      <x:c r="G230" s="36"/>
      <x:c r="H230" s="15" t="str">
        <x:v>Published beyond rank 200; exact value intentionally suppressed</x:v>
      </x:c>
      <x:c r="I230" s="15" t="str">
        <x:v>Universität Hamburg</x:v>
      </x:c>
      <x:c r="J230" s="31" t="str">
        <x:v>https://www.topuniversities.com/universities/universitat-hamburg</x:v>
      </x:c>
      <x:c r="K230" s="31" t="str">
        <x:v>https://www.topuniversities.com/world-university-rankings/2023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2024</x:v>
      </x:c>
      <x:c r="F231" s="32" t="str">
        <x:v>200+</x:v>
      </x:c>
      <x:c r="G231" s="36"/>
      <x:c r="H231" s="15" t="str">
        <x:v>Published beyond rank 200; exact value intentionally suppressed</x:v>
      </x:c>
      <x:c r="I231" s="15" t="str">
        <x:v>Universität Hamburg</x:v>
      </x:c>
      <x:c r="J231" s="31" t="str">
        <x:v>https://www.topuniversities.com/universities/universitat-hamburg</x:v>
      </x:c>
      <x:c r="K231" s="31" t="str">
        <x:v>https://www.topuniversities.com/world-university-rankings/2024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2025</x:v>
      </x:c>
      <x:c r="F232" s="32" t="str">
        <x:v>191</x:v>
      </x:c>
      <x:c r="G232" s="36" t="n">
        <x:v>47.1</x:v>
      </x:c>
      <x:c r="H232" s="15" t="str">
        <x:v>Published rank retained</x:v>
      </x:c>
      <x:c r="I232" s="15" t="str">
        <x:v>Universität Hamburg</x:v>
      </x:c>
      <x:c r="J232" s="31" t="str">
        <x:v>https://www.topuniversities.com/universities/universitat-hamburg</x:v>
      </x:c>
      <x:c r="K232" s="31" t="str">
        <x:v>https://www.topuniversities.com/world-university-rankings/2025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2026</x:v>
      </x:c>
      <x:c r="F233" s="32" t="str">
        <x:v>193</x:v>
      </x:c>
      <x:c r="G233" s="36" t="n">
        <x:v>56.5</x:v>
      </x:c>
      <x:c r="H233" s="15" t="str">
        <x:v>Published rank retained</x:v>
      </x:c>
      <x:c r="I233" s="15" t="str">
        <x:v>Universität Hamburg</x:v>
      </x:c>
      <x:c r="J233" s="31" t="str">
        <x:v>https://www.topuniversities.com/universities/universitat-hamburg</x:v>
      </x:c>
      <x:c r="K233" s="31" t="str">
        <x:v>https://www.topuniversities.com/world-university-rankings/2026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2027</x:v>
      </x:c>
      <x:c r="F234" s="32" t="str">
        <x:v>200+</x:v>
      </x:c>
      <x:c r="G234" s="36"/>
      <x:c r="H234" s="15" t="str">
        <x:v>Published beyond rank 200; exact value intentionally suppressed</x:v>
      </x:c>
      <x:c r="I234" s="15" t="str">
        <x:v>Universität Hamburg</x:v>
      </x:c>
      <x:c r="J234" s="31" t="str">
        <x:v>https://www.topuniversities.com/universities/universitat-hamburg</x:v>
      </x:c>
      <x:c r="K234" s="31" t="str">
        <x:v>https://www.topuniversities.com/world-university-rankings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2023</x:v>
      </x:c>
      <x:c r="F235" s="32" t="n">
        <x:f>181</x:f>
        <x:v>181</x:v>
      </x:c>
      <x:c r="G235" s="36" t="n">
        <x:v>45.6</x:v>
      </x:c>
      <x:c r="H235" s="15" t="str">
        <x:v>Published rank retained</x:v>
      </x:c>
      <x:c r="I235" s="15" t="str">
        <x:v>University College Dublin</x:v>
      </x:c>
      <x:c r="J235" s="31" t="str">
        <x:v>https://www.topuniversities.com/universities/university-college-dublin</x:v>
      </x:c>
      <x:c r="K235" s="31" t="str">
        <x:v>https://www.topuniversities.com/world-university-rankings/2023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2024</x:v>
      </x:c>
      <x:c r="F236" s="32" t="n">
        <x:f>171</x:f>
        <x:v>171</x:v>
      </x:c>
      <x:c r="G236" s="36" t="n">
        <x:v>48.8</x:v>
      </x:c>
      <x:c r="H236" s="15" t="str">
        <x:v>Published rank retained</x:v>
      </x:c>
      <x:c r="I236" s="15" t="str">
        <x:v>University College Dublin</x:v>
      </x:c>
      <x:c r="J236" s="31" t="str">
        <x:v>https://www.topuniversities.com/universities/university-college-dublin</x:v>
      </x:c>
      <x:c r="K236" s="31" t="str">
        <x:v>https://www.topuniversities.com/world-university-rankings/2024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2025</x:v>
      </x:c>
      <x:c r="F237" s="32" t="n">
        <x:f>126</x:f>
        <x:v>126</x:v>
      </x:c>
      <x:c r="G237" s="36" t="n">
        <x:v>55</x:v>
      </x:c>
      <x:c r="H237" s="15" t="str">
        <x:v>Published rank retained</x:v>
      </x:c>
      <x:c r="I237" s="15" t="str">
        <x:v>University College Dublin</x:v>
      </x:c>
      <x:c r="J237" s="31" t="str">
        <x:v>https://www.topuniversities.com/universities/university-college-dublin</x:v>
      </x:c>
      <x:c r="K237" s="31" t="str">
        <x:v>https://www.topuniversities.com/world-university-rankings/2025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2026</x:v>
      </x:c>
      <x:c r="F238" s="32" t="str">
        <x:v>118</x:v>
      </x:c>
      <x:c r="G238" s="36" t="n">
        <x:v>66</x:v>
      </x:c>
      <x:c r="H238" s="15" t="str">
        <x:v>Published rank retained</x:v>
      </x:c>
      <x:c r="I238" s="15" t="str">
        <x:v>University College Dublin</x:v>
      </x:c>
      <x:c r="J238" s="31" t="str">
        <x:v>https://www.topuniversities.com/universities/university-college-dublin</x:v>
      </x:c>
      <x:c r="K238" s="31" t="str">
        <x:v>https://www.topuniversities.com/world-university-rankings/2026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2027</x:v>
      </x:c>
      <x:c r="F239" s="32" t="n">
        <x:f>100</x:f>
        <x:v>100</x:v>
      </x:c>
      <x:c r="G239" s="36" t="n">
        <x:v>68.7</x:v>
      </x:c>
      <x:c r="H239" s="15" t="str">
        <x:v>Published rank retained</x:v>
      </x:c>
      <x:c r="I239" s="15" t="str">
        <x:v>University College Dublin</x:v>
      </x:c>
      <x:c r="J239" s="31" t="str">
        <x:v>https://www.topuniversities.com/universities/university-college-dublin</x:v>
      </x:c>
      <x:c r="K239" s="31" t="str">
        <x:v>https://www.topuniversities.com/world-university-rankings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2023</x:v>
      </x:c>
      <x:c r="F240" s="32" t="str">
        <x:v>23</x:v>
      </x:c>
      <x:c r="G240" s="36" t="n">
        <x:v>85.3</x:v>
      </x:c>
      <x:c r="H240" s="15" t="str">
        <x:v>Published rank retained</x:v>
      </x:c>
      <x:c r="I240" s="15" t="str">
        <x:v>The University of Tokyo</x:v>
      </x:c>
      <x:c r="J240" s="31" t="str">
        <x:v>https://www.topuniversities.com/universities/university-tokyo</x:v>
      </x:c>
      <x:c r="K240" s="31" t="str">
        <x:v>https://www.topuniversities.com/world-university-rankings/2023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2024</x:v>
      </x:c>
      <x:c r="F241" s="32" t="str">
        <x:v>28</x:v>
      </x:c>
      <x:c r="G241" s="36" t="n">
        <x:v>84.3</x:v>
      </x:c>
      <x:c r="H241" s="15" t="str">
        <x:v>Published rank retained</x:v>
      </x:c>
      <x:c r="I241" s="15" t="str">
        <x:v>The University of Tokyo</x:v>
      </x:c>
      <x:c r="J241" s="31" t="str">
        <x:v>https://www.topuniversities.com/universities/university-tokyo</x:v>
      </x:c>
      <x:c r="K241" s="31" t="str">
        <x:v>https://www.topuniversities.com/world-university-rankings/2024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2025</x:v>
      </x:c>
      <x:c r="F242" s="32" t="n">
        <x:f>32</x:f>
        <x:v>32</x:v>
      </x:c>
      <x:c r="G242" s="36" t="n">
        <x:v>82.1</x:v>
      </x:c>
      <x:c r="H242" s="15" t="str">
        <x:v>Published rank retained</x:v>
      </x:c>
      <x:c r="I242" s="15" t="str">
        <x:v>The University of Tokyo</x:v>
      </x:c>
      <x:c r="J242" s="31" t="str">
        <x:v>https://www.topuniversities.com/universities/university-tokyo</x:v>
      </x:c>
      <x:c r="K242" s="31" t="str">
        <x:v>https://www.topuniversities.com/world-university-rankings/2025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2026</x:v>
      </x:c>
      <x:c r="F243" s="32" t="n">
        <x:f>36</x:f>
        <x:v>36</x:v>
      </x:c>
      <x:c r="G243" s="36" t="n">
        <x:v>85.8</x:v>
      </x:c>
      <x:c r="H243" s="15" t="str">
        <x:v>Published rank retained</x:v>
      </x:c>
      <x:c r="I243" s="15" t="str">
        <x:v>The University of Tokyo</x:v>
      </x:c>
      <x:c r="J243" s="31" t="str">
        <x:v>https://www.topuniversities.com/universities/university-tokyo</x:v>
      </x:c>
      <x:c r="K243" s="31" t="str">
        <x:v>https://www.topuniversities.com/world-university-rankings/2026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2027</x:v>
      </x:c>
      <x:c r="F244" s="32" t="str">
        <x:v>39</x:v>
      </x:c>
      <x:c r="G244" s="36" t="n">
        <x:v>84.8</x:v>
      </x:c>
      <x:c r="H244" s="15" t="str">
        <x:v>Published rank retained</x:v>
      </x:c>
      <x:c r="I244" s="15" t="str">
        <x:v>The University of Tokyo</x:v>
      </x:c>
      <x:c r="J244" s="31" t="str">
        <x:v>https://www.topuniversities.com/universities/university-tokyo</x:v>
      </x:c>
      <x:c r="K244" s="31" t="str">
        <x:v>https://www.topuniversities.com/world-university-rankings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2023</x:v>
      </x:c>
      <x:c r="F245" s="32" t="str">
        <x:v>163</x:v>
      </x:c>
      <x:c r="G245" s="36" t="n">
        <x:v>48.2</x:v>
      </x:c>
      <x:c r="H245" s="15" t="str">
        <x:v>Published rank retained</x:v>
      </x:c>
      <x:c r="I245" s="15" t="str">
        <x:v>University of Exeter</x:v>
      </x:c>
      <x:c r="J245" s="31" t="str">
        <x:v>https://www.topuniversities.com/universities/university-exeter</x:v>
      </x:c>
      <x:c r="K245" s="31" t="str">
        <x:v>https://www.topuniversities.com/world-university-rankings/2023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2024</x:v>
      </x:c>
      <x:c r="F246" s="32" t="str">
        <x:v>153</x:v>
      </x:c>
      <x:c r="G246" s="36" t="n">
        <x:v>50.9</x:v>
      </x:c>
      <x:c r="H246" s="15" t="str">
        <x:v>Published rank retained</x:v>
      </x:c>
      <x:c r="I246" s="15" t="str">
        <x:v>University of Exeter</x:v>
      </x:c>
      <x:c r="J246" s="31" t="str">
        <x:v>https://www.topuniversities.com/universities/university-exeter</x:v>
      </x:c>
      <x:c r="K246" s="31" t="str">
        <x:v>https://www.topuniversities.com/world-university-rankings/2024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2025</x:v>
      </x:c>
      <x:c r="F247" s="32" t="n">
        <x:f>169</x:f>
        <x:v>169</x:v>
      </x:c>
      <x:c r="G247" s="36" t="n">
        <x:v>50.1</x:v>
      </x:c>
      <x:c r="H247" s="15" t="str">
        <x:v>Published rank retained</x:v>
      </x:c>
      <x:c r="I247" s="15" t="str">
        <x:v>University of Exeter</x:v>
      </x:c>
      <x:c r="J247" s="31" t="str">
        <x:v>https://www.topuniversities.com/universities/university-exeter</x:v>
      </x:c>
      <x:c r="K247" s="31" t="str">
        <x:v>https://www.topuniversities.com/world-university-rankings/2025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2026</x:v>
      </x:c>
      <x:c r="F248" s="32" t="n">
        <x:f>155</x:f>
        <x:v>155</x:v>
      </x:c>
      <x:c r="G248" s="36" t="n">
        <x:v>61.5</x:v>
      </x:c>
      <x:c r="H248" s="15" t="str">
        <x:v>Published rank retained</x:v>
      </x:c>
      <x:c r="I248" s="15" t="str">
        <x:v>University of Exeter</x:v>
      </x:c>
      <x:c r="J248" s="31" t="str">
        <x:v>https://www.topuniversities.com/universities/university-exeter</x:v>
      </x:c>
      <x:c r="K248" s="31" t="str">
        <x:v>https://www.topuniversities.com/world-university-rankings/2026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2027</x:v>
      </x:c>
      <x:c r="F249" s="32" t="str">
        <x:v>136</x:v>
      </x:c>
      <x:c r="G249" s="36" t="n">
        <x:v>63.5</x:v>
      </x:c>
      <x:c r="H249" s="15" t="str">
        <x:v>Published rank retained</x:v>
      </x:c>
      <x:c r="I249" s="15" t="str">
        <x:v>University of Exeter</x:v>
      </x:c>
      <x:c r="J249" s="31" t="str">
        <x:v>https://www.topuniversities.com/universities/university-exeter</x:v>
      </x:c>
      <x:c r="K249" s="31" t="str">
        <x:v>https://www.topuniversities.com/world-university-rankings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2023</x:v>
      </x:c>
      <x:c r="F250" s="32" t="n">
        <x:f>50</x:f>
        <x:v>50</x:v>
      </x:c>
      <x:c r="G250" s="36" t="n">
        <x:v>74.8</x:v>
      </x:c>
      <x:c r="H250" s="15" t="str">
        <x:v>Published rank retained</x:v>
      </x:c>
      <x:c r="I250" s="15" t="str">
        <x:v>The University of Queensland</x:v>
      </x:c>
      <x:c r="J250" s="31" t="str">
        <x:v>https://www.topuniversities.com/universities/university-queensland</x:v>
      </x:c>
      <x:c r="K250" s="31" t="str">
        <x:v>https://www.topuniversities.com/world-university-rankings/2023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2024</x:v>
      </x:c>
      <x:c r="F251" s="32" t="str">
        <x:v>43</x:v>
      </x:c>
      <x:c r="G251" s="36" t="n">
        <x:v>78.1</x:v>
      </x:c>
      <x:c r="H251" s="15" t="str">
        <x:v>Published rank retained</x:v>
      </x:c>
      <x:c r="I251" s="15" t="str">
        <x:v>The University of Queensland</x:v>
      </x:c>
      <x:c r="J251" s="31" t="str">
        <x:v>https://www.topuniversities.com/universities/university-queensland</x:v>
      </x:c>
      <x:c r="K251" s="31" t="str">
        <x:v>https://www.topuniversities.com/world-university-rankings/2024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2025</x:v>
      </x:c>
      <x:c r="F252" s="32" t="n">
        <x:f>40</x:f>
        <x:v>40</x:v>
      </x:c>
      <x:c r="G252" s="36" t="n">
        <x:v>80.2</x:v>
      </x:c>
      <x:c r="H252" s="15" t="str">
        <x:v>Published rank retained</x:v>
      </x:c>
      <x:c r="I252" s="15" t="str">
        <x:v>The University of Queensland</x:v>
      </x:c>
      <x:c r="J252" s="31" t="str">
        <x:v>https://www.topuniversities.com/universities/university-queensland</x:v>
      </x:c>
      <x:c r="K252" s="31" t="str">
        <x:v>https://www.topuniversities.com/world-university-rankings/2025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2026</x:v>
      </x:c>
      <x:c r="F253" s="32" t="n">
        <x:f>42</x:f>
        <x:v>42</x:v>
      </x:c>
      <x:c r="G253" s="36" t="n">
        <x:v>85.1</x:v>
      </x:c>
      <x:c r="H253" s="15" t="str">
        <x:v>Published rank retained</x:v>
      </x:c>
      <x:c r="I253" s="15" t="str">
        <x:v>The University of Queensland</x:v>
      </x:c>
      <x:c r="J253" s="31" t="str">
        <x:v>https://www.topuniversities.com/universities/university-queensland</x:v>
      </x:c>
      <x:c r="K253" s="31" t="str">
        <x:v>https://www.topuniversities.com/world-university-rankings/2026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2027</x:v>
      </x:c>
      <x:c r="F254" s="32" t="n">
        <x:f>40</x:f>
        <x:v>40</x:v>
      </x:c>
      <x:c r="G254" s="36" t="n">
        <x:v>84.6</x:v>
      </x:c>
      <x:c r="H254" s="15" t="str">
        <x:v>Published rank retained</x:v>
      </x:c>
      <x:c r="I254" s="15" t="str">
        <x:v>The University of Queensland</x:v>
      </x:c>
      <x:c r="J254" s="31" t="str">
        <x:v>https://www.topuniversities.com/universities/university-queensland</x:v>
      </x:c>
      <x:c r="K254" s="31" t="str">
        <x:v>https://www.topuniversities.com/world-university-rankings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2023</x:v>
      </x:c>
      <x:c r="F255" s="32" t="n">
        <x:f>185</x:f>
        <x:v>185</x:v>
      </x:c>
      <x:c r="G255" s="36" t="n">
        <x:v>45.4</x:v>
      </x:c>
      <x:c r="H255" s="15" t="str">
        <x:v>Published rank retained</x:v>
      </x:c>
      <x:c r="I255" s="15" t="str">
        <x:v>University of Gothenburg</x:v>
      </x:c>
      <x:c r="J255" s="31" t="str">
        <x:v>https://www.topuniversities.com/universities/university-gothenburg</x:v>
      </x:c>
      <x:c r="K255" s="31" t="str">
        <x:v>https://www.topuniversities.com/world-university-rankings/2023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2024</x:v>
      </x:c>
      <x:c r="F256" s="32" t="str">
        <x:v>187</x:v>
      </x:c>
      <x:c r="G256" s="36" t="n">
        <x:v>47.3</x:v>
      </x:c>
      <x:c r="H256" s="15" t="str">
        <x:v>Published rank retained</x:v>
      </x:c>
      <x:c r="I256" s="15" t="str">
        <x:v>University of Gothenburg</x:v>
      </x:c>
      <x:c r="J256" s="31" t="str">
        <x:v>https://www.topuniversities.com/universities/university-gothenburg</x:v>
      </x:c>
      <x:c r="K256" s="31" t="str">
        <x:v>https://www.topuniversities.com/world-university-rankings/2024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2025</x:v>
      </x:c>
      <x:c r="F257" s="32" t="n">
        <x:f>194</x:f>
        <x:v>194</x:v>
      </x:c>
      <x:c r="G257" s="36" t="n">
        <x:v>46.7</x:v>
      </x:c>
      <x:c r="H257" s="15" t="str">
        <x:v>Published rank retained</x:v>
      </x:c>
      <x:c r="I257" s="15" t="str">
        <x:v>University of Gothenburg</x:v>
      </x:c>
      <x:c r="J257" s="31" t="str">
        <x:v>https://www.topuniversities.com/universities/university-gothenburg</x:v>
      </x:c>
      <x:c r="K257" s="31" t="str">
        <x:v>https://www.topuniversities.com/world-university-rankings/2025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2026</x:v>
      </x:c>
      <x:c r="F258" s="32" t="str">
        <x:v>200+</x:v>
      </x:c>
      <x:c r="G258" s="36"/>
      <x:c r="H258" s="15" t="str">
        <x:v>Published beyond rank 200; exact value intentionally suppressed</x:v>
      </x:c>
      <x:c r="I258" s="15" t="str">
        <x:v>University of Gothenburg</x:v>
      </x:c>
      <x:c r="J258" s="31" t="str">
        <x:v>https://www.topuniversities.com/universities/university-gothenburg</x:v>
      </x:c>
      <x:c r="K258" s="31" t="str">
        <x:v>https://www.topuniversities.com/world-university-rankings/2026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2027</x:v>
      </x:c>
      <x:c r="F259" s="32" t="str">
        <x:v>200+</x:v>
      </x:c>
      <x:c r="G259" s="36"/>
      <x:c r="H259" s="15" t="str">
        <x:v>Published beyond rank 200; exact value intentionally suppressed</x:v>
      </x:c>
      <x:c r="I259" s="15" t="str">
        <x:v>University of Gothenburg</x:v>
      </x:c>
      <x:c r="J259" s="31" t="str">
        <x:v>https://www.topuniversities.com/universities/university-gothenburg</x:v>
      </x:c>
      <x:c r="K259" s="31" t="str">
        <x:v>https://www.topuniversities.com/world-university-rankings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2023</x:v>
      </x:c>
      <x:c r="F260" s="32" t="str">
        <x:v>200+</x:v>
      </x:c>
      <x:c r="G260" s="36"/>
      <x:c r="H260" s="15" t="str">
        <x:v>Beyond collected top 200</x:v>
      </x:c>
      <x:c r="I260" s="15" t="str"/>
      <x:c r="J260" s="31" t="str"/>
      <x:c r="K260" s="31" t="str">
        <x:v>https://www.topuniversities.com/world-university-rankings/2023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2024</x:v>
      </x:c>
      <x:c r="F261" s="32" t="str">
        <x:v>200+</x:v>
      </x:c>
      <x:c r="G261" s="36"/>
      <x:c r="H261" s="15" t="str">
        <x:v>Published beyond rank 200; exact value intentionally suppressed</x:v>
      </x:c>
      <x:c r="I261" s="15" t="str">
        <x:v>Griffith University</x:v>
      </x:c>
      <x:c r="J261" s="31" t="str">
        <x:v>https://www.topuniversities.com/universities/griffith-university</x:v>
      </x:c>
      <x:c r="K261" s="31" t="str">
        <x:v>https://www.topuniversities.com/world-university-rankings/2024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2025</x:v>
      </x:c>
      <x:c r="F262" s="32" t="str">
        <x:v>200+</x:v>
      </x:c>
      <x:c r="G262" s="36"/>
      <x:c r="H262" s="15" t="str">
        <x:v>Published beyond rank 200; exact value intentionally suppressed</x:v>
      </x:c>
      <x:c r="I262" s="15" t="str">
        <x:v>Griffith University</x:v>
      </x:c>
      <x:c r="J262" s="31" t="str">
        <x:v>https://www.topuniversities.com/universities/griffith-university</x:v>
      </x:c>
      <x:c r="K262" s="31" t="str">
        <x:v>https://www.topuniversities.com/world-university-rankings/2025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2026</x:v>
      </x:c>
      <x:c r="F263" s="32" t="str">
        <x:v>200+</x:v>
      </x:c>
      <x:c r="G263" s="36"/>
      <x:c r="H263" s="15" t="str">
        <x:v>Published beyond rank 200; exact value intentionally suppressed</x:v>
      </x:c>
      <x:c r="I263" s="15" t="str">
        <x:v>Griffith University</x:v>
      </x:c>
      <x:c r="J263" s="31" t="str">
        <x:v>https://www.topuniversities.com/universities/griffith-university</x:v>
      </x:c>
      <x:c r="K263" s="31" t="str">
        <x:v>https://www.topuniversities.com/world-university-rankings/2026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2027</x:v>
      </x:c>
      <x:c r="F264" s="32" t="str">
        <x:v>200+</x:v>
      </x:c>
      <x:c r="G264" s="36"/>
      <x:c r="H264" s="15" t="str">
        <x:v>Published beyond rank 200; exact value intentionally suppressed</x:v>
      </x:c>
      <x:c r="I264" s="15" t="str">
        <x:v>Griffith University</x:v>
      </x:c>
      <x:c r="J264" s="31" t="str">
        <x:v>https://www.topuniversities.com/universities/griffith-university</x:v>
      </x:c>
      <x:c r="K264" s="31" t="str">
        <x:v>https://www.topuniversities.com/world-university-rankings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2023</x:v>
      </x:c>
      <x:c r="F265" s="32" t="str">
        <x:v>200+</x:v>
      </x:c>
      <x:c r="G265" s="36"/>
      <x:c r="H265" s="15" t="str">
        <x:v>Beyond collected top 200</x:v>
      </x:c>
      <x:c r="I265" s="15" t="str"/>
      <x:c r="J265" s="31" t="str"/>
      <x:c r="K265" s="31" t="str">
        <x:v>https://www.topuniversities.com/world-university-rankings/2023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2024</x:v>
      </x:c>
      <x:c r="F266" s="32" t="str">
        <x:v>200+</x:v>
      </x:c>
      <x:c r="G266" s="36"/>
      <x:c r="H266" s="15" t="str">
        <x:v>Beyond collected top 200</x:v>
      </x:c>
      <x:c r="I266" s="15" t="str"/>
      <x:c r="J266" s="31" t="str"/>
      <x:c r="K266" s="31" t="str">
        <x:v>https://www.topuniversities.com/world-university-rankings/2024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2025</x:v>
      </x:c>
      <x:c r="F267" s="32" t="str">
        <x:v>200+</x:v>
      </x:c>
      <x:c r="G267" s="36"/>
      <x:c r="H267" s="15" t="str">
        <x:v>Published beyond rank 200; exact value intentionally suppressed</x:v>
      </x:c>
      <x:c r="I267" s="15" t="str">
        <x:v>Western Sydney University</x:v>
      </x:c>
      <x:c r="J267" s="31" t="str">
        <x:v>https://www.topuniversities.com/universities/western-sydney-university</x:v>
      </x:c>
      <x:c r="K267" s="31" t="str">
        <x:v>https://www.topuniversities.com/world-university-rankings/2025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2026</x:v>
      </x:c>
      <x:c r="F268" s="32" t="str">
        <x:v>200+</x:v>
      </x:c>
      <x:c r="G268" s="36"/>
      <x:c r="H268" s="15" t="str">
        <x:v>Published beyond rank 200; exact value intentionally suppressed</x:v>
      </x:c>
      <x:c r="I268" s="15" t="str">
        <x:v>Western Sydney University</x:v>
      </x:c>
      <x:c r="J268" s="31" t="str">
        <x:v>https://www.topuniversities.com/universities/western-sydney-university</x:v>
      </x:c>
      <x:c r="K268" s="31" t="str">
        <x:v>https://www.topuniversities.com/world-university-rankings/2026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2027</x:v>
      </x:c>
      <x:c r="F269" s="32" t="str">
        <x:v>200+</x:v>
      </x:c>
      <x:c r="G269" s="36"/>
      <x:c r="H269" s="15" t="str">
        <x:v>Published beyond rank 200; exact value intentionally suppressed</x:v>
      </x:c>
      <x:c r="I269" s="15" t="str">
        <x:v>Western Sydney University</x:v>
      </x:c>
      <x:c r="J269" s="31" t="str">
        <x:v>https://www.topuniversities.com/universities/western-sydney-university</x:v>
      </x:c>
      <x:c r="K269" s="31" t="str">
        <x:v>https://www.topuniversities.com/world-university-rankings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2023</x:v>
      </x:c>
      <x:c r="F270" s="32" t="str">
        <x:v>200+</x:v>
      </x:c>
      <x:c r="G270" s="36"/>
      <x:c r="H270" s="15" t="str">
        <x:v>Published beyond rank 200; exact value intentionally suppressed</x:v>
      </x:c>
      <x:c r="I270" s="15" t="str">
        <x:v>Queen's University at Kingston</x:v>
      </x:c>
      <x:c r="J270" s="31" t="str">
        <x:v>https://www.topuniversities.com/universities/queens-university-kingston</x:v>
      </x:c>
      <x:c r="K270" s="31" t="str">
        <x:v>https://www.topuniversities.com/world-university-rankings/2023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2024</x:v>
      </x:c>
      <x:c r="F271" s="32" t="str">
        <x:v>200+</x:v>
      </x:c>
      <x:c r="G271" s="36"/>
      <x:c r="H271" s="15" t="str">
        <x:v>Published beyond rank 200; exact value intentionally suppressed</x:v>
      </x:c>
      <x:c r="I271" s="15" t="str">
        <x:v>Queen's University at Kingston</x:v>
      </x:c>
      <x:c r="J271" s="31" t="str">
        <x:v>https://www.topuniversities.com/universities/queens-university-kingston</x:v>
      </x:c>
      <x:c r="K271" s="31" t="str">
        <x:v>https://www.topuniversities.com/world-university-rankings/2024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2025</x:v>
      </x:c>
      <x:c r="F272" s="32" t="str">
        <x:v>193</x:v>
      </x:c>
      <x:c r="G272" s="36" t="n">
        <x:v>46.8</x:v>
      </x:c>
      <x:c r="H272" s="15" t="str">
        <x:v>Published rank retained</x:v>
      </x:c>
      <x:c r="I272" s="15" t="str">
        <x:v>Queen's University at Kingston</x:v>
      </x:c>
      <x:c r="J272" s="31" t="str">
        <x:v>https://www.topuniversities.com/universities/queens-university-kingston</x:v>
      </x:c>
      <x:c r="K272" s="31" t="str">
        <x:v>https://www.topuniversities.com/world-university-rankings/2025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2026</x:v>
      </x:c>
      <x:c r="F273" s="32" t="n">
        <x:f>191</x:f>
        <x:v>191</x:v>
      </x:c>
      <x:c r="G273" s="36" t="n">
        <x:v>56.8</x:v>
      </x:c>
      <x:c r="H273" s="15" t="str">
        <x:v>Published rank retained</x:v>
      </x:c>
      <x:c r="I273" s="15" t="str">
        <x:v>Queen's University at Kingston</x:v>
      </x:c>
      <x:c r="J273" s="31" t="str">
        <x:v>https://www.topuniversities.com/universities/queens-university-kingston</x:v>
      </x:c>
      <x:c r="K273" s="31" t="str">
        <x:v>https://www.topuniversities.com/world-university-rankings/2026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2027</x:v>
      </x:c>
      <x:c r="F274" s="32" t="n">
        <x:f>179</x:f>
        <x:v>179</x:v>
      </x:c>
      <x:c r="G274" s="36" t="n">
        <x:v>57.6</x:v>
      </x:c>
      <x:c r="H274" s="15" t="str">
        <x:v>Published rank retained</x:v>
      </x:c>
      <x:c r="I274" s="15" t="str">
        <x:v>Queen's University at Kingston</x:v>
      </x:c>
      <x:c r="J274" s="31" t="str">
        <x:v>https://www.topuniversities.com/universities/queens-university-kingston</x:v>
      </x:c>
      <x:c r="K274" s="31" t="str">
        <x:v>https://www.topuniversities.com/world-university-rankings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2023</x:v>
      </x:c>
      <x:c r="F275" s="32" t="n">
        <x:f>143</x:f>
        <x:v>143</x:v>
      </x:c>
      <x:c r="G275" s="36" t="n">
        <x:v>51.6</x:v>
      </x:c>
      <x:c r="H275" s="15" t="str">
        <x:v>Published rank retained</x:v>
      </x:c>
      <x:c r="I275" s="15" t="str">
        <x:v>Universiti Sains Malaysia (USM)</x:v>
      </x:c>
      <x:c r="J275" s="31" t="str">
        <x:v>https://www.topuniversities.com/universities/universiti-sains-malaysia-usm</x:v>
      </x:c>
      <x:c r="K275" s="31" t="str">
        <x:v>https://www.topuniversities.com/world-university-rankings/2023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2024</x:v>
      </x:c>
      <x:c r="F276" s="32" t="n">
        <x:f>137</x:f>
        <x:v>137</x:v>
      </x:c>
      <x:c r="G276" s="36" t="n">
        <x:v>52.6</x:v>
      </x:c>
      <x:c r="H276" s="15" t="str">
        <x:v>Published rank retained</x:v>
      </x:c>
      <x:c r="I276" s="15" t="str">
        <x:v>Universiti Sains Malaysia (USM)</x:v>
      </x:c>
      <x:c r="J276" s="31" t="str">
        <x:v>https://www.topuniversities.com/universities/universiti-sains-malaysia-usm</x:v>
      </x:c>
      <x:c r="K276" s="31" t="str">
        <x:v>https://www.topuniversities.com/world-university-rankings/2024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2025</x:v>
      </x:c>
      <x:c r="F277" s="32" t="str">
        <x:v>146</x:v>
      </x:c>
      <x:c r="G277" s="36" t="n">
        <x:v>52.7</x:v>
      </x:c>
      <x:c r="H277" s="15" t="str">
        <x:v>Published rank retained</x:v>
      </x:c>
      <x:c r="I277" s="15" t="str">
        <x:v>Universiti Sains Malaysia (USM)</x:v>
      </x:c>
      <x:c r="J277" s="31" t="str">
        <x:v>https://www.topuniversities.com/universities/universiti-sains-malaysia-usm</x:v>
      </x:c>
      <x:c r="K277" s="31" t="str">
        <x:v>https://www.topuniversities.com/world-university-rankings/2025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2026</x:v>
      </x:c>
      <x:c r="F278" s="32" t="n">
        <x:f>134</x:f>
        <x:v>134</x:v>
      </x:c>
      <x:c r="G278" s="36" t="n">
        <x:v>64.1</x:v>
      </x:c>
      <x:c r="H278" s="15" t="str">
        <x:v>Published rank retained</x:v>
      </x:c>
      <x:c r="I278" s="15" t="str">
        <x:v>Universiti Sains Malaysia (USM)</x:v>
      </x:c>
      <x:c r="J278" s="31" t="str">
        <x:v>https://www.topuniversities.com/universities/universiti-sains-malaysia-usm</x:v>
      </x:c>
      <x:c r="K278" s="31" t="str">
        <x:v>https://www.topuniversities.com/world-university-rankings/2026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2027</x:v>
      </x:c>
      <x:c r="F279" s="32" t="n">
        <x:f>128</x:f>
        <x:v>128</x:v>
      </x:c>
      <x:c r="G279" s="36" t="n">
        <x:v>64.9</x:v>
      </x:c>
      <x:c r="H279" s="15" t="str">
        <x:v>Published rank retained</x:v>
      </x:c>
      <x:c r="I279" s="15" t="str">
        <x:v>Universiti Sains Malaysia (USM)</x:v>
      </x:c>
      <x:c r="J279" s="31" t="str">
        <x:v>https://www.topuniversities.com/universities/universiti-sains-malaysia-usm</x:v>
      </x:c>
      <x:c r="K279" s="31" t="str">
        <x:v>https://www.topuniversities.com/world-university-rankings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2023</x:v>
      </x:c>
      <x:c r="F280" s="32" t="str">
        <x:v>157</x:v>
      </x:c>
      <x:c r="G280" s="36" t="n">
        <x:v>49.4</x:v>
      </x:c>
      <x:c r="H280" s="15" t="str">
        <x:v>Published rank retained</x:v>
      </x:c>
      <x:c r="I280" s="15" t="str">
        <x:v>Hanyang University</x:v>
      </x:c>
      <x:c r="J280" s="31" t="str">
        <x:v>https://www.topuniversities.com/universities/hanyang-university</x:v>
      </x:c>
      <x:c r="K280" s="31" t="str">
        <x:v>https://www.topuniversities.com/world-university-rankings/2023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2024</x:v>
      </x:c>
      <x:c r="F281" s="32" t="n">
        <x:f>164</x:f>
        <x:v>164</x:v>
      </x:c>
      <x:c r="G281" s="36" t="n">
        <x:v>49.7</x:v>
      </x:c>
      <x:c r="H281" s="15" t="str">
        <x:v>Published rank retained</x:v>
      </x:c>
      <x:c r="I281" s="15" t="str">
        <x:v>Hanyang University</x:v>
      </x:c>
      <x:c r="J281" s="31" t="str">
        <x:v>https://www.topuniversities.com/universities/hanyang-university</x:v>
      </x:c>
      <x:c r="K281" s="31" t="str">
        <x:v>https://www.topuniversities.com/world-university-rankings/2024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2025</x:v>
      </x:c>
      <x:c r="F282" s="32" t="str">
        <x:v>162</x:v>
      </x:c>
      <x:c r="G282" s="36" t="n">
        <x:v>51.1</x:v>
      </x:c>
      <x:c r="H282" s="15" t="str">
        <x:v>Published rank retained</x:v>
      </x:c>
      <x:c r="I282" s="15" t="str">
        <x:v>Hanyang University</x:v>
      </x:c>
      <x:c r="J282" s="31" t="str">
        <x:v>https://www.topuniversities.com/universities/hanyang-university</x:v>
      </x:c>
      <x:c r="K282" s="31" t="str">
        <x:v>https://www.topuniversities.com/world-university-rankings/2025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2026</x:v>
      </x:c>
      <x:c r="F283" s="32" t="str">
        <x:v>159</x:v>
      </x:c>
      <x:c r="G283" s="36" t="n">
        <x:v>61.2</x:v>
      </x:c>
      <x:c r="H283" s="15" t="str">
        <x:v>Published rank retained</x:v>
      </x:c>
      <x:c r="I283" s="15" t="str">
        <x:v>Hanyang University</x:v>
      </x:c>
      <x:c r="J283" s="31" t="str">
        <x:v>https://www.topuniversities.com/universities/hanyang-university</x:v>
      </x:c>
      <x:c r="K283" s="31" t="str">
        <x:v>https://www.topuniversities.com/world-university-rankings/2026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2027</x:v>
      </x:c>
      <x:c r="F284" s="32" t="str">
        <x:v>155</x:v>
      </x:c>
      <x:c r="G284" s="36" t="n">
        <x:v>60.9</x:v>
      </x:c>
      <x:c r="H284" s="15" t="str">
        <x:v>Published rank retained</x:v>
      </x:c>
      <x:c r="I284" s="15" t="str">
        <x:v>Hanyang University</x:v>
      </x:c>
      <x:c r="J284" s="31" t="str">
        <x:v>https://www.topuniversities.com/universities/hanyang-university</x:v>
      </x:c>
      <x:c r="K284" s="31" t="str">
        <x:v>https://www.topuniversities.com/world-university-rankings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2023</x:v>
      </x:c>
      <x:c r="F285" s="32" t="n">
        <x:f>141</x:f>
        <x:v>141</x:v>
      </x:c>
      <x:c r="G285" s="36" t="n">
        <x:v>51.9</x:v>
      </x:c>
      <x:c r="H285" s="15" t="str">
        <x:v>Published rank retained</x:v>
      </x:c>
      <x:c r="I285" s="15" t="str">
        <x:v>Hokkaido University</x:v>
      </x:c>
      <x:c r="J285" s="31" t="str">
        <x:v>https://www.topuniversities.com/universities/hokkaido-university</x:v>
      </x:c>
      <x:c r="K285" s="31" t="str">
        <x:v>https://www.topuniversities.com/world-university-rankings/2023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2024</x:v>
      </x:c>
      <x:c r="F286" s="32" t="str">
        <x:v>196</x:v>
      </x:c>
      <x:c r="G286" s="36" t="n">
        <x:v>46.2</x:v>
      </x:c>
      <x:c r="H286" s="15" t="str">
        <x:v>Published rank retained</x:v>
      </x:c>
      <x:c r="I286" s="15" t="str">
        <x:v>Hokkaido University</x:v>
      </x:c>
      <x:c r="J286" s="31" t="str">
        <x:v>https://www.topuniversities.com/universities/hokkaido-university</x:v>
      </x:c>
      <x:c r="K286" s="31" t="str">
        <x:v>https://www.topuniversities.com/world-university-rankings/2024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2025</x:v>
      </x:c>
      <x:c r="F287" s="32" t="str">
        <x:v>173</x:v>
      </x:c>
      <x:c r="G287" s="36" t="n">
        <x:v>49.8</x:v>
      </x:c>
      <x:c r="H287" s="15" t="str">
        <x:v>Published rank retained</x:v>
      </x:c>
      <x:c r="I287" s="15" t="str">
        <x:v>Hokkaido University</x:v>
      </x:c>
      <x:c r="J287" s="31" t="str">
        <x:v>https://www.topuniversities.com/universities/hokkaido-university</x:v>
      </x:c>
      <x:c r="K287" s="31" t="str">
        <x:v>https://www.topuniversities.com/world-university-rankings/2025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2026</x:v>
      </x:c>
      <x:c r="F288" s="32" t="n">
        <x:f>170</x:f>
        <x:v>170</x:v>
      </x:c>
      <x:c r="G288" s="36" t="n">
        <x:v>59.3</x:v>
      </x:c>
      <x:c r="H288" s="15" t="str">
        <x:v>Published rank retained</x:v>
      </x:c>
      <x:c r="I288" s="15" t="str">
        <x:v>Hokkaido University</x:v>
      </x:c>
      <x:c r="J288" s="31" t="str">
        <x:v>https://www.topuniversities.com/universities/hokkaido-university</x:v>
      </x:c>
      <x:c r="K288" s="31" t="str">
        <x:v>https://www.topuniversities.com/world-university-rankings/2026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2027</x:v>
      </x:c>
      <x:c r="F289" s="32" t="n">
        <x:f>179</x:f>
        <x:v>179</x:v>
      </x:c>
      <x:c r="G289" s="36" t="n">
        <x:v>57.6</x:v>
      </x:c>
      <x:c r="H289" s="15" t="str">
        <x:v>Published rank retained</x:v>
      </x:c>
      <x:c r="I289" s="15" t="str">
        <x:v>Hokkaido University</x:v>
      </x:c>
      <x:c r="J289" s="31" t="str">
        <x:v>https://www.topuniversities.com/universities/hokkaido-university</x:v>
      </x:c>
      <x:c r="K289" s="31" t="str">
        <x:v>https://www.topuniversities.com/world-university-rankings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2023</x:v>
      </x:c>
      <x:c r="F290" s="32" t="n">
        <x:f>129</x:f>
        <x:v>129</x:v>
      </x:c>
      <x:c r="G290" s="36" t="n">
        <x:v>54.2</x:v>
      </x:c>
      <x:c r="H290" s="15" t="str">
        <x:v>Published rank retained</x:v>
      </x:c>
      <x:c r="I290" s="15" t="str">
        <x:v>Universiti Kebangsaan Malaysia (UKM)</x:v>
      </x:c>
      <x:c r="J290" s="31" t="str">
        <x:v>https://www.topuniversities.com/universities/universiti-kebangsaan-malaysia-ukm</x:v>
      </x:c>
      <x:c r="K290" s="31" t="str">
        <x:v>https://www.topuniversities.com/world-university-rankings/2023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2024</x:v>
      </x:c>
      <x:c r="F291" s="32" t="n">
        <x:f>159</x:f>
        <x:v>159</x:v>
      </x:c>
      <x:c r="G291" s="36" t="n">
        <x:v>50.2</x:v>
      </x:c>
      <x:c r="H291" s="15" t="str">
        <x:v>Published rank retained</x:v>
      </x:c>
      <x:c r="I291" s="15" t="str">
        <x:v>Universiti Kebangsaan Malaysia (UKM)</x:v>
      </x:c>
      <x:c r="J291" s="31" t="str">
        <x:v>https://www.topuniversities.com/universities/universiti-kebangsaan-malaysia-ukm</x:v>
      </x:c>
      <x:c r="K291" s="31" t="str">
        <x:v>https://www.topuniversities.com/world-university-rankings/2024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2025</x:v>
      </x:c>
      <x:c r="F292" s="32" t="str">
        <x:v>138</x:v>
      </x:c>
      <x:c r="G292" s="36" t="n">
        <x:v>53.8</x:v>
      </x:c>
      <x:c r="H292" s="15" t="str">
        <x:v>Published rank retained</x:v>
      </x:c>
      <x:c r="I292" s="15" t="str">
        <x:v>Universiti Kebangsaan Malaysia (UKM)</x:v>
      </x:c>
      <x:c r="J292" s="31" t="str">
        <x:v>https://www.topuniversities.com/universities/universiti-kebangsaan-malaysia-ukm</x:v>
      </x:c>
      <x:c r="K292" s="31" t="str">
        <x:v>https://www.topuniversities.com/world-university-rankings/2025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2026</x:v>
      </x:c>
      <x:c r="F293" s="32" t="n">
        <x:f>126</x:f>
        <x:v>126</x:v>
      </x:c>
      <x:c r="G293" s="36" t="n">
        <x:v>65.2</x:v>
      </x:c>
      <x:c r="H293" s="15" t="str">
        <x:v>Published rank retained</x:v>
      </x:c>
      <x:c r="I293" s="15" t="str">
        <x:v>Universiti Kebangsaan Malaysia (UKM)</x:v>
      </x:c>
      <x:c r="J293" s="31" t="str">
        <x:v>https://www.topuniversities.com/universities/universiti-kebangsaan-malaysia-ukm</x:v>
      </x:c>
      <x:c r="K293" s="31" t="str">
        <x:v>https://www.topuniversities.com/world-university-rankings/2026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2027</x:v>
      </x:c>
      <x:c r="F294" s="32" t="str">
        <x:v>130</x:v>
      </x:c>
      <x:c r="G294" s="36" t="n">
        <x:v>64.6</x:v>
      </x:c>
      <x:c r="H294" s="15" t="str">
        <x:v>Published rank retained</x:v>
      </x:c>
      <x:c r="I294" s="15" t="str">
        <x:v>Universiti Kebangsaan Malaysia (UKM)</x:v>
      </x:c>
      <x:c r="J294" s="31" t="str">
        <x:v>https://www.topuniversities.com/universities/universiti-kebangsaan-malaysia-ukm</x:v>
      </x:c>
      <x:c r="K294" s="31" t="str">
        <x:v>https://www.topuniversities.com/world-university-rankings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2023</x:v>
      </x:c>
      <x:c r="F295" s="32" t="str">
        <x:v>200+</x:v>
      </x:c>
      <x:c r="G295" s="36"/>
      <x:c r="H295" s="15" t="str">
        <x:v>Beyond collected top 200</x:v>
      </x:c>
      <x:c r="I295" s="15" t="str"/>
      <x:c r="J295" s="31" t="str"/>
      <x:c r="K295" s="31" t="str">
        <x:v>https://www.topuniversities.com/world-university-rankings/2023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2024</x:v>
      </x:c>
      <x:c r="F296" s="32" t="str">
        <x:v>200+</x:v>
      </x:c>
      <x:c r="G296" s="36"/>
      <x:c r="H296" s="15" t="str">
        <x:v>Beyond collected top 200</x:v>
      </x:c>
      <x:c r="I296" s="15" t="str"/>
      <x:c r="J296" s="31" t="str"/>
      <x:c r="K296" s="31" t="str">
        <x:v>https://www.topuniversities.com/world-university-rankings/2024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2025</x:v>
      </x:c>
      <x:c r="F297" s="32" t="str">
        <x:v>200+</x:v>
      </x:c>
      <x:c r="G297" s="36"/>
      <x:c r="H297" s="15" t="str">
        <x:v>Beyond collected top 200</x:v>
      </x:c>
      <x:c r="I297" s="15" t="str"/>
      <x:c r="J297" s="31" t="str"/>
      <x:c r="K297" s="31" t="str">
        <x:v>https://www.topuniversities.com/world-university-rankings/2025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2026</x:v>
      </x:c>
      <x:c r="F298" s="32" t="str">
        <x:v>200+</x:v>
      </x:c>
      <x:c r="G298" s="36"/>
      <x:c r="H298" s="15" t="str">
        <x:v>Beyond collected top 200</x:v>
      </x:c>
      <x:c r="I298" s="15" t="str"/>
      <x:c r="J298" s="31" t="str"/>
      <x:c r="K298" s="31" t="str">
        <x:v>https://www.topuniversities.com/world-university-rankings/2026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2027</x:v>
      </x:c>
      <x:c r="F299" s="32" t="str">
        <x:v>200+</x:v>
      </x:c>
      <x:c r="G299" s="36"/>
      <x:c r="H299" s="15" t="str">
        <x:v>Beyond collected top 200</x:v>
      </x:c>
      <x:c r="I299" s="15" t="str"/>
      <x:c r="J299" s="31" t="str"/>
      <x:c r="K299" s="31" t="str">
        <x:v>https://www.topuniversities.com/world-university-rankings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2023</x:v>
      </x:c>
      <x:c r="F300" s="32" t="str">
        <x:v>77</x:v>
      </x:c>
      <x:c r="G300" s="36" t="n">
        <x:v>65.7</x:v>
      </x:c>
      <x:c r="H300" s="15" t="str">
        <x:v>Published rank retained</x:v>
      </x:c>
      <x:c r="I300" s="15" t="str">
        <x:v>National Taiwan University (NTU)</x:v>
      </x:c>
      <x:c r="J300" s="31" t="str">
        <x:v>https://www.topuniversities.com/universities/national-taiwan-university-ntu</x:v>
      </x:c>
      <x:c r="K300" s="31" t="str">
        <x:v>https://www.topuniversities.com/world-university-rankings/2023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2024</x:v>
      </x:c>
      <x:c r="F301" s="32" t="str">
        <x:v>69</x:v>
      </x:c>
      <x:c r="G301" s="36" t="n">
        <x:v>67.9</x:v>
      </x:c>
      <x:c r="H301" s="15" t="str">
        <x:v>Published rank retained</x:v>
      </x:c>
      <x:c r="I301" s="15" t="str">
        <x:v>National Taiwan University (NTU)</x:v>
      </x:c>
      <x:c r="J301" s="31" t="str">
        <x:v>https://www.topuniversities.com/universities/national-taiwan-university-ntu</x:v>
      </x:c>
      <x:c r="K301" s="31" t="str">
        <x:v>https://www.topuniversities.com/world-university-rankings/2024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2025</x:v>
      </x:c>
      <x:c r="F302" s="32" t="str">
        <x:v>68</x:v>
      </x:c>
      <x:c r="G302" s="36" t="n">
        <x:v>68.7</x:v>
      </x:c>
      <x:c r="H302" s="15" t="str">
        <x:v>Published rank retained</x:v>
      </x:c>
      <x:c r="I302" s="15" t="str">
        <x:v>National Taiwan University (NTU)</x:v>
      </x:c>
      <x:c r="J302" s="31" t="str">
        <x:v>https://www.topuniversities.com/universities/national-taiwan-university-ntu</x:v>
      </x:c>
      <x:c r="K302" s="31" t="str">
        <x:v>https://www.topuniversities.com/world-university-rankings/2025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2026</x:v>
      </x:c>
      <x:c r="F303" s="32" t="n">
        <x:f>63</x:f>
        <x:v>63</x:v>
      </x:c>
      <x:c r="G303" s="36" t="n">
        <x:v>78.9</x:v>
      </x:c>
      <x:c r="H303" s="15" t="str">
        <x:v>Published rank retained</x:v>
      </x:c>
      <x:c r="I303" s="15" t="str">
        <x:v>National Taiwan University (NTU)</x:v>
      </x:c>
      <x:c r="J303" s="31" t="str">
        <x:v>https://www.topuniversities.com/universities/national-taiwan-university-ntu</x:v>
      </x:c>
      <x:c r="K303" s="31" t="str">
        <x:v>https://www.topuniversities.com/world-university-rankings/2026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2027</x:v>
      </x:c>
      <x:c r="F304" s="32" t="str">
        <x:v>54</x:v>
      </x:c>
      <x:c r="G304" s="36" t="n">
        <x:v>81.7</x:v>
      </x:c>
      <x:c r="H304" s="15" t="str">
        <x:v>Published rank retained</x:v>
      </x:c>
      <x:c r="I304" s="15" t="str">
        <x:v>National Taiwan University (NTU)</x:v>
      </x:c>
      <x:c r="J304" s="31" t="str">
        <x:v>https://www.topuniversities.com/universities/national-taiwan-university-ntu</x:v>
      </x:c>
      <x:c r="K304" s="31" t="str">
        <x:v>https://www.topuniversities.com/world-university-rankings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2023</x:v>
      </x:c>
      <x:c r="F305" s="32" t="str">
        <x:v>110</x:v>
      </x:c>
      <x:c r="G305" s="36" t="n">
        <x:v>56.9</x:v>
      </x:c>
      <x:c r="H305" s="15" t="str">
        <x:v>Published rank retained</x:v>
      </x:c>
      <x:c r="I305" s="15" t="str">
        <x:v>University of Alberta</x:v>
      </x:c>
      <x:c r="J305" s="31" t="str">
        <x:v>https://www.topuniversities.com/universities/university-alberta</x:v>
      </x:c>
      <x:c r="K305" s="31" t="str">
        <x:v>https://www.topuniversities.com/world-university-rankings/2023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2024</x:v>
      </x:c>
      <x:c r="F306" s="32" t="str">
        <x:v>111</x:v>
      </x:c>
      <x:c r="G306" s="36" t="n">
        <x:v>58.3</x:v>
      </x:c>
      <x:c r="H306" s="15" t="str">
        <x:v>Published rank retained</x:v>
      </x:c>
      <x:c r="I306" s="15" t="str">
        <x:v>University of Alberta</x:v>
      </x:c>
      <x:c r="J306" s="31" t="str">
        <x:v>https://www.topuniversities.com/universities/university-alberta</x:v>
      </x:c>
      <x:c r="K306" s="31" t="str">
        <x:v>https://www.topuniversities.com/world-university-rankings/2024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2025</x:v>
      </x:c>
      <x:c r="F307" s="32" t="str">
        <x:v>96</x:v>
      </x:c>
      <x:c r="G307" s="36" t="n">
        <x:v>61.2</x:v>
      </x:c>
      <x:c r="H307" s="15" t="str">
        <x:v>Published rank retained</x:v>
      </x:c>
      <x:c r="I307" s="15" t="str">
        <x:v>University of Alberta</x:v>
      </x:c>
      <x:c r="J307" s="31" t="str">
        <x:v>https://www.topuniversities.com/universities/university-alberta</x:v>
      </x:c>
      <x:c r="K307" s="31" t="str">
        <x:v>https://www.topuniversities.com/world-university-rankings/2025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2026</x:v>
      </x:c>
      <x:c r="F308" s="32" t="n">
        <x:f>94</x:f>
        <x:v>94</x:v>
      </x:c>
      <x:c r="G308" s="36" t="n">
        <x:v>70.1</x:v>
      </x:c>
      <x:c r="H308" s="15" t="str">
        <x:v>Published rank retained</x:v>
      </x:c>
      <x:c r="I308" s="15" t="str">
        <x:v>University of Alberta</x:v>
      </x:c>
      <x:c r="J308" s="31" t="str">
        <x:v>https://www.topuniversities.com/universities/university-alberta</x:v>
      </x:c>
      <x:c r="K308" s="31" t="str">
        <x:v>https://www.topuniversities.com/world-university-rankings/2026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2027</x:v>
      </x:c>
      <x:c r="F309" s="32" t="str">
        <x:v>96</x:v>
      </x:c>
      <x:c r="G309" s="36" t="n">
        <x:v>69.3</x:v>
      </x:c>
      <x:c r="H309" s="15" t="str">
        <x:v>Published rank retained</x:v>
      </x:c>
      <x:c r="I309" s="15" t="str">
        <x:v>University of Alberta</x:v>
      </x:c>
      <x:c r="J309" s="31" t="str">
        <x:v>https://www.topuniversities.com/universities/university-alberta</x:v>
      </x:c>
      <x:c r="K309" s="31" t="str">
        <x:v>https://www.topuniversities.com/world-university-rankings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2023</x:v>
      </x:c>
      <x:c r="F310" s="32" t="str">
        <x:v>74</x:v>
      </x:c>
      <x:c r="G310" s="36" t="n">
        <x:v>66.9</x:v>
      </x:c>
      <x:c r="H310" s="15" t="str">
        <x:v>Published rank retained</x:v>
      </x:c>
      <x:c r="I310" s="15" t="str">
        <x:v>Korea University</x:v>
      </x:c>
      <x:c r="J310" s="31" t="str">
        <x:v>https://www.topuniversities.com/universities/korea-university</x:v>
      </x:c>
      <x:c r="K310" s="31" t="str">
        <x:v>https://www.topuniversities.com/world-university-rankings/2023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2024</x:v>
      </x:c>
      <x:c r="F311" s="32" t="str">
        <x:v>79</x:v>
      </x:c>
      <x:c r="G311" s="36" t="n">
        <x:v>64.7</x:v>
      </x:c>
      <x:c r="H311" s="15" t="str">
        <x:v>Published rank retained</x:v>
      </x:c>
      <x:c r="I311" s="15" t="str">
        <x:v>Korea University</x:v>
      </x:c>
      <x:c r="J311" s="31" t="str">
        <x:v>https://www.topuniversities.com/universities/korea-university</x:v>
      </x:c>
      <x:c r="K311" s="31" t="str">
        <x:v>https://www.topuniversities.com/world-university-rankings/2024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2025</x:v>
      </x:c>
      <x:c r="F312" s="32" t="str">
        <x:v>67</x:v>
      </x:c>
      <x:c r="G312" s="36" t="n">
        <x:v>69</x:v>
      </x:c>
      <x:c r="H312" s="15" t="str">
        <x:v>Published rank retained</x:v>
      </x:c>
      <x:c r="I312" s="15" t="str">
        <x:v>Korea University</x:v>
      </x:c>
      <x:c r="J312" s="31" t="str">
        <x:v>https://www.topuniversities.com/universities/korea-university</x:v>
      </x:c>
      <x:c r="K312" s="31" t="str">
        <x:v>https://www.topuniversities.com/world-university-rankings/2025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2026</x:v>
      </x:c>
      <x:c r="F313" s="32" t="str">
        <x:v>61</x:v>
      </x:c>
      <x:c r="G313" s="36" t="n">
        <x:v>79.6</x:v>
      </x:c>
      <x:c r="H313" s="15" t="str">
        <x:v>Published rank retained</x:v>
      </x:c>
      <x:c r="I313" s="15" t="str">
        <x:v>Korea University</x:v>
      </x:c>
      <x:c r="J313" s="31" t="str">
        <x:v>https://www.topuniversities.com/universities/korea-university</x:v>
      </x:c>
      <x:c r="K313" s="31" t="str">
        <x:v>https://www.topuniversities.com/world-university-rankings/2026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2027</x:v>
      </x:c>
      <x:c r="F314" s="32" t="n">
        <x:f>52</x:f>
        <x:v>52</x:v>
      </x:c>
      <x:c r="G314" s="36" t="n">
        <x:v>81.9</x:v>
      </x:c>
      <x:c r="H314" s="15" t="str">
        <x:v>Published rank retained</x:v>
      </x:c>
      <x:c r="I314" s="15" t="str">
        <x:v>Korea University</x:v>
      </x:c>
      <x:c r="J314" s="31" t="str">
        <x:v>https://www.topuniversities.com/universities/korea-university</x:v>
      </x:c>
      <x:c r="K314" s="31" t="str">
        <x:v>https://www.topuniversities.com/world-university-rankings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2023</x:v>
      </x:c>
      <x:c r="F315" s="32" t="str">
        <x:v>200+</x:v>
      </x:c>
      <x:c r="G315" s="36"/>
      <x:c r="H315" s="15" t="str">
        <x:v>Beyond collected top 200</x:v>
      </x:c>
      <x:c r="I315" s="15" t="str"/>
      <x:c r="J315" s="31" t="str"/>
      <x:c r="K315" s="31" t="str">
        <x:v>https://www.topuniversities.com/world-university-rankings/2023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2024</x:v>
      </x:c>
      <x:c r="F316" s="32" t="str">
        <x:v>200+</x:v>
      </x:c>
      <x:c r="G316" s="36"/>
      <x:c r="H316" s="15" t="str">
        <x:v>Beyond collected top 200</x:v>
      </x:c>
      <x:c r="I316" s="15" t="str"/>
      <x:c r="J316" s="31" t="str"/>
      <x:c r="K316" s="31" t="str">
        <x:v>https://www.topuniversities.com/world-university-rankings/2024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2025</x:v>
      </x:c>
      <x:c r="F317" s="32" t="str">
        <x:v>200+</x:v>
      </x:c>
      <x:c r="G317" s="36"/>
      <x:c r="H317" s="15" t="str">
        <x:v>Published beyond rank 200; exact value intentionally suppressed</x:v>
      </x:c>
      <x:c r="I317" s="15" t="str">
        <x:v>Universitas Airlangga</x:v>
      </x:c>
      <x:c r="J317" s="31" t="str">
        <x:v>https://www.topuniversities.com/universities/universitas-airlangga</x:v>
      </x:c>
      <x:c r="K317" s="31" t="str">
        <x:v>https://www.topuniversities.com/world-university-rankings/2025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2026</x:v>
      </x:c>
      <x:c r="F318" s="32" t="str">
        <x:v>200+</x:v>
      </x:c>
      <x:c r="G318" s="36"/>
      <x:c r="H318" s="15" t="str">
        <x:v>Published beyond rank 200; exact value intentionally suppressed</x:v>
      </x:c>
      <x:c r="I318" s="15" t="str">
        <x:v>Universitas Airlangga</x:v>
      </x:c>
      <x:c r="J318" s="31" t="str">
        <x:v>https://www.topuniversities.com/universities/universitas-airlangga</x:v>
      </x:c>
      <x:c r="K318" s="31" t="str">
        <x:v>https://www.topuniversities.com/world-university-rankings/2026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2027</x:v>
      </x:c>
      <x:c r="F319" s="32" t="str">
        <x:v>200+</x:v>
      </x:c>
      <x:c r="G319" s="36"/>
      <x:c r="H319" s="15" t="str">
        <x:v>Published beyond rank 200; exact value intentionally suppressed</x:v>
      </x:c>
      <x:c r="I319" s="15" t="str">
        <x:v>Universitas Airlangga</x:v>
      </x:c>
      <x:c r="J319" s="31" t="str">
        <x:v>https://www.topuniversities.com/universities/universitas-airlangga</x:v>
      </x:c>
      <x:c r="K319" s="31" t="str">
        <x:v>https://www.topuniversities.com/world-university-rankings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2023</x:v>
      </x:c>
      <x:c r="F320" s="32" t="str">
        <x:v>200+</x:v>
      </x:c>
      <x:c r="G320" s="36"/>
      <x:c r="H320" s="15" t="str">
        <x:v>Beyond collected top 200</x:v>
      </x:c>
      <x:c r="I320" s="15" t="str"/>
      <x:c r="J320" s="31" t="str"/>
      <x:c r="K320" s="31" t="str">
        <x:v>https://www.topuniversities.com/world-university-rankings/2023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2024</x:v>
      </x:c>
      <x:c r="F321" s="32" t="str">
        <x:v>200+</x:v>
      </x:c>
      <x:c r="G321" s="36"/>
      <x:c r="H321" s="15" t="str">
        <x:v>Beyond collected top 200</x:v>
      </x:c>
      <x:c r="I321" s="15" t="str"/>
      <x:c r="J321" s="31" t="str"/>
      <x:c r="K321" s="31" t="str">
        <x:v>https://www.topuniversities.com/world-university-rankings/2024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2025</x:v>
      </x:c>
      <x:c r="F322" s="32" t="str">
        <x:v>200+</x:v>
      </x:c>
      <x:c r="G322" s="36"/>
      <x:c r="H322" s="15" t="str">
        <x:v>Published beyond rank 200; exact value intentionally suppressed</x:v>
      </x:c>
      <x:c r="I322" s="15" t="str">
        <x:v>Pusan National University</x:v>
      </x:c>
      <x:c r="J322" s="31" t="str">
        <x:v>https://www.topuniversities.com/universities/pusan-national-university</x:v>
      </x:c>
      <x:c r="K322" s="31" t="str">
        <x:v>https://www.topuniversities.com/world-university-rankings/2025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2026</x:v>
      </x:c>
      <x:c r="F323" s="32" t="str">
        <x:v>200+</x:v>
      </x:c>
      <x:c r="G323" s="36"/>
      <x:c r="H323" s="15" t="str">
        <x:v>Published beyond rank 200; exact value intentionally suppressed</x:v>
      </x:c>
      <x:c r="I323" s="15" t="str">
        <x:v>Pusan National University</x:v>
      </x:c>
      <x:c r="J323" s="31" t="str">
        <x:v>https://www.topuniversities.com/universities/pusan-national-university</x:v>
      </x:c>
      <x:c r="K323" s="31" t="str">
        <x:v>https://www.topuniversities.com/world-university-rankings/2026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2027</x:v>
      </x:c>
      <x:c r="F324" s="32" t="str">
        <x:v>200+</x:v>
      </x:c>
      <x:c r="G324" s="36"/>
      <x:c r="H324" s="15" t="str">
        <x:v>Published beyond rank 200; exact value intentionally suppressed</x:v>
      </x:c>
      <x:c r="I324" s="15" t="str">
        <x:v>Pusan National University</x:v>
      </x:c>
      <x:c r="J324" s="31" t="str">
        <x:v>https://www.topuniversities.com/universities/pusan-national-university</x:v>
      </x:c>
      <x:c r="K324" s="31" t="str">
        <x:v>https://www.topuniversities.com/world-university-rankings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2023</x:v>
      </x:c>
      <x:c r="F325" s="32" t="str">
        <x:v>200+</x:v>
      </x:c>
      <x:c r="G325" s="36"/>
      <x:c r="H325" s="15" t="str">
        <x:v>Published beyond rank 200; exact value intentionally suppressed</x:v>
      </x:c>
      <x:c r="I325" s="15" t="str">
        <x:v>University of Tasmania</x:v>
      </x:c>
      <x:c r="J325" s="31" t="str">
        <x:v>https://www.topuniversities.com/universities/university-tasmania</x:v>
      </x:c>
      <x:c r="K325" s="31" t="str">
        <x:v>https://www.topuniversities.com/world-university-rankings/2023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2024</x:v>
      </x:c>
      <x:c r="F326" s="32" t="str">
        <x:v>200+</x:v>
      </x:c>
      <x:c r="G326" s="36"/>
      <x:c r="H326" s="15" t="str">
        <x:v>Beyond collected top 200</x:v>
      </x:c>
      <x:c r="I326" s="15" t="str"/>
      <x:c r="J326" s="31" t="str"/>
      <x:c r="K326" s="31" t="str">
        <x:v>https://www.topuniversities.com/world-university-rankings/2024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2025</x:v>
      </x:c>
      <x:c r="F327" s="32" t="str">
        <x:v>200+</x:v>
      </x:c>
      <x:c r="G327" s="36"/>
      <x:c r="H327" s="15" t="str">
        <x:v>Published beyond rank 200; exact value intentionally suppressed</x:v>
      </x:c>
      <x:c r="I327" s="15" t="str">
        <x:v>University of Tasmania</x:v>
      </x:c>
      <x:c r="J327" s="31" t="str">
        <x:v>https://www.topuniversities.com/universities/university-tasmania</x:v>
      </x:c>
      <x:c r="K327" s="31" t="str">
        <x:v>https://www.topuniversities.com/world-university-rankings/2025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2026</x:v>
      </x:c>
      <x:c r="F328" s="32" t="str">
        <x:v>200+</x:v>
      </x:c>
      <x:c r="G328" s="36"/>
      <x:c r="H328" s="15" t="str">
        <x:v>Published beyond rank 200; exact value intentionally suppressed</x:v>
      </x:c>
      <x:c r="I328" s="15" t="str">
        <x:v>University of Tasmania</x:v>
      </x:c>
      <x:c r="J328" s="31" t="str">
        <x:v>https://www.topuniversities.com/universities/university-tasmania</x:v>
      </x:c>
      <x:c r="K328" s="31" t="str">
        <x:v>https://www.topuniversities.com/world-university-rankings/2026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2027</x:v>
      </x:c>
      <x:c r="F329" s="32" t="str">
        <x:v>200+</x:v>
      </x:c>
      <x:c r="G329" s="36"/>
      <x:c r="H329" s="15" t="str">
        <x:v>Published beyond rank 200; exact value intentionally suppressed</x:v>
      </x:c>
      <x:c r="I329" s="15" t="str">
        <x:v>University of Tasmania</x:v>
      </x:c>
      <x:c r="J329" s="31" t="str">
        <x:v>https://www.topuniversities.com/universities/university-tasmania</x:v>
      </x:c>
      <x:c r="K329" s="31" t="str">
        <x:v>https://www.topuniversities.com/world-university-rankings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2023</x:v>
      </x:c>
      <x:c r="F330" s="32" t="str">
        <x:v>152</x:v>
      </x:c>
      <x:c r="G330" s="36" t="n">
        <x:v>50.4</x:v>
      </x:c>
      <x:c r="H330" s="15" t="str">
        <x:v>Published rank retained</x:v>
      </x:c>
      <x:c r="I330" s="15" t="str">
        <x:v>McMaster University</x:v>
      </x:c>
      <x:c r="J330" s="31" t="str">
        <x:v>https://www.topuniversities.com/universities/mcmaster-university</x:v>
      </x:c>
      <x:c r="K330" s="31" t="str">
        <x:v>https://www.topuniversities.com/world-university-rankings/2023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2024</x:v>
      </x:c>
      <x:c r="F331" s="32" t="n">
        <x:f>189</x:f>
        <x:v>189</x:v>
      </x:c>
      <x:c r="G331" s="36" t="n">
        <x:v>46.8</x:v>
      </x:c>
      <x:c r="H331" s="15" t="str">
        <x:v>Published rank retained</x:v>
      </x:c>
      <x:c r="I331" s="15" t="str">
        <x:v>McMaster University</x:v>
      </x:c>
      <x:c r="J331" s="31" t="str">
        <x:v>https://www.topuniversities.com/universities/mcmaster-university</x:v>
      </x:c>
      <x:c r="K331" s="31" t="str">
        <x:v>https://www.topuniversities.com/world-university-rankings/2024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2025</x:v>
      </x:c>
      <x:c r="F332" s="32" t="n">
        <x:f>176</x:f>
        <x:v>176</x:v>
      </x:c>
      <x:c r="G332" s="36" t="n">
        <x:v>49</x:v>
      </x:c>
      <x:c r="H332" s="15" t="str">
        <x:v>Published rank retained</x:v>
      </x:c>
      <x:c r="I332" s="15" t="str">
        <x:v>McMaster University</x:v>
      </x:c>
      <x:c r="J332" s="31" t="str">
        <x:v>https://www.topuniversities.com/universities/mcmaster-university</x:v>
      </x:c>
      <x:c r="K332" s="31" t="str">
        <x:v>https://www.topuniversities.com/world-university-rankings/2025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2026</x:v>
      </x:c>
      <x:c r="F333" s="32" t="n">
        <x:f>173</x:f>
        <x:v>173</x:v>
      </x:c>
      <x:c r="G333" s="36" t="n">
        <x:v>59.1</x:v>
      </x:c>
      <x:c r="H333" s="15" t="str">
        <x:v>Published rank retained</x:v>
      </x:c>
      <x:c r="I333" s="15" t="str">
        <x:v>McMaster University</x:v>
      </x:c>
      <x:c r="J333" s="31" t="str">
        <x:v>https://www.topuniversities.com/universities/mcmaster-university</x:v>
      </x:c>
      <x:c r="K333" s="31" t="str">
        <x:v>https://www.topuniversities.com/world-university-rankings/2026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2027</x:v>
      </x:c>
      <x:c r="F334" s="32" t="n">
        <x:f>174</x:f>
        <x:v>174</x:v>
      </x:c>
      <x:c r="G334" s="36" t="n">
        <x:v>58.2</x:v>
      </x:c>
      <x:c r="H334" s="15" t="str">
        <x:v>Published rank retained</x:v>
      </x:c>
      <x:c r="I334" s="15" t="str">
        <x:v>McMaster University</x:v>
      </x:c>
      <x:c r="J334" s="31" t="str">
        <x:v>https://www.topuniversities.com/universities/mcmaster-university</x:v>
      </x:c>
      <x:c r="K334" s="31" t="str">
        <x:v>https://www.topuniversities.com/world-university-rankings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2023</x:v>
      </x:c>
      <x:c r="F335" s="32" t="str">
        <x:v>200+</x:v>
      </x:c>
      <x:c r="G335" s="36"/>
      <x:c r="H335" s="15" t="str">
        <x:v>Published beyond rank 200; exact value intentionally suppressed</x:v>
      </x:c>
      <x:c r="I335" s="15" t="str">
        <x:v>Chulalongkorn University</x:v>
      </x:c>
      <x:c r="J335" s="31" t="str">
        <x:v>https://www.topuniversities.com/universities/chulalongkorn-university</x:v>
      </x:c>
      <x:c r="K335" s="31" t="str">
        <x:v>https://www.topuniversities.com/world-university-rankings/2023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2024</x:v>
      </x:c>
      <x:c r="F336" s="32" t="str">
        <x:v>200+</x:v>
      </x:c>
      <x:c r="G336" s="36"/>
      <x:c r="H336" s="15" t="str">
        <x:v>Published beyond rank 200; exact value intentionally suppressed</x:v>
      </x:c>
      <x:c r="I336" s="15" t="str">
        <x:v>Chulalongkorn University</x:v>
      </x:c>
      <x:c r="J336" s="31" t="str">
        <x:v>https://www.topuniversities.com/universities/chulalongkorn-university</x:v>
      </x:c>
      <x:c r="K336" s="31" t="str">
        <x:v>https://www.topuniversities.com/world-university-rankings/2024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2025</x:v>
      </x:c>
      <x:c r="F337" s="32" t="str">
        <x:v>200+</x:v>
      </x:c>
      <x:c r="G337" s="36"/>
      <x:c r="H337" s="15" t="str">
        <x:v>Published beyond rank 200; exact value intentionally suppressed</x:v>
      </x:c>
      <x:c r="I337" s="15" t="str">
        <x:v>Chulalongkorn University</x:v>
      </x:c>
      <x:c r="J337" s="31" t="str">
        <x:v>https://www.topuniversities.com/universities/chulalongkorn-university</x:v>
      </x:c>
      <x:c r="K337" s="31" t="str">
        <x:v>https://www.topuniversities.com/world-university-rankings/2025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2026</x:v>
      </x:c>
      <x:c r="F338" s="32" t="str">
        <x:v>200+</x:v>
      </x:c>
      <x:c r="G338" s="36"/>
      <x:c r="H338" s="15" t="str">
        <x:v>Published beyond rank 200; exact value intentionally suppressed</x:v>
      </x:c>
      <x:c r="I338" s="15" t="str">
        <x:v>Chulalongkorn University</x:v>
      </x:c>
      <x:c r="J338" s="31" t="str">
        <x:v>https://www.topuniversities.com/universities/chulalongkorn-university</x:v>
      </x:c>
      <x:c r="K338" s="31" t="str">
        <x:v>https://www.topuniversities.com/world-university-rankings/2026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2027</x:v>
      </x:c>
      <x:c r="F339" s="32" t="str">
        <x:v>200+</x:v>
      </x:c>
      <x:c r="G339" s="36"/>
      <x:c r="H339" s="15" t="str">
        <x:v>Published beyond rank 200; exact value intentionally suppressed</x:v>
      </x:c>
      <x:c r="I339" s="15" t="str">
        <x:v>Chulalongkorn University</x:v>
      </x:c>
      <x:c r="J339" s="31" t="str">
        <x:v>https://www.topuniversities.com/universities/chulalongkorn-university</x:v>
      </x:c>
      <x:c r="K339" s="31" t="str">
        <x:v>https://www.topuniversities.com/world-university-rankings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2023</x:v>
      </x:c>
      <x:c r="F340" s="32" t="str">
        <x:v>200+</x:v>
      </x:c>
      <x:c r="G340" s="36"/>
      <x:c r="H340" s="15" t="str">
        <x:v>Beyond collected top 200</x:v>
      </x:c>
      <x:c r="I340" s="15" t="str"/>
      <x:c r="J340" s="31" t="str"/>
      <x:c r="K340" s="31" t="str">
        <x:v>https://www.topuniversities.com/world-university-rankings/2023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2024</x:v>
      </x:c>
      <x:c r="F341" s="32" t="str">
        <x:v>200+</x:v>
      </x:c>
      <x:c r="G341" s="36"/>
      <x:c r="H341" s="15" t="str">
        <x:v>Beyond collected top 200</x:v>
      </x:c>
      <x:c r="I341" s="15" t="str"/>
      <x:c r="J341" s="31" t="str"/>
      <x:c r="K341" s="31" t="str">
        <x:v>https://www.topuniversities.com/world-university-rankings/2024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2025</x:v>
      </x:c>
      <x:c r="F342" s="32" t="str">
        <x:v>200+</x:v>
      </x:c>
      <x:c r="G342" s="36"/>
      <x:c r="H342" s="15" t="str">
        <x:v>Published beyond rank 200; exact value intentionally suppressed</x:v>
      </x:c>
      <x:c r="I342" s="15" t="str">
        <x:v>Kyungpook National University</x:v>
      </x:c>
      <x:c r="J342" s="31" t="str">
        <x:v>https://www.topuniversities.com/universities/kyungpook-national-university</x:v>
      </x:c>
      <x:c r="K342" s="31" t="str">
        <x:v>https://www.topuniversities.com/world-university-rankings/2025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2026</x:v>
      </x:c>
      <x:c r="F343" s="32" t="str">
        <x:v>200+</x:v>
      </x:c>
      <x:c r="G343" s="36"/>
      <x:c r="H343" s="15" t="str">
        <x:v>Published beyond rank 200; exact value intentionally suppressed</x:v>
      </x:c>
      <x:c r="I343" s="15" t="str">
        <x:v>Kyungpook National University</x:v>
      </x:c>
      <x:c r="J343" s="31" t="str">
        <x:v>https://www.topuniversities.com/universities/kyungpook-national-university</x:v>
      </x:c>
      <x:c r="K343" s="31" t="str">
        <x:v>https://www.topuniversities.com/world-university-rankings/2026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2027</x:v>
      </x:c>
      <x:c r="F344" s="32" t="str">
        <x:v>200+</x:v>
      </x:c>
      <x:c r="G344" s="36"/>
      <x:c r="H344" s="15" t="str">
        <x:v>Published beyond rank 200; exact value intentionally suppressed</x:v>
      </x:c>
      <x:c r="I344" s="15" t="str">
        <x:v>Kyungpook National University</x:v>
      </x:c>
      <x:c r="J344" s="31" t="str">
        <x:v>https://www.topuniversities.com/universities/kyungpook-national-university</x:v>
      </x:c>
      <x:c r="K344" s="31" t="str">
        <x:v>https://www.topuniversities.com/world-university-rankings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2023</x:v>
      </x:c>
      <x:c r="F345" s="32" t="str">
        <x:v>40</x:v>
      </x:c>
      <x:c r="G345" s="36" t="n">
        <x:v>79.8</x:v>
      </x:c>
      <x:c r="H345" s="15" t="str">
        <x:v>Published rank retained</x:v>
      </x:c>
      <x:c r="I345" s="15" t="str">
        <x:v>The Hong Kong University of Science and Technology</x:v>
      </x:c>
      <x:c r="J345" s="31" t="str">
        <x:v>https://www.topuniversities.com/universities/hong-kong-university-science-technology</x:v>
      </x:c>
      <x:c r="K345" s="31" t="str">
        <x:v>https://www.topuniversities.com/world-university-rankings/2023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2024</x:v>
      </x:c>
      <x:c r="F346" s="32" t="str">
        <x:v>60</x:v>
      </x:c>
      <x:c r="G346" s="36" t="n">
        <x:v>71.1</x:v>
      </x:c>
      <x:c r="H346" s="15" t="str">
        <x:v>Published rank retained</x:v>
      </x:c>
      <x:c r="I346" s="15" t="str">
        <x:v>The Hong Kong University of Science and Technology</x:v>
      </x:c>
      <x:c r="J346" s="31" t="str">
        <x:v>https://www.topuniversities.com/universities/hong-kong-university-science-technology</x:v>
      </x:c>
      <x:c r="K346" s="31" t="str">
        <x:v>https://www.topuniversities.com/world-university-rankings/2024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2025</x:v>
      </x:c>
      <x:c r="F347" s="32" t="n">
        <x:f>47</x:f>
        <x:v>47</x:v>
      </x:c>
      <x:c r="G347" s="36" t="n">
        <x:v>77.1</x:v>
      </x:c>
      <x:c r="H347" s="15" t="str">
        <x:v>Published rank retained</x:v>
      </x:c>
      <x:c r="I347" s="15" t="str">
        <x:v>The Hong Kong University of Science and Technology</x:v>
      </x:c>
      <x:c r="J347" s="31" t="str">
        <x:v>https://www.topuniversities.com/universities/hong-kong-university-science-technology</x:v>
      </x:c>
      <x:c r="K347" s="31" t="str">
        <x:v>https://www.topuniversities.com/world-university-rankings/2025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2026</x:v>
      </x:c>
      <x:c r="F348" s="32" t="str">
        <x:v>44</x:v>
      </x:c>
      <x:c r="G348" s="36" t="n">
        <x:v>84.8</x:v>
      </x:c>
      <x:c r="H348" s="15" t="str">
        <x:v>Published rank retained</x:v>
      </x:c>
      <x:c r="I348" s="15" t="str">
        <x:v>The Hong Kong University of Science and Technology</x:v>
      </x:c>
      <x:c r="J348" s="31" t="str">
        <x:v>https://www.topuniversities.com/universities/hong-kong-university-science-technology</x:v>
      </x:c>
      <x:c r="K348" s="31" t="str">
        <x:v>https://www.topuniversities.com/world-university-rankings/2026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2027</x:v>
      </x:c>
      <x:c r="F349" s="32" t="str">
        <x:v>33</x:v>
      </x:c>
      <x:c r="G349" s="36" t="n">
        <x:v>86.4</x:v>
      </x:c>
      <x:c r="H349" s="15" t="str">
        <x:v>Published rank retained</x:v>
      </x:c>
      <x:c r="I349" s="15" t="str">
        <x:v>The Hong Kong University of Science and Technology</x:v>
      </x:c>
      <x:c r="J349" s="31" t="str">
        <x:v>https://www.topuniversities.com/universities/hong-kong-university-science-technology</x:v>
      </x:c>
      <x:c r="K349" s="31" t="str">
        <x:v>https://www.topuniversities.com/world-university-rankings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2023</x:v>
      </x:c>
      <x:c r="F350" s="32" t="str">
        <x:v>200+</x:v>
      </x:c>
      <x:c r="G350" s="36"/>
      <x:c r="H350" s="15" t="str">
        <x:v>Beyond collected top 200</x:v>
      </x:c>
      <x:c r="I350" s="15" t="str"/>
      <x:c r="J350" s="31" t="str"/>
      <x:c r="K350" s="31" t="str">
        <x:v>https://www.topuniversities.com/world-university-rankings/2023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2024</x:v>
      </x:c>
      <x:c r="F351" s="32" t="str">
        <x:v>200+</x:v>
      </x:c>
      <x:c r="G351" s="36"/>
      <x:c r="H351" s="15" t="str">
        <x:v>Beyond collected top 200</x:v>
      </x:c>
      <x:c r="I351" s="15" t="str"/>
      <x:c r="J351" s="31" t="str"/>
      <x:c r="K351" s="31" t="str">
        <x:v>https://www.topuniversities.com/world-university-rankings/2024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2025</x:v>
      </x:c>
      <x:c r="F352" s="32" t="str">
        <x:v>200+</x:v>
      </x:c>
      <x:c r="G352" s="36"/>
      <x:c r="H352" s="15" t="str">
        <x:v>Beyond collected top 200</x:v>
      </x:c>
      <x:c r="I352" s="15" t="str"/>
      <x:c r="J352" s="31" t="str"/>
      <x:c r="K352" s="31" t="str">
        <x:v>https://www.topuniversities.com/world-university-rankings/2025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2026</x:v>
      </x:c>
      <x:c r="F353" s="32" t="str">
        <x:v>200+</x:v>
      </x:c>
      <x:c r="G353" s="36"/>
      <x:c r="H353" s="15" t="str">
        <x:v>Published beyond rank 200; exact value intentionally suppressed</x:v>
      </x:c>
      <x:c r="I353" s="15" t="str">
        <x:v>Lovely Professional University (LPU)</x:v>
      </x:c>
      <x:c r="J353" s="31" t="str">
        <x:v>https://www.topuniversities.com/universities/lovely-professional-university-lpu</x:v>
      </x:c>
      <x:c r="K353" s="31" t="str">
        <x:v>https://www.topuniversities.com/world-university-rankings/2026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2027</x:v>
      </x:c>
      <x:c r="F354" s="32" t="str">
        <x:v>200+</x:v>
      </x:c>
      <x:c r="G354" s="36"/>
      <x:c r="H354" s="15" t="str">
        <x:v>Published beyond rank 200; exact value intentionally suppressed</x:v>
      </x:c>
      <x:c r="I354" s="15" t="str">
        <x:v>Lovely Professional University (LPU)</x:v>
      </x:c>
      <x:c r="J354" s="31" t="str">
        <x:v>https://www.topuniversities.com/universities/lovely-professional-university-lpu</x:v>
      </x:c>
      <x:c r="K354" s="31" t="str">
        <x:v>https://www.topuniversities.com/world-university-rankings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2023</x:v>
      </x:c>
      <x:c r="F355" s="32" t="str">
        <x:v>70</x:v>
      </x:c>
      <x:c r="G355" s="36" t="n">
        <x:v>67.9</x:v>
      </x:c>
      <x:c r="H355" s="15" t="str">
        <x:v>Published rank retained</x:v>
      </x:c>
      <x:c r="I355" s="15" t="str">
        <x:v>Universiti Malaya (UM)</x:v>
      </x:c>
      <x:c r="J355" s="31" t="str">
        <x:v>https://www.topuniversities.com/universities/universiti-malaya-um</x:v>
      </x:c>
      <x:c r="K355" s="31" t="str">
        <x:v>https://www.topuniversities.com/world-university-rankings/2023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2024</x:v>
      </x:c>
      <x:c r="F356" s="32" t="n">
        <x:f>65</x:f>
        <x:v>65</x:v>
      </x:c>
      <x:c r="G356" s="36" t="n">
        <x:v>68.7</x:v>
      </x:c>
      <x:c r="H356" s="15" t="str">
        <x:v>Published rank retained</x:v>
      </x:c>
      <x:c r="I356" s="15" t="str">
        <x:v>Universiti Malaya (UM)</x:v>
      </x:c>
      <x:c r="J356" s="31" t="str">
        <x:v>https://www.topuniversities.com/universities/universiti-malaya-um</x:v>
      </x:c>
      <x:c r="K356" s="31" t="str">
        <x:v>https://www.topuniversities.com/world-university-rankings/2024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2025</x:v>
      </x:c>
      <x:c r="F357" s="32" t="str">
        <x:v>60</x:v>
      </x:c>
      <x:c r="G357" s="36" t="n">
        <x:v>71.2</x:v>
      </x:c>
      <x:c r="H357" s="15" t="str">
        <x:v>Published rank retained</x:v>
      </x:c>
      <x:c r="I357" s="15" t="str">
        <x:v>Universiti Malaya (UM)</x:v>
      </x:c>
      <x:c r="J357" s="31" t="str">
        <x:v>https://www.topuniversities.com/universities/universiti-malaya-um</x:v>
      </x:c>
      <x:c r="K357" s="31" t="str">
        <x:v>https://www.topuniversities.com/world-university-rankings/2025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2026</x:v>
      </x:c>
      <x:c r="F358" s="32" t="n">
        <x:f>58</x:f>
        <x:v>58</x:v>
      </x:c>
      <x:c r="G358" s="36" t="n">
        <x:v>80.1</x:v>
      </x:c>
      <x:c r="H358" s="15" t="str">
        <x:v>Published rank retained</x:v>
      </x:c>
      <x:c r="I358" s="15" t="str">
        <x:v>Universiti Malaya (UM)</x:v>
      </x:c>
      <x:c r="J358" s="31" t="str">
        <x:v>https://www.topuniversities.com/universities/universiti-malaya-um</x:v>
      </x:c>
      <x:c r="K358" s="31" t="str">
        <x:v>https://www.topuniversities.com/world-university-rankings/2026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2027</x:v>
      </x:c>
      <x:c r="F359" s="32" t="str">
        <x:v>56</x:v>
      </x:c>
      <x:c r="G359" s="36" t="n">
        <x:v>81.2</x:v>
      </x:c>
      <x:c r="H359" s="15" t="str">
        <x:v>Published rank retained</x:v>
      </x:c>
      <x:c r="I359" s="15" t="str">
        <x:v>Universiti Malaya (UM)</x:v>
      </x:c>
      <x:c r="J359" s="31" t="str">
        <x:v>https://www.topuniversities.com/universities/universiti-malaya-um</x:v>
      </x:c>
      <x:c r="K359" s="31" t="str">
        <x:v>https://www.topuniversities.com/world-university-rankings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2023</x:v>
      </x:c>
      <x:c r="F360" s="32" t="str">
        <x:v>200+</x:v>
      </x:c>
      <x:c r="G360" s="36"/>
      <x:c r="H360" s="15" t="str">
        <x:v>Beyond collected top 200</x:v>
      </x:c>
      <x:c r="I360" s="15" t="str"/>
      <x:c r="J360" s="31" t="str"/>
      <x:c r="K360" s="31" t="str">
        <x:v>https://www.topuniversities.com/world-university-rankings/2023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2024</x:v>
      </x:c>
      <x:c r="F361" s="32" t="str">
        <x:v>200+</x:v>
      </x:c>
      <x:c r="G361" s="36"/>
      <x:c r="H361" s="15" t="str">
        <x:v>Beyond collected top 200</x:v>
      </x:c>
      <x:c r="I361" s="15" t="str"/>
      <x:c r="J361" s="31" t="str"/>
      <x:c r="K361" s="31" t="str">
        <x:v>https://www.topuniversities.com/world-university-rankings/2024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2025</x:v>
      </x:c>
      <x:c r="F362" s="32" t="str">
        <x:v>200+</x:v>
      </x:c>
      <x:c r="G362" s="36"/>
      <x:c r="H362" s="15" t="str">
        <x:v>Published beyond rank 200; exact value intentionally suppressed</x:v>
      </x:c>
      <x:c r="I362" s="15" t="str">
        <x:v>Aalborg University</x:v>
      </x:c>
      <x:c r="J362" s="31" t="str">
        <x:v>https://www.topuniversities.com/universities/aalborg-university</x:v>
      </x:c>
      <x:c r="K362" s="31" t="str">
        <x:v>https://www.topuniversities.com/world-university-rankings/2025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2026</x:v>
      </x:c>
      <x:c r="F363" s="32" t="str">
        <x:v>200+</x:v>
      </x:c>
      <x:c r="G363" s="36"/>
      <x:c r="H363" s="15" t="str">
        <x:v>Published beyond rank 200; exact value intentionally suppressed</x:v>
      </x:c>
      <x:c r="I363" s="15" t="str">
        <x:v>Aalborg University</x:v>
      </x:c>
      <x:c r="J363" s="31" t="str">
        <x:v>https://www.topuniversities.com/universities/aalborg-university</x:v>
      </x:c>
      <x:c r="K363" s="31" t="str">
        <x:v>https://www.topuniversities.com/world-university-rankings/2026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2027</x:v>
      </x:c>
      <x:c r="F364" s="32" t="str">
        <x:v>200+</x:v>
      </x:c>
      <x:c r="G364" s="36"/>
      <x:c r="H364" s="15" t="str">
        <x:v>Published beyond rank 200; exact value intentionally suppressed</x:v>
      </x:c>
      <x:c r="I364" s="15" t="str">
        <x:v>Aalborg University</x:v>
      </x:c>
      <x:c r="J364" s="31" t="str">
        <x:v>https://www.topuniversities.com/universities/aalborg-university</x:v>
      </x:c>
      <x:c r="K364" s="31" t="str">
        <x:v>https://www.topuniversities.com/world-university-rankings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2023</x:v>
      </x:c>
      <x:c r="F365" s="32" t="str">
        <x:v>200+</x:v>
      </x:c>
      <x:c r="G365" s="36"/>
      <x:c r="H365" s="15" t="str">
        <x:v>Published beyond rank 200; exact value intentionally suppressed</x:v>
      </x:c>
      <x:c r="I365" s="15" t="str">
        <x:v>Kyung Hee University</x:v>
      </x:c>
      <x:c r="J365" s="31" t="str">
        <x:v>https://www.topuniversities.com/universities/kyung-hee-university</x:v>
      </x:c>
      <x:c r="K365" s="31" t="str">
        <x:v>https://www.topuniversities.com/world-university-rankings/2023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2024</x:v>
      </x:c>
      <x:c r="F366" s="32" t="str">
        <x:v>200+</x:v>
      </x:c>
      <x:c r="G366" s="36"/>
      <x:c r="H366" s="15" t="str">
        <x:v>Beyond collected top 200</x:v>
      </x:c>
      <x:c r="I366" s="15" t="str"/>
      <x:c r="J366" s="31" t="str"/>
      <x:c r="K366" s="31" t="str">
        <x:v>https://www.topuniversities.com/world-university-rankings/2024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2025</x:v>
      </x:c>
      <x:c r="F367" s="32" t="str">
        <x:v>200+</x:v>
      </x:c>
      <x:c r="G367" s="36"/>
      <x:c r="H367" s="15" t="str">
        <x:v>Published beyond rank 200; exact value intentionally suppressed</x:v>
      </x:c>
      <x:c r="I367" s="15" t="str">
        <x:v>Kyung Hee University</x:v>
      </x:c>
      <x:c r="J367" s="31" t="str">
        <x:v>https://www.topuniversities.com/universities/kyung-hee-university</x:v>
      </x:c>
      <x:c r="K367" s="31" t="str">
        <x:v>https://www.topuniversities.com/world-university-rankings/2025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2026</x:v>
      </x:c>
      <x:c r="F368" s="32" t="str">
        <x:v>200+</x:v>
      </x:c>
      <x:c r="G368" s="36"/>
      <x:c r="H368" s="15" t="str">
        <x:v>Published beyond rank 200; exact value intentionally suppressed</x:v>
      </x:c>
      <x:c r="I368" s="15" t="str">
        <x:v>Kyung Hee University</x:v>
      </x:c>
      <x:c r="J368" s="31" t="str">
        <x:v>https://www.topuniversities.com/universities/kyung-hee-university</x:v>
      </x:c>
      <x:c r="K368" s="31" t="str">
        <x:v>https://www.topuniversities.com/world-university-rankings/2026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2027</x:v>
      </x:c>
      <x:c r="F369" s="32" t="str">
        <x:v>200+</x:v>
      </x:c>
      <x:c r="G369" s="36"/>
      <x:c r="H369" s="15" t="str">
        <x:v>Published beyond rank 200; exact value intentionally suppressed</x:v>
      </x:c>
      <x:c r="I369" s="15" t="str">
        <x:v>Kyung Hee University</x:v>
      </x:c>
      <x:c r="J369" s="31" t="str">
        <x:v>https://www.topuniversities.com/universities/kyung-hee-university</x:v>
      </x:c>
      <x:c r="K369" s="31" t="str">
        <x:v>https://www.topuniversities.com/world-university-rankings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2023</x:v>
      </x:c>
      <x:c r="F370" s="32" t="str">
        <x:v>200+</x:v>
      </x:c>
      <x:c r="G370" s="36"/>
      <x:c r="H370" s="15" t="str">
        <x:v>Beyond collected top 200</x:v>
      </x:c>
      <x:c r="I370" s="15" t="str"/>
      <x:c r="J370" s="31" t="str"/>
      <x:c r="K370" s="31" t="str">
        <x:v>https://www.topuniversities.com/world-university-rankings/2023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2024</x:v>
      </x:c>
      <x:c r="F371" s="32" t="str">
        <x:v>200+</x:v>
      </x:c>
      <x:c r="G371" s="36"/>
      <x:c r="H371" s="15" t="str">
        <x:v>Beyond collected top 200</x:v>
      </x:c>
      <x:c r="I371" s="15" t="str"/>
      <x:c r="J371" s="31" t="str"/>
      <x:c r="K371" s="31" t="str">
        <x:v>https://www.topuniversities.com/world-university-rankings/2024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2025</x:v>
      </x:c>
      <x:c r="F372" s="32" t="str">
        <x:v>200+</x:v>
      </x:c>
      <x:c r="G372" s="36"/>
      <x:c r="H372" s="15" t="str">
        <x:v>Published beyond rank 200; exact value intentionally suppressed</x:v>
      </x:c>
      <x:c r="I372" s="15" t="str">
        <x:v>University of Victoria (UVic)</x:v>
      </x:c>
      <x:c r="J372" s="31" t="str">
        <x:v>https://www.topuniversities.com/universities/university-victoria-uvic</x:v>
      </x:c>
      <x:c r="K372" s="31" t="str">
        <x:v>https://www.topuniversities.com/world-university-rankings/2025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2026</x:v>
      </x:c>
      <x:c r="F373" s="32" t="str">
        <x:v>200+</x:v>
      </x:c>
      <x:c r="G373" s="36"/>
      <x:c r="H373" s="15" t="str">
        <x:v>Published beyond rank 200; exact value intentionally suppressed</x:v>
      </x:c>
      <x:c r="I373" s="15" t="str">
        <x:v>University of Victoria (UVic)</x:v>
      </x:c>
      <x:c r="J373" s="31" t="str">
        <x:v>https://www.topuniversities.com/universities/university-victoria-uvic</x:v>
      </x:c>
      <x:c r="K373" s="31" t="str">
        <x:v>https://www.topuniversities.com/world-university-rankings/2026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2027</x:v>
      </x:c>
      <x:c r="F374" s="32" t="str">
        <x:v>200+</x:v>
      </x:c>
      <x:c r="G374" s="36"/>
      <x:c r="H374" s="15" t="str">
        <x:v>Published beyond rank 200; exact value intentionally suppressed</x:v>
      </x:c>
      <x:c r="I374" s="15" t="str">
        <x:v>University of Victoria (UVic)</x:v>
      </x:c>
      <x:c r="J374" s="31" t="str">
        <x:v>https://www.topuniversities.com/universities/university-victoria-uvic</x:v>
      </x:c>
      <x:c r="K374" s="31" t="str">
        <x:v>https://www.topuniversities.com/world-university-rankings</x:v>
      </x:c>
      <x:c r="L374" s="31" t="str">
        <x:v>https://www.uvic.ca/socialsciences/environmental/programs/graduate/index.php</x:v>
      </x:c>
    </x:row>
    <x:row r="375">
      <x:c r="A375" s="15" t="n">
        <x:v>76</x:v>
      </x:c>
      <x:c r="B375" s="15" t="str">
        <x:v>Central Queensland University</x:v>
      </x:c>
      <x:c r="C375" s="15" t="str">
        <x:v>Australia</x:v>
      </x:c>
      <x:c r="D375" s="15" t="str">
        <x:v>Master of Sustainable Development</x:v>
      </x:c>
      <x:c r="E375" s="32" t="n">
        <x:v>2023</x:v>
      </x:c>
      <x:c r="F375" s="32" t="str">
        <x:v>200+</x:v>
      </x:c>
      <x:c r="G375" s="36"/>
      <x:c r="H375" s="15" t="str">
        <x:v>Beyond collected top 200</x:v>
      </x:c>
      <x:c r="I375" s="15" t="str"/>
      <x:c r="J375" s="31" t="str"/>
      <x:c r="K375" s="31" t="str">
        <x:v>https://www.topuniversities.com/world-university-rankings/2023</x:v>
      </x:c>
      <x:c r="L375" s="31" t="str">
        <x:v>https://handbook.cqu.edu.au/he/courses/view/CM82/HT1/2025</x:v>
      </x:c>
    </x:row>
    <x:row r="376">
      <x:c r="A376" s="15" t="n">
        <x:v>76</x:v>
      </x:c>
      <x:c r="B376" s="15" t="str">
        <x:v>Central Queensland University</x:v>
      </x:c>
      <x:c r="C376" s="15" t="str">
        <x:v>Australia</x:v>
      </x:c>
      <x:c r="D376" s="15" t="str">
        <x:v>Master of Sustainable Development</x:v>
      </x:c>
      <x:c r="E376" s="32" t="n">
        <x:v>2024</x:v>
      </x:c>
      <x:c r="F376" s="32" t="str">
        <x:v>200+</x:v>
      </x:c>
      <x:c r="G376" s="36"/>
      <x:c r="H376" s="15" t="str">
        <x:v>Beyond collected top 200</x:v>
      </x:c>
      <x:c r="I376" s="15" t="str"/>
      <x:c r="J376" s="31" t="str"/>
      <x:c r="K376" s="31" t="str">
        <x:v>https://www.topuniversities.com/world-university-rankings/2024</x:v>
      </x:c>
      <x:c r="L376" s="31" t="str">
        <x:v>https://handbook.cqu.edu.au/he/courses/view/CM82/HT1/2025</x:v>
      </x:c>
    </x:row>
    <x:row r="377">
      <x:c r="A377" s="15" t="n">
        <x:v>76</x:v>
      </x:c>
      <x:c r="B377" s="15" t="str">
        <x:v>Central Queensland University</x:v>
      </x:c>
      <x:c r="C377" s="15" t="str">
        <x:v>Australia</x:v>
      </x:c>
      <x:c r="D377" s="15" t="str">
        <x:v>Master of Sustainable Development</x:v>
      </x:c>
      <x:c r="E377" s="32" t="n">
        <x:v>2025</x:v>
      </x:c>
      <x:c r="F377" s="32" t="str">
        <x:v>200+</x:v>
      </x:c>
      <x:c r="G377" s="36"/>
      <x:c r="H377" s="15" t="str">
        <x:v>Published beyond rank 200; exact value intentionally suppressed</x:v>
      </x:c>
      <x:c r="I377" s="15" t="str">
        <x:v>Central Queensland University (CQUniversity Australia)</x:v>
      </x:c>
      <x:c r="J377" s="31" t="str">
        <x:v>https://www.topuniversities.com/universities/central-queensland-university-cquniversity-australia</x:v>
      </x:c>
      <x:c r="K377" s="31" t="str">
        <x:v>https://www.topuniversities.com/world-university-rankings/2025</x:v>
      </x:c>
      <x:c r="L377" s="31" t="str">
        <x:v>https://handbook.cqu.edu.au/he/courses/view/CM82/HT1/2025</x:v>
      </x:c>
    </x:row>
    <x:row r="378">
      <x:c r="A378" s="15" t="n">
        <x:v>76</x:v>
      </x:c>
      <x:c r="B378" s="15" t="str">
        <x:v>Central Queensland University</x:v>
      </x:c>
      <x:c r="C378" s="15" t="str">
        <x:v>Australia</x:v>
      </x:c>
      <x:c r="D378" s="15" t="str">
        <x:v>Master of Sustainable Development</x:v>
      </x:c>
      <x:c r="E378" s="32" t="n">
        <x:v>2026</x:v>
      </x:c>
      <x:c r="F378" s="32" t="str">
        <x:v>200+</x:v>
      </x:c>
      <x:c r="G378" s="36"/>
      <x:c r="H378" s="15" t="str">
        <x:v>Published beyond rank 200; exact value intentionally suppressed</x:v>
      </x:c>
      <x:c r="I378" s="15" t="str">
        <x:v>Central Queensland University (CQUniversity Australia)</x:v>
      </x:c>
      <x:c r="J378" s="31" t="str">
        <x:v>https://www.topuniversities.com/universities/central-queensland-university-cquniversity-australia</x:v>
      </x:c>
      <x:c r="K378" s="31" t="str">
        <x:v>https://www.topuniversities.com/world-university-rankings/2026</x:v>
      </x:c>
      <x:c r="L378" s="31" t="str">
        <x:v>https://handbook.cqu.edu.au/he/courses/view/CM82/HT1/2025</x:v>
      </x:c>
    </x:row>
    <x:row r="379">
      <x:c r="A379" s="15" t="n">
        <x:v>76</x:v>
      </x:c>
      <x:c r="B379" s="15" t="str">
        <x:v>Central Queensland University</x:v>
      </x:c>
      <x:c r="C379" s="15" t="str">
        <x:v>Australia</x:v>
      </x:c>
      <x:c r="D379" s="15" t="str">
        <x:v>Master of Sustainable Development</x:v>
      </x:c>
      <x:c r="E379" s="32" t="n">
        <x:v>2027</x:v>
      </x:c>
      <x:c r="F379" s="32" t="str">
        <x:v>200+</x:v>
      </x:c>
      <x:c r="G379" s="36"/>
      <x:c r="H379" s="15" t="str">
        <x:v>Published beyond rank 200; exact value intentionally suppressed</x:v>
      </x:c>
      <x:c r="I379" s="15" t="str">
        <x:v>Central Queensland University (CQUniversity Australia)</x:v>
      </x:c>
      <x:c r="J379" s="31" t="str">
        <x:v>https://www.topuniversities.com/universities/central-queensland-university-cquniversity-australia</x:v>
      </x:c>
      <x:c r="K379" s="31" t="str">
        <x:v>https://www.topuniversities.com/world-university-rankings</x:v>
      </x:c>
      <x:c r="L379" s="31" t="str">
        <x:v>https://handbook.cqu.edu.au/he/courses/view/CM82/HT1/2025</x:v>
      </x:c>
    </x:row>
    <x:row r="380">
      <x:c r="A380" s="15" t="n">
        <x:v>77</x:v>
      </x:c>
      <x:c r="B380" s="15" t="str">
        <x:v>University of Newcastle</x:v>
      </x:c>
      <x:c r="C380" s="15" t="str">
        <x:v>Australia</x:v>
      </x:c>
      <x:c r="D380" s="15" t="str">
        <x:v>Master of Environmental Management and Sustainability</x:v>
      </x:c>
      <x:c r="E380" s="32" t="n">
        <x:v>2023</x:v>
      </x:c>
      <x:c r="F380" s="32" t="str">
        <x:v>192</x:v>
      </x:c>
      <x:c r="G380" s="36" t="n">
        <x:v>44.5</x:v>
      </x:c>
      <x:c r="H380" s="15" t="str">
        <x:v>Published rank retained</x:v>
      </x:c>
      <x:c r="I380" s="15" t="str">
        <x:v>The University of Newcastle, Australia (UON)</x:v>
      </x:c>
      <x:c r="J380" s="31" t="str">
        <x:v>https://www.topuniversities.com/universities/university-newcastle-australia-uon</x:v>
      </x:c>
      <x:c r="K380" s="31" t="str">
        <x:v>https://www.topuniversities.com/world-university-rankings/2023</x:v>
      </x:c>
      <x:c r="L380" s="31" t="str">
        <x:v>https://www.newcastle.edu.au/degrees/master-environmental-management-sustainability</x:v>
      </x:c>
    </x:row>
    <x:row r="381">
      <x:c r="A381" s="15" t="n">
        <x:v>77</x:v>
      </x:c>
      <x:c r="B381" s="15" t="str">
        <x:v>University of Newcastle</x:v>
      </x:c>
      <x:c r="C381" s="15" t="str">
        <x:v>Australia</x:v>
      </x:c>
      <x:c r="D381" s="15" t="str">
        <x:v>Master of Environmental Management and Sustainability</x:v>
      </x:c>
      <x:c r="E381" s="32" t="n">
        <x:v>2024</x:v>
      </x:c>
      <x:c r="F381" s="32" t="n">
        <x:f>173</x:f>
        <x:v>173</x:v>
      </x:c>
      <x:c r="G381" s="36" t="n">
        <x:v>48.7</x:v>
      </x:c>
      <x:c r="H381" s="15" t="str">
        <x:v>Published rank retained</x:v>
      </x:c>
      <x:c r="I381" s="15" t="str">
        <x:v>The University of Newcastle, Australia (UON)</x:v>
      </x:c>
      <x:c r="J381" s="31" t="str">
        <x:v>https://www.topuniversities.com/universities/university-newcastle-australia-uon</x:v>
      </x:c>
      <x:c r="K381" s="31" t="str">
        <x:v>https://www.topuniversities.com/world-university-rankings/2024</x:v>
      </x:c>
      <x:c r="L381" s="31" t="str">
        <x:v>https://www.newcastle.edu.au/degrees/master-environmental-management-sustainability</x:v>
      </x:c>
    </x:row>
    <x:row r="382">
      <x:c r="A382" s="15" t="n">
        <x:v>77</x:v>
      </x:c>
      <x:c r="B382" s="15" t="str">
        <x:v>University of Newcastle</x:v>
      </x:c>
      <x:c r="C382" s="15" t="str">
        <x:v>Australia</x:v>
      </x:c>
      <x:c r="D382" s="15" t="str">
        <x:v>Master of Environmental Management and Sustainability</x:v>
      </x:c>
      <x:c r="E382" s="32" t="n">
        <x:v>2025</x:v>
      </x:c>
      <x:c r="F382" s="32" t="n">
        <x:f>179</x:f>
        <x:v>179</x:v>
      </x:c>
      <x:c r="G382" s="36" t="n">
        <x:v>48.7</x:v>
      </x:c>
      <x:c r="H382" s="15" t="str">
        <x:v>Published rank retained</x:v>
      </x:c>
      <x:c r="I382" s="15" t="str">
        <x:v>The University of Newcastle, Australia (UON)</x:v>
      </x:c>
      <x:c r="J382" s="31" t="str">
        <x:v>https://www.topuniversities.com/universities/university-newcastle-australia-uon</x:v>
      </x:c>
      <x:c r="K382" s="31" t="str">
        <x:v>https://www.topuniversities.com/world-university-rankings/2025</x:v>
      </x:c>
      <x:c r="L382" s="31" t="str">
        <x:v>https://www.newcastle.edu.au/degrees/master-environmental-management-sustainability</x:v>
      </x:c>
    </x:row>
    <x:row r="383">
      <x:c r="A383" s="15" t="n">
        <x:v>77</x:v>
      </x:c>
      <x:c r="B383" s="15" t="str">
        <x:v>University of Newcastle</x:v>
      </x:c>
      <x:c r="C383" s="15" t="str">
        <x:v>Australia</x:v>
      </x:c>
      <x:c r="D383" s="15" t="str">
        <x:v>Master of Environmental Management and Sustainability</x:v>
      </x:c>
      <x:c r="E383" s="32" t="n">
        <x:v>2026</x:v>
      </x:c>
      <x:c r="F383" s="32" t="str">
        <x:v>200+</x:v>
      </x:c>
      <x:c r="G383" s="36"/>
      <x:c r="H383" s="15" t="str">
        <x:v>Published beyond rank 200; exact value intentionally suppressed</x:v>
      </x:c>
      <x:c r="I383" s="15" t="str">
        <x:v>The University of Newcastle, Australia (UON)</x:v>
      </x:c>
      <x:c r="J383" s="31" t="str">
        <x:v>https://www.topuniversities.com/universities/university-newcastle-australia-uon</x:v>
      </x:c>
      <x:c r="K383" s="31" t="str">
        <x:v>https://www.topuniversities.com/world-university-rankings/2026</x:v>
      </x:c>
      <x:c r="L383" s="31" t="str">
        <x:v>https://www.newcastle.edu.au/degrees/master-environmental-management-sustainability</x:v>
      </x:c>
    </x:row>
    <x:row r="384">
      <x:c r="A384" s="15" t="n">
        <x:v>77</x:v>
      </x:c>
      <x:c r="B384" s="15" t="str">
        <x:v>University of Newcastle</x:v>
      </x:c>
      <x:c r="C384" s="15" t="str">
        <x:v>Australia</x:v>
      </x:c>
      <x:c r="D384" s="15" t="str">
        <x:v>Master of Environmental Management and Sustainability</x:v>
      </x:c>
      <x:c r="E384" s="32" t="n">
        <x:v>2027</x:v>
      </x:c>
      <x:c r="F384" s="32" t="str">
        <x:v>200+</x:v>
      </x:c>
      <x:c r="G384" s="36"/>
      <x:c r="H384" s="15" t="str">
        <x:v>Published beyond rank 200; exact value intentionally suppressed</x:v>
      </x:c>
      <x:c r="I384" s="15" t="str">
        <x:v>The University of Newcastle, Australia (UON)</x:v>
      </x:c>
      <x:c r="J384" s="31" t="str">
        <x:v>https://www.topuniversities.com/universities/university-newcastle-australia-uon</x:v>
      </x:c>
      <x:c r="K384" s="31" t="str">
        <x:v>https://www.topuniversities.com/world-university-rankings</x:v>
      </x:c>
      <x:c r="L384" s="31" t="str">
        <x:v>https://www.newcastle.edu.au/degrees/master-environmental-management-sustainability</x:v>
      </x:c>
    </x:row>
    <x:row r="385">
      <x:c r="A385" s="15" t="n">
        <x:v>78</x:v>
      </x:c>
      <x:c r="B385" s="15" t="str">
        <x:v>Northumbria University</x:v>
      </x:c>
      <x:c r="C385" s="15" t="str">
        <x:v>United Kingdom</x:v>
      </x:c>
      <x:c r="D385" s="15" t="str">
        <x:v>MSc Disaster Management and Sustainable Development</x:v>
      </x:c>
      <x:c r="E385" s="32" t="n">
        <x:v>2023</x:v>
      </x:c>
      <x:c r="F385" s="32" t="str">
        <x:v>200+</x:v>
      </x:c>
      <x:c r="G385" s="36"/>
      <x:c r="H385" s="15" t="str">
        <x:v>Beyond collected top 200</x:v>
      </x:c>
      <x:c r="I385" s="15" t="str"/>
      <x:c r="J385" s="31" t="str"/>
      <x:c r="K385" s="31" t="str">
        <x:v>https://www.topuniversities.com/world-university-rankings/2023</x:v>
      </x:c>
      <x:c r="L385" s="31" t="str">
        <x:v>https://www.northumbria.ac.uk/study-at-northumbria/courses/disaster-management-and-sustainable-development-with-advanced-practice-msc-ft-dtsdds6/</x:v>
      </x:c>
    </x:row>
    <x:row r="386">
      <x:c r="A386" s="15" t="n">
        <x:v>78</x:v>
      </x:c>
      <x:c r="B386" s="15" t="str">
        <x:v>Northumbria University</x:v>
      </x:c>
      <x:c r="C386" s="15" t="str">
        <x:v>United Kingdom</x:v>
      </x:c>
      <x:c r="D386" s="15" t="str">
        <x:v>MSc Disaster Management and Sustainable Development</x:v>
      </x:c>
      <x:c r="E386" s="32" t="n">
        <x:v>2024</x:v>
      </x:c>
      <x:c r="F386" s="32" t="str">
        <x:v>200+</x:v>
      </x:c>
      <x:c r="G386" s="36"/>
      <x:c r="H386" s="15" t="str">
        <x:v>Beyond collected top 200</x:v>
      </x:c>
      <x:c r="I386" s="15" t="str"/>
      <x:c r="J386" s="31" t="str"/>
      <x:c r="K386" s="31" t="str">
        <x:v>https://www.topuniversities.com/world-university-rankings/2024</x:v>
      </x:c>
      <x:c r="L386" s="31" t="str">
        <x:v>https://www.northumbria.ac.uk/study-at-northumbria/courses/disaster-management-and-sustainable-development-with-advanced-practice-msc-ft-dtsdds6/</x:v>
      </x:c>
    </x:row>
    <x:row r="387">
      <x:c r="A387" s="15" t="n">
        <x:v>78</x:v>
      </x:c>
      <x:c r="B387" s="15" t="str">
        <x:v>Northumbria University</x:v>
      </x:c>
      <x:c r="C387" s="15" t="str">
        <x:v>United Kingdom</x:v>
      </x:c>
      <x:c r="D387" s="15" t="str">
        <x:v>MSc Disaster Management and Sustainable Development</x:v>
      </x:c>
      <x:c r="E387" s="32" t="n">
        <x:v>2025</x:v>
      </x:c>
      <x:c r="F387" s="32" t="str">
        <x:v>200+</x:v>
      </x:c>
      <x:c r="G387" s="36"/>
      <x:c r="H387" s="15" t="str">
        <x:v>Published beyond rank 200; exact value intentionally suppressed</x:v>
      </x:c>
      <x:c r="I387" s="15" t="str">
        <x:v>Northumbria University at Newcastle</x:v>
      </x:c>
      <x:c r="J387" s="31" t="str">
        <x:v>https://www.topuniversities.com/universities/northumbria-university-newcastle</x:v>
      </x:c>
      <x:c r="K387" s="31" t="str">
        <x:v>https://www.topuniversities.com/world-university-rankings/2025</x:v>
      </x:c>
      <x:c r="L387" s="31" t="str">
        <x:v>https://www.northumbria.ac.uk/study-at-northumbria/courses/disaster-management-and-sustainable-development-with-advanced-practice-msc-ft-dtsdds6/</x:v>
      </x:c>
    </x:row>
    <x:row r="388">
      <x:c r="A388" s="15" t="n">
        <x:v>78</x:v>
      </x:c>
      <x:c r="B388" s="15" t="str">
        <x:v>Northumbria University</x:v>
      </x:c>
      <x:c r="C388" s="15" t="str">
        <x:v>United Kingdom</x:v>
      </x:c>
      <x:c r="D388" s="15" t="str">
        <x:v>MSc Disaster Management and Sustainable Development</x:v>
      </x:c>
      <x:c r="E388" s="32" t="n">
        <x:v>2026</x:v>
      </x:c>
      <x:c r="F388" s="32" t="str">
        <x:v>200+</x:v>
      </x:c>
      <x:c r="G388" s="36"/>
      <x:c r="H388" s="15" t="str">
        <x:v>Published beyond rank 200; exact value intentionally suppressed</x:v>
      </x:c>
      <x:c r="I388" s="15" t="str">
        <x:v>Northumbria University at Newcastle</x:v>
      </x:c>
      <x:c r="J388" s="31" t="str">
        <x:v>https://www.topuniversities.com/universities/northumbria-university-newcastle</x:v>
      </x:c>
      <x:c r="K388" s="31" t="str">
        <x:v>https://www.topuniversities.com/world-university-rankings/2026</x:v>
      </x:c>
      <x:c r="L388" s="31" t="str">
        <x:v>https://www.northumbria.ac.uk/study-at-northumbria/courses/disaster-management-and-sustainable-development-with-advanced-practice-msc-ft-dtsdds6/</x:v>
      </x:c>
    </x:row>
    <x:row r="389">
      <x:c r="A389" s="15" t="n">
        <x:v>78</x:v>
      </x:c>
      <x:c r="B389" s="15" t="str">
        <x:v>Northumbria University</x:v>
      </x:c>
      <x:c r="C389" s="15" t="str">
        <x:v>United Kingdom</x:v>
      </x:c>
      <x:c r="D389" s="15" t="str">
        <x:v>MSc Disaster Management and Sustainable Development</x:v>
      </x:c>
      <x:c r="E389" s="32" t="n">
        <x:v>2027</x:v>
      </x:c>
      <x:c r="F389" s="32" t="str">
        <x:v>200+</x:v>
      </x:c>
      <x:c r="G389" s="36"/>
      <x:c r="H389" s="15" t="str">
        <x:v>Published beyond rank 200; exact value intentionally suppressed</x:v>
      </x:c>
      <x:c r="I389" s="15" t="str">
        <x:v>Northumbria University at Newcastle</x:v>
      </x:c>
      <x:c r="J389" s="31" t="str">
        <x:v>https://www.topuniversities.com/universities/northumbria-university-newcastle</x:v>
      </x:c>
      <x:c r="K389" s="31" t="str">
        <x:v>https://www.topuniversities.com/world-university-rankings</x:v>
      </x:c>
      <x:c r="L389" s="31" t="str">
        <x:v>https://www.northumbria.ac.uk/study-at-northumbria/courses/disaster-management-and-sustainable-development-with-advanced-practice-msc-ft-dtsdds6/</x:v>
      </x:c>
    </x:row>
    <x:row r="390">
      <x:c r="A390" s="15" t="n">
        <x:v>79</x:v>
      </x:c>
      <x:c r="B390" s="15" t="str">
        <x:v>University of Indonesia</x:v>
      </x:c>
      <x:c r="C390" s="15" t="str">
        <x:v>Indonesia</x:v>
      </x:c>
      <x:c r="D390" s="15" t="str">
        <x:v>Master of Environmental Science</x:v>
      </x:c>
      <x:c r="E390" s="32" t="n">
        <x:v>2023</x:v>
      </x:c>
      <x:c r="F390" s="32" t="str">
        <x:v>200+</x:v>
      </x:c>
      <x:c r="G390" s="36"/>
      <x:c r="H390" s="15" t="str">
        <x:v>Published beyond rank 200; exact value intentionally suppressed</x:v>
      </x:c>
      <x:c r="I390" s="15" t="str">
        <x:v>Universitas Indonesia</x:v>
      </x:c>
      <x:c r="J390" s="31" t="str">
        <x:v>https://www.topuniversities.com/universities/universitas-indonesia</x:v>
      </x:c>
      <x:c r="K390" s="31" t="str">
        <x:v>https://www.topuniversities.com/world-university-rankings/2023</x:v>
      </x:c>
      <x:c r="L390" s="31" t="str">
        <x:v>https://sil.ui.ac.id/en/master-of-environmental-science/</x:v>
      </x:c>
    </x:row>
    <x:row r="391">
      <x:c r="A391" s="15" t="n">
        <x:v>79</x:v>
      </x:c>
      <x:c r="B391" s="15" t="str">
        <x:v>University of Indonesia</x:v>
      </x:c>
      <x:c r="C391" s="15" t="str">
        <x:v>Indonesia</x:v>
      </x:c>
      <x:c r="D391" s="15" t="str">
        <x:v>Master of Environmental Science</x:v>
      </x:c>
      <x:c r="E391" s="32" t="n">
        <x:v>2024</x:v>
      </x:c>
      <x:c r="F391" s="32" t="str">
        <x:v>200+</x:v>
      </x:c>
      <x:c r="G391" s="36"/>
      <x:c r="H391" s="15" t="str">
        <x:v>Published beyond rank 200; exact value intentionally suppressed</x:v>
      </x:c>
      <x:c r="I391" s="15" t="str">
        <x:v>Universitas Indonesia</x:v>
      </x:c>
      <x:c r="J391" s="31" t="str">
        <x:v>https://www.topuniversities.com/universities/universitas-indonesia</x:v>
      </x:c>
      <x:c r="K391" s="31" t="str">
        <x:v>https://www.topuniversities.com/world-university-rankings/2024</x:v>
      </x:c>
      <x:c r="L391" s="31" t="str">
        <x:v>https://sil.ui.ac.id/en/master-of-environmental-science/</x:v>
      </x:c>
    </x:row>
    <x:row r="392">
      <x:c r="A392" s="15" t="n">
        <x:v>79</x:v>
      </x:c>
      <x:c r="B392" s="15" t="str">
        <x:v>University of Indonesia</x:v>
      </x:c>
      <x:c r="C392" s="15" t="str">
        <x:v>Indonesia</x:v>
      </x:c>
      <x:c r="D392" s="15" t="str">
        <x:v>Master of Environmental Science</x:v>
      </x:c>
      <x:c r="E392" s="32" t="n">
        <x:v>2025</x:v>
      </x:c>
      <x:c r="F392" s="32" t="str">
        <x:v>200+</x:v>
      </x:c>
      <x:c r="G392" s="36"/>
      <x:c r="H392" s="15" t="str">
        <x:v>Published beyond rank 200; exact value intentionally suppressed</x:v>
      </x:c>
      <x:c r="I392" s="15" t="str">
        <x:v>Universitas Indonesia</x:v>
      </x:c>
      <x:c r="J392" s="31" t="str">
        <x:v>https://www.topuniversities.com/universities/universitas-indonesia</x:v>
      </x:c>
      <x:c r="K392" s="31" t="str">
        <x:v>https://www.topuniversities.com/world-university-rankings/2025</x:v>
      </x:c>
      <x:c r="L392" s="31" t="str">
        <x:v>https://sil.ui.ac.id/en/master-of-environmental-science/</x:v>
      </x:c>
    </x:row>
    <x:row r="393">
      <x:c r="A393" s="15" t="n">
        <x:v>79</x:v>
      </x:c>
      <x:c r="B393" s="15" t="str">
        <x:v>University of Indonesia</x:v>
      </x:c>
      <x:c r="C393" s="15" t="str">
        <x:v>Indonesia</x:v>
      </x:c>
      <x:c r="D393" s="15" t="str">
        <x:v>Master of Environmental Science</x:v>
      </x:c>
      <x:c r="E393" s="32" t="n">
        <x:v>2026</x:v>
      </x:c>
      <x:c r="F393" s="32" t="str">
        <x:v>189</x:v>
      </x:c>
      <x:c r="G393" s="36" t="n">
        <x:v>57</x:v>
      </x:c>
      <x:c r="H393" s="15" t="str">
        <x:v>Published rank retained</x:v>
      </x:c>
      <x:c r="I393" s="15" t="str">
        <x:v>Universitas Indonesia</x:v>
      </x:c>
      <x:c r="J393" s="31" t="str">
        <x:v>https://www.topuniversities.com/universities/universitas-indonesia</x:v>
      </x:c>
      <x:c r="K393" s="31" t="str">
        <x:v>https://www.topuniversities.com/world-university-rankings/2026</x:v>
      </x:c>
      <x:c r="L393" s="31" t="str">
        <x:v>https://sil.ui.ac.id/en/master-of-environmental-science/</x:v>
      </x:c>
    </x:row>
    <x:row r="394">
      <x:c r="A394" s="15" t="n">
        <x:v>79</x:v>
      </x:c>
      <x:c r="B394" s="15" t="str">
        <x:v>University of Indonesia</x:v>
      </x:c>
      <x:c r="C394" s="15" t="str">
        <x:v>Indonesia</x:v>
      </x:c>
      <x:c r="D394" s="15" t="str">
        <x:v>Master of Environmental Science</x:v>
      </x:c>
      <x:c r="E394" s="32" t="n">
        <x:v>2027</x:v>
      </x:c>
      <x:c r="F394" s="32" t="n">
        <x:f>191</x:f>
        <x:v>191</x:v>
      </x:c>
      <x:c r="G394" s="36" t="n">
        <x:v>56.7</x:v>
      </x:c>
      <x:c r="H394" s="15" t="str">
        <x:v>Published rank retained</x:v>
      </x:c>
      <x:c r="I394" s="15" t="str">
        <x:v>Universitas Indonesia</x:v>
      </x:c>
      <x:c r="J394" s="31" t="str">
        <x:v>https://www.topuniversities.com/universities/universitas-indonesia</x:v>
      </x:c>
      <x:c r="K394" s="31" t="str">
        <x:v>https://www.topuniversities.com/world-university-rankings</x:v>
      </x:c>
      <x:c r="L394" s="31" t="str">
        <x:v>https://sil.ui.ac.id/en/master-of-environmental-science/</x:v>
      </x:c>
    </x:row>
    <x:row r="395">
      <x:c r="A395" s="15" t="n">
        <x:v>80</x:v>
      </x:c>
      <x:c r="B395" s="15" t="str">
        <x:v>An-Najah National University</x:v>
      </x:c>
      <x:c r="C395" s="15" t="str">
        <x:v>Palestine</x:v>
      </x:c>
      <x:c r="D395" s="15" t="str">
        <x:v>MSc Environmental Sciences</x:v>
      </x:c>
      <x:c r="E395" s="32" t="n">
        <x:v>2023</x:v>
      </x:c>
      <x:c r="F395" s="32" t="str">
        <x:v>200+</x:v>
      </x:c>
      <x:c r="G395" s="36"/>
      <x:c r="H395" s="15" t="str">
        <x:v>Beyond collected top 200</x:v>
      </x:c>
      <x:c r="I395" s="15" t="str"/>
      <x:c r="J395" s="31" t="str"/>
      <x:c r="K395" s="31" t="str">
        <x:v>https://www.topuniversities.com/world-university-rankings/2023</x:v>
      </x:c>
      <x:c r="L395" s="31" t="str">
        <x:v>https://www.najah.edu/en/academic/postgraduate-programs/program/environmental-sciences/info-card/</x:v>
      </x:c>
    </x:row>
    <x:row r="396">
      <x:c r="A396" s="15" t="n">
        <x:v>80</x:v>
      </x:c>
      <x:c r="B396" s="15" t="str">
        <x:v>An-Najah National University</x:v>
      </x:c>
      <x:c r="C396" s="15" t="str">
        <x:v>Palestine</x:v>
      </x:c>
      <x:c r="D396" s="15" t="str">
        <x:v>MSc Environmental Sciences</x:v>
      </x:c>
      <x:c r="E396" s="32" t="n">
        <x:v>2024</x:v>
      </x:c>
      <x:c r="F396" s="32" t="str">
        <x:v>200+</x:v>
      </x:c>
      <x:c r="G396" s="36"/>
      <x:c r="H396" s="15" t="str">
        <x:v>Beyond collected top 200</x:v>
      </x:c>
      <x:c r="I396" s="15" t="str"/>
      <x:c r="J396" s="31" t="str"/>
      <x:c r="K396" s="31" t="str">
        <x:v>https://www.topuniversities.com/world-university-rankings/2024</x:v>
      </x:c>
      <x:c r="L396" s="31" t="str">
        <x:v>https://www.najah.edu/en/academic/postgraduate-programs/program/environmental-sciences/info-card/</x:v>
      </x:c>
    </x:row>
    <x:row r="397">
      <x:c r="A397" s="15" t="n">
        <x:v>80</x:v>
      </x:c>
      <x:c r="B397" s="15" t="str">
        <x:v>An-Najah National University</x:v>
      </x:c>
      <x:c r="C397" s="15" t="str">
        <x:v>Palestine</x:v>
      </x:c>
      <x:c r="D397" s="15" t="str">
        <x:v>MSc Environmental Sciences</x:v>
      </x:c>
      <x:c r="E397" s="32" t="n">
        <x:v>2025</x:v>
      </x:c>
      <x:c r="F397" s="32" t="str">
        <x:v>200+</x:v>
      </x:c>
      <x:c r="G397" s="36"/>
      <x:c r="H397" s="15" t="str">
        <x:v>Published beyond rank 200; exact value intentionally suppressed</x:v>
      </x:c>
      <x:c r="I397" s="15" t="str">
        <x:v>An-Najah National University</x:v>
      </x:c>
      <x:c r="J397" s="31" t="str">
        <x:v>https://www.topuniversities.com/universities/najah-national-university</x:v>
      </x:c>
      <x:c r="K397" s="31" t="str">
        <x:v>https://www.topuniversities.com/world-university-rankings/2025</x:v>
      </x:c>
      <x:c r="L397" s="31" t="str">
        <x:v>https://www.najah.edu/en/academic/postgraduate-programs/program/environmental-sciences/info-card/</x:v>
      </x:c>
    </x:row>
    <x:row r="398">
      <x:c r="A398" s="15" t="n">
        <x:v>80</x:v>
      </x:c>
      <x:c r="B398" s="15" t="str">
        <x:v>An-Najah National University</x:v>
      </x:c>
      <x:c r="C398" s="15" t="str">
        <x:v>Palestine</x:v>
      </x:c>
      <x:c r="D398" s="15" t="str">
        <x:v>MSc Environmental Sciences</x:v>
      </x:c>
      <x:c r="E398" s="32" t="n">
        <x:v>2026</x:v>
      </x:c>
      <x:c r="F398" s="32" t="str">
        <x:v>200+</x:v>
      </x:c>
      <x:c r="G398" s="36"/>
      <x:c r="H398" s="15" t="str">
        <x:v>Published beyond rank 200; exact value intentionally suppressed</x:v>
      </x:c>
      <x:c r="I398" s="15" t="str">
        <x:v>An-Najah National University</x:v>
      </x:c>
      <x:c r="J398" s="31" t="str">
        <x:v>https://www.topuniversities.com/universities/najah-national-university</x:v>
      </x:c>
      <x:c r="K398" s="31" t="str">
        <x:v>https://www.topuniversities.com/world-university-rankings/2026</x:v>
      </x:c>
      <x:c r="L398" s="31" t="str">
        <x:v>https://www.najah.edu/en/academic/postgraduate-programs/program/environmental-sciences/info-card/</x:v>
      </x:c>
    </x:row>
    <x:row r="399">
      <x:c r="A399" s="15" t="n">
        <x:v>80</x:v>
      </x:c>
      <x:c r="B399" s="15" t="str">
        <x:v>An-Najah National University</x:v>
      </x:c>
      <x:c r="C399" s="15" t="str">
        <x:v>Palestine</x:v>
      </x:c>
      <x:c r="D399" s="15" t="str">
        <x:v>MSc Environmental Sciences</x:v>
      </x:c>
      <x:c r="E399" s="32" t="n">
        <x:v>2027</x:v>
      </x:c>
      <x:c r="F399" s="32" t="str">
        <x:v>200+</x:v>
      </x:c>
      <x:c r="G399" s="36"/>
      <x:c r="H399" s="15" t="str">
        <x:v>Published beyond rank 200; exact value intentionally suppressed</x:v>
      </x:c>
      <x:c r="I399" s="15" t="str">
        <x:v>An-Najah National University</x:v>
      </x:c>
      <x:c r="J399" s="31" t="str">
        <x:v>https://www.topuniversities.com/universities/najah-national-university</x:v>
      </x:c>
      <x:c r="K399" s="31" t="str">
        <x:v>https://www.topuniversities.com/world-university-rankings</x:v>
      </x:c>
      <x:c r="L399" s="31" t="str">
        <x:v>https://www.najah.edu/en/academic/postgraduate-programs/program/environmental-sciences/info-card/</x:v>
      </x:c>
    </x:row>
    <x:row r="400">
      <x:c r="A400" s="15" t="n">
        <x:v>81</x:v>
      </x:c>
      <x:c r="B400" s="15" t="str">
        <x:v>Arizona State University (Tempe)</x:v>
      </x:c>
      <x:c r="C400" s="15" t="str">
        <x:v>United States</x:v>
      </x:c>
      <x:c r="D400" s="15" t="str">
        <x:v>Master of Sustainability Solutions</x:v>
      </x:c>
      <x:c r="E400" s="32" t="n">
        <x:v>2023</x:v>
      </x:c>
      <x:c r="F400" s="32" t="str">
        <x:v>200+</x:v>
      </x:c>
      <x:c r="G400" s="36"/>
      <x:c r="H400" s="15" t="str">
        <x:v>Published beyond rank 200; exact value intentionally suppressed</x:v>
      </x:c>
      <x:c r="I400" s="15" t="str">
        <x:v>Arizona State University</x:v>
      </x:c>
      <x:c r="J400" s="31" t="str">
        <x:v>https://www.topuniversities.com/universities/arizona-state-university</x:v>
      </x:c>
      <x:c r="K400" s="31" t="str">
        <x:v>https://www.topuniversities.com/world-university-rankings/2023</x:v>
      </x:c>
      <x:c r="L400" s="31" t="str">
        <x:v>https://degrees.apps.asu.edu/masters-phd/major/ASU00/SUSUSOMSUS/sustainability-solutions-msus?init=false&amp;nopassive=true</x:v>
      </x:c>
    </x:row>
    <x:row r="401">
      <x:c r="A401" s="15" t="n">
        <x:v>81</x:v>
      </x:c>
      <x:c r="B401" s="15" t="str">
        <x:v>Arizona State University (Tempe)</x:v>
      </x:c>
      <x:c r="C401" s="15" t="str">
        <x:v>United States</x:v>
      </x:c>
      <x:c r="D401" s="15" t="str">
        <x:v>Master of Sustainability Solutions</x:v>
      </x:c>
      <x:c r="E401" s="32" t="n">
        <x:v>2024</x:v>
      </x:c>
      <x:c r="F401" s="32" t="str">
        <x:v>179</x:v>
      </x:c>
      <x:c r="G401" s="36" t="n">
        <x:v>48.1</x:v>
      </x:c>
      <x:c r="H401" s="15" t="str">
        <x:v>Published rank retained</x:v>
      </x:c>
      <x:c r="I401" s="15" t="str">
        <x:v>Arizona State University</x:v>
      </x:c>
      <x:c r="J401" s="31" t="str">
        <x:v>https://www.topuniversities.com/universities/arizona-state-university</x:v>
      </x:c>
      <x:c r="K401" s="31" t="str">
        <x:v>https://www.topuniversities.com/world-university-rankings/2024</x:v>
      </x:c>
      <x:c r="L401" s="31" t="str">
        <x:v>https://degrees.apps.asu.edu/masters-phd/major/ASU00/SUSUSOMSUS/sustainability-solutions-msus?init=false&amp;nopassive=true</x:v>
      </x:c>
    </x:row>
    <x:row r="402">
      <x:c r="A402" s="15" t="n">
        <x:v>81</x:v>
      </x:c>
      <x:c r="B402" s="15" t="str">
        <x:v>Arizona State University (Tempe)</x:v>
      </x:c>
      <x:c r="C402" s="15" t="str">
        <x:v>United States</x:v>
      </x:c>
      <x:c r="D402" s="15" t="str">
        <x:v>Master of Sustainability Solutions</x:v>
      </x:c>
      <x:c r="E402" s="32" t="n">
        <x:v>2025</x:v>
      </x:c>
      <x:c r="F402" s="32" t="n">
        <x:f>200</x:f>
        <x:v>200</x:v>
      </x:c>
      <x:c r="G402" s="36" t="n">
        <x:v>46.2</x:v>
      </x:c>
      <x:c r="H402" s="15" t="str">
        <x:v>Published rank retained</x:v>
      </x:c>
      <x:c r="I402" s="15" t="str">
        <x:v>Arizona State University</x:v>
      </x:c>
      <x:c r="J402" s="31" t="str">
        <x:v>https://www.topuniversities.com/universities/arizona-state-university</x:v>
      </x:c>
      <x:c r="K402" s="31" t="str">
        <x:v>https://www.topuniversities.com/world-university-rankings/2025</x:v>
      </x:c>
      <x:c r="L402" s="31" t="str">
        <x:v>https://degrees.apps.asu.edu/masters-phd/major/ASU00/SUSUSOMSUS/sustainability-solutions-msus?init=false&amp;nopassive=true</x:v>
      </x:c>
    </x:row>
    <x:row r="403">
      <x:c r="A403" s="15" t="n">
        <x:v>81</x:v>
      </x:c>
      <x:c r="B403" s="15" t="str">
        <x:v>Arizona State University (Tempe)</x:v>
      </x:c>
      <x:c r="C403" s="15" t="str">
        <x:v>United States</x:v>
      </x:c>
      <x:c r="D403" s="15" t="str">
        <x:v>Master of Sustainability Solutions</x:v>
      </x:c>
      <x:c r="E403" s="32" t="n">
        <x:v>2026</x:v>
      </x:c>
      <x:c r="F403" s="32" t="n">
        <x:f>173</x:f>
        <x:v>173</x:v>
      </x:c>
      <x:c r="G403" s="36" t="n">
        <x:v>59.1</x:v>
      </x:c>
      <x:c r="H403" s="15" t="str">
        <x:v>Published rank retained</x:v>
      </x:c>
      <x:c r="I403" s="15" t="str">
        <x:v>Arizona State University</x:v>
      </x:c>
      <x:c r="J403" s="31" t="str">
        <x:v>https://www.topuniversities.com/universities/arizona-state-university</x:v>
      </x:c>
      <x:c r="K403" s="31" t="str">
        <x:v>https://www.topuniversities.com/world-university-rankings/2026</x:v>
      </x:c>
      <x:c r="L403" s="31" t="str">
        <x:v>https://degrees.apps.asu.edu/masters-phd/major/ASU00/SUSUSOMSUS/sustainability-solutions-msus?init=false&amp;nopassive=true</x:v>
      </x:c>
    </x:row>
    <x:row r="404">
      <x:c r="A404" s="15" t="n">
        <x:v>81</x:v>
      </x:c>
      <x:c r="B404" s="15" t="str">
        <x:v>Arizona State University (Tempe)</x:v>
      </x:c>
      <x:c r="C404" s="15" t="str">
        <x:v>United States</x:v>
      </x:c>
      <x:c r="D404" s="15" t="str">
        <x:v>Master of Sustainability Solutions</x:v>
      </x:c>
      <x:c r="E404" s="32" t="n">
        <x:v>2027</x:v>
      </x:c>
      <x:c r="F404" s="32" t="str">
        <x:v>172</x:v>
      </x:c>
      <x:c r="G404" s="36" t="n">
        <x:v>58.4</x:v>
      </x:c>
      <x:c r="H404" s="15" t="str">
        <x:v>Published rank retained</x:v>
      </x:c>
      <x:c r="I404" s="15" t="str">
        <x:v>Arizona State University</x:v>
      </x:c>
      <x:c r="J404" s="31" t="str">
        <x:v>https://www.topuniversities.com/universities/arizona-state-university</x:v>
      </x:c>
      <x:c r="K404" s="31" t="str">
        <x:v>https://www.topuniversities.com/world-university-rankings</x:v>
      </x:c>
      <x:c r="L404" s="31" t="str">
        <x:v>https://degrees.apps.asu.edu/masters-phd/major/ASU00/SUSUSOMSUS/sustainability-solutions-msus?init=false&amp;nopassive=true</x:v>
      </x:c>
    </x:row>
    <x:row r="405">
      <x:c r="A405" s="15" t="n">
        <x:v>82</x:v>
      </x:c>
      <x:c r="B405" s="15" t="str">
        <x:v>King Faisal University</x:v>
      </x:c>
      <x:c r="C405" s="15" t="str">
        <x:v>Saudi Arabia</x:v>
      </x:c>
      <x:c r="D405" s="15" t="str">
        <x:v>MSc Agricultural Systems Engineering - Environmental Systems discipline</x:v>
      </x:c>
      <x:c r="E405" s="32" t="n">
        <x:v>2023</x:v>
      </x:c>
      <x:c r="F405" s="32" t="str">
        <x:v>200+</x:v>
      </x:c>
      <x:c r="G405" s="36"/>
      <x:c r="H405" s="15" t="str">
        <x:v>Beyond collected top 200</x:v>
      </x:c>
      <x:c r="I405" s="15" t="str"/>
      <x:c r="J405" s="31" t="str"/>
      <x:c r="K405" s="31" t="str">
        <x:v>https://www.topuniversities.com/world-university-rankings/2023</x:v>
      </x:c>
      <x:c r="L405" s="31" t="str">
        <x:v>https://www.kfu.edu.sa/ar/Deans/HigherStudies/Documents/custompages/studyplans/MSc_Agriculture_Engineering_Information.pdf</x:v>
      </x:c>
    </x:row>
    <x:row r="406">
      <x:c r="A406" s="15" t="n">
        <x:v>82</x:v>
      </x:c>
      <x:c r="B406" s="15" t="str">
        <x:v>King Faisal University</x:v>
      </x:c>
      <x:c r="C406" s="15" t="str">
        <x:v>Saudi Arabia</x:v>
      </x:c>
      <x:c r="D406" s="15" t="str">
        <x:v>MSc Agricultural Systems Engineering - Environmental Systems discipline</x:v>
      </x:c>
      <x:c r="E406" s="32" t="n">
        <x:v>2024</x:v>
      </x:c>
      <x:c r="F406" s="32" t="str">
        <x:v>200+</x:v>
      </x:c>
      <x:c r="G406" s="36"/>
      <x:c r="H406" s="15" t="str">
        <x:v>Beyond collected top 200</x:v>
      </x:c>
      <x:c r="I406" s="15" t="str"/>
      <x:c r="J406" s="31" t="str"/>
      <x:c r="K406" s="31" t="str">
        <x:v>https://www.topuniversities.com/world-university-rankings/2024</x:v>
      </x:c>
      <x:c r="L406" s="31" t="str">
        <x:v>https://www.kfu.edu.sa/ar/Deans/HigherStudies/Documents/custompages/studyplans/MSc_Agriculture_Engineering_Information.pdf</x:v>
      </x:c>
    </x:row>
    <x:row r="407">
      <x:c r="A407" s="15" t="n">
        <x:v>82</x:v>
      </x:c>
      <x:c r="B407" s="15" t="str">
        <x:v>King Faisal University</x:v>
      </x:c>
      <x:c r="C407" s="15" t="str">
        <x:v>Saudi Arabia</x:v>
      </x:c>
      <x:c r="D407" s="15" t="str">
        <x:v>MSc Agricultural Systems Engineering - Environmental Systems discipline</x:v>
      </x:c>
      <x:c r="E407" s="32" t="n">
        <x:v>2025</x:v>
      </x:c>
      <x:c r="F407" s="32" t="str">
        <x:v>200+</x:v>
      </x:c>
      <x:c r="G407" s="36"/>
      <x:c r="H407" s="15" t="str">
        <x:v>Published beyond rank 200; exact value intentionally suppressed</x:v>
      </x:c>
      <x:c r="I407" s="15" t="str">
        <x:v>King Faisal University</x:v>
      </x:c>
      <x:c r="J407" s="31" t="str">
        <x:v>https://www.topuniversities.com/universities/king-faisal-university</x:v>
      </x:c>
      <x:c r="K407" s="31" t="str">
        <x:v>https://www.topuniversities.com/world-university-rankings/2025</x:v>
      </x:c>
      <x:c r="L407" s="31" t="str">
        <x:v>https://www.kfu.edu.sa/ar/Deans/HigherStudies/Documents/custompages/studyplans/MSc_Agriculture_Engineering_Information.pdf</x:v>
      </x:c>
    </x:row>
    <x:row r="408">
      <x:c r="A408" s="15" t="n">
        <x:v>82</x:v>
      </x:c>
      <x:c r="B408" s="15" t="str">
        <x:v>King Faisal University</x:v>
      </x:c>
      <x:c r="C408" s="15" t="str">
        <x:v>Saudi Arabia</x:v>
      </x:c>
      <x:c r="D408" s="15" t="str">
        <x:v>MSc Agricultural Systems Engineering - Environmental Systems discipline</x:v>
      </x:c>
      <x:c r="E408" s="32" t="n">
        <x:v>2026</x:v>
      </x:c>
      <x:c r="F408" s="32" t="str">
        <x:v>200+</x:v>
      </x:c>
      <x:c r="G408" s="36"/>
      <x:c r="H408" s="15" t="str">
        <x:v>Published beyond rank 200; exact value intentionally suppressed</x:v>
      </x:c>
      <x:c r="I408" s="15" t="str">
        <x:v>King Faisal University</x:v>
      </x:c>
      <x:c r="J408" s="31" t="str">
        <x:v>https://www.topuniversities.com/universities/king-faisal-university</x:v>
      </x:c>
      <x:c r="K408" s="31" t="str">
        <x:v>https://www.topuniversities.com/world-university-rankings/2026</x:v>
      </x:c>
      <x:c r="L408" s="31" t="str">
        <x:v>https://www.kfu.edu.sa/ar/Deans/HigherStudies/Documents/custompages/studyplans/MSc_Agriculture_Engineering_Information.pdf</x:v>
      </x:c>
    </x:row>
    <x:row r="409">
      <x:c r="A409" s="15" t="n">
        <x:v>82</x:v>
      </x:c>
      <x:c r="B409" s="15" t="str">
        <x:v>King Faisal University</x:v>
      </x:c>
      <x:c r="C409" s="15" t="str">
        <x:v>Saudi Arabia</x:v>
      </x:c>
      <x:c r="D409" s="15" t="str">
        <x:v>MSc Agricultural Systems Engineering - Environmental Systems discipline</x:v>
      </x:c>
      <x:c r="E409" s="32" t="n">
        <x:v>2027</x:v>
      </x:c>
      <x:c r="F409" s="32" t="str">
        <x:v>200+</x:v>
      </x:c>
      <x:c r="G409" s="36"/>
      <x:c r="H409" s="15" t="str">
        <x:v>Published beyond rank 200; exact value intentionally suppressed</x:v>
      </x:c>
      <x:c r="I409" s="15" t="str">
        <x:v>King Faisal University</x:v>
      </x:c>
      <x:c r="J409" s="31" t="str">
        <x:v>https://www.topuniversities.com/universities/king-faisal-university</x:v>
      </x:c>
      <x:c r="K409" s="31" t="str">
        <x:v>https://www.topuniversities.com/world-university-rankings</x:v>
      </x:c>
      <x:c r="L409" s="31" t="str">
        <x:v>https://www.kfu.edu.sa/ar/Deans/HigherStudies/Documents/custompages/studyplans/MSc_Agriculture_Engineering_Information.pdf</x:v>
      </x:c>
    </x:row>
    <x:row r="410">
      <x:c r="A410" s="15" t="n">
        <x:v>83</x:v>
      </x:c>
      <x:c r="B410" s="15" t="str">
        <x:v>Flinders University</x:v>
      </x:c>
      <x:c r="C410" s="15" t="str">
        <x:v>Australia</x:v>
      </x:c>
      <x:c r="D410" s="15" t="str">
        <x:v>Master of Environmental Management and Sustainability</x:v>
      </x:c>
      <x:c r="E410" s="32" t="n">
        <x:v>2023</x:v>
      </x:c>
      <x:c r="F410" s="32" t="str">
        <x:v>200+</x:v>
      </x:c>
      <x:c r="G410" s="36"/>
      <x:c r="H410" s="15" t="str">
        <x:v>Beyond collected top 200</x:v>
      </x:c>
      <x:c r="I410" s="15" t="str"/>
      <x:c r="J410" s="31" t="str"/>
      <x:c r="K410" s="31" t="str">
        <x:v>https://www.topuniversities.com/world-university-rankings/2023</x:v>
      </x:c>
      <x:c r="L410" s="31" t="str">
        <x:v>https://www.flinders.edu.au/study/courses/postgraduate-environmental-management-sustainability</x:v>
      </x:c>
    </x:row>
    <x:row r="411">
      <x:c r="A411" s="15" t="n">
        <x:v>83</x:v>
      </x:c>
      <x:c r="B411" s="15" t="str">
        <x:v>Flinders University</x:v>
      </x:c>
      <x:c r="C411" s="15" t="str">
        <x:v>Australia</x:v>
      </x:c>
      <x:c r="D411" s="15" t="str">
        <x:v>Master of Environmental Management and Sustainability</x:v>
      </x:c>
      <x:c r="E411" s="32" t="n">
        <x:v>2024</x:v>
      </x:c>
      <x:c r="F411" s="32" t="str">
        <x:v>200+</x:v>
      </x:c>
      <x:c r="G411" s="36"/>
      <x:c r="H411" s="15" t="str">
        <x:v>Beyond collected top 200</x:v>
      </x:c>
      <x:c r="I411" s="15" t="str"/>
      <x:c r="J411" s="31" t="str"/>
      <x:c r="K411" s="31" t="str">
        <x:v>https://www.topuniversities.com/world-university-rankings/2024</x:v>
      </x:c>
      <x:c r="L411" s="31" t="str">
        <x:v>https://www.flinders.edu.au/study/courses/postgraduate-environmental-management-sustainability</x:v>
      </x:c>
    </x:row>
    <x:row r="412">
      <x:c r="A412" s="15" t="n">
        <x:v>83</x:v>
      </x:c>
      <x:c r="B412" s="15" t="str">
        <x:v>Flinders University</x:v>
      </x:c>
      <x:c r="C412" s="15" t="str">
        <x:v>Australia</x:v>
      </x:c>
      <x:c r="D412" s="15" t="str">
        <x:v>Master of Environmental Management and Sustainability</x:v>
      </x:c>
      <x:c r="E412" s="32" t="n">
        <x:v>2025</x:v>
      </x:c>
      <x:c r="F412" s="32" t="str">
        <x:v>200+</x:v>
      </x:c>
      <x:c r="G412" s="36"/>
      <x:c r="H412" s="15" t="str">
        <x:v>Published beyond rank 200; exact value intentionally suppressed</x:v>
      </x:c>
      <x:c r="I412" s="15" t="str">
        <x:v>Flinders University</x:v>
      </x:c>
      <x:c r="J412" s="31" t="str">
        <x:v>https://www.topuniversities.com/universities/flinders-university</x:v>
      </x:c>
      <x:c r="K412" s="31" t="str">
        <x:v>https://www.topuniversities.com/world-university-rankings/2025</x:v>
      </x:c>
      <x:c r="L412" s="31" t="str">
        <x:v>https://www.flinders.edu.au/study/courses/postgraduate-environmental-management-sustainability</x:v>
      </x:c>
    </x:row>
    <x:row r="413">
      <x:c r="A413" s="15" t="n">
        <x:v>83</x:v>
      </x:c>
      <x:c r="B413" s="15" t="str">
        <x:v>Flinders University</x:v>
      </x:c>
      <x:c r="C413" s="15" t="str">
        <x:v>Australia</x:v>
      </x:c>
      <x:c r="D413" s="15" t="str">
        <x:v>Master of Environmental Management and Sustainability</x:v>
      </x:c>
      <x:c r="E413" s="32" t="n">
        <x:v>2026</x:v>
      </x:c>
      <x:c r="F413" s="32" t="str">
        <x:v>200+</x:v>
      </x:c>
      <x:c r="G413" s="36"/>
      <x:c r="H413" s="15" t="str">
        <x:v>Published beyond rank 200; exact value intentionally suppressed</x:v>
      </x:c>
      <x:c r="I413" s="15" t="str">
        <x:v>Flinders University</x:v>
      </x:c>
      <x:c r="J413" s="31" t="str">
        <x:v>https://www.topuniversities.com/universities/flinders-university</x:v>
      </x:c>
      <x:c r="K413" s="31" t="str">
        <x:v>https://www.topuniversities.com/world-university-rankings/2026</x:v>
      </x:c>
      <x:c r="L413" s="31" t="str">
        <x:v>https://www.flinders.edu.au/study/courses/postgraduate-environmental-management-sustainability</x:v>
      </x:c>
    </x:row>
    <x:row r="414">
      <x:c r="A414" s="15" t="n">
        <x:v>83</x:v>
      </x:c>
      <x:c r="B414" s="15" t="str">
        <x:v>Flinders University</x:v>
      </x:c>
      <x:c r="C414" s="15" t="str">
        <x:v>Australia</x:v>
      </x:c>
      <x:c r="D414" s="15" t="str">
        <x:v>Master of Environmental Management and Sustainability</x:v>
      </x:c>
      <x:c r="E414" s="32" t="n">
        <x:v>2027</x:v>
      </x:c>
      <x:c r="F414" s="32" t="str">
        <x:v>200+</x:v>
      </x:c>
      <x:c r="G414" s="36"/>
      <x:c r="H414" s="15" t="str">
        <x:v>Published beyond rank 200; exact value intentionally suppressed</x:v>
      </x:c>
      <x:c r="I414" s="15" t="str">
        <x:v>Flinders University</x:v>
      </x:c>
      <x:c r="J414" s="31" t="str">
        <x:v>https://www.topuniversities.com/universities/flinders-university</x:v>
      </x:c>
      <x:c r="K414" s="31" t="str">
        <x:v>https://www.topuniversities.com/world-university-rankings</x:v>
      </x:c>
      <x:c r="L414" s="31" t="str">
        <x:v>https://www.flinders.edu.au/study/courses/postgraduate-environmental-management-sustainability</x:v>
      </x:c>
    </x:row>
    <x:row r="415">
      <x:c r="A415" s="15" t="n">
        <x:v>84</x:v>
      </x:c>
      <x:c r="B415" s="15" t="str">
        <x:v>Amrita Vishwa Vidyapeetham</x:v>
      </x:c>
      <x:c r="C415" s="15" t="str">
        <x:v>India</x:v>
      </x:c>
      <x:c r="D415" s="15" t="str">
        <x:v>No standalone sustainability/environment master's confirmed</x:v>
      </x:c>
      <x:c r="E415" s="32" t="n">
        <x:v>2023</x:v>
      </x:c>
      <x:c r="F415" s="32" t="str">
        <x:v>200+</x:v>
      </x:c>
      <x:c r="G415" s="36"/>
      <x:c r="H415" s="15" t="str">
        <x:v>Beyond collected top 200</x:v>
      </x:c>
      <x:c r="I415" s="15" t="str"/>
      <x:c r="J415" s="31" t="str"/>
      <x:c r="K415" s="31" t="str">
        <x:v>https://www.topuniversities.com/world-university-rankings/2023</x:v>
      </x:c>
      <x:c r="L415" s="31" t="str">
        <x:v>https://www.amrita.edu/course/environmental-science-and-sustainability-6/</x:v>
      </x:c>
    </x:row>
    <x:row r="416">
      <x:c r="A416" s="15" t="n">
        <x:v>84</x:v>
      </x:c>
      <x:c r="B416" s="15" t="str">
        <x:v>Amrita Vishwa Vidyapeetham</x:v>
      </x:c>
      <x:c r="C416" s="15" t="str">
        <x:v>India</x:v>
      </x:c>
      <x:c r="D416" s="15" t="str">
        <x:v>No standalone sustainability/environment master's confirmed</x:v>
      </x:c>
      <x:c r="E416" s="32" t="n">
        <x:v>2024</x:v>
      </x:c>
      <x:c r="F416" s="32" t="str">
        <x:v>200+</x:v>
      </x:c>
      <x:c r="G416" s="36"/>
      <x:c r="H416" s="15" t="str">
        <x:v>Beyond collected top 200</x:v>
      </x:c>
      <x:c r="I416" s="15" t="str"/>
      <x:c r="J416" s="31" t="str"/>
      <x:c r="K416" s="31" t="str">
        <x:v>https://www.topuniversities.com/world-university-rankings/2024</x:v>
      </x:c>
      <x:c r="L416" s="31" t="str">
        <x:v>https://www.amrita.edu/course/environmental-science-and-sustainability-6/</x:v>
      </x:c>
    </x:row>
    <x:row r="417">
      <x:c r="A417" s="15" t="n">
        <x:v>84</x:v>
      </x:c>
      <x:c r="B417" s="15" t="str">
        <x:v>Amrita Vishwa Vidyapeetham</x:v>
      </x:c>
      <x:c r="C417" s="15" t="str">
        <x:v>India</x:v>
      </x:c>
      <x:c r="D417" s="15" t="str">
        <x:v>No standalone sustainability/environment master's confirmed</x:v>
      </x:c>
      <x:c r="E417" s="32" t="n">
        <x:v>2025</x:v>
      </x:c>
      <x:c r="F417" s="32" t="str">
        <x:v>200+</x:v>
      </x:c>
      <x:c r="G417" s="36"/>
      <x:c r="H417" s="15" t="str">
        <x:v>Published beyond rank 200; exact value intentionally suppressed</x:v>
      </x:c>
      <x:c r="I417" s="15" t="str">
        <x:v>Amrita Vishwa Vidyapeetham</x:v>
      </x:c>
      <x:c r="J417" s="31" t="str">
        <x:v>https://www.topuniversities.com/universities/amrita-vishwa-vidyapeetham</x:v>
      </x:c>
      <x:c r="K417" s="31" t="str">
        <x:v>https://www.topuniversities.com/world-university-rankings/2025</x:v>
      </x:c>
      <x:c r="L417" s="31" t="str">
        <x:v>https://www.amrita.edu/course/environmental-science-and-sustainability-6/</x:v>
      </x:c>
    </x:row>
    <x:row r="418">
      <x:c r="A418" s="15" t="n">
        <x:v>84</x:v>
      </x:c>
      <x:c r="B418" s="15" t="str">
        <x:v>Amrita Vishwa Vidyapeetham</x:v>
      </x:c>
      <x:c r="C418" s="15" t="str">
        <x:v>India</x:v>
      </x:c>
      <x:c r="D418" s="15" t="str">
        <x:v>No standalone sustainability/environment master's confirmed</x:v>
      </x:c>
      <x:c r="E418" s="32" t="n">
        <x:v>2026</x:v>
      </x:c>
      <x:c r="F418" s="32" t="str">
        <x:v>200+</x:v>
      </x:c>
      <x:c r="G418" s="36"/>
      <x:c r="H418" s="15" t="str">
        <x:v>Published beyond rank 200; exact value intentionally suppressed</x:v>
      </x:c>
      <x:c r="I418" s="15" t="str">
        <x:v>Amrita Vishwa Vidyapeetham</x:v>
      </x:c>
      <x:c r="J418" s="31" t="str">
        <x:v>https://www.topuniversities.com/universities/amrita-vishwa-vidyapeetham</x:v>
      </x:c>
      <x:c r="K418" s="31" t="str">
        <x:v>https://www.topuniversities.com/world-university-rankings/2026</x:v>
      </x:c>
      <x:c r="L418" s="31" t="str">
        <x:v>https://www.amrita.edu/course/environmental-science-and-sustainability-6/</x:v>
      </x:c>
    </x:row>
    <x:row r="419">
      <x:c r="A419" s="15" t="n">
        <x:v>84</x:v>
      </x:c>
      <x:c r="B419" s="15" t="str">
        <x:v>Amrita Vishwa Vidyapeetham</x:v>
      </x:c>
      <x:c r="C419" s="15" t="str">
        <x:v>India</x:v>
      </x:c>
      <x:c r="D419" s="15" t="str">
        <x:v>No standalone sustainability/environment master's confirmed</x:v>
      </x:c>
      <x:c r="E419" s="32" t="n">
        <x:v>2027</x:v>
      </x:c>
      <x:c r="F419" s="32" t="str">
        <x:v>200+</x:v>
      </x:c>
      <x:c r="G419" s="36"/>
      <x:c r="H419" s="15" t="str">
        <x:v>Published beyond rank 200; exact value intentionally suppressed</x:v>
      </x:c>
      <x:c r="I419" s="15" t="str">
        <x:v>Amrita Vishwa Vidyapeetham</x:v>
      </x:c>
      <x:c r="J419" s="31" t="str">
        <x:v>https://www.topuniversities.com/universities/amrita-vishwa-vidyapeetham</x:v>
      </x:c>
      <x:c r="K419" s="31" t="str">
        <x:v>https://www.topuniversities.com/world-university-rankings</x:v>
      </x:c>
      <x:c r="L419" s="31" t="str">
        <x:v>https://www.amrita.edu/course/environmental-science-and-sustainability-6/</x:v>
      </x:c>
    </x:row>
    <x:row r="420">
      <x:c r="A420" s="15" t="n">
        <x:v>85</x:v>
      </x:c>
      <x:c r="B420" s="15" t="str">
        <x:v>Queen's University Belfast</x:v>
      </x:c>
      <x:c r="C420" s="15" t="str">
        <x:v>United Kingdom</x:v>
      </x:c>
      <x:c r="D420" s="15" t="str">
        <x:v>MSc Leadership for Sustainable Development</x:v>
      </x:c>
      <x:c r="E420" s="32" t="n">
        <x:v>2023</x:v>
      </x:c>
      <x:c r="F420" s="32" t="str">
        <x:v>200+</x:v>
      </x:c>
      <x:c r="G420" s="36"/>
      <x:c r="H420" s="15" t="str">
        <x:v>Published beyond rank 200; exact value intentionally suppressed</x:v>
      </x:c>
      <x:c r="I420" s="15" t="str">
        <x:v>Queen's University Belfast</x:v>
      </x:c>
      <x:c r="J420" s="31" t="str">
        <x:v>https://www.topuniversities.com/universities/queens-university-belfast</x:v>
      </x:c>
      <x:c r="K420" s="31" t="str">
        <x:v>https://www.topuniversities.com/world-university-rankings/2023</x:v>
      </x:c>
      <x:c r="L420" s="31" t="str">
        <x:v>https://www.qub.ac.uk/courses/postgraduate-taught/leadership-sustainable-development-msc/</x:v>
      </x:c>
    </x:row>
    <x:row r="421">
      <x:c r="A421" s="15" t="n">
        <x:v>85</x:v>
      </x:c>
      <x:c r="B421" s="15" t="str">
        <x:v>Queen's University Belfast</x:v>
      </x:c>
      <x:c r="C421" s="15" t="str">
        <x:v>United Kingdom</x:v>
      </x:c>
      <x:c r="D421" s="15" t="str">
        <x:v>MSc Leadership for Sustainable Development</x:v>
      </x:c>
      <x:c r="E421" s="32" t="n">
        <x:v>2024</x:v>
      </x:c>
      <x:c r="F421" s="32" t="str">
        <x:v>200+</x:v>
      </x:c>
      <x:c r="G421" s="36"/>
      <x:c r="H421" s="15" t="str">
        <x:v>Published beyond rank 200; exact value intentionally suppressed</x:v>
      </x:c>
      <x:c r="I421" s="15" t="str">
        <x:v>Queen's University Belfast</x:v>
      </x:c>
      <x:c r="J421" s="31" t="str">
        <x:v>https://www.topuniversities.com/universities/queens-university-belfast</x:v>
      </x:c>
      <x:c r="K421" s="31" t="str">
        <x:v>https://www.topuniversities.com/world-university-rankings/2024</x:v>
      </x:c>
      <x:c r="L421" s="31" t="str">
        <x:v>https://www.qub.ac.uk/courses/postgraduate-taught/leadership-sustainable-development-msc/</x:v>
      </x:c>
    </x:row>
    <x:row r="422">
      <x:c r="A422" s="15" t="n">
        <x:v>85</x:v>
      </x:c>
      <x:c r="B422" s="15" t="str">
        <x:v>Queen's University Belfast</x:v>
      </x:c>
      <x:c r="C422" s="15" t="str">
        <x:v>United Kingdom</x:v>
      </x:c>
      <x:c r="D422" s="15" t="str">
        <x:v>MSc Leadership for Sustainable Development</x:v>
      </x:c>
      <x:c r="E422" s="32" t="n">
        <x:v>2025</x:v>
      </x:c>
      <x:c r="F422" s="32" t="str">
        <x:v>200+</x:v>
      </x:c>
      <x:c r="G422" s="36"/>
      <x:c r="H422" s="15" t="str">
        <x:v>Published beyond rank 200; exact value intentionally suppressed</x:v>
      </x:c>
      <x:c r="I422" s="15" t="str">
        <x:v>Queen's University Belfast</x:v>
      </x:c>
      <x:c r="J422" s="31" t="str">
        <x:v>https://www.topuniversities.com/universities/queens-university-belfast</x:v>
      </x:c>
      <x:c r="K422" s="31" t="str">
        <x:v>https://www.topuniversities.com/world-university-rankings/2025</x:v>
      </x:c>
      <x:c r="L422" s="31" t="str">
        <x:v>https://www.qub.ac.uk/courses/postgraduate-taught/leadership-sustainable-development-msc/</x:v>
      </x:c>
    </x:row>
    <x:row r="423">
      <x:c r="A423" s="15" t="n">
        <x:v>85</x:v>
      </x:c>
      <x:c r="B423" s="15" t="str">
        <x:v>Queen's University Belfast</x:v>
      </x:c>
      <x:c r="C423" s="15" t="str">
        <x:v>United Kingdom</x:v>
      </x:c>
      <x:c r="D423" s="15" t="str">
        <x:v>MSc Leadership for Sustainable Development</x:v>
      </x:c>
      <x:c r="E423" s="32" t="n">
        <x:v>2026</x:v>
      </x:c>
      <x:c r="F423" s="32" t="n">
        <x:f>199</x:f>
        <x:v>199</x:v>
      </x:c>
      <x:c r="G423" s="36" t="n">
        <x:v>55.7</x:v>
      </x:c>
      <x:c r="H423" s="15" t="str">
        <x:v>Published rank retained</x:v>
      </x:c>
      <x:c r="I423" s="15" t="str">
        <x:v>Queen's University Belfast</x:v>
      </x:c>
      <x:c r="J423" s="31" t="str">
        <x:v>https://www.topuniversities.com/universities/queens-university-belfast</x:v>
      </x:c>
      <x:c r="K423" s="31" t="str">
        <x:v>https://www.topuniversities.com/world-university-rankings/2026</x:v>
      </x:c>
      <x:c r="L423" s="31" t="str">
        <x:v>https://www.qub.ac.uk/courses/postgraduate-taught/leadership-sustainable-development-msc/</x:v>
      </x:c>
    </x:row>
    <x:row r="424">
      <x:c r="A424" s="15" t="n">
        <x:v>85</x:v>
      </x:c>
      <x:c r="B424" s="15" t="str">
        <x:v>Queen's University Belfast</x:v>
      </x:c>
      <x:c r="C424" s="15" t="str">
        <x:v>United Kingdom</x:v>
      </x:c>
      <x:c r="D424" s="15" t="str">
        <x:v>MSc Leadership for Sustainable Development</x:v>
      </x:c>
      <x:c r="E424" s="32" t="n">
        <x:v>2027</x:v>
      </x:c>
      <x:c r="F424" s="32" t="n">
        <x:f>174</x:f>
        <x:v>174</x:v>
      </x:c>
      <x:c r="G424" s="36" t="n">
        <x:v>58.2</x:v>
      </x:c>
      <x:c r="H424" s="15" t="str">
        <x:v>Published rank retained</x:v>
      </x:c>
      <x:c r="I424" s="15" t="str">
        <x:v>Queen's University Belfast</x:v>
      </x:c>
      <x:c r="J424" s="31" t="str">
        <x:v>https://www.topuniversities.com/universities/queens-university-belfast</x:v>
      </x:c>
      <x:c r="K424" s="31" t="str">
        <x:v>https://www.topuniversities.com/world-university-rankings</x:v>
      </x:c>
      <x:c r="L424" s="31" t="str">
        <x:v>https://www.qub.ac.uk/courses/postgraduate-taught/leadership-sustainable-development-msc/</x:v>
      </x:c>
    </x:row>
    <x:row r="425">
      <x:c r="A425" s="15" t="n">
        <x:v>86</x:v>
      </x:c>
      <x:c r="B425" s="15" t="str">
        <x:v>Near East University</x:v>
      </x:c>
      <x:c r="C425" s="15" t="str">
        <x:v>Northern Cyprus</x:v>
      </x:c>
      <x:c r="D425" s="15" t="str">
        <x:v>Master's in Environmental Education</x:v>
      </x:c>
      <x:c r="E425" s="32" t="n">
        <x:v>2023</x:v>
      </x:c>
      <x:c r="F425" s="32" t="str">
        <x:v>200+</x:v>
      </x:c>
      <x:c r="G425" s="36"/>
      <x:c r="H425" s="15" t="str">
        <x:v>Beyond collected top 200</x:v>
      </x:c>
      <x:c r="I425" s="15" t="str"/>
      <x:c r="J425" s="31" t="str"/>
      <x:c r="K425" s="31" t="str">
        <x:v>https://www.topuniversities.com/world-university-rankings/2023</x:v>
      </x:c>
      <x:c r="L425" s="31" t="str">
        <x:v>https://sustainability.neu.edu.tr/education/sustainability-programmes/</x:v>
      </x:c>
    </x:row>
    <x:row r="426">
      <x:c r="A426" s="15" t="n">
        <x:v>86</x:v>
      </x:c>
      <x:c r="B426" s="15" t="str">
        <x:v>Near East University</x:v>
      </x:c>
      <x:c r="C426" s="15" t="str">
        <x:v>Northern Cyprus</x:v>
      </x:c>
      <x:c r="D426" s="15" t="str">
        <x:v>Master's in Environmental Education</x:v>
      </x:c>
      <x:c r="E426" s="32" t="n">
        <x:v>2024</x:v>
      </x:c>
      <x:c r="F426" s="32" t="str">
        <x:v>200+</x:v>
      </x:c>
      <x:c r="G426" s="36"/>
      <x:c r="H426" s="15" t="str">
        <x:v>Beyond collected top 200</x:v>
      </x:c>
      <x:c r="I426" s="15" t="str"/>
      <x:c r="J426" s="31" t="str"/>
      <x:c r="K426" s="31" t="str">
        <x:v>https://www.topuniversities.com/world-university-rankings/2024</x:v>
      </x:c>
      <x:c r="L426" s="31" t="str">
        <x:v>https://sustainability.neu.edu.tr/education/sustainability-programmes/</x:v>
      </x:c>
    </x:row>
    <x:row r="427">
      <x:c r="A427" s="15" t="n">
        <x:v>86</x:v>
      </x:c>
      <x:c r="B427" s="15" t="str">
        <x:v>Near East University</x:v>
      </x:c>
      <x:c r="C427" s="15" t="str">
        <x:v>Northern Cyprus</x:v>
      </x:c>
      <x:c r="D427" s="15" t="str">
        <x:v>Master's in Environmental Education</x:v>
      </x:c>
      <x:c r="E427" s="32" t="n">
        <x:v>2025</x:v>
      </x:c>
      <x:c r="F427" s="32" t="str">
        <x:v>200+</x:v>
      </x:c>
      <x:c r="G427" s="36"/>
      <x:c r="H427" s="15" t="str">
        <x:v>Beyond collected top 200</x:v>
      </x:c>
      <x:c r="I427" s="15" t="str"/>
      <x:c r="J427" s="31" t="str"/>
      <x:c r="K427" s="31" t="str">
        <x:v>https://www.topuniversities.com/world-university-rankings/2025</x:v>
      </x:c>
      <x:c r="L427" s="31" t="str">
        <x:v>https://sustainability.neu.edu.tr/education/sustainability-programmes/</x:v>
      </x:c>
    </x:row>
    <x:row r="428">
      <x:c r="A428" s="15" t="n">
        <x:v>86</x:v>
      </x:c>
      <x:c r="B428" s="15" t="str">
        <x:v>Near East University</x:v>
      </x:c>
      <x:c r="C428" s="15" t="str">
        <x:v>Northern Cyprus</x:v>
      </x:c>
      <x:c r="D428" s="15" t="str">
        <x:v>Master's in Environmental Education</x:v>
      </x:c>
      <x:c r="E428" s="32" t="n">
        <x:v>2026</x:v>
      </x:c>
      <x:c r="F428" s="32" t="str">
        <x:v>200+</x:v>
      </x:c>
      <x:c r="G428" s="36"/>
      <x:c r="H428" s="15" t="str">
        <x:v>Beyond collected top 200</x:v>
      </x:c>
      <x:c r="I428" s="15" t="str"/>
      <x:c r="J428" s="31" t="str"/>
      <x:c r="K428" s="31" t="str">
        <x:v>https://www.topuniversities.com/world-university-rankings/2026</x:v>
      </x:c>
      <x:c r="L428" s="31" t="str">
        <x:v>https://sustainability.neu.edu.tr/education/sustainability-programmes/</x:v>
      </x:c>
    </x:row>
    <x:row r="429">
      <x:c r="A429" s="15" t="n">
        <x:v>86</x:v>
      </x:c>
      <x:c r="B429" s="15" t="str">
        <x:v>Near East University</x:v>
      </x:c>
      <x:c r="C429" s="15" t="str">
        <x:v>Northern Cyprus</x:v>
      </x:c>
      <x:c r="D429" s="15" t="str">
        <x:v>Master's in Environmental Education</x:v>
      </x:c>
      <x:c r="E429" s="32" t="n">
        <x:v>2027</x:v>
      </x:c>
      <x:c r="F429" s="32" t="str">
        <x:v>200+</x:v>
      </x:c>
      <x:c r="G429" s="36"/>
      <x:c r="H429" s="15" t="str">
        <x:v>Published beyond rank 200; exact value intentionally suppressed</x:v>
      </x:c>
      <x:c r="I429" s="15" t="str">
        <x:v>Near East University</x:v>
      </x:c>
      <x:c r="J429" s="31" t="str">
        <x:v>https://www.topuniversities.com/universities/near-east-university</x:v>
      </x:c>
      <x:c r="K429" s="31" t="str">
        <x:v>https://www.topuniversities.com/world-university-rankings</x:v>
      </x:c>
      <x:c r="L429" s="31" t="str">
        <x:v>https://sustainability.neu.edu.tr/education/sustainability-programmes/</x:v>
      </x:c>
    </x:row>
    <x:row r="430">
      <x:c r="A430" s="15" t="n">
        <x:v>87</x:v>
      </x:c>
      <x:c r="B430" s="15" t="str">
        <x:v>University of Johannesburg</x:v>
      </x:c>
      <x:c r="C430" s="15" t="str">
        <x:v>South Africa</x:v>
      </x:c>
      <x:c r="D430" s="15" t="str">
        <x:v>Master's in Sustainability Management</x:v>
      </x:c>
      <x:c r="E430" s="32" t="n">
        <x:v>2023</x:v>
      </x:c>
      <x:c r="F430" s="32" t="str">
        <x:v>200+</x:v>
      </x:c>
      <x:c r="G430" s="36"/>
      <x:c r="H430" s="15" t="str">
        <x:v>Beyond collected top 200</x:v>
      </x:c>
      <x:c r="I430" s="15" t="str"/>
      <x:c r="J430" s="31" t="str"/>
      <x:c r="K430" s="31" t="str">
        <x:v>https://www.topuniversities.com/world-university-rankings/2023</x:v>
      </x:c>
      <x:c r="L430" s="31" t="str">
        <x:v>https://www.uj.ac.za/university-courses/masters-in-sustainability-management/</x:v>
      </x:c>
    </x:row>
    <x:row r="431">
      <x:c r="A431" s="15" t="n">
        <x:v>87</x:v>
      </x:c>
      <x:c r="B431" s="15" t="str">
        <x:v>University of Johannesburg</x:v>
      </x:c>
      <x:c r="C431" s="15" t="str">
        <x:v>South Africa</x:v>
      </x:c>
      <x:c r="D431" s="15" t="str">
        <x:v>Master's in Sustainability Management</x:v>
      </x:c>
      <x:c r="E431" s="32" t="n">
        <x:v>2024</x:v>
      </x:c>
      <x:c r="F431" s="32" t="str">
        <x:v>200+</x:v>
      </x:c>
      <x:c r="G431" s="36"/>
      <x:c r="H431" s="15" t="str">
        <x:v>Beyond collected top 200</x:v>
      </x:c>
      <x:c r="I431" s="15" t="str"/>
      <x:c r="J431" s="31" t="str"/>
      <x:c r="K431" s="31" t="str">
        <x:v>https://www.topuniversities.com/world-university-rankings/2024</x:v>
      </x:c>
      <x:c r="L431" s="31" t="str">
        <x:v>https://www.uj.ac.za/university-courses/masters-in-sustainability-management/</x:v>
      </x:c>
    </x:row>
    <x:row r="432">
      <x:c r="A432" s="15" t="n">
        <x:v>87</x:v>
      </x:c>
      <x:c r="B432" s="15" t="str">
        <x:v>University of Johannesburg</x:v>
      </x:c>
      <x:c r="C432" s="15" t="str">
        <x:v>South Africa</x:v>
      </x:c>
      <x:c r="D432" s="15" t="str">
        <x:v>Master's in Sustainability Management</x:v>
      </x:c>
      <x:c r="E432" s="32" t="n">
        <x:v>2025</x:v>
      </x:c>
      <x:c r="F432" s="32" t="str">
        <x:v>200+</x:v>
      </x:c>
      <x:c r="G432" s="36"/>
      <x:c r="H432" s="15" t="str">
        <x:v>Published beyond rank 200; exact value intentionally suppressed</x:v>
      </x:c>
      <x:c r="I432" s="15" t="str">
        <x:v>University of Johannesburg</x:v>
      </x:c>
      <x:c r="J432" s="31" t="str">
        <x:v>https://www.topuniversities.com/universities/university-johannesburg</x:v>
      </x:c>
      <x:c r="K432" s="31" t="str">
        <x:v>https://www.topuniversities.com/world-university-rankings/2025</x:v>
      </x:c>
      <x:c r="L432" s="31" t="str">
        <x:v>https://www.uj.ac.za/university-courses/masters-in-sustainability-management/</x:v>
      </x:c>
    </x:row>
    <x:row r="433">
      <x:c r="A433" s="15" t="n">
        <x:v>87</x:v>
      </x:c>
      <x:c r="B433" s="15" t="str">
        <x:v>University of Johannesburg</x:v>
      </x:c>
      <x:c r="C433" s="15" t="str">
        <x:v>South Africa</x:v>
      </x:c>
      <x:c r="D433" s="15" t="str">
        <x:v>Master's in Sustainability Management</x:v>
      </x:c>
      <x:c r="E433" s="32" t="n">
        <x:v>2026</x:v>
      </x:c>
      <x:c r="F433" s="32" t="str">
        <x:v>200+</x:v>
      </x:c>
      <x:c r="G433" s="36"/>
      <x:c r="H433" s="15" t="str">
        <x:v>Published beyond rank 200; exact value intentionally suppressed</x:v>
      </x:c>
      <x:c r="I433" s="15" t="str">
        <x:v>University of Johannesburg</x:v>
      </x:c>
      <x:c r="J433" s="31" t="str">
        <x:v>https://www.topuniversities.com/universities/university-johannesburg</x:v>
      </x:c>
      <x:c r="K433" s="31" t="str">
        <x:v>https://www.topuniversities.com/world-university-rankings/2026</x:v>
      </x:c>
      <x:c r="L433" s="31" t="str">
        <x:v>https://www.uj.ac.za/university-courses/masters-in-sustainability-management/</x:v>
      </x:c>
    </x:row>
    <x:row r="434">
      <x:c r="A434" s="15" t="n">
        <x:v>87</x:v>
      </x:c>
      <x:c r="B434" s="15" t="str">
        <x:v>University of Johannesburg</x:v>
      </x:c>
      <x:c r="C434" s="15" t="str">
        <x:v>South Africa</x:v>
      </x:c>
      <x:c r="D434" s="15" t="str">
        <x:v>Master's in Sustainability Management</x:v>
      </x:c>
      <x:c r="E434" s="32" t="n">
        <x:v>2027</x:v>
      </x:c>
      <x:c r="F434" s="32" t="str">
        <x:v>200+</x:v>
      </x:c>
      <x:c r="G434" s="36"/>
      <x:c r="H434" s="15" t="str">
        <x:v>Published beyond rank 200; exact value intentionally suppressed</x:v>
      </x:c>
      <x:c r="I434" s="15" t="str">
        <x:v>University of Johannesburg</x:v>
      </x:c>
      <x:c r="J434" s="31" t="str">
        <x:v>https://www.topuniversities.com/universities/university-johannesburg</x:v>
      </x:c>
      <x:c r="K434" s="31" t="str">
        <x:v>https://www.topuniversities.com/world-university-rankings</x:v>
      </x:c>
      <x:c r="L434" s="31" t="str">
        <x:v>https://www.uj.ac.za/university-courses/masters-in-sustainability-management/</x:v>
      </x:c>
    </x:row>
    <x:row r="435">
      <x:c r="A435" s="15" t="n">
        <x:v>88</x:v>
      </x:c>
      <x:c r="B435" s="15" t="str">
        <x:v>Universitas Gadjah Mada</x:v>
      </x:c>
      <x:c r="C435" s="15" t="str">
        <x:v>Indonesia</x:v>
      </x:c>
      <x:c r="D435" s="15" t="str">
        <x:v>Master in Environmental Science</x:v>
      </x:c>
      <x:c r="E435" s="32" t="n">
        <x:v>2023</x:v>
      </x:c>
      <x:c r="F435" s="32" t="str">
        <x:v>200+</x:v>
      </x:c>
      <x:c r="G435" s="36"/>
      <x:c r="H435" s="15" t="str">
        <x:v>Published beyond rank 200; exact value intentionally suppressed</x:v>
      </x:c>
      <x:c r="I435" s="15" t="str">
        <x:v>Gadjah Mada University</x:v>
      </x:c>
      <x:c r="J435" s="31" t="str">
        <x:v>https://www.topuniversities.com/universities/gadjah-mada-university</x:v>
      </x:c>
      <x:c r="K435" s="31" t="str">
        <x:v>https://www.topuniversities.com/world-university-rankings/2023</x:v>
      </x:c>
      <x:c r="L435" s="31" t="str">
        <x:v>https://admissions.ugm.ac.id/v26/program-studi/magister-ilmu-lingkungan-master-in-environmental-science/</x:v>
      </x:c>
    </x:row>
    <x:row r="436">
      <x:c r="A436" s="15" t="n">
        <x:v>88</x:v>
      </x:c>
      <x:c r="B436" s="15" t="str">
        <x:v>Universitas Gadjah Mada</x:v>
      </x:c>
      <x:c r="C436" s="15" t="str">
        <x:v>Indonesia</x:v>
      </x:c>
      <x:c r="D436" s="15" t="str">
        <x:v>Master in Environmental Science</x:v>
      </x:c>
      <x:c r="E436" s="32" t="n">
        <x:v>2024</x:v>
      </x:c>
      <x:c r="F436" s="32" t="str">
        <x:v>200+</x:v>
      </x:c>
      <x:c r="G436" s="36"/>
      <x:c r="H436" s="15" t="str">
        <x:v>Published beyond rank 200; exact value intentionally suppressed</x:v>
      </x:c>
      <x:c r="I436" s="15" t="str">
        <x:v>Gadjah Mada University</x:v>
      </x:c>
      <x:c r="J436" s="31" t="str">
        <x:v>https://www.topuniversities.com/universities/gadjah-mada-university</x:v>
      </x:c>
      <x:c r="K436" s="31" t="str">
        <x:v>https://www.topuniversities.com/world-university-rankings/2024</x:v>
      </x:c>
      <x:c r="L436" s="31" t="str">
        <x:v>https://admissions.ugm.ac.id/v26/program-studi/magister-ilmu-lingkungan-master-in-environmental-science/</x:v>
      </x:c>
    </x:row>
    <x:row r="437">
      <x:c r="A437" s="15" t="n">
        <x:v>88</x:v>
      </x:c>
      <x:c r="B437" s="15" t="str">
        <x:v>Universitas Gadjah Mada</x:v>
      </x:c>
      <x:c r="C437" s="15" t="str">
        <x:v>Indonesia</x:v>
      </x:c>
      <x:c r="D437" s="15" t="str">
        <x:v>Master in Environmental Science</x:v>
      </x:c>
      <x:c r="E437" s="32" t="n">
        <x:v>2025</x:v>
      </x:c>
      <x:c r="F437" s="32" t="str">
        <x:v>200+</x:v>
      </x:c>
      <x:c r="G437" s="36"/>
      <x:c r="H437" s="15" t="str">
        <x:v>Published beyond rank 200; exact value intentionally suppressed</x:v>
      </x:c>
      <x:c r="I437" s="15" t="str">
        <x:v>Gadjah Mada University</x:v>
      </x:c>
      <x:c r="J437" s="31" t="str">
        <x:v>https://www.topuniversities.com/universities/gadjah-mada-university</x:v>
      </x:c>
      <x:c r="K437" s="31" t="str">
        <x:v>https://www.topuniversities.com/world-university-rankings/2025</x:v>
      </x:c>
      <x:c r="L437" s="31" t="str">
        <x:v>https://admissions.ugm.ac.id/v26/program-studi/magister-ilmu-lingkungan-master-in-environmental-science/</x:v>
      </x:c>
    </x:row>
    <x:row r="438">
      <x:c r="A438" s="15" t="n">
        <x:v>88</x:v>
      </x:c>
      <x:c r="B438" s="15" t="str">
        <x:v>Universitas Gadjah Mada</x:v>
      </x:c>
      <x:c r="C438" s="15" t="str">
        <x:v>Indonesia</x:v>
      </x:c>
      <x:c r="D438" s="15" t="str">
        <x:v>Master in Environmental Science</x:v>
      </x:c>
      <x:c r="E438" s="32" t="n">
        <x:v>2026</x:v>
      </x:c>
      <x:c r="F438" s="32" t="str">
        <x:v>200+</x:v>
      </x:c>
      <x:c r="G438" s="36"/>
      <x:c r="H438" s="15" t="str">
        <x:v>Published beyond rank 200; exact value intentionally suppressed</x:v>
      </x:c>
      <x:c r="I438" s="15" t="str">
        <x:v>Gadjah Mada University</x:v>
      </x:c>
      <x:c r="J438" s="31" t="str">
        <x:v>https://www.topuniversities.com/universities/gadjah-mada-university</x:v>
      </x:c>
      <x:c r="K438" s="31" t="str">
        <x:v>https://www.topuniversities.com/world-university-rankings/2026</x:v>
      </x:c>
      <x:c r="L438" s="31" t="str">
        <x:v>https://admissions.ugm.ac.id/v26/program-studi/magister-ilmu-lingkungan-master-in-environmental-science/</x:v>
      </x:c>
    </x:row>
    <x:row r="439">
      <x:c r="A439" s="15" t="n">
        <x:v>88</x:v>
      </x:c>
      <x:c r="B439" s="15" t="str">
        <x:v>Universitas Gadjah Mada</x:v>
      </x:c>
      <x:c r="C439" s="15" t="str">
        <x:v>Indonesia</x:v>
      </x:c>
      <x:c r="D439" s="15" t="str">
        <x:v>Master in Environmental Science</x:v>
      </x:c>
      <x:c r="E439" s="32" t="n">
        <x:v>2027</x:v>
      </x:c>
      <x:c r="F439" s="32" t="str">
        <x:v>200+</x:v>
      </x:c>
      <x:c r="G439" s="36"/>
      <x:c r="H439" s="15" t="str">
        <x:v>Published beyond rank 200; exact value intentionally suppressed</x:v>
      </x:c>
      <x:c r="I439" s="15" t="str">
        <x:v>Gadjah Mada University</x:v>
      </x:c>
      <x:c r="J439" s="31" t="str">
        <x:v>https://www.topuniversities.com/universities/gadjah-mada-university</x:v>
      </x:c>
      <x:c r="K439" s="31" t="str">
        <x:v>https://www.topuniversities.com/world-university-rankings</x:v>
      </x:c>
      <x:c r="L439" s="31" t="str">
        <x:v>https://admissions.ugm.ac.id/v26/program-studi/magister-ilmu-lingkungan-master-in-environmental-science/</x:v>
      </x:c>
    </x:row>
    <x:row r="440">
      <x:c r="A440" s="15" t="n">
        <x:v>89</x:v>
      </x:c>
      <x:c r="B440" s="15" t="str">
        <x:v>University of Wollongong</x:v>
      </x:c>
      <x:c r="C440" s="15" t="str">
        <x:v>Australia</x:v>
      </x:c>
      <x:c r="D440" s="15" t="str">
        <x:v>Master of Earth and Environmental Sciences</x:v>
      </x:c>
      <x:c r="E440" s="32" t="n">
        <x:v>2023</x:v>
      </x:c>
      <x:c r="F440" s="32" t="n">
        <x:f>185</x:f>
        <x:v>185</x:v>
      </x:c>
      <x:c r="G440" s="36" t="n">
        <x:v>45.4</x:v>
      </x:c>
      <x:c r="H440" s="15" t="str">
        <x:v>Published rank retained</x:v>
      </x:c>
      <x:c r="I440" s="15" t="str">
        <x:v>University of Wollongong</x:v>
      </x:c>
      <x:c r="J440" s="31" t="str">
        <x:v>https://www.topuniversities.com/universities/university-wollongong</x:v>
      </x:c>
      <x:c r="K440" s="31" t="str">
        <x:v>https://www.topuniversities.com/world-university-rankings/2023</x:v>
      </x:c>
      <x:c r="L440" s="31" t="str">
        <x:v>https://www.uow.edu.au/study/courses/master-of-earth-and-environmental-sciences/</x:v>
      </x:c>
    </x:row>
    <x:row r="441">
      <x:c r="A441" s="15" t="n">
        <x:v>89</x:v>
      </x:c>
      <x:c r="B441" s="15" t="str">
        <x:v>University of Wollongong</x:v>
      </x:c>
      <x:c r="C441" s="15" t="str">
        <x:v>Australia</x:v>
      </x:c>
      <x:c r="D441" s="15" t="str">
        <x:v>Master of Earth and Environmental Sciences</x:v>
      </x:c>
      <x:c r="E441" s="32" t="n">
        <x:v>2024</x:v>
      </x:c>
      <x:c r="F441" s="32" t="str">
        <x:v>162</x:v>
      </x:c>
      <x:c r="G441" s="36" t="n">
        <x:v>50.1</x:v>
      </x:c>
      <x:c r="H441" s="15" t="str">
        <x:v>Published rank retained</x:v>
      </x:c>
      <x:c r="I441" s="15" t="str">
        <x:v>University of Wollongong</x:v>
      </x:c>
      <x:c r="J441" s="31" t="str">
        <x:v>https://www.topuniversities.com/universities/university-wollongong</x:v>
      </x:c>
      <x:c r="K441" s="31" t="str">
        <x:v>https://www.topuniversities.com/world-university-rankings/2024</x:v>
      </x:c>
      <x:c r="L441" s="31" t="str">
        <x:v>https://www.uow.edu.au/study/courses/master-of-earth-and-environmental-sciences/</x:v>
      </x:c>
    </x:row>
    <x:row r="442">
      <x:c r="A442" s="15" t="n">
        <x:v>89</x:v>
      </x:c>
      <x:c r="B442" s="15" t="str">
        <x:v>University of Wollongong</x:v>
      </x:c>
      <x:c r="C442" s="15" t="str">
        <x:v>Australia</x:v>
      </x:c>
      <x:c r="D442" s="15" t="str">
        <x:v>Master of Earth and Environmental Sciences</x:v>
      </x:c>
      <x:c r="E442" s="32" t="n">
        <x:v>2025</x:v>
      </x:c>
      <x:c r="F442" s="32" t="n">
        <x:f>167</x:f>
        <x:v>167</x:v>
      </x:c>
      <x:c r="G442" s="36" t="n">
        <x:v>50.3</x:v>
      </x:c>
      <x:c r="H442" s="15" t="str">
        <x:v>Published rank retained</x:v>
      </x:c>
      <x:c r="I442" s="15" t="str">
        <x:v>University of Wollongong</x:v>
      </x:c>
      <x:c r="J442" s="31" t="str">
        <x:v>https://www.topuniversities.com/universities/university-wollongong</x:v>
      </x:c>
      <x:c r="K442" s="31" t="str">
        <x:v>https://www.topuniversities.com/world-university-rankings/2025</x:v>
      </x:c>
      <x:c r="L442" s="31" t="str">
        <x:v>https://www.uow.edu.au/study/courses/master-of-earth-and-environmental-sciences/</x:v>
      </x:c>
    </x:row>
    <x:row r="443">
      <x:c r="A443" s="15" t="n">
        <x:v>89</x:v>
      </x:c>
      <x:c r="B443" s="15" t="str">
        <x:v>University of Wollongong</x:v>
      </x:c>
      <x:c r="C443" s="15" t="str">
        <x:v>Australia</x:v>
      </x:c>
      <x:c r="D443" s="15" t="str">
        <x:v>Master of Earth and Environmental Sciences</x:v>
      </x:c>
      <x:c r="E443" s="32" t="n">
        <x:v>2026</x:v>
      </x:c>
      <x:c r="F443" s="32" t="n">
        <x:f>184</x:f>
        <x:v>184</x:v>
      </x:c>
      <x:c r="G443" s="36" t="n">
        <x:v>57.5</x:v>
      </x:c>
      <x:c r="H443" s="15" t="str">
        <x:v>Published rank retained</x:v>
      </x:c>
      <x:c r="I443" s="15" t="str">
        <x:v>University of Wollongong</x:v>
      </x:c>
      <x:c r="J443" s="31" t="str">
        <x:v>https://www.topuniversities.com/universities/university-wollongong</x:v>
      </x:c>
      <x:c r="K443" s="31" t="str">
        <x:v>https://www.topuniversities.com/world-university-rankings/2026</x:v>
      </x:c>
      <x:c r="L443" s="31" t="str">
        <x:v>https://www.uow.edu.au/study/courses/master-of-earth-and-environmental-sciences/</x:v>
      </x:c>
    </x:row>
    <x:row r="444">
      <x:c r="A444" s="15" t="n">
        <x:v>89</x:v>
      </x:c>
      <x:c r="B444" s="15" t="str">
        <x:v>University of Wollongong</x:v>
      </x:c>
      <x:c r="C444" s="15" t="str">
        <x:v>Australia</x:v>
      </x:c>
      <x:c r="D444" s="15" t="str">
        <x:v>Master of Earth and Environmental Sciences</x:v>
      </x:c>
      <x:c r="E444" s="32" t="n">
        <x:v>2027</x:v>
      </x:c>
      <x:c r="F444" s="32" t="str">
        <x:v>195</x:v>
      </x:c>
      <x:c r="G444" s="36" t="n">
        <x:v>56.6</x:v>
      </x:c>
      <x:c r="H444" s="15" t="str">
        <x:v>Published rank retained</x:v>
      </x:c>
      <x:c r="I444" s="15" t="str">
        <x:v>University of Wollongong</x:v>
      </x:c>
      <x:c r="J444" s="31" t="str">
        <x:v>https://www.topuniversities.com/universities/university-wollongong</x:v>
      </x:c>
      <x:c r="K444" s="31" t="str">
        <x:v>https://www.topuniversities.com/world-university-rankings</x:v>
      </x:c>
      <x:c r="L444" s="31" t="str">
        <x:v>https://www.uow.edu.au/study/courses/master-of-earth-and-environmental-sciences/</x:v>
      </x:c>
    </x:row>
    <x:row r="445">
      <x:c r="A445" s="15" t="n">
        <x:v>90</x:v>
      </x:c>
      <x:c r="B445" s="15" t="str">
        <x:v>Yonsei University (Seoul campus)</x:v>
      </x:c>
      <x:c r="C445" s="15" t="str">
        <x:v>South Korea</x:v>
      </x:c>
      <x:c r="D445" s="15" t="str">
        <x:v>Master of Global Civic Studies - Global Citizenship and Sustainable Development</x:v>
      </x:c>
      <x:c r="E445" s="32" t="n">
        <x:v>2023</x:v>
      </x:c>
      <x:c r="F445" s="32" t="str">
        <x:v>73</x:v>
      </x:c>
      <x:c r="G445" s="36" t="n">
        <x:v>67</x:v>
      </x:c>
      <x:c r="H445" s="15" t="str">
        <x:v>Published rank retained</x:v>
      </x:c>
      <x:c r="I445" s="15" t="str">
        <x:v>Yonsei University</x:v>
      </x:c>
      <x:c r="J445" s="31" t="str">
        <x:v>https://www.topuniversities.com/universities/yonsei-university</x:v>
      </x:c>
      <x:c r="K445" s="31" t="str">
        <x:v>https://www.topuniversities.com/world-university-rankings/2023</x:v>
      </x:c>
      <x:c r="L445" s="31" t="str">
        <x:v>https://lawschool.yonsei.ac.kr/gsis/intro/status.do</x:v>
      </x:c>
    </x:row>
    <x:row r="446">
      <x:c r="A446" s="15" t="n">
        <x:v>90</x:v>
      </x:c>
      <x:c r="B446" s="15" t="str">
        <x:v>Yonsei University (Seoul campus)</x:v>
      </x:c>
      <x:c r="C446" s="15" t="str">
        <x:v>South Korea</x:v>
      </x:c>
      <x:c r="D446" s="15" t="str">
        <x:v>Master of Global Civic Studies - Global Citizenship and Sustainable Development</x:v>
      </x:c>
      <x:c r="E446" s="32" t="n">
        <x:v>2024</x:v>
      </x:c>
      <x:c r="F446" s="32" t="n">
        <x:f>76</x:f>
        <x:v>76</x:v>
      </x:c>
      <x:c r="G446" s="36" t="n">
        <x:v>65.2</x:v>
      </x:c>
      <x:c r="H446" s="15" t="str">
        <x:v>Published rank retained</x:v>
      </x:c>
      <x:c r="I446" s="15" t="str">
        <x:v>Yonsei University</x:v>
      </x:c>
      <x:c r="J446" s="31" t="str">
        <x:v>https://www.topuniversities.com/universities/yonsei-university</x:v>
      </x:c>
      <x:c r="K446" s="31" t="str">
        <x:v>https://www.topuniversities.com/world-university-rankings/2024</x:v>
      </x:c>
      <x:c r="L446" s="31" t="str">
        <x:v>https://lawschool.yonsei.ac.kr/gsis/intro/status.do</x:v>
      </x:c>
    </x:row>
    <x:row r="447">
      <x:c r="A447" s="15" t="n">
        <x:v>90</x:v>
      </x:c>
      <x:c r="B447" s="15" t="str">
        <x:v>Yonsei University (Seoul campus)</x:v>
      </x:c>
      <x:c r="C447" s="15" t="str">
        <x:v>South Korea</x:v>
      </x:c>
      <x:c r="D447" s="15" t="str">
        <x:v>Master of Global Civic Studies - Global Citizenship and Sustainable Development</x:v>
      </x:c>
      <x:c r="E447" s="32" t="n">
        <x:v>2025</x:v>
      </x:c>
      <x:c r="F447" s="32" t="str">
        <x:v>56</x:v>
      </x:c>
      <x:c r="G447" s="36" t="n">
        <x:v>72.9</x:v>
      </x:c>
      <x:c r="H447" s="15" t="str">
        <x:v>Published rank retained</x:v>
      </x:c>
      <x:c r="I447" s="15" t="str">
        <x:v>Yonsei University</x:v>
      </x:c>
      <x:c r="J447" s="31" t="str">
        <x:v>https://www.topuniversities.com/universities/yonsei-university</x:v>
      </x:c>
      <x:c r="K447" s="31" t="str">
        <x:v>https://www.topuniversities.com/world-university-rankings/2025</x:v>
      </x:c>
      <x:c r="L447" s="31" t="str">
        <x:v>https://lawschool.yonsei.ac.kr/gsis/intro/status.do</x:v>
      </x:c>
    </x:row>
    <x:row r="448">
      <x:c r="A448" s="15" t="n">
        <x:v>90</x:v>
      </x:c>
      <x:c r="B448" s="15" t="str">
        <x:v>Yonsei University (Seoul campus)</x:v>
      </x:c>
      <x:c r="C448" s="15" t="str">
        <x:v>South Korea</x:v>
      </x:c>
      <x:c r="D448" s="15" t="str">
        <x:v>Master of Global Civic Studies - Global Citizenship and Sustainable Development</x:v>
      </x:c>
      <x:c r="E448" s="32" t="n">
        <x:v>2026</x:v>
      </x:c>
      <x:c r="F448" s="32" t="str">
        <x:v>50</x:v>
      </x:c>
      <x:c r="G448" s="36" t="n">
        <x:v>82.9</x:v>
      </x:c>
      <x:c r="H448" s="15" t="str">
        <x:v>Published rank retained</x:v>
      </x:c>
      <x:c r="I448" s="15" t="str">
        <x:v>Yonsei University</x:v>
      </x:c>
      <x:c r="J448" s="31" t="str">
        <x:v>https://www.topuniversities.com/universities/yonsei-university</x:v>
      </x:c>
      <x:c r="K448" s="31" t="str">
        <x:v>https://www.topuniversities.com/world-university-rankings/2026</x:v>
      </x:c>
      <x:c r="L448" s="31" t="str">
        <x:v>https://lawschool.yonsei.ac.kr/gsis/intro/status.do</x:v>
      </x:c>
    </x:row>
    <x:row r="449">
      <x:c r="A449" s="15" t="n">
        <x:v>90</x:v>
      </x:c>
      <x:c r="B449" s="15" t="str">
        <x:v>Yonsei University (Seoul campus)</x:v>
      </x:c>
      <x:c r="C449" s="15" t="str">
        <x:v>South Korea</x:v>
      </x:c>
      <x:c r="D449" s="15" t="str">
        <x:v>Master of Global Civic Studies - Global Citizenship and Sustainable Development</x:v>
      </x:c>
      <x:c r="E449" s="32" t="n">
        <x:v>2027</x:v>
      </x:c>
      <x:c r="F449" s="32" t="str">
        <x:v>42</x:v>
      </x:c>
      <x:c r="G449" s="36" t="n">
        <x:v>84.2</x:v>
      </x:c>
      <x:c r="H449" s="15" t="str">
        <x:v>Published rank retained</x:v>
      </x:c>
      <x:c r="I449" s="15" t="str">
        <x:v>Yonsei University</x:v>
      </x:c>
      <x:c r="J449" s="31" t="str">
        <x:v>https://www.topuniversities.com/universities/yonsei-university</x:v>
      </x:c>
      <x:c r="K449" s="31" t="str">
        <x:v>https://www.topuniversities.com/world-university-rankings</x:v>
      </x:c>
      <x:c r="L449" s="31" t="str">
        <x:v>https://lawschool.yonsei.ac.kr/gsis/intro/status.do</x:v>
      </x:c>
    </x:row>
    <x:row r="450">
      <x:c r="A450" s="15" t="n">
        <x:v>91</x:v>
      </x:c>
      <x:c r="B450" s="15" t="str">
        <x:v>Sunway University</x:v>
      </x:c>
      <x:c r="C450" s="15" t="str">
        <x:v>Malaysia</x:v>
      </x:c>
      <x:c r="D450" s="15" t="str">
        <x:v>Master in Sustainable Development Management</x:v>
      </x:c>
      <x:c r="E450" s="32" t="n">
        <x:v>2023</x:v>
      </x:c>
      <x:c r="F450" s="32" t="str">
        <x:v>200+</x:v>
      </x:c>
      <x:c r="G450" s="36"/>
      <x:c r="H450" s="15" t="str">
        <x:v>Beyond collected top 200</x:v>
      </x:c>
      <x:c r="I450" s="15" t="str"/>
      <x:c r="J450" s="31" t="str"/>
      <x:c r="K450" s="31" t="str">
        <x:v>https://www.topuniversities.com/world-university-rankings/2023</x:v>
      </x:c>
      <x:c r="L450" s="31" t="str">
        <x:v>https://sunwayuniversity.edu.my/jsc/courses/master-sustainable-development-management-0</x:v>
      </x:c>
    </x:row>
    <x:row r="451">
      <x:c r="A451" s="15" t="n">
        <x:v>91</x:v>
      </x:c>
      <x:c r="B451" s="15" t="str">
        <x:v>Sunway University</x:v>
      </x:c>
      <x:c r="C451" s="15" t="str">
        <x:v>Malaysia</x:v>
      </x:c>
      <x:c r="D451" s="15" t="str">
        <x:v>Master in Sustainable Development Management</x:v>
      </x:c>
      <x:c r="E451" s="32" t="n">
        <x:v>2024</x:v>
      </x:c>
      <x:c r="F451" s="32" t="str">
        <x:v>200+</x:v>
      </x:c>
      <x:c r="G451" s="36"/>
      <x:c r="H451" s="15" t="str">
        <x:v>Beyond collected top 200</x:v>
      </x:c>
      <x:c r="I451" s="15" t="str"/>
      <x:c r="J451" s="31" t="str"/>
      <x:c r="K451" s="31" t="str">
        <x:v>https://www.topuniversities.com/world-university-rankings/2024</x:v>
      </x:c>
      <x:c r="L451" s="31" t="str">
        <x:v>https://sunwayuniversity.edu.my/jsc/courses/master-sustainable-development-management-0</x:v>
      </x:c>
    </x:row>
    <x:row r="452">
      <x:c r="A452" s="15" t="n">
        <x:v>91</x:v>
      </x:c>
      <x:c r="B452" s="15" t="str">
        <x:v>Sunway University</x:v>
      </x:c>
      <x:c r="C452" s="15" t="str">
        <x:v>Malaysia</x:v>
      </x:c>
      <x:c r="D452" s="15" t="str">
        <x:v>Master in Sustainable Development Management</x:v>
      </x:c>
      <x:c r="E452" s="32" t="n">
        <x:v>2025</x:v>
      </x:c>
      <x:c r="F452" s="32" t="str">
        <x:v>200+</x:v>
      </x:c>
      <x:c r="G452" s="36"/>
      <x:c r="H452" s="15" t="str">
        <x:v>Published beyond rank 200; exact value intentionally suppressed</x:v>
      </x:c>
      <x:c r="I452" s="15" t="str">
        <x:v>Sunway University</x:v>
      </x:c>
      <x:c r="J452" s="31" t="str">
        <x:v>https://www.topuniversities.com/universities/sunway-university</x:v>
      </x:c>
      <x:c r="K452" s="31" t="str">
        <x:v>https://www.topuniversities.com/world-university-rankings/2025</x:v>
      </x:c>
      <x:c r="L452" s="31" t="str">
        <x:v>https://sunwayuniversity.edu.my/jsc/courses/master-sustainable-development-management-0</x:v>
      </x:c>
    </x:row>
    <x:row r="453">
      <x:c r="A453" s="15" t="n">
        <x:v>91</x:v>
      </x:c>
      <x:c r="B453" s="15" t="str">
        <x:v>Sunway University</x:v>
      </x:c>
      <x:c r="C453" s="15" t="str">
        <x:v>Malaysia</x:v>
      </x:c>
      <x:c r="D453" s="15" t="str">
        <x:v>Master in Sustainable Development Management</x:v>
      </x:c>
      <x:c r="E453" s="32" t="n">
        <x:v>2026</x:v>
      </x:c>
      <x:c r="F453" s="32" t="str">
        <x:v>200+</x:v>
      </x:c>
      <x:c r="G453" s="36"/>
      <x:c r="H453" s="15" t="str">
        <x:v>Published beyond rank 200; exact value intentionally suppressed</x:v>
      </x:c>
      <x:c r="I453" s="15" t="str">
        <x:v>Sunway University</x:v>
      </x:c>
      <x:c r="J453" s="31" t="str">
        <x:v>https://www.topuniversities.com/universities/sunway-university</x:v>
      </x:c>
      <x:c r="K453" s="31" t="str">
        <x:v>https://www.topuniversities.com/world-university-rankings/2026</x:v>
      </x:c>
      <x:c r="L453" s="31" t="str">
        <x:v>https://sunwayuniversity.edu.my/jsc/courses/master-sustainable-development-management-0</x:v>
      </x:c>
    </x:row>
    <x:row r="454">
      <x:c r="A454" s="15" t="n">
        <x:v>91</x:v>
      </x:c>
      <x:c r="B454" s="15" t="str">
        <x:v>Sunway University</x:v>
      </x:c>
      <x:c r="C454" s="15" t="str">
        <x:v>Malaysia</x:v>
      </x:c>
      <x:c r="D454" s="15" t="str">
        <x:v>Master in Sustainable Development Management</x:v>
      </x:c>
      <x:c r="E454" s="32" t="n">
        <x:v>2027</x:v>
      </x:c>
      <x:c r="F454" s="32" t="str">
        <x:v>200+</x:v>
      </x:c>
      <x:c r="G454" s="36"/>
      <x:c r="H454" s="15" t="str">
        <x:v>Published beyond rank 200; exact value intentionally suppressed</x:v>
      </x:c>
      <x:c r="I454" s="15" t="str">
        <x:v>Sunway University</x:v>
      </x:c>
      <x:c r="J454" s="31" t="str">
        <x:v>https://www.topuniversities.com/universities/sunway-university</x:v>
      </x:c>
      <x:c r="K454" s="31" t="str">
        <x:v>https://www.topuniversities.com/world-university-rankings</x:v>
      </x:c>
      <x:c r="L454" s="31" t="str">
        <x:v>https://sunwayuniversity.edu.my/jsc/courses/master-sustainable-development-management-0</x:v>
      </x:c>
    </x:row>
    <x:row r="455">
      <x:c r="A455" s="15" t="n">
        <x:v>92</x:v>
      </x:c>
      <x:c r="B455" s="15" t="str">
        <x:v>Thammasat University</x:v>
      </x:c>
      <x:c r="C455" s="15" t="str">
        <x:v>Thailand</x:v>
      </x:c>
      <x:c r="D455" s="15" t="str">
        <x:v>MA Social Innovation and Sustainability</x:v>
      </x:c>
      <x:c r="E455" s="32" t="n">
        <x:v>2023</x:v>
      </x:c>
      <x:c r="F455" s="32" t="str">
        <x:v>200+</x:v>
      </x:c>
      <x:c r="G455" s="36"/>
      <x:c r="H455" s="15" t="str">
        <x:v>Beyond collected top 200</x:v>
      </x:c>
      <x:c r="I455" s="15" t="str"/>
      <x:c r="J455" s="31" t="str"/>
      <x:c r="K455" s="31" t="str">
        <x:v>https://www.topuniversities.com/world-university-rankings/2023</x:v>
      </x:c>
      <x:c r="L455" s="31" t="str">
        <x:v>https://sgs.tu.ac.th/ma-program/</x:v>
      </x:c>
    </x:row>
    <x:row r="456">
      <x:c r="A456" s="15" t="n">
        <x:v>92</x:v>
      </x:c>
      <x:c r="B456" s="15" t="str">
        <x:v>Thammasat University</x:v>
      </x:c>
      <x:c r="C456" s="15" t="str">
        <x:v>Thailand</x:v>
      </x:c>
      <x:c r="D456" s="15" t="str">
        <x:v>MA Social Innovation and Sustainability</x:v>
      </x:c>
      <x:c r="E456" s="32" t="n">
        <x:v>2024</x:v>
      </x:c>
      <x:c r="F456" s="32" t="str">
        <x:v>200+</x:v>
      </x:c>
      <x:c r="G456" s="36"/>
      <x:c r="H456" s="15" t="str">
        <x:v>Beyond collected top 200</x:v>
      </x:c>
      <x:c r="I456" s="15" t="str"/>
      <x:c r="J456" s="31" t="str"/>
      <x:c r="K456" s="31" t="str">
        <x:v>https://www.topuniversities.com/world-university-rankings/2024</x:v>
      </x:c>
      <x:c r="L456" s="31" t="str">
        <x:v>https://sgs.tu.ac.th/ma-program/</x:v>
      </x:c>
    </x:row>
    <x:row r="457">
      <x:c r="A457" s="15" t="n">
        <x:v>92</x:v>
      </x:c>
      <x:c r="B457" s="15" t="str">
        <x:v>Thammasat University</x:v>
      </x:c>
      <x:c r="C457" s="15" t="str">
        <x:v>Thailand</x:v>
      </x:c>
      <x:c r="D457" s="15" t="str">
        <x:v>MA Social Innovation and Sustainability</x:v>
      </x:c>
      <x:c r="E457" s="32" t="n">
        <x:v>2025</x:v>
      </x:c>
      <x:c r="F457" s="32" t="str">
        <x:v>200+</x:v>
      </x:c>
      <x:c r="G457" s="36"/>
      <x:c r="H457" s="15" t="str">
        <x:v>Published beyond rank 200; exact value intentionally suppressed</x:v>
      </x:c>
      <x:c r="I457" s="15" t="str">
        <x:v>Thammasat University</x:v>
      </x:c>
      <x:c r="J457" s="31" t="str">
        <x:v>https://www.topuniversities.com/universities/thammasat-university</x:v>
      </x:c>
      <x:c r="K457" s="31" t="str">
        <x:v>https://www.topuniversities.com/world-university-rankings/2025</x:v>
      </x:c>
      <x:c r="L457" s="31" t="str">
        <x:v>https://sgs.tu.ac.th/ma-program/</x:v>
      </x:c>
    </x:row>
    <x:row r="458">
      <x:c r="A458" s="15" t="n">
        <x:v>92</x:v>
      </x:c>
      <x:c r="B458" s="15" t="str">
        <x:v>Thammasat University</x:v>
      </x:c>
      <x:c r="C458" s="15" t="str">
        <x:v>Thailand</x:v>
      </x:c>
      <x:c r="D458" s="15" t="str">
        <x:v>MA Social Innovation and Sustainability</x:v>
      </x:c>
      <x:c r="E458" s="32" t="n">
        <x:v>2026</x:v>
      </x:c>
      <x:c r="F458" s="32" t="str">
        <x:v>200+</x:v>
      </x:c>
      <x:c r="G458" s="36"/>
      <x:c r="H458" s="15" t="str">
        <x:v>Published beyond rank 200; exact value intentionally suppressed</x:v>
      </x:c>
      <x:c r="I458" s="15" t="str">
        <x:v>Thammasat University</x:v>
      </x:c>
      <x:c r="J458" s="31" t="str">
        <x:v>https://www.topuniversities.com/universities/thammasat-university</x:v>
      </x:c>
      <x:c r="K458" s="31" t="str">
        <x:v>https://www.topuniversities.com/world-university-rankings/2026</x:v>
      </x:c>
      <x:c r="L458" s="31" t="str">
        <x:v>https://sgs.tu.ac.th/ma-program/</x:v>
      </x:c>
    </x:row>
    <x:row r="459">
      <x:c r="A459" s="15" t="n">
        <x:v>92</x:v>
      </x:c>
      <x:c r="B459" s="15" t="str">
        <x:v>Thammasat University</x:v>
      </x:c>
      <x:c r="C459" s="15" t="str">
        <x:v>Thailand</x:v>
      </x:c>
      <x:c r="D459" s="15" t="str">
        <x:v>MA Social Innovation and Sustainability</x:v>
      </x:c>
      <x:c r="E459" s="32" t="n">
        <x:v>2027</x:v>
      </x:c>
      <x:c r="F459" s="32" t="str">
        <x:v>200+</x:v>
      </x:c>
      <x:c r="G459" s="36"/>
      <x:c r="H459" s="15" t="str">
        <x:v>Published beyond rank 200; exact value intentionally suppressed</x:v>
      </x:c>
      <x:c r="I459" s="15" t="str">
        <x:v>Thammasat University</x:v>
      </x:c>
      <x:c r="J459" s="31" t="str">
        <x:v>https://www.topuniversities.com/universities/thammasat-university</x:v>
      </x:c>
      <x:c r="K459" s="31" t="str">
        <x:v>https://www.topuniversities.com/world-university-rankings</x:v>
      </x:c>
      <x:c r="L459" s="31" t="str">
        <x:v>https://sgs.tu.ac.th/ma-program/</x:v>
      </x:c>
    </x:row>
    <x:row r="460">
      <x:c r="A460" s="15" t="n">
        <x:v>93</x:v>
      </x:c>
      <x:c r="B460" s="15" t="str">
        <x:v>Walailak University</x:v>
      </x:c>
      <x:c r="C460" s="15" t="str">
        <x:v>Thailand</x:v>
      </x:c>
      <x:c r="D460" s="15" t="str">
        <x:v>MSc Environmental, Safety Technology and Health</x:v>
      </x:c>
      <x:c r="E460" s="32" t="n">
        <x:v>2023</x:v>
      </x:c>
      <x:c r="F460" s="32" t="str">
        <x:v>200+</x:v>
      </x:c>
      <x:c r="G460" s="36"/>
      <x:c r="H460" s="15" t="str">
        <x:v>Beyond collected top 200</x:v>
      </x:c>
      <x:c r="I460" s="15" t="str"/>
      <x:c r="J460" s="31" t="str"/>
      <x:c r="K460" s="31" t="str">
        <x:v>https://www.topuniversities.com/world-university-rankings/2023</x:v>
      </x:c>
      <x:c r="L460" s="31" t="str">
        <x:v>https://www.wu.ac.th/en/news/21010/School-College</x:v>
      </x:c>
    </x:row>
    <x:row r="461">
      <x:c r="A461" s="15" t="n">
        <x:v>93</x:v>
      </x:c>
      <x:c r="B461" s="15" t="str">
        <x:v>Walailak University</x:v>
      </x:c>
      <x:c r="C461" s="15" t="str">
        <x:v>Thailand</x:v>
      </x:c>
      <x:c r="D461" s="15" t="str">
        <x:v>MSc Environmental, Safety Technology and Health</x:v>
      </x:c>
      <x:c r="E461" s="32" t="n">
        <x:v>2024</x:v>
      </x:c>
      <x:c r="F461" s="32" t="str">
        <x:v>200+</x:v>
      </x:c>
      <x:c r="G461" s="36"/>
      <x:c r="H461" s="15" t="str">
        <x:v>Beyond collected top 200</x:v>
      </x:c>
      <x:c r="I461" s="15" t="str"/>
      <x:c r="J461" s="31" t="str"/>
      <x:c r="K461" s="31" t="str">
        <x:v>https://www.topuniversities.com/world-university-rankings/2024</x:v>
      </x:c>
      <x:c r="L461" s="31" t="str">
        <x:v>https://www.wu.ac.th/en/news/21010/School-College</x:v>
      </x:c>
    </x:row>
    <x:row r="462">
      <x:c r="A462" s="15" t="n">
        <x:v>93</x:v>
      </x:c>
      <x:c r="B462" s="15" t="str">
        <x:v>Walailak University</x:v>
      </x:c>
      <x:c r="C462" s="15" t="str">
        <x:v>Thailand</x:v>
      </x:c>
      <x:c r="D462" s="15" t="str">
        <x:v>MSc Environmental, Safety Technology and Health</x:v>
      </x:c>
      <x:c r="E462" s="32" t="n">
        <x:v>2025</x:v>
      </x:c>
      <x:c r="F462" s="32" t="str">
        <x:v>200+</x:v>
      </x:c>
      <x:c r="G462" s="36"/>
      <x:c r="H462" s="15" t="str">
        <x:v>Beyond collected top 200</x:v>
      </x:c>
      <x:c r="I462" s="15" t="str"/>
      <x:c r="J462" s="31" t="str"/>
      <x:c r="K462" s="31" t="str">
        <x:v>https://www.topuniversities.com/world-university-rankings/2025</x:v>
      </x:c>
      <x:c r="L462" s="31" t="str">
        <x:v>https://www.wu.ac.th/en/news/21010/School-College</x:v>
      </x:c>
    </x:row>
    <x:row r="463">
      <x:c r="A463" s="15" t="n">
        <x:v>93</x:v>
      </x:c>
      <x:c r="B463" s="15" t="str">
        <x:v>Walailak University</x:v>
      </x:c>
      <x:c r="C463" s="15" t="str">
        <x:v>Thailand</x:v>
      </x:c>
      <x:c r="D463" s="15" t="str">
        <x:v>MSc Environmental, Safety Technology and Health</x:v>
      </x:c>
      <x:c r="E463" s="32" t="n">
        <x:v>2026</x:v>
      </x:c>
      <x:c r="F463" s="32" t="str">
        <x:v>200+</x:v>
      </x:c>
      <x:c r="G463" s="36"/>
      <x:c r="H463" s="15" t="str">
        <x:v>Published beyond rank 200; exact value intentionally suppressed</x:v>
      </x:c>
      <x:c r="I463" s="15" t="str">
        <x:v>Walailak University</x:v>
      </x:c>
      <x:c r="J463" s="31" t="str">
        <x:v>https://www.topuniversities.com/universities/walailak-university</x:v>
      </x:c>
      <x:c r="K463" s="31" t="str">
        <x:v>https://www.topuniversities.com/world-university-rankings/2026</x:v>
      </x:c>
      <x:c r="L463" s="31" t="str">
        <x:v>https://www.wu.ac.th/en/news/21010/School-College</x:v>
      </x:c>
    </x:row>
    <x:row r="464">
      <x:c r="A464" s="15" t="n">
        <x:v>93</x:v>
      </x:c>
      <x:c r="B464" s="15" t="str">
        <x:v>Walailak University</x:v>
      </x:c>
      <x:c r="C464" s="15" t="str">
        <x:v>Thailand</x:v>
      </x:c>
      <x:c r="D464" s="15" t="str">
        <x:v>MSc Environmental, Safety Technology and Health</x:v>
      </x:c>
      <x:c r="E464" s="32" t="n">
        <x:v>2027</x:v>
      </x:c>
      <x:c r="F464" s="32" t="str">
        <x:v>200+</x:v>
      </x:c>
      <x:c r="G464" s="36"/>
      <x:c r="H464" s="15" t="str">
        <x:v>Published beyond rank 200; exact value intentionally suppressed</x:v>
      </x:c>
      <x:c r="I464" s="15" t="str">
        <x:v>Walailak University</x:v>
      </x:c>
      <x:c r="J464" s="31" t="str">
        <x:v>https://www.topuniversities.com/universities/walailak-university</x:v>
      </x:c>
      <x:c r="K464" s="31" t="str">
        <x:v>https://www.topuniversities.com/world-university-rankings</x:v>
      </x:c>
      <x:c r="L464" s="31" t="str">
        <x:v>https://www.wu.ac.th/en/news/21010/School-College</x:v>
      </x:c>
    </x:row>
    <x:row r="465">
      <x:c r="A465" s="15" t="n">
        <x:v>94</x:v>
      </x:c>
      <x:c r="B465" s="15" t="str">
        <x:v>King Abdullah University of Science and Technology (KAUST)</x:v>
      </x:c>
      <x:c r="C465" s="15" t="str">
        <x:v>Saudi Arabia</x:v>
      </x:c>
      <x:c r="D465" s="15" t="str">
        <x:v>MS Environmental Science and Engineering</x:v>
      </x:c>
      <x:c r="E465" s="32" t="n">
        <x:v>2023</x:v>
      </x:c>
      <x:c r="F465" s="32" t="str">
        <x:v>200+</x:v>
      </x:c>
      <x:c r="G465" s="36"/>
      <x:c r="H465" s="15" t="str">
        <x:v>Beyond collected top 200</x:v>
      </x:c>
      <x:c r="I465" s="15" t="str"/>
      <x:c r="J465" s="31" t="str"/>
      <x:c r="K465" s="31" t="str">
        <x:v>https://www.topuniversities.com/world-university-rankings/2023</x:v>
      </x:c>
      <x:c r="L465" s="31" t="str">
        <x:v>https://bese.kaust.edu.sa/study/academic-programs/ense</x:v>
      </x:c>
    </x:row>
    <x:row r="466">
      <x:c r="A466" s="15" t="n">
        <x:v>94</x:v>
      </x:c>
      <x:c r="B466" s="15" t="str">
        <x:v>King Abdullah University of Science and Technology (KAUST)</x:v>
      </x:c>
      <x:c r="C466" s="15" t="str">
        <x:v>Saudi Arabia</x:v>
      </x:c>
      <x:c r="D466" s="15" t="str">
        <x:v>MS Environmental Science and Engineering</x:v>
      </x:c>
      <x:c r="E466" s="32" t="n">
        <x:v>2024</x:v>
      </x:c>
      <x:c r="F466" s="32" t="str">
        <x:v>200+</x:v>
      </x:c>
      <x:c r="G466" s="36"/>
      <x:c r="H466" s="15" t="str">
        <x:v>Beyond collected top 200</x:v>
      </x:c>
      <x:c r="I466" s="15" t="str"/>
      <x:c r="J466" s="31" t="str"/>
      <x:c r="K466" s="31" t="str">
        <x:v>https://www.topuniversities.com/world-university-rankings/2024</x:v>
      </x:c>
      <x:c r="L466" s="31" t="str">
        <x:v>https://bese.kaust.edu.sa/study/academic-programs/ense</x:v>
      </x:c>
    </x:row>
    <x:row r="467">
      <x:c r="A467" s="15" t="n">
        <x:v>94</x:v>
      </x:c>
      <x:c r="B467" s="15" t="str">
        <x:v>King Abdullah University of Science and Technology (KAUST)</x:v>
      </x:c>
      <x:c r="C467" s="15" t="str">
        <x:v>Saudi Arabia</x:v>
      </x:c>
      <x:c r="D467" s="15" t="str">
        <x:v>MS Environmental Science and Engineering</x:v>
      </x:c>
      <x:c r="E467" s="32" t="n">
        <x:v>2025</x:v>
      </x:c>
      <x:c r="F467" s="32" t="str">
        <x:v>200+</x:v>
      </x:c>
      <x:c r="G467" s="36"/>
      <x:c r="H467" s="15" t="str">
        <x:v>Beyond collected top 200</x:v>
      </x:c>
      <x:c r="I467" s="15" t="str"/>
      <x:c r="J467" s="31" t="str"/>
      <x:c r="K467" s="31" t="str">
        <x:v>https://www.topuniversities.com/world-university-rankings/2025</x:v>
      </x:c>
      <x:c r="L467" s="31" t="str">
        <x:v>https://bese.kaust.edu.sa/study/academic-programs/ense</x:v>
      </x:c>
    </x:row>
    <x:row r="468">
      <x:c r="A468" s="15" t="n">
        <x:v>94</x:v>
      </x:c>
      <x:c r="B468" s="15" t="str">
        <x:v>King Abdullah University of Science and Technology (KAUST)</x:v>
      </x:c>
      <x:c r="C468" s="15" t="str">
        <x:v>Saudi Arabia</x:v>
      </x:c>
      <x:c r="D468" s="15" t="str">
        <x:v>MS Environmental Science and Engineering</x:v>
      </x:c>
      <x:c r="E468" s="32" t="n">
        <x:v>2026</x:v>
      </x:c>
      <x:c r="F468" s="32" t="str">
        <x:v>200+</x:v>
      </x:c>
      <x:c r="G468" s="36"/>
      <x:c r="H468" s="15" t="str">
        <x:v>Beyond collected top 200</x:v>
      </x:c>
      <x:c r="I468" s="15" t="str"/>
      <x:c r="J468" s="31" t="str"/>
      <x:c r="K468" s="31" t="str">
        <x:v>https://www.topuniversities.com/world-university-rankings/2026</x:v>
      </x:c>
      <x:c r="L468" s="31" t="str">
        <x:v>https://bese.kaust.edu.sa/study/academic-programs/ense</x:v>
      </x:c>
    </x:row>
    <x:row r="469">
      <x:c r="A469" s="15" t="n">
        <x:v>94</x:v>
      </x:c>
      <x:c r="B469" s="15" t="str">
        <x:v>King Abdullah University of Science and Technology (KAUST)</x:v>
      </x:c>
      <x:c r="C469" s="15" t="str">
        <x:v>Saudi Arabia</x:v>
      </x:c>
      <x:c r="D469" s="15" t="str">
        <x:v>MS Environmental Science and Engineering</x:v>
      </x:c>
      <x:c r="E469" s="32" t="n">
        <x:v>2027</x:v>
      </x:c>
      <x:c r="F469" s="32" t="str">
        <x:v>200+</x:v>
      </x:c>
      <x:c r="G469" s="36"/>
      <x:c r="H469" s="15" t="str">
        <x:v>Beyond collected top 200</x:v>
      </x:c>
      <x:c r="I469" s="15" t="str"/>
      <x:c r="J469" s="31" t="str"/>
      <x:c r="K469" s="31" t="str">
        <x:v>https://www.topuniversities.com/world-university-rankings</x:v>
      </x:c>
      <x:c r="L469" s="31" t="str">
        <x:v>https://bese.kaust.edu.sa/study/academic-programs/ense</x:v>
      </x:c>
    </x:row>
    <x:row r="470">
      <x:c r="A470" s="15" t="n">
        <x:v>95</x:v>
      </x:c>
      <x:c r="B470" s="15" t="str">
        <x:v>Chiang Mai University</x:v>
      </x:c>
      <x:c r="C470" s="15" t="str">
        <x:v>Thailand</x:v>
      </x:c>
      <x:c r="D470" s="15" t="str">
        <x:v>MSc Environmental Science</x:v>
      </x:c>
      <x:c r="E470" s="32" t="n">
        <x:v>2023</x:v>
      </x:c>
      <x:c r="F470" s="32" t="str">
        <x:v>200+</x:v>
      </x:c>
      <x:c r="G470" s="36"/>
      <x:c r="H470" s="15" t="str">
        <x:v>Beyond collected top 200</x:v>
      </x:c>
      <x:c r="I470" s="15" t="str"/>
      <x:c r="J470" s="31" t="str"/>
      <x:c r="K470" s="31" t="str">
        <x:v>https://www.topuniversities.com/world-university-rankings/2023</x:v>
      </x:c>
      <x:c r="L470" s="31" t="str">
        <x:v>https://www.science.cmu.ac.th/english/master.php</x:v>
      </x:c>
    </x:row>
    <x:row r="471">
      <x:c r="A471" s="15" t="n">
        <x:v>95</x:v>
      </x:c>
      <x:c r="B471" s="15" t="str">
        <x:v>Chiang Mai University</x:v>
      </x:c>
      <x:c r="C471" s="15" t="str">
        <x:v>Thailand</x:v>
      </x:c>
      <x:c r="D471" s="15" t="str">
        <x:v>MSc Environmental Science</x:v>
      </x:c>
      <x:c r="E471" s="32" t="n">
        <x:v>2024</x:v>
      </x:c>
      <x:c r="F471" s="32" t="str">
        <x:v>200+</x:v>
      </x:c>
      <x:c r="G471" s="36"/>
      <x:c r="H471" s="15" t="str">
        <x:v>Beyond collected top 200</x:v>
      </x:c>
      <x:c r="I471" s="15" t="str"/>
      <x:c r="J471" s="31" t="str"/>
      <x:c r="K471" s="31" t="str">
        <x:v>https://www.topuniversities.com/world-university-rankings/2024</x:v>
      </x:c>
      <x:c r="L471" s="31" t="str">
        <x:v>https://www.science.cmu.ac.th/english/master.php</x:v>
      </x:c>
    </x:row>
    <x:row r="472">
      <x:c r="A472" s="15" t="n">
        <x:v>95</x:v>
      </x:c>
      <x:c r="B472" s="15" t="str">
        <x:v>Chiang Mai University</x:v>
      </x:c>
      <x:c r="C472" s="15" t="str">
        <x:v>Thailand</x:v>
      </x:c>
      <x:c r="D472" s="15" t="str">
        <x:v>MSc Environmental Science</x:v>
      </x:c>
      <x:c r="E472" s="32" t="n">
        <x:v>2025</x:v>
      </x:c>
      <x:c r="F472" s="32" t="str">
        <x:v>200+</x:v>
      </x:c>
      <x:c r="G472" s="36"/>
      <x:c r="H472" s="15" t="str">
        <x:v>Published beyond rank 200; exact value intentionally suppressed</x:v>
      </x:c>
      <x:c r="I472" s="15" t="str">
        <x:v>Chiang Mai University</x:v>
      </x:c>
      <x:c r="J472" s="31" t="str">
        <x:v>https://www.topuniversities.com/universities/chiang-mai-university</x:v>
      </x:c>
      <x:c r="K472" s="31" t="str">
        <x:v>https://www.topuniversities.com/world-university-rankings/2025</x:v>
      </x:c>
      <x:c r="L472" s="31" t="str">
        <x:v>https://www.science.cmu.ac.th/english/master.php</x:v>
      </x:c>
    </x:row>
    <x:row r="473">
      <x:c r="A473" s="15" t="n">
        <x:v>95</x:v>
      </x:c>
      <x:c r="B473" s="15" t="str">
        <x:v>Chiang Mai University</x:v>
      </x:c>
      <x:c r="C473" s="15" t="str">
        <x:v>Thailand</x:v>
      </x:c>
      <x:c r="D473" s="15" t="str">
        <x:v>MSc Environmental Science</x:v>
      </x:c>
      <x:c r="E473" s="32" t="n">
        <x:v>2026</x:v>
      </x:c>
      <x:c r="F473" s="32" t="str">
        <x:v>200+</x:v>
      </x:c>
      <x:c r="G473" s="36"/>
      <x:c r="H473" s="15" t="str">
        <x:v>Published beyond rank 200; exact value intentionally suppressed</x:v>
      </x:c>
      <x:c r="I473" s="15" t="str">
        <x:v>Chiang Mai University</x:v>
      </x:c>
      <x:c r="J473" s="31" t="str">
        <x:v>https://www.topuniversities.com/universities/chiang-mai-university</x:v>
      </x:c>
      <x:c r="K473" s="31" t="str">
        <x:v>https://www.topuniversities.com/world-university-rankings/2026</x:v>
      </x:c>
      <x:c r="L473" s="31" t="str">
        <x:v>https://www.science.cmu.ac.th/english/master.php</x:v>
      </x:c>
    </x:row>
    <x:row r="474">
      <x:c r="A474" s="15" t="n">
        <x:v>95</x:v>
      </x:c>
      <x:c r="B474" s="15" t="str">
        <x:v>Chiang Mai University</x:v>
      </x:c>
      <x:c r="C474" s="15" t="str">
        <x:v>Thailand</x:v>
      </x:c>
      <x:c r="D474" s="15" t="str">
        <x:v>MSc Environmental Science</x:v>
      </x:c>
      <x:c r="E474" s="32" t="n">
        <x:v>2027</x:v>
      </x:c>
      <x:c r="F474" s="32" t="str">
        <x:v>200+</x:v>
      </x:c>
      <x:c r="G474" s="36"/>
      <x:c r="H474" s="15" t="str">
        <x:v>Published beyond rank 200; exact value intentionally suppressed</x:v>
      </x:c>
      <x:c r="I474" s="15" t="str">
        <x:v>Chiang Mai University</x:v>
      </x:c>
      <x:c r="J474" s="31" t="str">
        <x:v>https://www.topuniversities.com/universities/chiang-mai-university</x:v>
      </x:c>
      <x:c r="K474" s="31" t="str">
        <x:v>https://www.topuniversities.com/world-university-rankings</x:v>
      </x:c>
      <x:c r="L474" s="31" t="str">
        <x:v>https://www.science.cmu.ac.th/english/master.php</x:v>
      </x:c>
    </x:row>
    <x:row r="475">
      <x:c r="A475" s="15" t="n">
        <x:v>96</x:v>
      </x:c>
      <x:c r="B475" s="15" t="str">
        <x:v>Jeonbuk National University</x:v>
      </x:c>
      <x:c r="C475" s="15" t="str">
        <x:v>South Korea</x:v>
      </x:c>
      <x:c r="D475" s="15" t="str">
        <x:v>Master of Engineering in Environmental Engineering</x:v>
      </x:c>
      <x:c r="E475" s="32" t="n">
        <x:v>2023</x:v>
      </x:c>
      <x:c r="F475" s="32" t="str">
        <x:v>200+</x:v>
      </x:c>
      <x:c r="G475" s="36"/>
      <x:c r="H475" s="15" t="str">
        <x:v>Beyond collected top 200</x:v>
      </x:c>
      <x:c r="I475" s="15" t="str"/>
      <x:c r="J475" s="31" t="str"/>
      <x:c r="K475" s="31" t="str">
        <x:v>https://www.topuniversities.com/world-university-rankings/2023</x:v>
      </x:c>
      <x:c r="L475" s="31" t="str">
        <x:v>https://gse.jbnu.ac.kr/gse/1394/subview.do</x:v>
      </x:c>
    </x:row>
    <x:row r="476">
      <x:c r="A476" s="15" t="n">
        <x:v>96</x:v>
      </x:c>
      <x:c r="B476" s="15" t="str">
        <x:v>Jeonbuk National University</x:v>
      </x:c>
      <x:c r="C476" s="15" t="str">
        <x:v>South Korea</x:v>
      </x:c>
      <x:c r="D476" s="15" t="str">
        <x:v>Master of Engineering in Environmental Engineering</x:v>
      </x:c>
      <x:c r="E476" s="32" t="n">
        <x:v>2024</x:v>
      </x:c>
      <x:c r="F476" s="32" t="str">
        <x:v>200+</x:v>
      </x:c>
      <x:c r="G476" s="36"/>
      <x:c r="H476" s="15" t="str">
        <x:v>Beyond collected top 200</x:v>
      </x:c>
      <x:c r="I476" s="15" t="str"/>
      <x:c r="J476" s="31" t="str"/>
      <x:c r="K476" s="31" t="str">
        <x:v>https://www.topuniversities.com/world-university-rankings/2024</x:v>
      </x:c>
      <x:c r="L476" s="31" t="str">
        <x:v>https://gse.jbnu.ac.kr/gse/1394/subview.do</x:v>
      </x:c>
    </x:row>
    <x:row r="477">
      <x:c r="A477" s="15" t="n">
        <x:v>96</x:v>
      </x:c>
      <x:c r="B477" s="15" t="str">
        <x:v>Jeonbuk National University</x:v>
      </x:c>
      <x:c r="C477" s="15" t="str">
        <x:v>South Korea</x:v>
      </x:c>
      <x:c r="D477" s="15" t="str">
        <x:v>Master of Engineering in Environmental Engineering</x:v>
      </x:c>
      <x:c r="E477" s="32" t="n">
        <x:v>2025</x:v>
      </x:c>
      <x:c r="F477" s="32" t="str">
        <x:v>200+</x:v>
      </x:c>
      <x:c r="G477" s="36"/>
      <x:c r="H477" s="15" t="str">
        <x:v>Published beyond rank 200; exact value intentionally suppressed</x:v>
      </x:c>
      <x:c r="I477" s="15" t="str">
        <x:v>Jeonbuk National University</x:v>
      </x:c>
      <x:c r="J477" s="31" t="str">
        <x:v>https://www.topuniversities.com/universities/jeonbuk-national-university</x:v>
      </x:c>
      <x:c r="K477" s="31" t="str">
        <x:v>https://www.topuniversities.com/world-university-rankings/2025</x:v>
      </x:c>
      <x:c r="L477" s="31" t="str">
        <x:v>https://gse.jbnu.ac.kr/gse/1394/subview.do</x:v>
      </x:c>
    </x:row>
    <x:row r="478">
      <x:c r="A478" s="15" t="n">
        <x:v>96</x:v>
      </x:c>
      <x:c r="B478" s="15" t="str">
        <x:v>Jeonbuk National University</x:v>
      </x:c>
      <x:c r="C478" s="15" t="str">
        <x:v>South Korea</x:v>
      </x:c>
      <x:c r="D478" s="15" t="str">
        <x:v>Master of Engineering in Environmental Engineering</x:v>
      </x:c>
      <x:c r="E478" s="32" t="n">
        <x:v>2026</x:v>
      </x:c>
      <x:c r="F478" s="32" t="str">
        <x:v>200+</x:v>
      </x:c>
      <x:c r="G478" s="36"/>
      <x:c r="H478" s="15" t="str">
        <x:v>Published beyond rank 200; exact value intentionally suppressed</x:v>
      </x:c>
      <x:c r="I478" s="15" t="str">
        <x:v>Jeonbuk National University</x:v>
      </x:c>
      <x:c r="J478" s="31" t="str">
        <x:v>https://www.topuniversities.com/universities/jeonbuk-national-university</x:v>
      </x:c>
      <x:c r="K478" s="31" t="str">
        <x:v>https://www.topuniversities.com/world-university-rankings/2026</x:v>
      </x:c>
      <x:c r="L478" s="31" t="str">
        <x:v>https://gse.jbnu.ac.kr/gse/1394/subview.do</x:v>
      </x:c>
    </x:row>
    <x:row r="479">
      <x:c r="A479" s="15" t="n">
        <x:v>96</x:v>
      </x:c>
      <x:c r="B479" s="15" t="str">
        <x:v>Jeonbuk National University</x:v>
      </x:c>
      <x:c r="C479" s="15" t="str">
        <x:v>South Korea</x:v>
      </x:c>
      <x:c r="D479" s="15" t="str">
        <x:v>Master of Engineering in Environmental Engineering</x:v>
      </x:c>
      <x:c r="E479" s="32" t="n">
        <x:v>2027</x:v>
      </x:c>
      <x:c r="F479" s="32" t="str">
        <x:v>200+</x:v>
      </x:c>
      <x:c r="G479" s="36"/>
      <x:c r="H479" s="15" t="str">
        <x:v>Published beyond rank 200; exact value intentionally suppressed</x:v>
      </x:c>
      <x:c r="I479" s="15" t="str">
        <x:v>Jeonbuk National University</x:v>
      </x:c>
      <x:c r="J479" s="31" t="str">
        <x:v>https://www.topuniversities.com/universities/jeonbuk-national-university</x:v>
      </x:c>
      <x:c r="K479" s="31" t="str">
        <x:v>https://www.topuniversities.com/world-university-rankings</x:v>
      </x:c>
      <x:c r="L479" s="31" t="str">
        <x:v>https://gse.jbnu.ac.kr/gse/1394/subview.do</x:v>
      </x:c>
    </x:row>
    <x:row r="480">
      <x:c r="A480" s="15" t="n">
        <x:v>97</x:v>
      </x:c>
      <x:c r="B480" s="15" t="str">
        <x:v>National Yang Ming Chiao Tung University (NYCU Taiwan)</x:v>
      </x:c>
      <x:c r="C480" s="15" t="str">
        <x:v>Taiwan</x:v>
      </x:c>
      <x:c r="D480" s="15" t="str">
        <x:v>Master Program in Environmental Engineering</x:v>
      </x:c>
      <x:c r="E480" s="32" t="n">
        <x:v>2023</x:v>
      </x:c>
      <x:c r="F480" s="32" t="str">
        <x:v>200+</x:v>
      </x:c>
      <x:c r="G480" s="36"/>
      <x:c r="H480" s="15" t="str">
        <x:v>Published beyond rank 200; exact value intentionally suppressed</x:v>
      </x:c>
      <x:c r="I480" s="15" t="str">
        <x:v>National Yang Ming Chiao Tung University (NYCU Taiwan)</x:v>
      </x:c>
      <x:c r="J480" s="31" t="str">
        <x:v>https://www.topuniversities.com/universities/national-yang-ming-chiao-tung-university-nycu-taiwan</x:v>
      </x:c>
      <x:c r="K480" s="31" t="str">
        <x:v>https://www.topuniversities.com/world-university-rankings/2023</x:v>
      </x:c>
      <x:c r="L480" s="31" t="str">
        <x:v>https://sdgs.nycu.edu.tw/archives/27449/</x:v>
      </x:c>
    </x:row>
    <x:row r="481">
      <x:c r="A481" s="15" t="n">
        <x:v>97</x:v>
      </x:c>
      <x:c r="B481" s="15" t="str">
        <x:v>National Yang Ming Chiao Tung University (NYCU Taiwan)</x:v>
      </x:c>
      <x:c r="C481" s="15" t="str">
        <x:v>Taiwan</x:v>
      </x:c>
      <x:c r="D481" s="15" t="str">
        <x:v>Master Program in Environmental Engineering</x:v>
      </x:c>
      <x:c r="E481" s="32" t="n">
        <x:v>2024</x:v>
      </x:c>
      <x:c r="F481" s="32" t="str">
        <x:v>200+</x:v>
      </x:c>
      <x:c r="G481" s="36"/>
      <x:c r="H481" s="15" t="str">
        <x:v>Published beyond rank 200; exact value intentionally suppressed</x:v>
      </x:c>
      <x:c r="I481" s="15" t="str">
        <x:v>National Yang Ming Chiao Tung University (NYCU Taiwan)</x:v>
      </x:c>
      <x:c r="J481" s="31" t="str">
        <x:v>https://www.topuniversities.com/universities/national-yang-ming-chiao-tung-university-nycu-taiwan</x:v>
      </x:c>
      <x:c r="K481" s="31" t="str">
        <x:v>https://www.topuniversities.com/world-university-rankings/2024</x:v>
      </x:c>
      <x:c r="L481" s="31" t="str">
        <x:v>https://sdgs.nycu.edu.tw/archives/27449/</x:v>
      </x:c>
    </x:row>
    <x:row r="482">
      <x:c r="A482" s="15" t="n">
        <x:v>97</x:v>
      </x:c>
      <x:c r="B482" s="15" t="str">
        <x:v>National Yang Ming Chiao Tung University (NYCU Taiwan)</x:v>
      </x:c>
      <x:c r="C482" s="15" t="str">
        <x:v>Taiwan</x:v>
      </x:c>
      <x:c r="D482" s="15" t="str">
        <x:v>Master Program in Environmental Engineering</x:v>
      </x:c>
      <x:c r="E482" s="32" t="n">
        <x:v>2025</x:v>
      </x:c>
      <x:c r="F482" s="32" t="str">
        <x:v>200+</x:v>
      </x:c>
      <x:c r="G482" s="36"/>
      <x:c r="H482" s="15" t="str">
        <x:v>Published beyond rank 200; exact value intentionally suppressed</x:v>
      </x:c>
      <x:c r="I482" s="15" t="str">
        <x:v>National Yang Ming Chiao Tung University (NYCU Taiwan)</x:v>
      </x:c>
      <x:c r="J482" s="31" t="str">
        <x:v>https://www.topuniversities.com/universities/national-yang-ming-chiao-tung-university-nycu-taiwan</x:v>
      </x:c>
      <x:c r="K482" s="31" t="str">
        <x:v>https://www.topuniversities.com/world-university-rankings/2025</x:v>
      </x:c>
      <x:c r="L482" s="31" t="str">
        <x:v>https://sdgs.nycu.edu.tw/archives/27449/</x:v>
      </x:c>
    </x:row>
    <x:row r="483">
      <x:c r="A483" s="15" t="n">
        <x:v>97</x:v>
      </x:c>
      <x:c r="B483" s="15" t="str">
        <x:v>National Yang Ming Chiao Tung University (NYCU Taiwan)</x:v>
      </x:c>
      <x:c r="C483" s="15" t="str">
        <x:v>Taiwan</x:v>
      </x:c>
      <x:c r="D483" s="15" t="str">
        <x:v>Master Program in Environmental Engineering</x:v>
      </x:c>
      <x:c r="E483" s="32" t="n">
        <x:v>2026</x:v>
      </x:c>
      <x:c r="F483" s="32" t="n">
        <x:f>199</x:f>
        <x:v>199</x:v>
      </x:c>
      <x:c r="G483" s="36" t="n">
        <x:v>55.7</x:v>
      </x:c>
      <x:c r="H483" s="15" t="str">
        <x:v>Published rank retained</x:v>
      </x:c>
      <x:c r="I483" s="15" t="str">
        <x:v>National Yang Ming Chiao Tung University (NYCU Taiwan)</x:v>
      </x:c>
      <x:c r="J483" s="31" t="str">
        <x:v>https://www.topuniversities.com/universities/national-yang-ming-chiao-tung-university-nycu-taiwan</x:v>
      </x:c>
      <x:c r="K483" s="31" t="str">
        <x:v>https://www.topuniversities.com/world-university-rankings/2026</x:v>
      </x:c>
      <x:c r="L483" s="31" t="str">
        <x:v>https://sdgs.nycu.edu.tw/archives/27449/</x:v>
      </x:c>
    </x:row>
    <x:row r="484">
      <x:c r="A484" s="15" t="n">
        <x:v>97</x:v>
      </x:c>
      <x:c r="B484" s="15" t="str">
        <x:v>National Yang Ming Chiao Tung University (NYCU Taiwan)</x:v>
      </x:c>
      <x:c r="C484" s="15" t="str">
        <x:v>Taiwan</x:v>
      </x:c>
      <x:c r="D484" s="15" t="str">
        <x:v>Master Program in Environmental Engineering</x:v>
      </x:c>
      <x:c r="E484" s="32" t="n">
        <x:v>2027</x:v>
      </x:c>
      <x:c r="F484" s="32" t="n">
        <x:f>177</x:f>
        <x:v>177</x:v>
      </x:c>
      <x:c r="G484" s="36" t="n">
        <x:v>57.9</x:v>
      </x:c>
      <x:c r="H484" s="15" t="str">
        <x:v>Published rank retained</x:v>
      </x:c>
      <x:c r="I484" s="15" t="str">
        <x:v>National Yang Ming Chiao Tung University (NYCU Taiwan)</x:v>
      </x:c>
      <x:c r="J484" s="31" t="str">
        <x:v>https://www.topuniversities.com/universities/national-yang-ming-chiao-tung-university-nycu-taiwan</x:v>
      </x:c>
      <x:c r="K484" s="31" t="str">
        <x:v>https://www.topuniversities.com/world-university-rankings</x:v>
      </x:c>
      <x:c r="L484" s="31" t="str">
        <x:v>https://sdgs.nycu.edu.tw/archives/27449/</x:v>
      </x:c>
    </x:row>
  </x:sheetData>
  <x:mergeCells>
    <x:mergeCell ref="A1:L1"/>
    <x:mergeCell ref="A2:L2"/>
  </x:mergeCells>
  <x:conditionalFormatting sqref="F5:F484">
    <x:cfRule type="containsText" dxfId="12" priority="1" operator="containsText" text="NR"/>
    <x:cfRule type="containsText" dxfId="13" priority="2" operator="containsText" text="N/P"/>
    <x:cfRule type="containsText" dxfId="14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5013fc4192f244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THE World University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THE WUR editions 2022-2026. Published ranks after 200 are intentionally reported as 200+; NR remains distinct where the complete table has no record.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8" t="str">
        <x:v>ID</x:v>
      </x:c>
      <x:c r="B4" s="28" t="str">
        <x:v>Institution</x:v>
      </x:c>
      <x:c r="C4" s="28" t="str">
        <x:v>Country</x:v>
      </x:c>
      <x:c r="D4" s="28" t="str">
        <x:v>Selected Program</x:v>
      </x:c>
      <x:c r="E4" s="28" t="str">
        <x:v>Edition</x:v>
      </x:c>
      <x:c r="F4" s="28" t="str">
        <x:v>Rank</x:v>
      </x:c>
      <x:c r="G4" s="28" t="str">
        <x:v>Score</x:v>
      </x:c>
      <x:c r="H4" s="28" t="str">
        <x:v>Status</x:v>
      </x:c>
      <x:c r="I4" s="28" t="str">
        <x:v>Official Ranked Name</x:v>
      </x:c>
      <x:c r="J4" s="28" t="str">
        <x:v>Profile URL</x:v>
      </x:c>
      <x:c r="K4" s="28" t="str">
        <x:v>Official Ranking Page</x:v>
      </x:c>
      <x:c r="L4" s="28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116</x:v>
      </x:c>
      <x:c r="G5" s="36" t="n">
        <x:v>60.8</x:v>
      </x:c>
      <x:c r="H5" s="15" t="str">
        <x:v>Published rank retained</x:v>
      </x:c>
      <x:c r="I5" s="15" t="str">
        <x:v>Lund University</x:v>
      </x:c>
      <x:c r="J5" s="31" t="str">
        <x:v>https://www.timeshighereducation.com/world-university-rankings/lund-university</x:v>
      </x:c>
      <x:c r="K5" s="31" t="str">
        <x:v>https://www.timeshighereducation.com/world-university-rankings/2022/world-ranking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n">
        <x:f>119</x:f>
        <x:v>119</x:v>
      </x:c>
      <x:c r="G6" s="36" t="n">
        <x:v>61</x:v>
      </x:c>
      <x:c r="H6" s="15" t="str">
        <x:v>Published rank retained</x:v>
      </x:c>
      <x:c r="I6" s="15" t="str">
        <x:v>Lund University</x:v>
      </x:c>
      <x:c r="J6" s="31" t="str">
        <x:v>https://www.timeshighereducation.com/world-university-rankings/lund-university</x:v>
      </x:c>
      <x:c r="K6" s="31" t="str">
        <x:v>https://www.timeshighereducation.com/world-university-rankings/2023/world-ranking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n">
        <x:f>106</x:f>
        <x:v>106</x:v>
      </x:c>
      <x:c r="G7" s="36" t="n">
        <x:v>66.1</x:v>
      </x:c>
      <x:c r="H7" s="15" t="str">
        <x:v>Published rank retained</x:v>
      </x:c>
      <x:c r="I7" s="15" t="str">
        <x:v>Lund University</x:v>
      </x:c>
      <x:c r="J7" s="31" t="str">
        <x:v>https://www.timeshighereducation.com/world-university-rankings/lund-university</x:v>
      </x:c>
      <x:c r="K7" s="31" t="str">
        <x:v>https://www.timeshighereducation.com/world-university-rankings/2024/world-ranking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n">
        <x:f>95</x:f>
        <x:v>95</x:v>
      </x:c>
      <x:c r="G8" s="36" t="n">
        <x:v>66.9</x:v>
      </x:c>
      <x:c r="H8" s="15" t="str">
        <x:v>Published rank retained</x:v>
      </x:c>
      <x:c r="I8" s="15" t="str">
        <x:v>Lund University</x:v>
      </x:c>
      <x:c r="J8" s="31" t="str">
        <x:v>https://www.timeshighereducation.com/world-university-rankings/lund-university</x:v>
      </x:c>
      <x:c r="K8" s="31" t="str">
        <x:v>https://www.timeshighereducation.com/world-university-rankings/2025/world-ranking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n">
        <x:f>95</x:f>
        <x:v>95</x:v>
      </x:c>
      <x:c r="G9" s="36" t="n">
        <x:v>66.6</x:v>
      </x:c>
      <x:c r="H9" s="15" t="str">
        <x:v>Published rank retained</x:v>
      </x:c>
      <x:c r="I9" s="15" t="str">
        <x:v>Lund University</x:v>
      </x:c>
      <x:c r="J9" s="31" t="str">
        <x:v>https://www.timeshighereducation.com/world-university-rankings/lund-university</x:v>
      </x:c>
      <x:c r="K9" s="31" t="str">
        <x:v>https://www.timeshighereducation.com/world-university-rankings/2026/world-ranking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n">
        <x:f>18</x:f>
        <x:v>18</x:v>
      </x:c>
      <x:c r="G10" s="36" t="n">
        <x:v>87.2</x:v>
      </x:c>
      <x:c r="H10" s="15" t="str">
        <x:v>Published rank retained</x:v>
      </x:c>
      <x:c r="I10" s="15" t="str">
        <x:v>University of Toronto</x:v>
      </x:c>
      <x:c r="J10" s="31" t="str">
        <x:v>https://www.timeshighereducation.com/world-university-rankings/university-toronto</x:v>
      </x:c>
      <x:c r="K10" s="31" t="str">
        <x:v>https://www.timeshighereducation.com/world-university-rankings/2022/world-ranking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18</x:v>
      </x:c>
      <x:c r="G11" s="36" t="n">
        <x:v>87.4</x:v>
      </x:c>
      <x:c r="H11" s="15" t="str">
        <x:v>Published rank retained</x:v>
      </x:c>
      <x:c r="I11" s="15" t="str">
        <x:v>University of Toronto</x:v>
      </x:c>
      <x:c r="J11" s="31" t="str">
        <x:v>https://www.timeshighereducation.com/world-university-rankings/university-toronto</x:v>
      </x:c>
      <x:c r="K11" s="31" t="str">
        <x:v>https://www.timeshighereducation.com/world-university-rankings/2023/world-ranking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21</x:v>
      </x:c>
      <x:c r="G12" s="36" t="n">
        <x:v>88.6</x:v>
      </x:c>
      <x:c r="H12" s="15" t="str">
        <x:v>Published rank retained</x:v>
      </x:c>
      <x:c r="I12" s="15" t="str">
        <x:v>University of Toronto</x:v>
      </x:c>
      <x:c r="J12" s="31" t="str">
        <x:v>https://www.timeshighereducation.com/world-university-rankings/university-toronto</x:v>
      </x:c>
      <x:c r="K12" s="31" t="str">
        <x:v>https://www.timeshighereducation.com/world-university-rankings/2024/world-ranking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21</x:v>
      </x:c>
      <x:c r="G13" s="36" t="n">
        <x:v>88.3</x:v>
      </x:c>
      <x:c r="H13" s="15" t="str">
        <x:v>Published rank retained</x:v>
      </x:c>
      <x:c r="I13" s="15" t="str">
        <x:v>University of Toronto</x:v>
      </x:c>
      <x:c r="J13" s="31" t="str">
        <x:v>https://www.timeshighereducation.com/world-university-rankings/university-toronto</x:v>
      </x:c>
      <x:c r="K13" s="31" t="str">
        <x:v>https://www.timeshighereducation.com/world-university-rankings/2025/world-ranking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21</x:v>
      </x:c>
      <x:c r="G14" s="36" t="n">
        <x:v>88.5</x:v>
      </x:c>
      <x:c r="H14" s="15" t="str">
        <x:v>Published rank retained</x:v>
      </x:c>
      <x:c r="I14" s="15" t="str">
        <x:v>University of Toronto</x:v>
      </x:c>
      <x:c r="J14" s="31" t="str">
        <x:v>https://www.timeshighereducation.com/world-university-rankings/university-toronto</x:v>
      </x:c>
      <x:c r="K14" s="31" t="str">
        <x:v>https://www.timeshighereducation.com/world-university-rankings/2026/world-ranking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n">
        <x:f>18</x:f>
        <x:v>18</x:v>
      </x:c>
      <x:c r="G15" s="36" t="n">
        <x:v>87.2</x:v>
      </x:c>
      <x:c r="H15" s="15" t="str">
        <x:v>Published rank retained</x:v>
      </x:c>
      <x:c r="I15" s="15" t="str">
        <x:v>UCL</x:v>
      </x:c>
      <x:c r="J15" s="31" t="str">
        <x:v>https://www.timeshighereducation.com/world-university-rankings/ucl</x:v>
      </x:c>
      <x:c r="K15" s="31" t="str">
        <x:v>https://www.timeshighereducation.com/world-university-rankings/2022/world-ranking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str">
        <x:v>22</x:v>
      </x:c>
      <x:c r="G16" s="36" t="n">
        <x:v>85.7</x:v>
      </x:c>
      <x:c r="H16" s="15" t="str">
        <x:v>Published rank retained</x:v>
      </x:c>
      <x:c r="I16" s="15" t="str">
        <x:v>UCL</x:v>
      </x:c>
      <x:c r="J16" s="31" t="str">
        <x:v>https://www.timeshighereducation.com/world-university-rankings/ucl</x:v>
      </x:c>
      <x:c r="K16" s="31" t="str">
        <x:v>https://www.timeshighereducation.com/world-university-rankings/2023/world-ranking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str">
        <x:v>22</x:v>
      </x:c>
      <x:c r="G17" s="36" t="n">
        <x:v>88.1</x:v>
      </x:c>
      <x:c r="H17" s="15" t="str">
        <x:v>Published rank retained</x:v>
      </x:c>
      <x:c r="I17" s="15" t="str">
        <x:v>UCL</x:v>
      </x:c>
      <x:c r="J17" s="31" t="str">
        <x:v>https://www.timeshighereducation.com/world-university-rankings/ucl</x:v>
      </x:c>
      <x:c r="K17" s="31" t="str">
        <x:v>https://www.timeshighereducation.com/world-university-rankings/2024/world-ranking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n">
        <x:f>22</x:f>
        <x:v>22</x:v>
      </x:c>
      <x:c r="G18" s="36" t="n">
        <x:v>87.7</x:v>
      </x:c>
      <x:c r="H18" s="15" t="str">
        <x:v>Published rank retained</x:v>
      </x:c>
      <x:c r="I18" s="15" t="str">
        <x:v>UCL</x:v>
      </x:c>
      <x:c r="J18" s="31" t="str">
        <x:v>https://www.timeshighereducation.com/world-university-rankings/ucl</x:v>
      </x:c>
      <x:c r="K18" s="31" t="str">
        <x:v>https://www.timeshighereducation.com/world-university-rankings/2025/world-ranking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22</x:v>
      </x:c>
      <x:c r="G19" s="36" t="n">
        <x:v>87.5</x:v>
      </x:c>
      <x:c r="H19" s="15" t="str">
        <x:v>Published rank retained</x:v>
      </x:c>
      <x:c r="I19" s="15" t="str">
        <x:v>UCL</x:v>
      </x:c>
      <x:c r="J19" s="31" t="str">
        <x:v>https://www.timeshighereducation.com/world-university-rankings/ucl</x:v>
      </x:c>
      <x:c r="K19" s="31" t="str">
        <x:v>https://www.timeshighereducation.com/world-university-rankings/2026/world-ranking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n">
        <x:f>30</x:f>
        <x:v>30</x:v>
      </x:c>
      <x:c r="G20" s="36" t="n">
        <x:v>78.9</x:v>
      </x:c>
      <x:c r="H20" s="15" t="str">
        <x:v>Published rank retained</x:v>
      </x:c>
      <x:c r="I20" s="15" t="str">
        <x:v>University of Edinburgh</x:v>
      </x:c>
      <x:c r="J20" s="31" t="str">
        <x:v>https://www.timeshighereducation.com/world-university-rankings/university-edinburgh</x:v>
      </x:c>
      <x:c r="K20" s="31" t="str">
        <x:v>https://www.timeshighereducation.com/world-university-rankings/2022/world-ranking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str">
        <x:v>29</x:v>
      </x:c>
      <x:c r="G21" s="36" t="n">
        <x:v>79.8</x:v>
      </x:c>
      <x:c r="H21" s="15" t="str">
        <x:v>Published rank retained</x:v>
      </x:c>
      <x:c r="I21" s="15" t="str">
        <x:v>University of Edinburgh</x:v>
      </x:c>
      <x:c r="J21" s="31" t="str">
        <x:v>https://www.timeshighereducation.com/world-university-rankings/university-edinburgh</x:v>
      </x:c>
      <x:c r="K21" s="31" t="str">
        <x:v>https://www.timeshighereducation.com/world-university-rankings/2023/world-ranking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30</x:f>
        <x:v>30</x:v>
      </x:c>
      <x:c r="G22" s="36" t="n">
        <x:v>82.5</x:v>
      </x:c>
      <x:c r="H22" s="15" t="str">
        <x:v>Published rank retained</x:v>
      </x:c>
      <x:c r="I22" s="15" t="str">
        <x:v>University of Edinburgh</x:v>
      </x:c>
      <x:c r="J22" s="31" t="str">
        <x:v>https://www.timeshighereducation.com/world-university-rankings/university-edinburgh</x:v>
      </x:c>
      <x:c r="K22" s="31" t="str">
        <x:v>https://www.timeshighereducation.com/world-university-rankings/2024/world-ranking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str">
        <x:v>29</x:v>
      </x:c>
      <x:c r="G23" s="36" t="n">
        <x:v>82.5</x:v>
      </x:c>
      <x:c r="H23" s="15" t="str">
        <x:v>Published rank retained</x:v>
      </x:c>
      <x:c r="I23" s="15" t="str">
        <x:v>University of Edinburgh</x:v>
      </x:c>
      <x:c r="J23" s="31" t="str">
        <x:v>https://www.timeshighereducation.com/world-university-rankings/university-edinburgh</x:v>
      </x:c>
      <x:c r="K23" s="31" t="str">
        <x:v>https://www.timeshighereducation.com/world-university-rankings/2025/world-ranking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str">
        <x:v>29</x:v>
      </x:c>
      <x:c r="G24" s="36" t="n">
        <x:v>82.5</x:v>
      </x:c>
      <x:c r="H24" s="15" t="str">
        <x:v>Published rank retained</x:v>
      </x:c>
      <x:c r="I24" s="15" t="str">
        <x:v>University of Edinburgh</x:v>
      </x:c>
      <x:c r="J24" s="31" t="str">
        <x:v>https://www.timeshighereducation.com/world-university-rankings/university-edinburgh</x:v>
      </x:c>
      <x:c r="K24" s="31" t="str">
        <x:v>https://www.timeshighereducation.com/world-university-rankings/2026/world-ranking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str">
        <x:v>37</x:v>
      </x:c>
      <x:c r="G25" s="36" t="n">
        <x:v>75.8</x:v>
      </x:c>
      <x:c r="H25" s="15" t="str">
        <x:v>Published rank retained</x:v>
      </x:c>
      <x:c r="I25" s="15" t="str">
        <x:v>University of British Columbia</x:v>
      </x:c>
      <x:c r="J25" s="31" t="str">
        <x:v>https://www.timeshighereducation.com/world-university-rankings/university-british-columbia</x:v>
      </x:c>
      <x:c r="K25" s="31" t="str">
        <x:v>https://www.timeshighereducation.com/world-university-rankings/2022/world-ranking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str">
        <x:v>40</x:v>
      </x:c>
      <x:c r="G26" s="36" t="n">
        <x:v>75.7</x:v>
      </x:c>
      <x:c r="H26" s="15" t="str">
        <x:v>Published rank retained</x:v>
      </x:c>
      <x:c r="I26" s="15" t="str">
        <x:v>University of British Columbia</x:v>
      </x:c>
      <x:c r="J26" s="31" t="str">
        <x:v>https://www.timeshighereducation.com/world-university-rankings/university-british-columbia</x:v>
      </x:c>
      <x:c r="K26" s="31" t="str">
        <x:v>https://www.timeshighereducation.com/world-university-rankings/2023/world-ranking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41</x:v>
      </x:c>
      <x:c r="G27" s="36" t="n">
        <x:v>78</x:v>
      </x:c>
      <x:c r="H27" s="15" t="str">
        <x:v>Published rank retained</x:v>
      </x:c>
      <x:c r="I27" s="15" t="str">
        <x:v>University of British Columbia</x:v>
      </x:c>
      <x:c r="J27" s="31" t="str">
        <x:v>https://www.timeshighereducation.com/world-university-rankings/university-british-columbia</x:v>
      </x:c>
      <x:c r="K27" s="31" t="str">
        <x:v>https://www.timeshighereducation.com/world-university-rankings/2024/world-ranking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str">
        <x:v>41</x:v>
      </x:c>
      <x:c r="G28" s="36" t="n">
        <x:v>77.8</x:v>
      </x:c>
      <x:c r="H28" s="15" t="str">
        <x:v>Published rank retained</x:v>
      </x:c>
      <x:c r="I28" s="15" t="str">
        <x:v>University of British Columbia</x:v>
      </x:c>
      <x:c r="J28" s="31" t="str">
        <x:v>https://www.timeshighereducation.com/world-university-rankings/university-british-columbia</x:v>
      </x:c>
      <x:c r="K28" s="31" t="str">
        <x:v>https://www.timeshighereducation.com/world-university-rankings/2025/world-ranking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45</x:v>
      </x:c>
      <x:c r="G29" s="36" t="n">
        <x:v>77</x:v>
      </x:c>
      <x:c r="H29" s="15" t="str">
        <x:v>Published rank retained</x:v>
      </x:c>
      <x:c r="I29" s="15" t="str">
        <x:v>University of British Columbia</x:v>
      </x:c>
      <x:c r="J29" s="31" t="str">
        <x:v>https://www.timeshighereducation.com/world-university-rankings/university-british-columbia</x:v>
      </x:c>
      <x:c r="K29" s="31" t="str">
        <x:v>https://www.timeshighereducation.com/world-university-rankings/2026/world-ranking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27</x:v>
      </x:c>
      <x:c r="G30" s="36" t="n">
        <x:v>80.8</x:v>
      </x:c>
      <x:c r="H30" s="15" t="str">
        <x:v>Published rank retained</x:v>
      </x:c>
      <x:c r="I30" s="15" t="str">
        <x:v>London School of Economics and Political Science</x:v>
      </x:c>
      <x:c r="J30" s="31" t="str">
        <x:v>https://www.timeshighereducation.com/world-university-rankings/london-school-economics-and-political-science</x:v>
      </x:c>
      <x:c r="K30" s="31" t="str">
        <x:v>https://www.timeshighereducation.com/world-university-rankings/2022/world-ranking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37</x:v>
      </x:c>
      <x:c r="G31" s="36" t="n">
        <x:v>76.5</x:v>
      </x:c>
      <x:c r="H31" s="15" t="str">
        <x:v>Published rank retained</x:v>
      </x:c>
      <x:c r="I31" s="15" t="str">
        <x:v>London School of Economics and Political Science</x:v>
      </x:c>
      <x:c r="J31" s="31" t="str">
        <x:v>https://www.timeshighereducation.com/world-university-rankings/london-school-economics-and-political-science</x:v>
      </x:c>
      <x:c r="K31" s="31" t="str">
        <x:v>https://www.timeshighereducation.com/world-university-rankings/2023/world-ranking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46</x:v>
      </x:c>
      <x:c r="G32" s="36" t="n">
        <x:v>76.8</x:v>
      </x:c>
      <x:c r="H32" s="15" t="str">
        <x:v>Published rank retained</x:v>
      </x:c>
      <x:c r="I32" s="15" t="str">
        <x:v>London School of Economics and Political Science</x:v>
      </x:c>
      <x:c r="J32" s="31" t="str">
        <x:v>https://www.timeshighereducation.com/world-university-rankings/london-school-economics-and-political-science</x:v>
      </x:c>
      <x:c r="K32" s="31" t="str">
        <x:v>https://www.timeshighereducation.com/world-university-rankings/2024/world-ranking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n">
        <x:f>50</x:f>
        <x:v>50</x:v>
      </x:c>
      <x:c r="G33" s="36" t="n">
        <x:v>75.9</x:v>
      </x:c>
      <x:c r="H33" s="15" t="str">
        <x:v>Published rank retained</x:v>
      </x:c>
      <x:c r="I33" s="15" t="str">
        <x:v>London School of Economics and Political Science</x:v>
      </x:c>
      <x:c r="J33" s="31" t="str">
        <x:v>https://www.timeshighereducation.com/world-university-rankings/london-school-economics-and-political-science</x:v>
      </x:c>
      <x:c r="K33" s="31" t="str">
        <x:v>https://www.timeshighereducation.com/world-university-rankings/2025/world-ranking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52</x:v>
      </x:c>
      <x:c r="G34" s="36" t="n">
        <x:v>75.4</x:v>
      </x:c>
      <x:c r="H34" s="15" t="str">
        <x:v>Published rank retained</x:v>
      </x:c>
      <x:c r="I34" s="15" t="str">
        <x:v>London School of Economics and Political Science</x:v>
      </x:c>
      <x:c r="J34" s="31" t="str">
        <x:v>https://www.timeshighereducation.com/world-university-rankings/london-school-economics-and-political-science</x:v>
      </x:c>
      <x:c r="K34" s="31" t="str">
        <x:v>https://www.timeshighereducation.com/world-university-rankings/2026/world-ranking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12</x:v>
      </x:c>
      <x:c r="G35" s="36" t="n">
        <x:v>89.3</x:v>
      </x:c>
      <x:c r="H35" s="15" t="str">
        <x:v>Published rank retained</x:v>
      </x:c>
      <x:c r="I35" s="15" t="str">
        <x:v>Imperial College London</x:v>
      </x:c>
      <x:c r="J35" s="31" t="str">
        <x:v>https://www.timeshighereducation.com/world-university-rankings/imperial-college-london</x:v>
      </x:c>
      <x:c r="K35" s="31" t="str">
        <x:v>https://www.timeshighereducation.com/world-university-rankings/2022/world-ranking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str">
        <x:v>10</x:v>
      </x:c>
      <x:c r="G36" s="36" t="n">
        <x:v>90.4</x:v>
      </x:c>
      <x:c r="H36" s="15" t="str">
        <x:v>Published rank retained</x:v>
      </x:c>
      <x:c r="I36" s="15" t="str">
        <x:v>Imperial College London</x:v>
      </x:c>
      <x:c r="J36" s="31" t="str">
        <x:v>https://www.timeshighereducation.com/world-university-rankings/imperial-college-london</x:v>
      </x:c>
      <x:c r="K36" s="31" t="str">
        <x:v>https://www.timeshighereducation.com/world-university-rankings/2023/world-ranking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8</x:v>
      </x:c>
      <x:c r="G37" s="36" t="n">
        <x:v>95.1</x:v>
      </x:c>
      <x:c r="H37" s="15" t="str">
        <x:v>Published rank retained</x:v>
      </x:c>
      <x:c r="I37" s="15" t="str">
        <x:v>Imperial College London</x:v>
      </x:c>
      <x:c r="J37" s="31" t="str">
        <x:v>https://www.timeshighereducation.com/world-university-rankings/imperial-college-london</x:v>
      </x:c>
      <x:c r="K37" s="31" t="str">
        <x:v>https://www.timeshighereducation.com/world-university-rankings/2024/world-ranking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str">
        <x:v>9</x:v>
      </x:c>
      <x:c r="G38" s="36" t="n">
        <x:v>94.4</x:v>
      </x:c>
      <x:c r="H38" s="15" t="str">
        <x:v>Published rank retained</x:v>
      </x:c>
      <x:c r="I38" s="15" t="str">
        <x:v>Imperial College London</x:v>
      </x:c>
      <x:c r="J38" s="31" t="str">
        <x:v>https://www.timeshighereducation.com/world-university-rankings/imperial-college-london</x:v>
      </x:c>
      <x:c r="K38" s="31" t="str">
        <x:v>https://www.timeshighereducation.com/world-university-rankings/2025/world-ranking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str">
        <x:v>8</x:v>
      </x:c>
      <x:c r="G39" s="36" t="n">
        <x:v>94.7</x:v>
      </x:c>
      <x:c r="H39" s="15" t="str">
        <x:v>Published rank retained</x:v>
      </x:c>
      <x:c r="I39" s="15" t="str">
        <x:v>Imperial College London</x:v>
      </x:c>
      <x:c r="J39" s="31" t="str">
        <x:v>https://www.timeshighereducation.com/world-university-rankings/imperial-college-london</x:v>
      </x:c>
      <x:c r="K39" s="31" t="str">
        <x:v>https://www.timeshighereducation.com/world-university-rankings/2026/world-ranking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str">
        <x:v>70</x:v>
      </x:c>
      <x:c r="G40" s="36" t="n">
        <x:v>67.4</x:v>
      </x:c>
      <x:c r="H40" s="15" t="str">
        <x:v>Published rank retained</x:v>
      </x:c>
      <x:c r="I40" s="15" t="str">
        <x:v>UNSW Sydney</x:v>
      </x:c>
      <x:c r="J40" s="31" t="str">
        <x:v>https://www.timeshighereducation.com/world-university-rankings/unsw-sydney</x:v>
      </x:c>
      <x:c r="K40" s="31" t="str">
        <x:v>https://www.timeshighereducation.com/world-university-rankings/2022/world-ranking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71</x:f>
        <x:v>71</x:v>
      </x:c>
      <x:c r="G41" s="36" t="n">
        <x:v>67.5</x:v>
      </x:c>
      <x:c r="H41" s="15" t="str">
        <x:v>Published rank retained</x:v>
      </x:c>
      <x:c r="I41" s="15" t="str">
        <x:v>UNSW Sydney</x:v>
      </x:c>
      <x:c r="J41" s="31" t="str">
        <x:v>https://www.timeshighereducation.com/world-university-rankings/unsw-sydney</x:v>
      </x:c>
      <x:c r="K41" s="31" t="str">
        <x:v>https://www.timeshighereducation.com/world-university-rankings/2023/world-ranking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str">
        <x:v>84</x:v>
      </x:c>
      <x:c r="G42" s="36" t="n">
        <x:v>68.9</x:v>
      </x:c>
      <x:c r="H42" s="15" t="str">
        <x:v>Published rank retained</x:v>
      </x:c>
      <x:c r="I42" s="15" t="str">
        <x:v>UNSW Sydney</x:v>
      </x:c>
      <x:c r="J42" s="31" t="str">
        <x:v>https://www.timeshighereducation.com/world-university-rankings/unsw-sydney</x:v>
      </x:c>
      <x:c r="K42" s="31" t="str">
        <x:v>https://www.timeshighereducation.com/world-university-rankings/2024/world-ranking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str">
        <x:v>83</x:v>
      </x:c>
      <x:c r="G43" s="36" t="n">
        <x:v>69.1</x:v>
      </x:c>
      <x:c r="H43" s="15" t="str">
        <x:v>Published rank retained</x:v>
      </x:c>
      <x:c r="I43" s="15" t="str">
        <x:v>UNSW Sydney</x:v>
      </x:c>
      <x:c r="J43" s="31" t="str">
        <x:v>https://www.timeshighereducation.com/world-university-rankings/unsw-sydney</x:v>
      </x:c>
      <x:c r="K43" s="31" t="str">
        <x:v>https://www.timeshighereducation.com/world-university-rankings/2025/world-ranking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str">
        <x:v>79</x:v>
      </x:c>
      <x:c r="G44" s="36" t="n">
        <x:v>70</x:v>
      </x:c>
      <x:c r="H44" s="15" t="str">
        <x:v>Published rank retained</x:v>
      </x:c>
      <x:c r="I44" s="15" t="str">
        <x:v>UNSW Sydney</x:v>
      </x:c>
      <x:c r="J44" s="31" t="str">
        <x:v>https://www.timeshighereducation.com/world-university-rankings/unsw-sydney</x:v>
      </x:c>
      <x:c r="K44" s="31" t="str">
        <x:v>https://www.timeshighereducation.com/world-university-rankings/2026/world-ranking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44</x:v>
      </x:c>
      <x:c r="G45" s="36" t="n">
        <x:v>73.4</x:v>
      </x:c>
      <x:c r="H45" s="15" t="str">
        <x:v>Published rank retained</x:v>
      </x:c>
      <x:c r="I45" s="15" t="str">
        <x:v>McGill University</x:v>
      </x:c>
      <x:c r="J45" s="31" t="str">
        <x:v>https://www.timeshighereducation.com/world-university-rankings/mcgill-university</x:v>
      </x:c>
      <x:c r="K45" s="31" t="str">
        <x:v>https://www.timeshighereducation.com/world-university-rankings/2022/world-ranking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str">
        <x:v>46</x:v>
      </x:c>
      <x:c r="G46" s="36" t="n">
        <x:v>73</x:v>
      </x:c>
      <x:c r="H46" s="15" t="str">
        <x:v>Published rank retained</x:v>
      </x:c>
      <x:c r="I46" s="15" t="str">
        <x:v>McGill University</x:v>
      </x:c>
      <x:c r="J46" s="31" t="str">
        <x:v>https://www.timeshighereducation.com/world-university-rankings/mcgill-university</x:v>
      </x:c>
      <x:c r="K46" s="31" t="str">
        <x:v>https://www.timeshighereducation.com/world-university-rankings/2023/world-ranking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49</x:v>
      </x:c>
      <x:c r="G47" s="36" t="n">
        <x:v>76</x:v>
      </x:c>
      <x:c r="H47" s="15" t="str">
        <x:v>Published rank retained</x:v>
      </x:c>
      <x:c r="I47" s="15" t="str">
        <x:v>McGill University</x:v>
      </x:c>
      <x:c r="J47" s="31" t="str">
        <x:v>https://www.timeshighereducation.com/world-university-rankings/mcgill-university</x:v>
      </x:c>
      <x:c r="K47" s="31" t="str">
        <x:v>https://www.timeshighereducation.com/world-university-rankings/2024/world-ranking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str">
        <x:v>45</x:v>
      </x:c>
      <x:c r="G48" s="36" t="n">
        <x:v>76.7</x:v>
      </x:c>
      <x:c r="H48" s="15" t="str">
        <x:v>Published rank retained</x:v>
      </x:c>
      <x:c r="I48" s="15" t="str">
        <x:v>McGill University</x:v>
      </x:c>
      <x:c r="J48" s="31" t="str">
        <x:v>https://www.timeshighereducation.com/world-university-rankings/mcgill-university</x:v>
      </x:c>
      <x:c r="K48" s="31" t="str">
        <x:v>https://www.timeshighereducation.com/world-university-rankings/2025/world-ranking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n">
        <x:f>41</x:f>
        <x:v>41</x:v>
      </x:c>
      <x:c r="G49" s="36" t="n">
        <x:v>77.1</x:v>
      </x:c>
      <x:c r="H49" s="15" t="str">
        <x:v>Published rank retained</x:v>
      </x:c>
      <x:c r="I49" s="15" t="str">
        <x:v>McGill University</x:v>
      </x:c>
      <x:c r="J49" s="31" t="str">
        <x:v>https://www.timeshighereducation.com/world-university-rankings/mcgill-university</x:v>
      </x:c>
      <x:c r="K49" s="31" t="str">
        <x:v>https://www.timeshighereducation.com/world-university-rankings/2026/world-ranking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50</x:v>
      </x:c>
      <x:c r="G50" s="36" t="n">
        <x:v>71.2</x:v>
      </x:c>
      <x:c r="H50" s="15" t="str">
        <x:v>Published rank retained</x:v>
      </x:c>
      <x:c r="I50" s="15" t="str">
        <x:v>University of Manchester</x:v>
      </x:c>
      <x:c r="J50" s="31" t="str">
        <x:v>https://www.timeshighereducation.com/world-university-rankings/university-manchester</x:v>
      </x:c>
      <x:c r="K50" s="31" t="str">
        <x:v>https://www.timeshighereducation.com/world-university-rankings/2022/world-ranking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n">
        <x:f>54</x:f>
        <x:v>54</x:v>
      </x:c>
      <x:c r="G51" s="36" t="n">
        <x:v>70.9</x:v>
      </x:c>
      <x:c r="H51" s="15" t="str">
        <x:v>Published rank retained</x:v>
      </x:c>
      <x:c r="I51" s="15" t="str">
        <x:v>University of Manchester</x:v>
      </x:c>
      <x:c r="J51" s="31" t="str">
        <x:v>https://www.timeshighereducation.com/world-university-rankings/university-manchester</x:v>
      </x:c>
      <x:c r="K51" s="31" t="str">
        <x:v>https://www.timeshighereducation.com/world-university-rankings/2023/world-ranking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str">
        <x:v>51</x:v>
      </x:c>
      <x:c r="G52" s="36" t="n">
        <x:v>75.6</x:v>
      </x:c>
      <x:c r="H52" s="15" t="str">
        <x:v>Published rank retained</x:v>
      </x:c>
      <x:c r="I52" s="15" t="str">
        <x:v>University of Manchester</x:v>
      </x:c>
      <x:c r="J52" s="31" t="str">
        <x:v>https://www.timeshighereducation.com/world-university-rankings/university-manchester</x:v>
      </x:c>
      <x:c r="K52" s="31" t="str">
        <x:v>https://www.timeshighereducation.com/world-university-rankings/2024/world-ranking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n">
        <x:f>53</x:f>
        <x:v>53</x:v>
      </x:c>
      <x:c r="G53" s="36" t="n">
        <x:v>75.5</x:v>
      </x:c>
      <x:c r="H53" s="15" t="str">
        <x:v>Published rank retained</x:v>
      </x:c>
      <x:c r="I53" s="15" t="str">
        <x:v>University of Manchester</x:v>
      </x:c>
      <x:c r="J53" s="31" t="str">
        <x:v>https://www.timeshighereducation.com/world-university-rankings/university-manchester</x:v>
      </x:c>
      <x:c r="K53" s="31" t="str">
        <x:v>https://www.timeshighereducation.com/world-university-rankings/2025/world-ranking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56</x:v>
      </x:c>
      <x:c r="G54" s="36" t="n">
        <x:v>74.9</x:v>
      </x:c>
      <x:c r="H54" s="15" t="str">
        <x:v>Published rank retained</x:v>
      </x:c>
      <x:c r="I54" s="15" t="str">
        <x:v>University of Manchester</x:v>
      </x:c>
      <x:c r="J54" s="31" t="str">
        <x:v>https://www.timeshighereducation.com/world-university-rankings/university-manchester</x:v>
      </x:c>
      <x:c r="K54" s="31" t="str">
        <x:v>https://www.timeshighereducation.com/world-university-rankings/2026/world-ranking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15</x:v>
      </x:c>
      <x:c r="G55" s="36" t="n">
        <x:v>88.2</x:v>
      </x:c>
      <x:c r="H55" s="15" t="str">
        <x:v>Published rank retained</x:v>
      </x:c>
      <x:c r="I55" s="15" t="str">
        <x:v>ETH Zurich</x:v>
      </x:c>
      <x:c r="J55" s="31" t="str">
        <x:v>https://www.timeshighereducation.com/world-university-rankings/eth-zurich</x:v>
      </x:c>
      <x:c r="K55" s="31" t="str">
        <x:v>https://www.timeshighereducation.com/world-university-rankings/2022/world-ranking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n">
        <x:f>11</x:f>
        <x:v>11</x:v>
      </x:c>
      <x:c r="G56" s="36" t="n">
        <x:v>89.4</x:v>
      </x:c>
      <x:c r="H56" s="15" t="str">
        <x:v>Published rank retained</x:v>
      </x:c>
      <x:c r="I56" s="15" t="str">
        <x:v>ETH Zurich</x:v>
      </x:c>
      <x:c r="J56" s="31" t="str">
        <x:v>https://www.timeshighereducation.com/world-university-rankings/eth-zurich</x:v>
      </x:c>
      <x:c r="K56" s="31" t="str">
        <x:v>https://www.timeshighereducation.com/world-university-rankings/2023/world-ranking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11</x:v>
      </x:c>
      <x:c r="G57" s="36" t="n">
        <x:v>93.1</x:v>
      </x:c>
      <x:c r="H57" s="15" t="str">
        <x:v>Published rank retained</x:v>
      </x:c>
      <x:c r="I57" s="15" t="str">
        <x:v>ETH Zurich</x:v>
      </x:c>
      <x:c r="J57" s="31" t="str">
        <x:v>https://www.timeshighereducation.com/world-university-rankings/eth-zurich</x:v>
      </x:c>
      <x:c r="K57" s="31" t="str">
        <x:v>https://www.timeshighereducation.com/world-university-rankings/2024/world-ranking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11</x:v>
      </x:c>
      <x:c r="G58" s="36" t="n">
        <x:v>93</x:v>
      </x:c>
      <x:c r="H58" s="15" t="str">
        <x:v>Published rank retained</x:v>
      </x:c>
      <x:c r="I58" s="15" t="str">
        <x:v>ETH Zurich</x:v>
      </x:c>
      <x:c r="J58" s="31" t="str">
        <x:v>https://www.timeshighereducation.com/world-university-rankings/eth-zurich</x:v>
      </x:c>
      <x:c r="K58" s="31" t="str">
        <x:v>https://www.timeshighereducation.com/world-university-rankings/2025/world-ranking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str">
        <x:v>11</x:v>
      </x:c>
      <x:c r="G59" s="36" t="n">
        <x:v>93.1</x:v>
      </x:c>
      <x:c r="H59" s="15" t="str">
        <x:v>Published rank retained</x:v>
      </x:c>
      <x:c r="I59" s="15" t="str">
        <x:v>ETH Zurich</x:v>
      </x:c>
      <x:c r="J59" s="31" t="str">
        <x:v>https://www.timeshighereducation.com/world-university-rankings/eth-zurich</x:v>
      </x:c>
      <x:c r="K59" s="31" t="str">
        <x:v>https://www.timeshighereducation.com/world-university-rankings/2026/world-ranking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33</x:v>
      </x:c>
      <x:c r="G60" s="36" t="n">
        <x:v>77.8</x:v>
      </x:c>
      <x:c r="H60" s="15" t="str">
        <x:v>Published rank retained</x:v>
      </x:c>
      <x:c r="I60" s="15" t="str">
        <x:v>University of Melbourne</x:v>
      </x:c>
      <x:c r="J60" s="31" t="str">
        <x:v>https://www.timeshighereducation.com/world-university-rankings/university-melbourne</x:v>
      </x:c>
      <x:c r="K60" s="31" t="str">
        <x:v>https://www.timeshighereducation.com/world-university-rankings/2022/world-ranking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34</x:v>
      </x:c>
      <x:c r="G61" s="36" t="n">
        <x:v>77.6</x:v>
      </x:c>
      <x:c r="H61" s="15" t="str">
        <x:v>Published rank retained</x:v>
      </x:c>
      <x:c r="I61" s="15" t="str">
        <x:v>University of Melbourne</x:v>
      </x:c>
      <x:c r="J61" s="31" t="str">
        <x:v>https://www.timeshighereducation.com/world-university-rankings/university-melbourne</x:v>
      </x:c>
      <x:c r="K61" s="31" t="str">
        <x:v>https://www.timeshighereducation.com/world-university-rankings/2023/world-ranking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37</x:v>
      </x:c>
      <x:c r="G62" s="36" t="n">
        <x:v>79.2</x:v>
      </x:c>
      <x:c r="H62" s="15" t="str">
        <x:v>Published rank retained</x:v>
      </x:c>
      <x:c r="I62" s="15" t="str">
        <x:v>University of Melbourne</x:v>
      </x:c>
      <x:c r="J62" s="31" t="str">
        <x:v>https://www.timeshighereducation.com/world-university-rankings/university-melbourne</x:v>
      </x:c>
      <x:c r="K62" s="31" t="str">
        <x:v>https://www.timeshighereducation.com/world-university-rankings/2024/world-ranking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str">
        <x:v>39</x:v>
      </x:c>
      <x:c r="G63" s="36" t="n">
        <x:v>78.4</x:v>
      </x:c>
      <x:c r="H63" s="15" t="str">
        <x:v>Published rank retained</x:v>
      </x:c>
      <x:c r="I63" s="15" t="str">
        <x:v>University of Melbourne</x:v>
      </x:c>
      <x:c r="J63" s="31" t="str">
        <x:v>https://www.timeshighereducation.com/world-university-rankings/university-melbourne</x:v>
      </x:c>
      <x:c r="K63" s="31" t="str">
        <x:v>https://www.timeshighereducation.com/world-university-rankings/2025/world-ranking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str">
        <x:v>37</x:v>
      </x:c>
      <x:c r="G64" s="36" t="n">
        <x:v>79</x:v>
      </x:c>
      <x:c r="H64" s="15" t="str">
        <x:v>Published rank retained</x:v>
      </x:c>
      <x:c r="I64" s="15" t="str">
        <x:v>University of Melbourne</x:v>
      </x:c>
      <x:c r="J64" s="31" t="str">
        <x:v>https://www.timeshighereducation.com/world-university-rankings/university-melbourne</x:v>
      </x:c>
      <x:c r="K64" s="31" t="str">
        <x:v>https://www.timeshighereducation.com/world-university-rankings/2026/world-ranking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8</x:v>
      </x:c>
      <x:c r="G65" s="36" t="n">
        <x:v>92.2</x:v>
      </x:c>
      <x:c r="H65" s="15" t="str">
        <x:v>Published rank retained</x:v>
      </x:c>
      <x:c r="I65" s="15" t="str">
        <x:v>University of California, Berkeley</x:v>
      </x:c>
      <x:c r="J65" s="31" t="str">
        <x:v>https://www.timeshighereducation.com/world-university-rankings/university-california-berkeley</x:v>
      </x:c>
      <x:c r="K65" s="31" t="str">
        <x:v>https://www.timeshighereducation.com/world-university-rankings/2022/world-ranking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8</x:v>
      </x:c>
      <x:c r="G66" s="36" t="n">
        <x:v>92.1</x:v>
      </x:c>
      <x:c r="H66" s="15" t="str">
        <x:v>Published rank retained</x:v>
      </x:c>
      <x:c r="I66" s="15" t="str">
        <x:v>University of California, Berkeley</x:v>
      </x:c>
      <x:c r="J66" s="31" t="str">
        <x:v>https://www.timeshighereducation.com/world-university-rankings/university-california-berkeley</x:v>
      </x:c>
      <x:c r="K66" s="31" t="str">
        <x:v>https://www.timeshighereducation.com/world-university-rankings/2023/world-ranking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9</x:v>
      </x:c>
      <x:c r="G67" s="36" t="n">
        <x:v>94.6</x:v>
      </x:c>
      <x:c r="H67" s="15" t="str">
        <x:v>Published rank retained</x:v>
      </x:c>
      <x:c r="I67" s="15" t="str">
        <x:v>University of California, Berkeley</x:v>
      </x:c>
      <x:c r="J67" s="31" t="str">
        <x:v>https://www.timeshighereducation.com/world-university-rankings/university-california-berkeley</x:v>
      </x:c>
      <x:c r="K67" s="31" t="str">
        <x:v>https://www.timeshighereducation.com/world-university-rankings/2024/world-ranking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str">
        <x:v>8</x:v>
      </x:c>
      <x:c r="G68" s="36" t="n">
        <x:v>94.5</x:v>
      </x:c>
      <x:c r="H68" s="15" t="str">
        <x:v>Published rank retained</x:v>
      </x:c>
      <x:c r="I68" s="15" t="str">
        <x:v>University of California, Berkeley</x:v>
      </x:c>
      <x:c r="J68" s="31" t="str">
        <x:v>https://www.timeshighereducation.com/world-university-rankings/university-california-berkeley</x:v>
      </x:c>
      <x:c r="K68" s="31" t="str">
        <x:v>https://www.timeshighereducation.com/world-university-rankings/2025/world-ranking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str">
        <x:v>9</x:v>
      </x:c>
      <x:c r="G69" s="36" t="n">
        <x:v>94.4</x:v>
      </x:c>
      <x:c r="H69" s="15" t="str">
        <x:v>Published rank retained</x:v>
      </x:c>
      <x:c r="I69" s="15" t="str">
        <x:v>University of California, Berkeley</x:v>
      </x:c>
      <x:c r="J69" s="31" t="str">
        <x:v>https://www.timeshighereducation.com/world-university-rankings/university-california-berkeley</x:v>
      </x:c>
      <x:c r="K69" s="31" t="str">
        <x:v>https://www.timeshighereducation.com/world-university-rankings/2026/world-ranking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4</x:v>
      </x:c>
      <x:c r="G70" s="36" t="n">
        <x:v>94.9</x:v>
      </x:c>
      <x:c r="H70" s="15" t="str">
        <x:v>Published rank retained</x:v>
      </x:c>
      <x:c r="I70" s="15" t="str">
        <x:v>Stanford University</x:v>
      </x:c>
      <x:c r="J70" s="31" t="str">
        <x:v>https://www.timeshighereducation.com/world-university-rankings/stanford-university</x:v>
      </x:c>
      <x:c r="K70" s="31" t="str">
        <x:v>https://www.timeshighereducation.com/world-university-rankings/2022/world-ranking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n">
        <x:f>3</x:f>
        <x:v>3</x:v>
      </x:c>
      <x:c r="G71" s="36" t="n">
        <x:v>94.8</x:v>
      </x:c>
      <x:c r="H71" s="15" t="str">
        <x:v>Published rank retained</x:v>
      </x:c>
      <x:c r="I71" s="15" t="str">
        <x:v>Stanford University</x:v>
      </x:c>
      <x:c r="J71" s="31" t="str">
        <x:v>https://www.timeshighereducation.com/world-university-rankings/stanford-university</x:v>
      </x:c>
      <x:c r="K71" s="31" t="str">
        <x:v>https://www.timeshighereducation.com/world-university-rankings/2023/world-ranking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str">
        <x:v>2</x:v>
      </x:c>
      <x:c r="G72" s="36" t="n">
        <x:v>98</x:v>
      </x:c>
      <x:c r="H72" s="15" t="str">
        <x:v>Published rank retained</x:v>
      </x:c>
      <x:c r="I72" s="15" t="str">
        <x:v>Stanford University</x:v>
      </x:c>
      <x:c r="J72" s="31" t="str">
        <x:v>https://www.timeshighereducation.com/world-university-rankings/stanford-university</x:v>
      </x:c>
      <x:c r="K72" s="31" t="str">
        <x:v>https://www.timeshighereducation.com/world-university-rankings/2024/world-ranking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str">
        <x:v>6</x:v>
      </x:c>
      <x:c r="G73" s="36" t="n">
        <x:v>97.2</x:v>
      </x:c>
      <x:c r="H73" s="15" t="str">
        <x:v>Published rank retained</x:v>
      </x:c>
      <x:c r="I73" s="15" t="str">
        <x:v>Stanford University</x:v>
      </x:c>
      <x:c r="J73" s="31" t="str">
        <x:v>https://www.timeshighereducation.com/world-university-rankings/stanford-university</x:v>
      </x:c>
      <x:c r="K73" s="31" t="str">
        <x:v>https://www.timeshighereducation.com/world-university-rankings/2025/world-ranking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n">
        <x:f>5</x:f>
        <x:v>5</x:v>
      </x:c>
      <x:c r="G74" s="36" t="n">
        <x:v>97.1</x:v>
      </x:c>
      <x:c r="H74" s="15" t="str">
        <x:v>Published rank retained</x:v>
      </x:c>
      <x:c r="I74" s="15" t="str">
        <x:v>Stanford University</x:v>
      </x:c>
      <x:c r="J74" s="31" t="str">
        <x:v>https://www.timeshighereducation.com/world-university-rankings/stanford-university</x:v>
      </x:c>
      <x:c r="K74" s="31" t="str">
        <x:v>https://www.timeshighereducation.com/world-university-rankings/2026/world-ranking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1</x:v>
      </x:c>
      <x:c r="G75" s="36" t="n">
        <x:v>95.7</x:v>
      </x:c>
      <x:c r="H75" s="15" t="str">
        <x:v>Published rank retained</x:v>
      </x:c>
      <x:c r="I75" s="15" t="str">
        <x:v>University of Oxford</x:v>
      </x:c>
      <x:c r="J75" s="31" t="str">
        <x:v>https://www.timeshighereducation.com/world-university-rankings/university-oxford</x:v>
      </x:c>
      <x:c r="K75" s="31" t="str">
        <x:v>https://www.timeshighereducation.com/world-university-rankings/2022/world-ranking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1</x:v>
      </x:c>
      <x:c r="G76" s="36" t="n">
        <x:v>96.4</x:v>
      </x:c>
      <x:c r="H76" s="15" t="str">
        <x:v>Published rank retained</x:v>
      </x:c>
      <x:c r="I76" s="15" t="str">
        <x:v>University of Oxford</x:v>
      </x:c>
      <x:c r="J76" s="31" t="str">
        <x:v>https://www.timeshighereducation.com/world-university-rankings/university-oxford</x:v>
      </x:c>
      <x:c r="K76" s="31" t="str">
        <x:v>https://www.timeshighereducation.com/world-university-rankings/2023/world-ranking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1</x:v>
      </x:c>
      <x:c r="G77" s="36" t="n">
        <x:v>98.5</x:v>
      </x:c>
      <x:c r="H77" s="15" t="str">
        <x:v>Published rank retained</x:v>
      </x:c>
      <x:c r="I77" s="15" t="str">
        <x:v>University of Oxford</x:v>
      </x:c>
      <x:c r="J77" s="31" t="str">
        <x:v>https://www.timeshighereducation.com/world-university-rankings/university-oxford</x:v>
      </x:c>
      <x:c r="K77" s="31" t="str">
        <x:v>https://www.timeshighereducation.com/world-university-rankings/2024/world-ranking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str">
        <x:v>1</x:v>
      </x:c>
      <x:c r="G78" s="36" t="n">
        <x:v>98.5</x:v>
      </x:c>
      <x:c r="H78" s="15" t="str">
        <x:v>Published rank retained</x:v>
      </x:c>
      <x:c r="I78" s="15" t="str">
        <x:v>University of Oxford</x:v>
      </x:c>
      <x:c r="J78" s="31" t="str">
        <x:v>https://www.timeshighereducation.com/world-university-rankings/university-oxford</x:v>
      </x:c>
      <x:c r="K78" s="31" t="str">
        <x:v>https://www.timeshighereducation.com/world-university-rankings/2025/world-ranking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1</x:v>
      </x:c>
      <x:c r="G79" s="36" t="n">
        <x:v>98.2</x:v>
      </x:c>
      <x:c r="H79" s="15" t="str">
        <x:v>Published rank retained</x:v>
      </x:c>
      <x:c r="I79" s="15" t="str">
        <x:v>University of Oxford</x:v>
      </x:c>
      <x:c r="J79" s="31" t="str">
        <x:v>https://www.timeshighereducation.com/world-university-rankings/university-oxford</x:v>
      </x:c>
      <x:c r="K79" s="31" t="str">
        <x:v>https://www.timeshighereducation.com/world-university-rankings/2026/world-ranking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n">
        <x:f>58</x:f>
        <x:v>58</x:v>
      </x:c>
      <x:c r="G80" s="36" t="n">
        <x:v>69.8</x:v>
      </x:c>
      <x:c r="H80" s="15" t="str">
        <x:v>Published rank retained</x:v>
      </x:c>
      <x:c r="I80" s="15" t="str">
        <x:v>The University of Sydney</x:v>
      </x:c>
      <x:c r="J80" s="31" t="str">
        <x:v>https://www.timeshighereducation.com/world-university-rankings/university-sydney</x:v>
      </x:c>
      <x:c r="K80" s="31" t="str">
        <x:v>https://www.timeshighereducation.com/world-university-rankings/2022/world-ranking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n">
        <x:f>54</x:f>
        <x:v>54</x:v>
      </x:c>
      <x:c r="G81" s="36" t="n">
        <x:v>70.9</x:v>
      </x:c>
      <x:c r="H81" s="15" t="str">
        <x:v>Published rank retained</x:v>
      </x:c>
      <x:c r="I81" s="15" t="str">
        <x:v>The University of Sydney</x:v>
      </x:c>
      <x:c r="J81" s="31" t="str">
        <x:v>https://www.timeshighereducation.com/world-university-rankings/university-sydney</x:v>
      </x:c>
      <x:c r="K81" s="31" t="str">
        <x:v>https://www.timeshighereducation.com/world-university-rankings/2023/world-ranking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60</x:v>
      </x:c>
      <x:c r="G82" s="36" t="n">
        <x:v>73.8</x:v>
      </x:c>
      <x:c r="H82" s="15" t="str">
        <x:v>Published rank retained</x:v>
      </x:c>
      <x:c r="I82" s="15" t="str">
        <x:v>The University of Sydney</x:v>
      </x:c>
      <x:c r="J82" s="31" t="str">
        <x:v>https://www.timeshighereducation.com/world-university-rankings/university-sydney</x:v>
      </x:c>
      <x:c r="K82" s="31" t="str">
        <x:v>https://www.timeshighereducation.com/world-university-rankings/2024/world-ranking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61</x:v>
      </x:c>
      <x:c r="G83" s="36" t="n">
        <x:v>73.7</x:v>
      </x:c>
      <x:c r="H83" s="15" t="str">
        <x:v>Published rank retained</x:v>
      </x:c>
      <x:c r="I83" s="15" t="str">
        <x:v>The University of Sydney</x:v>
      </x:c>
      <x:c r="J83" s="31" t="str">
        <x:v>https://www.timeshighereducation.com/world-university-rankings/university-sydney</x:v>
      </x:c>
      <x:c r="K83" s="31" t="str">
        <x:v>https://www.timeshighereducation.com/world-university-rankings/2025/world-ranking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n">
        <x:f>53</x:f>
        <x:v>53</x:v>
      </x:c>
      <x:c r="G84" s="36" t="n">
        <x:v>75</x:v>
      </x:c>
      <x:c r="H84" s="15" t="str">
        <x:v>Published rank retained</x:v>
      </x:c>
      <x:c r="I84" s="15" t="str">
        <x:v>The University of Sydney</x:v>
      </x:c>
      <x:c r="J84" s="31" t="str">
        <x:v>https://www.timeshighereducation.com/world-university-rankings/university-sydney</x:v>
      </x:c>
      <x:c r="K84" s="31" t="str">
        <x:v>https://www.timeshighereducation.com/world-university-rankings/2026/world-ranking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n">
        <x:f>54</x:f>
        <x:v>54</x:v>
      </x:c>
      <x:c r="G85" s="36" t="n">
        <x:v>70</x:v>
      </x:c>
      <x:c r="H85" s="15" t="str">
        <x:v>Published rank retained</x:v>
      </x:c>
      <x:c r="I85" s="15" t="str">
        <x:v>Australian National University</x:v>
      </x:c>
      <x:c r="J85" s="31" t="str">
        <x:v>https://www.timeshighereducation.com/world-university-rankings/australian-national-university</x:v>
      </x:c>
      <x:c r="K85" s="31" t="str">
        <x:v>https://www.timeshighereducation.com/world-university-rankings/2022/world-ranking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str">
        <x:v>62</x:v>
      </x:c>
      <x:c r="G86" s="36" t="n">
        <x:v>69</x:v>
      </x:c>
      <x:c r="H86" s="15" t="str">
        <x:v>Published rank retained</x:v>
      </x:c>
      <x:c r="I86" s="15" t="str">
        <x:v>Australian National University</x:v>
      </x:c>
      <x:c r="J86" s="31" t="str">
        <x:v>https://www.timeshighereducation.com/world-university-rankings/australian-national-university</x:v>
      </x:c>
      <x:c r="K86" s="31" t="str">
        <x:v>https://www.timeshighereducation.com/world-university-rankings/2023/world-ranking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str">
        <x:v>67</x:v>
      </x:c>
      <x:c r="G87" s="36" t="n">
        <x:v>72.6</x:v>
      </x:c>
      <x:c r="H87" s="15" t="str">
        <x:v>Published rank retained</x:v>
      </x:c>
      <x:c r="I87" s="15" t="str">
        <x:v>Australian National University</x:v>
      </x:c>
      <x:c r="J87" s="31" t="str">
        <x:v>https://www.timeshighereducation.com/world-university-rankings/australian-national-university</x:v>
      </x:c>
      <x:c r="K87" s="31" t="str">
        <x:v>https://www.timeshighereducation.com/world-university-rankings/2024/world-ranking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n">
        <x:f>73</x:f>
        <x:v>73</x:v>
      </x:c>
      <x:c r="G88" s="36" t="n">
        <x:v>70.7</x:v>
      </x:c>
      <x:c r="H88" s="15" t="str">
        <x:v>Published rank retained</x:v>
      </x:c>
      <x:c r="I88" s="15" t="str">
        <x:v>Australian National University</x:v>
      </x:c>
      <x:c r="J88" s="31" t="str">
        <x:v>https://www.timeshighereducation.com/world-university-rankings/australian-national-university</x:v>
      </x:c>
      <x:c r="K88" s="31" t="str">
        <x:v>https://www.timeshighereducation.com/world-university-rankings/2025/world-ranking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n">
        <x:f>73</x:f>
        <x:v>73</x:v>
      </x:c>
      <x:c r="G89" s="36" t="n">
        <x:v>71.1</x:v>
      </x:c>
      <x:c r="H89" s="15" t="str">
        <x:v>Published rank retained</x:v>
      </x:c>
      <x:c r="I89" s="15" t="str">
        <x:v>Australian National University</x:v>
      </x:c>
      <x:c r="J89" s="31" t="str">
        <x:v>https://www.timeshighereducation.com/world-university-rankings/australian-national-university</x:v>
      </x:c>
      <x:c r="K89" s="31" t="str">
        <x:v>https://www.timeshighereducation.com/world-university-rankings/2026/world-ranking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n">
        <x:f>35</x:f>
        <x:v>35</x:v>
      </x:c>
      <x:c r="G90" s="36" t="n">
        <x:v>76</x:v>
      </x:c>
      <x:c r="H90" s="15" t="str">
        <x:v>Published rank retained</x:v>
      </x:c>
      <x:c r="I90" s="15" t="str">
        <x:v>King’s College London</x:v>
      </x:c>
      <x:c r="J90" s="31" t="str">
        <x:v>https://www.timeshighereducation.com/world-university-rankings/kings-college-london</x:v>
      </x:c>
      <x:c r="K90" s="31" t="str">
        <x:v>https://www.timeshighereducation.com/world-university-rankings/2022/world-ranking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str">
        <x:v>35</x:v>
      </x:c>
      <x:c r="G91" s="36" t="n">
        <x:v>77.1</x:v>
      </x:c>
      <x:c r="H91" s="15" t="str">
        <x:v>Published rank retained</x:v>
      </x:c>
      <x:c r="I91" s="15" t="str">
        <x:v>King’s College London</x:v>
      </x:c>
      <x:c r="J91" s="31" t="str">
        <x:v>https://www.timeshighereducation.com/world-university-rankings/kings-college-london</x:v>
      </x:c>
      <x:c r="K91" s="31" t="str">
        <x:v>https://www.timeshighereducation.com/world-university-rankings/2023/world-ranking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n">
        <x:f>38</x:f>
        <x:v>38</x:v>
      </x:c>
      <x:c r="G92" s="36" t="n">
        <x:v>79</x:v>
      </x:c>
      <x:c r="H92" s="15" t="str">
        <x:v>Published rank retained</x:v>
      </x:c>
      <x:c r="I92" s="15" t="str">
        <x:v>King’s College London</x:v>
      </x:c>
      <x:c r="J92" s="31" t="str">
        <x:v>https://www.timeshighereducation.com/world-university-rankings/kings-college-london</x:v>
      </x:c>
      <x:c r="K92" s="31" t="str">
        <x:v>https://www.timeshighereducation.com/world-university-rankings/2024/world-ranking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n">
        <x:f>36</x:f>
        <x:v>36</x:v>
      </x:c>
      <x:c r="G93" s="36" t="n">
        <x:v>78.8</x:v>
      </x:c>
      <x:c r="H93" s="15" t="str">
        <x:v>Published rank retained</x:v>
      </x:c>
      <x:c r="I93" s="15" t="str">
        <x:v>King’s College London</x:v>
      </x:c>
      <x:c r="J93" s="31" t="str">
        <x:v>https://www.timeshighereducation.com/world-university-rankings/kings-college-london</x:v>
      </x:c>
      <x:c r="K93" s="31" t="str">
        <x:v>https://www.timeshighereducation.com/world-university-rankings/2025/world-ranking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str">
        <x:v>38</x:v>
      </x:c>
      <x:c r="G94" s="36" t="n">
        <x:v>78.7</x:v>
      </x:c>
      <x:c r="H94" s="15" t="str">
        <x:v>Published rank retained</x:v>
      </x:c>
      <x:c r="I94" s="15" t="str">
        <x:v>King’s College London</x:v>
      </x:c>
      <x:c r="J94" s="31" t="str">
        <x:v>https://www.timeshighereducation.com/world-university-rankings/kings-college-london</x:v>
      </x:c>
      <x:c r="K94" s="31" t="str">
        <x:v>https://www.timeshighereducation.com/world-university-rankings/2026/world-ranking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92</x:v>
      </x:c>
      <x:c r="G95" s="36" t="n">
        <x:v>63.1</x:v>
      </x:c>
      <x:c r="H95" s="15" t="str">
        <x:v>Published rank retained</x:v>
      </x:c>
      <x:c r="I95" s="15" t="str">
        <x:v>University of Bristol</x:v>
      </x:c>
      <x:c r="J95" s="31" t="str">
        <x:v>https://www.timeshighereducation.com/world-university-rankings/university-bristol</x:v>
      </x:c>
      <x:c r="K95" s="31" t="str">
        <x:v>https://www.timeshighereducation.com/world-university-rankings/2022/world-ranking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76</x:v>
      </x:c>
      <x:c r="G96" s="36" t="n">
        <x:v>66.5</x:v>
      </x:c>
      <x:c r="H96" s="15" t="str">
        <x:v>Published rank retained</x:v>
      </x:c>
      <x:c r="I96" s="15" t="str">
        <x:v>University of Bristol</x:v>
      </x:c>
      <x:c r="J96" s="31" t="str">
        <x:v>https://www.timeshighereducation.com/world-university-rankings/university-bristol</x:v>
      </x:c>
      <x:c r="K96" s="31" t="str">
        <x:v>https://www.timeshighereducation.com/world-university-rankings/2023/world-ranking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str">
        <x:v>81</x:v>
      </x:c>
      <x:c r="G97" s="36" t="n">
        <x:v>69.8</x:v>
      </x:c>
      <x:c r="H97" s="15" t="str">
        <x:v>Published rank retained</x:v>
      </x:c>
      <x:c r="I97" s="15" t="str">
        <x:v>University of Bristol</x:v>
      </x:c>
      <x:c r="J97" s="31" t="str">
        <x:v>https://www.timeshighereducation.com/world-university-rankings/university-bristol</x:v>
      </x:c>
      <x:c r="K97" s="31" t="str">
        <x:v>https://www.timeshighereducation.com/world-university-rankings/2024/world-ranking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str">
        <x:v>78</x:v>
      </x:c>
      <x:c r="G98" s="36" t="n">
        <x:v>70</x:v>
      </x:c>
      <x:c r="H98" s="15" t="str">
        <x:v>Published rank retained</x:v>
      </x:c>
      <x:c r="I98" s="15" t="str">
        <x:v>University of Bristol</x:v>
      </x:c>
      <x:c r="J98" s="31" t="str">
        <x:v>https://www.timeshighereducation.com/world-university-rankings/university-bristol</x:v>
      </x:c>
      <x:c r="K98" s="31" t="str">
        <x:v>https://www.timeshighereducation.com/world-university-rankings/2025/world-ranking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n">
        <x:f>80</x:f>
        <x:v>80</x:v>
      </x:c>
      <x:c r="G99" s="36" t="n">
        <x:v>69.7</x:v>
      </x:c>
      <x:c r="H99" s="15" t="str">
        <x:v>Published rank retained</x:v>
      </x:c>
      <x:c r="I99" s="15" t="str">
        <x:v>University of Bristol</x:v>
      </x:c>
      <x:c r="J99" s="31" t="str">
        <x:v>https://www.timeshighereducation.com/world-university-rankings/university-bristol</x:v>
      </x:c>
      <x:c r="K99" s="31" t="str">
        <x:v>https://www.timeshighereducation.com/world-university-rankings/2026/world-ranking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26</x:v>
      </x:c>
      <x:c r="G100" s="36" t="n">
        <x:v>82.4</x:v>
      </x:c>
      <x:c r="H100" s="15" t="str">
        <x:v>Published rank retained</x:v>
      </x:c>
      <x:c r="I100" s="15" t="str">
        <x:v>New York University</x:v>
      </x:c>
      <x:c r="J100" s="31" t="str">
        <x:v>https://www.timeshighereducation.com/world-university-rankings/new-york-university</x:v>
      </x:c>
      <x:c r="K100" s="31" t="str">
        <x:v>https://www.timeshighereducation.com/world-university-rankings/2022/world-ranking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24</x:v>
      </x:c>
      <x:c r="G101" s="36" t="n">
        <x:v>82.7</x:v>
      </x:c>
      <x:c r="H101" s="15" t="str">
        <x:v>Published rank retained</x:v>
      </x:c>
      <x:c r="I101" s="15" t="str">
        <x:v>New York University</x:v>
      </x:c>
      <x:c r="J101" s="31" t="str">
        <x:v>https://www.timeshighereducation.com/world-university-rankings/new-york-university</x:v>
      </x:c>
      <x:c r="K101" s="31" t="str">
        <x:v>https://www.timeshighereducation.com/world-university-rankings/2023/world-ranking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str">
        <x:v>27</x:v>
      </x:c>
      <x:c r="G102" s="36" t="n">
        <x:v>83.5</x:v>
      </x:c>
      <x:c r="H102" s="15" t="str">
        <x:v>Published rank retained</x:v>
      </x:c>
      <x:c r="I102" s="15" t="str">
        <x:v>New York University</x:v>
      </x:c>
      <x:c r="J102" s="31" t="str">
        <x:v>https://www.timeshighereducation.com/world-university-rankings/new-york-university</x:v>
      </x:c>
      <x:c r="K102" s="31" t="str">
        <x:v>https://www.timeshighereducation.com/world-university-rankings/2024/world-ranking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33</x:v>
      </x:c>
      <x:c r="G103" s="36" t="n">
        <x:v>80.3</x:v>
      </x:c>
      <x:c r="H103" s="15" t="str">
        <x:v>Published rank retained</x:v>
      </x:c>
      <x:c r="I103" s="15" t="str">
        <x:v>New York University</x:v>
      </x:c>
      <x:c r="J103" s="31" t="str">
        <x:v>https://www.timeshighereducation.com/world-university-rankings/new-york-university</x:v>
      </x:c>
      <x:c r="K103" s="31" t="str">
        <x:v>https://www.timeshighereducation.com/world-university-rankings/2025/world-ranking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n">
        <x:f>31</x:f>
        <x:v>31</x:v>
      </x:c>
      <x:c r="G104" s="36" t="n">
        <x:v>81.6</x:v>
      </x:c>
      <x:c r="H104" s="15" t="str">
        <x:v>Published rank retained</x:v>
      </x:c>
      <x:c r="I104" s="15" t="str">
        <x:v>New York University</x:v>
      </x:c>
      <x:c r="J104" s="31" t="str">
        <x:v>https://www.timeshighereducation.com/world-university-rankings/new-york-university</x:v>
      </x:c>
      <x:c r="K104" s="31" t="str">
        <x:v>https://www.timeshighereducation.com/world-university-rankings/2026/world-ranking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n">
        <x:f>119</x:f>
        <x:v>119</x:v>
      </x:c>
      <x:c r="G105" s="36" t="n">
        <x:v>60.1</x:v>
      </x:c>
      <x:c r="H105" s="15" t="str">
        <x:v>Published rank retained</x:v>
      </x:c>
      <x:c r="I105" s="15" t="str">
        <x:v>Penn State (Main campus)</x:v>
      </x:c>
      <x:c r="J105" s="31" t="str">
        <x:v>https://www.timeshighereducation.com/world-university-rankings/penn-state-main-campus</x:v>
      </x:c>
      <x:c r="K105" s="31" t="str">
        <x:v>https://www.timeshighereducation.com/world-university-rankings/2022/world-ranking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151</x:f>
        <x:v>151</x:v>
      </x:c>
      <x:c r="G106" s="36" t="n">
        <x:v>57.7</x:v>
      </x:c>
      <x:c r="H106" s="15" t="str">
        <x:v>Published rank retained</x:v>
      </x:c>
      <x:c r="I106" s="15" t="str">
        <x:v>Penn State (Main campus)</x:v>
      </x:c>
      <x:c r="J106" s="31" t="str">
        <x:v>https://www.timeshighereducation.com/world-university-rankings/penn-state-main-campus</x:v>
      </x:c>
      <x:c r="K106" s="31" t="str">
        <x:v>https://www.timeshighereducation.com/world-university-rankings/2023/world-ranking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str">
        <x:v>122</x:v>
      </x:c>
      <x:c r="G107" s="36" t="n">
        <x:v>65</x:v>
      </x:c>
      <x:c r="H107" s="15" t="str">
        <x:v>Published rank retained</x:v>
      </x:c>
      <x:c r="I107" s="15" t="str">
        <x:v>Penn State (Main campus)</x:v>
      </x:c>
      <x:c r="J107" s="31" t="str">
        <x:v>https://www.timeshighereducation.com/world-university-rankings/penn-state-main-campus</x:v>
      </x:c>
      <x:c r="K107" s="31" t="str">
        <x:v>https://www.timeshighereducation.com/world-university-rankings/2024/world-ranking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100</x:f>
        <x:v>100</x:v>
      </x:c>
      <x:c r="G108" s="36" t="n">
        <x:v>66.2</x:v>
      </x:c>
      <x:c r="H108" s="15" t="str">
        <x:v>Published rank retained</x:v>
      </x:c>
      <x:c r="I108" s="15" t="str">
        <x:v>Penn State (Main campus)</x:v>
      </x:c>
      <x:c r="J108" s="31" t="str">
        <x:v>https://www.timeshighereducation.com/world-university-rankings/penn-state-main-campus</x:v>
      </x:c>
      <x:c r="K108" s="31" t="str">
        <x:v>https://www.timeshighereducation.com/world-university-rankings/2025/world-ranking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n">
        <x:f>108</x:f>
        <x:v>108</x:v>
      </x:c>
      <x:c r="G109" s="36" t="n">
        <x:v>65.4</x:v>
      </x:c>
      <x:c r="H109" s="15" t="str">
        <x:v>Published rank retained</x:v>
      </x:c>
      <x:c r="I109" s="15" t="str">
        <x:v>Penn State (Main campus)</x:v>
      </x:c>
      <x:c r="J109" s="31" t="str">
        <x:v>https://www.timeshighereducation.com/world-university-rankings/penn-state-main-campus</x:v>
      </x:c>
      <x:c r="K109" s="31" t="str">
        <x:v>https://www.timeshighereducation.com/world-university-rankings/2026/world-ranking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n">
        <x:f>42</x:f>
        <x:v>42</x:v>
      </x:c>
      <x:c r="G110" s="36" t="n">
        <x:v>73.6</x:v>
      </x:c>
      <x:c r="H110" s="15" t="str">
        <x:v>Published rank retained</x:v>
      </x:c>
      <x:c r="I110" s="15" t="str">
        <x:v>KU Leuven</x:v>
      </x:c>
      <x:c r="J110" s="31" t="str">
        <x:v>https://www.timeshighereducation.com/world-university-rankings/ku-leuven</x:v>
      </x:c>
      <x:c r="K110" s="31" t="str">
        <x:v>https://www.timeshighereducation.com/world-university-rankings/2022/world-ranking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42</x:v>
      </x:c>
      <x:c r="G111" s="36" t="n">
        <x:v>74.6</x:v>
      </x:c>
      <x:c r="H111" s="15" t="str">
        <x:v>Published rank retained</x:v>
      </x:c>
      <x:c r="I111" s="15" t="str">
        <x:v>KU Leuven</x:v>
      </x:c>
      <x:c r="J111" s="31" t="str">
        <x:v>https://www.timeshighereducation.com/world-university-rankings/ku-leuven</x:v>
      </x:c>
      <x:c r="K111" s="31" t="str">
        <x:v>https://www.timeshighereducation.com/world-university-rankings/2023/world-ranking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str">
        <x:v>45</x:v>
      </x:c>
      <x:c r="G112" s="36" t="n">
        <x:v>77</x:v>
      </x:c>
      <x:c r="H112" s="15" t="str">
        <x:v>Published rank retained</x:v>
      </x:c>
      <x:c r="I112" s="15" t="str">
        <x:v>KU Leuven</x:v>
      </x:c>
      <x:c r="J112" s="31" t="str">
        <x:v>https://www.timeshighereducation.com/world-university-rankings/ku-leuven</x:v>
      </x:c>
      <x:c r="K112" s="31" t="str">
        <x:v>https://www.timeshighereducation.com/world-university-rankings/2024/world-ranking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43</x:v>
      </x:c>
      <x:c r="G113" s="36" t="n">
        <x:v>77</x:v>
      </x:c>
      <x:c r="H113" s="15" t="str">
        <x:v>Published rank retained</x:v>
      </x:c>
      <x:c r="I113" s="15" t="str">
        <x:v>KU Leuven</x:v>
      </x:c>
      <x:c r="J113" s="31" t="str">
        <x:v>https://www.timeshighereducation.com/world-university-rankings/ku-leuven</x:v>
      </x:c>
      <x:c r="K113" s="31" t="str">
        <x:v>https://www.timeshighereducation.com/world-university-rankings/2025/world-ranking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str">
        <x:v>46</x:v>
      </x:c>
      <x:c r="G114" s="36" t="n">
        <x:v>76.8</x:v>
      </x:c>
      <x:c r="H114" s="15" t="str">
        <x:v>Published rank retained</x:v>
      </x:c>
      <x:c r="I114" s="15" t="str">
        <x:v>KU Leuven</x:v>
      </x:c>
      <x:c r="J114" s="31" t="str">
        <x:v>https://www.timeshighereducation.com/world-university-rankings/ku-leuven</x:v>
      </x:c>
      <x:c r="K114" s="31" t="str">
        <x:v>https://www.timeshighereducation.com/world-university-rankings/2026/world-ranking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n">
        <x:f>101</x:f>
        <x:v>101</x:v>
      </x:c>
      <x:c r="G115" s="36" t="n">
        <x:v>62.2</x:v>
      </x:c>
      <x:c r="H115" s="15" t="str">
        <x:v>Published rank retained</x:v>
      </x:c>
      <x:c r="I115" s="15" t="str">
        <x:v>University of Helsinki</x:v>
      </x:c>
      <x:c r="J115" s="31" t="str">
        <x:v>https://www.timeshighereducation.com/world-university-rankings/university-helsinki</x:v>
      </x:c>
      <x:c r="K115" s="31" t="str">
        <x:v>https://www.timeshighereducation.com/world-university-rankings/2022/world-ranking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110</x:v>
      </x:c>
      <x:c r="G116" s="36" t="n">
        <x:v>62.5</x:v>
      </x:c>
      <x:c r="H116" s="15" t="str">
        <x:v>Published rank retained</x:v>
      </x:c>
      <x:c r="I116" s="15" t="str">
        <x:v>University of Helsinki</x:v>
      </x:c>
      <x:c r="J116" s="31" t="str">
        <x:v>https://www.timeshighereducation.com/world-university-rankings/university-helsinki</x:v>
      </x:c>
      <x:c r="K116" s="31" t="str">
        <x:v>https://www.timeshighereducation.com/world-university-rankings/2023/world-ranking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121</x:v>
      </x:c>
      <x:c r="G117" s="36" t="n">
        <x:v>65.1</x:v>
      </x:c>
      <x:c r="H117" s="15" t="str">
        <x:v>Published rank retained</x:v>
      </x:c>
      <x:c r="I117" s="15" t="str">
        <x:v>University of Helsinki</x:v>
      </x:c>
      <x:c r="J117" s="31" t="str">
        <x:v>https://www.timeshighereducation.com/world-university-rankings/university-helsinki</x:v>
      </x:c>
      <x:c r="K117" s="31" t="str">
        <x:v>https://www.timeshighereducation.com/world-university-rankings/2024/world-ranking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n">
        <x:f>107</x:f>
        <x:v>107</x:v>
      </x:c>
      <x:c r="G118" s="36" t="n">
        <x:v>65.6</x:v>
      </x:c>
      <x:c r="H118" s="15" t="str">
        <x:v>Published rank retained</x:v>
      </x:c>
      <x:c r="I118" s="15" t="str">
        <x:v>University of Helsinki</x:v>
      </x:c>
      <x:c r="J118" s="31" t="str">
        <x:v>https://www.timeshighereducation.com/world-university-rankings/university-helsinki</x:v>
      </x:c>
      <x:c r="K118" s="31" t="str">
        <x:v>https://www.timeshighereducation.com/world-university-rankings/2025/world-ranking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n">
        <x:f>105</x:f>
        <x:v>105</x:v>
      </x:c>
      <x:c r="G119" s="36" t="n">
        <x:v>65.7</x:v>
      </x:c>
      <x:c r="H119" s="15" t="str">
        <x:v>Published rank retained</x:v>
      </x:c>
      <x:c r="I119" s="15" t="str">
        <x:v>University of Helsinki</x:v>
      </x:c>
      <x:c r="J119" s="31" t="str">
        <x:v>https://www.timeshighereducation.com/world-university-rankings/university-helsinki</x:v>
      </x:c>
      <x:c r="K119" s="31" t="str">
        <x:v>https://www.timeshighereducation.com/world-university-rankings/2026/world-ranking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n">
        <x:f>162</x:f>
        <x:v>162</x:v>
      </x:c>
      <x:c r="G120" s="36" t="n">
        <x:v>56.7</x:v>
      </x:c>
      <x:c r="H120" s="15" t="str">
        <x:v>Published rank retained</x:v>
      </x:c>
      <x:c r="I120" s="15" t="str">
        <x:v>Durham University</x:v>
      </x:c>
      <x:c r="J120" s="31" t="str">
        <x:v>https://www.timeshighereducation.com/world-university-rankings/durham-university</x:v>
      </x:c>
      <x:c r="K120" s="31" t="str">
        <x:v>https://www.timeshighereducation.com/world-university-rankings/2022/world-ranking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198</x:f>
        <x:v>198</x:v>
      </x:c>
      <x:c r="G121" s="36" t="n">
        <x:v>54.4</x:v>
      </x:c>
      <x:c r="H121" s="15" t="str">
        <x:v>Published rank retained</x:v>
      </x:c>
      <x:c r="I121" s="15" t="str">
        <x:v>Durham University</x:v>
      </x:c>
      <x:c r="J121" s="31" t="str">
        <x:v>https://www.timeshighereducation.com/world-university-rankings/durham-university</x:v>
      </x:c>
      <x:c r="K121" s="31" t="str">
        <x:v>https://www.timeshighereducation.com/world-university-rankings/2023/world-ranking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str">
        <x:v>174</x:v>
      </x:c>
      <x:c r="G122" s="36" t="n">
        <x:v>60.6</x:v>
      </x:c>
      <x:c r="H122" s="15" t="str">
        <x:v>Published rank retained</x:v>
      </x:c>
      <x:c r="I122" s="15" t="str">
        <x:v>Durham University</x:v>
      </x:c>
      <x:c r="J122" s="31" t="str">
        <x:v>https://www.timeshighereducation.com/world-university-rankings/durham-university</x:v>
      </x:c>
      <x:c r="K122" s="31" t="str">
        <x:v>https://www.timeshighereducation.com/world-university-rankings/2024/world-ranking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n">
        <x:f>172</x:f>
        <x:v>172</x:v>
      </x:c>
      <x:c r="G123" s="36" t="n">
        <x:v>60.4</x:v>
      </x:c>
      <x:c r="H123" s="15" t="str">
        <x:v>Published rank retained</x:v>
      </x:c>
      <x:c r="I123" s="15" t="str">
        <x:v>Durham University</x:v>
      </x:c>
      <x:c r="J123" s="31" t="str">
        <x:v>https://www.timeshighereducation.com/world-university-rankings/durham-university</x:v>
      </x:c>
      <x:c r="K123" s="31" t="str">
        <x:v>https://www.timeshighereducation.com/world-university-rankings/2025/world-ranking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str">
        <x:v>175</x:v>
      </x:c>
      <x:c r="G124" s="36" t="n">
        <x:v>60.3</x:v>
      </x:c>
      <x:c r="H124" s="15" t="str">
        <x:v>Published rank retained</x:v>
      </x:c>
      <x:c r="I124" s="15" t="str">
        <x:v>Durham University</x:v>
      </x:c>
      <x:c r="J124" s="31" t="str">
        <x:v>https://www.timeshighereducation.com/world-university-rankings/durham-university</x:v>
      </x:c>
      <x:c r="K124" s="31" t="str">
        <x:v>https://www.timeshighereducation.com/world-university-rankings/2026/world-ranking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n">
        <x:f>127</x:f>
        <x:v>127</x:v>
      </x:c>
      <x:c r="G125" s="36" t="n">
        <x:v>59.2</x:v>
      </x:c>
      <x:c r="H125" s="15" t="str">
        <x:v>Published rank retained</x:v>
      </x:c>
      <x:c r="I125" s="15" t="str">
        <x:v>University of Leeds</x:v>
      </x:c>
      <x:c r="J125" s="31" t="str">
        <x:v>https://www.timeshighereducation.com/world-university-rankings/university-leeds</x:v>
      </x:c>
      <x:c r="K125" s="31" t="str">
        <x:v>https://www.timeshighereducation.com/world-university-rankings/2022/world-ranking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n">
        <x:f>128</x:f>
        <x:v>128</x:v>
      </x:c>
      <x:c r="G126" s="36" t="n">
        <x:v>59.8</x:v>
      </x:c>
      <x:c r="H126" s="15" t="str">
        <x:v>Published rank retained</x:v>
      </x:c>
      <x:c r="I126" s="15" t="str">
        <x:v>University of Leeds</x:v>
      </x:c>
      <x:c r="J126" s="31" t="str">
        <x:v>https://www.timeshighereducation.com/world-university-rankings/university-leeds</x:v>
      </x:c>
      <x:c r="K126" s="31" t="str">
        <x:v>https://www.timeshighereducation.com/world-university-rankings/2023/world-ranking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str">
        <x:v>129</x:v>
      </x:c>
      <x:c r="G127" s="36" t="n">
        <x:v>63.9</x:v>
      </x:c>
      <x:c r="H127" s="15" t="str">
        <x:v>Published rank retained</x:v>
      </x:c>
      <x:c r="I127" s="15" t="str">
        <x:v>University of Leeds</x:v>
      </x:c>
      <x:c r="J127" s="31" t="str">
        <x:v>https://www.timeshighereducation.com/world-university-rankings/university-leeds</x:v>
      </x:c>
      <x:c r="K127" s="31" t="str">
        <x:v>https://www.timeshighereducation.com/world-university-rankings/2024/world-ranking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str">
        <x:v>123</x:v>
      </x:c>
      <x:c r="G128" s="36" t="n">
        <x:v>64.5</x:v>
      </x:c>
      <x:c r="H128" s="15" t="str">
        <x:v>Published rank retained</x:v>
      </x:c>
      <x:c r="I128" s="15" t="str">
        <x:v>University of Leeds</x:v>
      </x:c>
      <x:c r="J128" s="31" t="str">
        <x:v>https://www.timeshighereducation.com/world-university-rankings/university-leeds</x:v>
      </x:c>
      <x:c r="K128" s="31" t="str">
        <x:v>https://www.timeshighereducation.com/world-university-rankings/2025/world-ranking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str">
        <x:v>118</x:v>
      </x:c>
      <x:c r="G129" s="36" t="n">
        <x:v>64.9</x:v>
      </x:c>
      <x:c r="H129" s="15" t="str">
        <x:v>Published rank retained</x:v>
      </x:c>
      <x:c r="I129" s="15" t="str">
        <x:v>University of Leeds</x:v>
      </x:c>
      <x:c r="J129" s="31" t="str">
        <x:v>https://www.timeshighereducation.com/world-university-rankings/university-leeds</x:v>
      </x:c>
      <x:c r="K129" s="31" t="str">
        <x:v>https://www.timeshighereducation.com/world-university-rankings/2026/world-ranking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200+</x:v>
      </x:c>
      <x:c r="G130" s="36"/>
      <x:c r="H130" s="15" t="str">
        <x:v>Published beyond rank 200; exact value intentionally suppressed</x:v>
      </x:c>
      <x:c r="I130" s="15" t="str">
        <x:v>Western University</x:v>
      </x:c>
      <x:c r="J130" s="31" t="str">
        <x:v>https://www.timeshighereducation.com/world-university-rankings/western-university</x:v>
      </x:c>
      <x:c r="K130" s="31" t="str">
        <x:v>https://www.timeshighereducation.com/world-university-rankings/2022/world-ranking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str">
        <x:v>200+</x:v>
      </x:c>
      <x:c r="G131" s="36"/>
      <x:c r="H131" s="15" t="str">
        <x:v>Published beyond rank 200; exact value intentionally suppressed</x:v>
      </x:c>
      <x:c r="I131" s="15" t="str">
        <x:v>Western University</x:v>
      </x:c>
      <x:c r="J131" s="31" t="str">
        <x:v>https://www.timeshighereducation.com/world-university-rankings/western-university</x:v>
      </x:c>
      <x:c r="K131" s="31" t="str">
        <x:v>https://www.timeshighereducation.com/world-university-rankings/2023/world-ranking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str">
        <x:v>200+</x:v>
      </x:c>
      <x:c r="G132" s="36"/>
      <x:c r="H132" s="15" t="str">
        <x:v>Published beyond rank 200; exact value intentionally suppressed</x:v>
      </x:c>
      <x:c r="I132" s="15" t="str">
        <x:v>Western University</x:v>
      </x:c>
      <x:c r="J132" s="31" t="str">
        <x:v>https://www.timeshighereducation.com/world-university-rankings/western-university</x:v>
      </x:c>
      <x:c r="K132" s="31" t="str">
        <x:v>https://www.timeshighereducation.com/world-university-rankings/2024/world-ranking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str">
        <x:v>200+</x:v>
      </x:c>
      <x:c r="G133" s="36"/>
      <x:c r="H133" s="15" t="str">
        <x:v>Published beyond rank 200; exact value intentionally suppressed</x:v>
      </x:c>
      <x:c r="I133" s="15" t="str">
        <x:v>Western University</x:v>
      </x:c>
      <x:c r="J133" s="31" t="str">
        <x:v>https://www.timeshighereducation.com/world-university-rankings/western-university</x:v>
      </x:c>
      <x:c r="K133" s="31" t="str">
        <x:v>https://www.timeshighereducation.com/world-university-rankings/2025/world-ranking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str">
        <x:v>200+</x:v>
      </x:c>
      <x:c r="G134" s="36"/>
      <x:c r="H134" s="15" t="str">
        <x:v>Published beyond rank 200; exact value intentionally suppressed</x:v>
      </x:c>
      <x:c r="I134" s="15" t="str">
        <x:v>Western University</x:v>
      </x:c>
      <x:c r="J134" s="31" t="str">
        <x:v>https://www.timeshighereducation.com/world-university-rankings/western-university</x:v>
      </x:c>
      <x:c r="K134" s="31" t="str">
        <x:v>https://www.timeshighereducation.com/world-university-rankings/2026/world-ranking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n">
        <x:f>86</x:f>
        <x:v>86</x:v>
      </x:c>
      <x:c r="G135" s="36" t="n">
        <x:v>63.7</x:v>
      </x:c>
      <x:c r="H135" s="15" t="str">
        <x:v>Published rank retained</x:v>
      </x:c>
      <x:c r="I135" s="15" t="str">
        <x:v>University of Glasgow</x:v>
      </x:c>
      <x:c r="J135" s="31" t="str">
        <x:v>https://www.timeshighereducation.com/world-university-rankings/university-glasgow</x:v>
      </x:c>
      <x:c r="K135" s="31" t="str">
        <x:v>https://www.timeshighereducation.com/world-university-rankings/2022/world-ranking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n">
        <x:f>82</x:f>
        <x:v>82</x:v>
      </x:c>
      <x:c r="G136" s="36" t="n">
        <x:v>65.3</x:v>
      </x:c>
      <x:c r="H136" s="15" t="str">
        <x:v>Published rank retained</x:v>
      </x:c>
      <x:c r="I136" s="15" t="str">
        <x:v>University of Glasgow</x:v>
      </x:c>
      <x:c r="J136" s="31" t="str">
        <x:v>https://www.timeshighereducation.com/world-university-rankings/university-glasgow</x:v>
      </x:c>
      <x:c r="K136" s="31" t="str">
        <x:v>https://www.timeshighereducation.com/world-university-rankings/2023/world-ranking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n">
        <x:f>87</x:f>
        <x:v>87</x:v>
      </x:c>
      <x:c r="G137" s="36" t="n">
        <x:v>68.2</x:v>
      </x:c>
      <x:c r="H137" s="15" t="str">
        <x:v>Published rank retained</x:v>
      </x:c>
      <x:c r="I137" s="15" t="str">
        <x:v>University of Glasgow</x:v>
      </x:c>
      <x:c r="J137" s="31" t="str">
        <x:v>https://www.timeshighereducation.com/world-university-rankings/university-glasgow</x:v>
      </x:c>
      <x:c r="K137" s="31" t="str">
        <x:v>https://www.timeshighereducation.com/world-university-rankings/2024/world-ranking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n">
        <x:f>87</x:f>
        <x:v>87</x:v>
      </x:c>
      <x:c r="G138" s="36" t="n">
        <x:v>67.8</x:v>
      </x:c>
      <x:c r="H138" s="15" t="str">
        <x:v>Published rank retained</x:v>
      </x:c>
      <x:c r="I138" s="15" t="str">
        <x:v>University of Glasgow</x:v>
      </x:c>
      <x:c r="J138" s="31" t="str">
        <x:v>https://www.timeshighereducation.com/world-university-rankings/university-glasgow</x:v>
      </x:c>
      <x:c r="K138" s="31" t="str">
        <x:v>https://www.timeshighereducation.com/world-university-rankings/2025/world-ranking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84</x:v>
      </x:c>
      <x:c r="G139" s="36" t="n">
        <x:v>68.9</x:v>
      </x:c>
      <x:c r="H139" s="15" t="str">
        <x:v>Published rank retained</x:v>
      </x:c>
      <x:c r="I139" s="15" t="str">
        <x:v>University of Glasgow</x:v>
      </x:c>
      <x:c r="J139" s="31" t="str">
        <x:v>https://www.timeshighereducation.com/world-university-rankings/university-glasgow</x:v>
      </x:c>
      <x:c r="K139" s="31" t="str">
        <x:v>https://www.timeshighereducation.com/world-university-rankings/2026/world-ranking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n">
        <x:f>137</x:f>
        <x:v>137</x:v>
      </x:c>
      <x:c r="G140" s="36" t="n">
        <x:v>58.4</x:v>
      </x:c>
      <x:c r="H140" s="15" t="str">
        <x:v>Published rank retained</x:v>
      </x:c>
      <x:c r="I140" s="15" t="str">
        <x:v>University of Auckland</x:v>
      </x:c>
      <x:c r="J140" s="31" t="str">
        <x:v>https://www.timeshighereducation.com/world-university-rankings/university-auckland</x:v>
      </x:c>
      <x:c r="K140" s="31" t="str">
        <x:v>https://www.timeshighereducation.com/world-university-rankings/2022/world-ranking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n">
        <x:f>139</x:f>
        <x:v>139</x:v>
      </x:c>
      <x:c r="G141" s="36" t="n">
        <x:v>58.4</x:v>
      </x:c>
      <x:c r="H141" s="15" t="str">
        <x:v>Published rank retained</x:v>
      </x:c>
      <x:c r="I141" s="15" t="str">
        <x:v>University of Auckland</x:v>
      </x:c>
      <x:c r="J141" s="31" t="str">
        <x:v>https://www.timeshighereducation.com/world-university-rankings/university-auckland</x:v>
      </x:c>
      <x:c r="K141" s="31" t="str">
        <x:v>https://www.timeshighereducation.com/world-university-rankings/2023/world-ranking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n">
        <x:f>150</x:f>
        <x:v>150</x:v>
      </x:c>
      <x:c r="G142" s="36" t="n">
        <x:v>62</x:v>
      </x:c>
      <x:c r="H142" s="15" t="str">
        <x:v>Published rank retained</x:v>
      </x:c>
      <x:c r="I142" s="15" t="str">
        <x:v>University of Auckland</x:v>
      </x:c>
      <x:c r="J142" s="31" t="str">
        <x:v>https://www.timeshighereducation.com/world-university-rankings/university-auckland</x:v>
      </x:c>
      <x:c r="K142" s="31" t="str">
        <x:v>https://www.timeshighereducation.com/world-university-rankings/2024/world-ranking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n">
        <x:f>152</x:f>
        <x:v>152</x:v>
      </x:c>
      <x:c r="G143" s="36" t="n">
        <x:v>61.8</x:v>
      </x:c>
      <x:c r="H143" s="15" t="str">
        <x:v>Published rank retained</x:v>
      </x:c>
      <x:c r="I143" s="15" t="str">
        <x:v>University of Auckland</x:v>
      </x:c>
      <x:c r="J143" s="31" t="str">
        <x:v>https://www.timeshighereducation.com/world-university-rankings/university-auckland</x:v>
      </x:c>
      <x:c r="K143" s="31" t="str">
        <x:v>https://www.timeshighereducation.com/world-university-rankings/2025/world-ranking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n">
        <x:f>156</x:f>
        <x:v>156</x:v>
      </x:c>
      <x:c r="G144" s="36" t="n">
        <x:v>61.4</x:v>
      </x:c>
      <x:c r="H144" s="15" t="str">
        <x:v>Published rank retained</x:v>
      </x:c>
      <x:c r="I144" s="15" t="str">
        <x:v>University of Auckland</x:v>
      </x:c>
      <x:c r="J144" s="31" t="str">
        <x:v>https://www.timeshighereducation.com/world-university-rankings/university-auckland</x:v>
      </x:c>
      <x:c r="K144" s="31" t="str">
        <x:v>https://www.timeshighereducation.com/world-university-rankings/2026/world-ranking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n">
        <x:f>146</x:f>
        <x:v>146</x:v>
      </x:c>
      <x:c r="G145" s="36" t="n">
        <x:v>57.6</x:v>
      </x:c>
      <x:c r="H145" s="15" t="str">
        <x:v>Published rank retained</x:v>
      </x:c>
      <x:c r="I145" s="15" t="str">
        <x:v>Trinity College Dublin</x:v>
      </x:c>
      <x:c r="J145" s="31" t="str">
        <x:v>https://www.timeshighereducation.com/world-university-rankings/trinity-college-dublin</x:v>
      </x:c>
      <x:c r="K145" s="31" t="str">
        <x:v>https://www.timeshighereducation.com/world-university-rankings/2022/world-ranking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n">
        <x:f>161</x:f>
        <x:v>161</x:v>
      </x:c>
      <x:c r="G146" s="36" t="n">
        <x:v>57</x:v>
      </x:c>
      <x:c r="H146" s="15" t="str">
        <x:v>Published rank retained</x:v>
      </x:c>
      <x:c r="I146" s="15" t="str">
        <x:v>Trinity College Dublin</x:v>
      </x:c>
      <x:c r="J146" s="31" t="str">
        <x:v>https://www.timeshighereducation.com/world-university-rankings/trinity-college-dublin</x:v>
      </x:c>
      <x:c r="K146" s="31" t="str">
        <x:v>https://www.timeshighereducation.com/world-university-rankings/2023/world-ranking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str">
        <x:v>134</x:v>
      </x:c>
      <x:c r="G147" s="36" t="n">
        <x:v>63.2</x:v>
      </x:c>
      <x:c r="H147" s="15" t="str">
        <x:v>Published rank retained</x:v>
      </x:c>
      <x:c r="I147" s="15" t="str">
        <x:v>Trinity College Dublin</x:v>
      </x:c>
      <x:c r="J147" s="31" t="str">
        <x:v>https://www.timeshighereducation.com/world-university-rankings/trinity-college-dublin</x:v>
      </x:c>
      <x:c r="K147" s="31" t="str">
        <x:v>https://www.timeshighereducation.com/world-university-rankings/2024/world-ranking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str">
        <x:v>139</x:v>
      </x:c>
      <x:c r="G148" s="36" t="n">
        <x:v>62.5</x:v>
      </x:c>
      <x:c r="H148" s="15" t="str">
        <x:v>Published rank retained</x:v>
      </x:c>
      <x:c r="I148" s="15" t="str">
        <x:v>Trinity College Dublin</x:v>
      </x:c>
      <x:c r="J148" s="31" t="str">
        <x:v>https://www.timeshighereducation.com/world-university-rankings/trinity-college-dublin</x:v>
      </x:c>
      <x:c r="K148" s="31" t="str">
        <x:v>https://www.timeshighereducation.com/world-university-rankings/2025/world-ranking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173</x:v>
      </x:c>
      <x:c r="G149" s="36" t="n">
        <x:v>60.5</x:v>
      </x:c>
      <x:c r="H149" s="15" t="str">
        <x:v>Published rank retained</x:v>
      </x:c>
      <x:c r="I149" s="15" t="str">
        <x:v>Trinity College Dublin</x:v>
      </x:c>
      <x:c r="J149" s="31" t="str">
        <x:v>https://www.timeshighereducation.com/world-university-rankings/trinity-college-dublin</x:v>
      </x:c>
      <x:c r="K149" s="31" t="str">
        <x:v>https://www.timeshighereducation.com/world-university-rankings/2026/world-ranking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n">
        <x:f>13</x:f>
        <x:v>13</x:v>
      </x:c>
      <x:c r="G150" s="36" t="n">
        <x:v>88.4</x:v>
      </x:c>
      <x:c r="H150" s="15" t="str">
        <x:v>Published rank retained</x:v>
      </x:c>
      <x:c r="I150" s="15" t="str">
        <x:v>University of Pennsylvania</x:v>
      </x:c>
      <x:c r="J150" s="31" t="str">
        <x:v>https://www.timeshighereducation.com/world-university-rankings/university-pennsylvania</x:v>
      </x:c>
      <x:c r="K150" s="31" t="str">
        <x:v>https://www.timeshighereducation.com/world-university-rankings/2022/world-ranking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14</x:v>
      </x:c>
      <x:c r="G151" s="36" t="n">
        <x:v>88.8</x:v>
      </x:c>
      <x:c r="H151" s="15" t="str">
        <x:v>Published rank retained</x:v>
      </x:c>
      <x:c r="I151" s="15" t="str">
        <x:v>University of Pennsylvania</x:v>
      </x:c>
      <x:c r="J151" s="31" t="str">
        <x:v>https://www.timeshighereducation.com/world-university-rankings/university-pennsylvania</x:v>
      </x:c>
      <x:c r="K151" s="31" t="str">
        <x:v>https://www.timeshighereducation.com/world-university-rankings/2023/world-ranking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16</x:v>
      </x:c>
      <x:c r="G152" s="36" t="n">
        <x:v>91</x:v>
      </x:c>
      <x:c r="H152" s="15" t="str">
        <x:v>Published rank retained</x:v>
      </x:c>
      <x:c r="I152" s="15" t="str">
        <x:v>University of Pennsylvania</x:v>
      </x:c>
      <x:c r="J152" s="31" t="str">
        <x:v>https://www.timeshighereducation.com/world-university-rankings/university-pennsylvania</x:v>
      </x:c>
      <x:c r="K152" s="31" t="str">
        <x:v>https://www.timeshighereducation.com/world-university-rankings/2024/world-ranking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n">
        <x:f>14</x:f>
        <x:v>14</x:v>
      </x:c>
      <x:c r="G153" s="36" t="n">
        <x:v>90.9</x:v>
      </x:c>
      <x:c r="H153" s="15" t="str">
        <x:v>Published rank retained</x:v>
      </x:c>
      <x:c r="I153" s="15" t="str">
        <x:v>University of Pennsylvania</x:v>
      </x:c>
      <x:c r="J153" s="31" t="str">
        <x:v>https://www.timeshighereducation.com/world-university-rankings/university-pennsylvania</x:v>
      </x:c>
      <x:c r="K153" s="31" t="str">
        <x:v>https://www.timeshighereducation.com/world-university-rankings/2025/world-ranking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str">
        <x:v>14</x:v>
      </x:c>
      <x:c r="G154" s="36" t="n">
        <x:v>90.8</x:v>
      </x:c>
      <x:c r="H154" s="15" t="str">
        <x:v>Published rank retained</x:v>
      </x:c>
      <x:c r="I154" s="15" t="str">
        <x:v>University of Pennsylvania</x:v>
      </x:c>
      <x:c r="J154" s="31" t="str">
        <x:v>https://www.timeshighereducation.com/world-university-rankings/university-pennsylvania</x:v>
      </x:c>
      <x:c r="K154" s="31" t="str">
        <x:v>https://www.timeshighereducation.com/world-university-rankings/2026/world-ranking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200+</x:v>
      </x:c>
      <x:c r="G155" s="36"/>
      <x:c r="H155" s="15" t="str">
        <x:v>Published beyond rank 200; exact value intentionally suppressed</x:v>
      </x:c>
      <x:c r="I155" s="15" t="str">
        <x:v>University of Reading</x:v>
      </x:c>
      <x:c r="J155" s="31" t="str">
        <x:v>https://www.timeshighereducation.com/world-university-rankings/university-reading</x:v>
      </x:c>
      <x:c r="K155" s="31" t="str">
        <x:v>https://www.timeshighereducation.com/world-university-rankings/2022/world-ranking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n">
        <x:f>198</x:f>
        <x:v>198</x:v>
      </x:c>
      <x:c r="G156" s="36" t="n">
        <x:v>54.4</x:v>
      </x:c>
      <x:c r="H156" s="15" t="str">
        <x:v>Published rank retained</x:v>
      </x:c>
      <x:c r="I156" s="15" t="str">
        <x:v>University of Reading</x:v>
      </x:c>
      <x:c r="J156" s="31" t="str">
        <x:v>https://www.timeshighereducation.com/world-university-rankings/university-reading</x:v>
      </x:c>
      <x:c r="K156" s="31" t="str">
        <x:v>https://www.timeshighereducation.com/world-university-rankings/2023/world-ranking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str">
        <x:v>200+</x:v>
      </x:c>
      <x:c r="G157" s="36"/>
      <x:c r="H157" s="15" t="str">
        <x:v>Published beyond rank 200; exact value intentionally suppressed</x:v>
      </x:c>
      <x:c r="I157" s="15" t="str">
        <x:v>University of Reading</x:v>
      </x:c>
      <x:c r="J157" s="31" t="str">
        <x:v>https://www.timeshighereducation.com/world-university-rankings/university-reading</x:v>
      </x:c>
      <x:c r="K157" s="31" t="str">
        <x:v>https://www.timeshighereducation.com/world-university-rankings/2024/world-ranking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str">
        <x:v>200+</x:v>
      </x:c>
      <x:c r="G158" s="36"/>
      <x:c r="H158" s="15" t="str">
        <x:v>Published beyond rank 200; exact value intentionally suppressed</x:v>
      </x:c>
      <x:c r="I158" s="15" t="str">
        <x:v>University of Reading</x:v>
      </x:c>
      <x:c r="J158" s="31" t="str">
        <x:v>https://www.timeshighereducation.com/world-university-rankings/university-reading</x:v>
      </x:c>
      <x:c r="K158" s="31" t="str">
        <x:v>https://www.timeshighereducation.com/world-university-rankings/2025/world-ranking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str">
        <x:v>200+</x:v>
      </x:c>
      <x:c r="G159" s="36"/>
      <x:c r="H159" s="15" t="str">
        <x:v>Published beyond rank 200; exact value intentionally suppressed</x:v>
      </x:c>
      <x:c r="I159" s="15" t="str">
        <x:v>University of Reading</x:v>
      </x:c>
      <x:c r="J159" s="31" t="str">
        <x:v>https://www.timeshighereducation.com/world-university-rankings/university-reading</x:v>
      </x:c>
      <x:c r="K159" s="31" t="str">
        <x:v>https://www.timeshighereducation.com/world-university-rankings/2026/world-ranking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131</x:v>
      </x:c>
      <x:c r="G160" s="36" t="n">
        <x:v>59</x:v>
      </x:c>
      <x:c r="H160" s="15" t="str">
        <x:v>Published rank retained</x:v>
      </x:c>
      <x:c r="I160" s="15" t="str">
        <x:v>Uppsala University</x:v>
      </x:c>
      <x:c r="J160" s="31" t="str">
        <x:v>https://www.timeshighereducation.com/world-university-rankings/uppsala-university</x:v>
      </x:c>
      <x:c r="K160" s="31" t="str">
        <x:v>https://www.timeshighereducation.com/world-university-rankings/2022/world-ranking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n">
        <x:f>148</x:f>
        <x:v>148</x:v>
      </x:c>
      <x:c r="G161" s="36" t="n">
        <x:v>57.8</x:v>
      </x:c>
      <x:c r="H161" s="15" t="str">
        <x:v>Published rank retained</x:v>
      </x:c>
      <x:c r="I161" s="15" t="str">
        <x:v>Uppsala University</x:v>
      </x:c>
      <x:c r="J161" s="31" t="str">
        <x:v>https://www.timeshighereducation.com/world-university-rankings/uppsala-university</x:v>
      </x:c>
      <x:c r="K161" s="31" t="str">
        <x:v>https://www.timeshighereducation.com/world-university-rankings/2023/world-ranking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n">
        <x:f>140</x:f>
        <x:v>140</x:v>
      </x:c>
      <x:c r="G162" s="36" t="n">
        <x:v>62.8</x:v>
      </x:c>
      <x:c r="H162" s="15" t="str">
        <x:v>Published rank retained</x:v>
      </x:c>
      <x:c r="I162" s="15" t="str">
        <x:v>Uppsala University</x:v>
      </x:c>
      <x:c r="J162" s="31" t="str">
        <x:v>https://www.timeshighereducation.com/world-university-rankings/uppsala-university</x:v>
      </x:c>
      <x:c r="K162" s="31" t="str">
        <x:v>https://www.timeshighereducation.com/world-university-rankings/2024/world-ranking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n">
        <x:f>130</x:f>
        <x:v>130</x:v>
      </x:c>
      <x:c r="G163" s="36" t="n">
        <x:v>63.6</x:v>
      </x:c>
      <x:c r="H163" s="15" t="str">
        <x:v>Published rank retained</x:v>
      </x:c>
      <x:c r="I163" s="15" t="str">
        <x:v>Uppsala University</x:v>
      </x:c>
      <x:c r="J163" s="31" t="str">
        <x:v>https://www.timeshighereducation.com/world-university-rankings/uppsala-university</x:v>
      </x:c>
      <x:c r="K163" s="31" t="str">
        <x:v>https://www.timeshighereducation.com/world-university-rankings/2025/world-ranking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128</x:v>
      </x:c>
      <x:c r="G164" s="36" t="n">
        <x:v>63.5</x:v>
      </x:c>
      <x:c r="H164" s="15" t="str">
        <x:v>Published rank retained</x:v>
      </x:c>
      <x:c r="I164" s="15" t="str">
        <x:v>Uppsala University</x:v>
      </x:c>
      <x:c r="J164" s="31" t="str">
        <x:v>https://www.timeshighereducation.com/world-university-rankings/uppsala-university</x:v>
      </x:c>
      <x:c r="K164" s="31" t="str">
        <x:v>https://www.timeshighereducation.com/world-university-rankings/2026/world-ranking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n">
        <x:f>96</x:f>
        <x:v>96</x:v>
      </x:c>
      <x:c r="G165" s="36" t="n">
        <x:v>62.7</x:v>
      </x:c>
      <x:c r="H165" s="15" t="str">
        <x:v>Published rank retained</x:v>
      </x:c>
      <x:c r="I165" s="15" t="str">
        <x:v>Ghent University</x:v>
      </x:c>
      <x:c r="J165" s="31" t="str">
        <x:v>https://www.timeshighereducation.com/world-university-rankings/ghent-university</x:v>
      </x:c>
      <x:c r="K165" s="31" t="str">
        <x:v>https://www.timeshighereducation.com/world-university-rankings/2022/world-ranking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107</x:v>
      </x:c>
      <x:c r="G166" s="36" t="n">
        <x:v>62.7</x:v>
      </x:c>
      <x:c r="H166" s="15" t="str">
        <x:v>Published rank retained</x:v>
      </x:c>
      <x:c r="I166" s="15" t="str">
        <x:v>Ghent University</x:v>
      </x:c>
      <x:c r="J166" s="31" t="str">
        <x:v>https://www.timeshighereducation.com/world-university-rankings/ghent-university</x:v>
      </x:c>
      <x:c r="K166" s="31" t="str">
        <x:v>https://www.timeshighereducation.com/world-university-rankings/2023/world-ranking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115</x:v>
      </x:c>
      <x:c r="G167" s="36" t="n">
        <x:v>65.6</x:v>
      </x:c>
      <x:c r="H167" s="15" t="str">
        <x:v>Published rank retained</x:v>
      </x:c>
      <x:c r="I167" s="15" t="str">
        <x:v>Ghent University</x:v>
      </x:c>
      <x:c r="J167" s="31" t="str">
        <x:v>https://www.timeshighereducation.com/world-university-rankings/ghent-university</x:v>
      </x:c>
      <x:c r="K167" s="31" t="str">
        <x:v>https://www.timeshighereducation.com/world-university-rankings/2024/world-ranking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n">
        <x:f>112</x:f>
        <x:v>112</x:v>
      </x:c>
      <x:c r="G168" s="36" t="n">
        <x:v>65.4</x:v>
      </x:c>
      <x:c r="H168" s="15" t="str">
        <x:v>Published rank retained</x:v>
      </x:c>
      <x:c r="I168" s="15" t="str">
        <x:v>Ghent University</x:v>
      </x:c>
      <x:c r="J168" s="31" t="str">
        <x:v>https://www.timeshighereducation.com/world-university-rankings/ghent-university</x:v>
      </x:c>
      <x:c r="K168" s="31" t="str">
        <x:v>https://www.timeshighereducation.com/world-university-rankings/2025/world-ranking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str">
        <x:v>115</x:v>
      </x:c>
      <x:c r="G169" s="36" t="n">
        <x:v>65.1</x:v>
      </x:c>
      <x:c r="H169" s="15" t="str">
        <x:v>Published rank retained</x:v>
      </x:c>
      <x:c r="I169" s="15" t="str">
        <x:v>Ghent University</x:v>
      </x:c>
      <x:c r="J169" s="31" t="str">
        <x:v>https://www.timeshighereducation.com/world-university-rankings/ghent-university</x:v>
      </x:c>
      <x:c r="K169" s="31" t="str">
        <x:v>https://www.timeshighereducation.com/world-university-rankings/2026/world-ranking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110</x:v>
      </x:c>
      <x:c r="G170" s="36" t="n">
        <x:v>61.3</x:v>
      </x:c>
      <x:c r="H170" s="15" t="str">
        <x:v>Published rank retained</x:v>
      </x:c>
      <x:c r="I170" s="15" t="str">
        <x:v>University of Sheffield</x:v>
      </x:c>
      <x:c r="J170" s="31" t="str">
        <x:v>https://www.timeshighereducation.com/world-university-rankings/university-sheffield</x:v>
      </x:c>
      <x:c r="K170" s="31" t="str">
        <x:v>https://www.timeshighereducation.com/world-university-rankings/2022/world-ranking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114</x:f>
        <x:v>114</x:v>
      </x:c>
      <x:c r="G171" s="36" t="n">
        <x:v>61.7</x:v>
      </x:c>
      <x:c r="H171" s="15" t="str">
        <x:v>Published rank retained</x:v>
      </x:c>
      <x:c r="I171" s="15" t="str">
        <x:v>University of Sheffield</x:v>
      </x:c>
      <x:c r="J171" s="31" t="str">
        <x:v>https://www.timeshighereducation.com/world-university-rankings/university-sheffield</x:v>
      </x:c>
      <x:c r="K171" s="31" t="str">
        <x:v>https://www.timeshighereducation.com/world-university-rankings/2023/world-ranking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str">
        <x:v>105</x:v>
      </x:c>
      <x:c r="G172" s="36" t="n">
        <x:v>66.2</x:v>
      </x:c>
      <x:c r="H172" s="15" t="str">
        <x:v>Published rank retained</x:v>
      </x:c>
      <x:c r="I172" s="15" t="str">
        <x:v>University of Sheffield</x:v>
      </x:c>
      <x:c r="J172" s="31" t="str">
        <x:v>https://www.timeshighereducation.com/world-university-rankings/university-sheffield</x:v>
      </x:c>
      <x:c r="K172" s="31" t="str">
        <x:v>https://www.timeshighereducation.com/world-university-rankings/2024/world-ranking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n">
        <x:f>98</x:f>
        <x:v>98</x:v>
      </x:c>
      <x:c r="G173" s="36" t="n">
        <x:v>66.3</x:v>
      </x:c>
      <x:c r="H173" s="15" t="str">
        <x:v>Published rank retained</x:v>
      </x:c>
      <x:c r="I173" s="15" t="str">
        <x:v>University of Sheffield</x:v>
      </x:c>
      <x:c r="J173" s="31" t="str">
        <x:v>https://www.timeshighereducation.com/world-university-rankings/university-sheffield</x:v>
      </x:c>
      <x:c r="K173" s="31" t="str">
        <x:v>https://www.timeshighereducation.com/world-university-rankings/2025/world-ranking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n">
        <x:f>108</x:f>
        <x:v>108</x:v>
      </x:c>
      <x:c r="G174" s="36" t="n">
        <x:v>65.4</x:v>
      </x:c>
      <x:c r="H174" s="15" t="str">
        <x:v>Published rank retained</x:v>
      </x:c>
      <x:c r="I174" s="15" t="str">
        <x:v>University of Sheffield</x:v>
      </x:c>
      <x:c r="J174" s="31" t="str">
        <x:v>https://www.timeshighereducation.com/world-university-rankings/university-sheffield</x:v>
      </x:c>
      <x:c r="K174" s="31" t="str">
        <x:v>https://www.timeshighereducation.com/world-university-rankings/2026/world-ranking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n">
        <x:f>75</x:f>
        <x:v>75</x:v>
      </x:c>
      <x:c r="G175" s="36" t="n">
        <x:v>65.8</x:v>
      </x:c>
      <x:c r="H175" s="15" t="str">
        <x:v>Published rank retained</x:v>
      </x:c>
      <x:c r="I175" s="15" t="str">
        <x:v>Delft University of Technology</x:v>
      </x:c>
      <x:c r="J175" s="31" t="str">
        <x:v>https://www.timeshighereducation.com/world-university-rankings/delft-university-technology</x:v>
      </x:c>
      <x:c r="K175" s="31" t="str">
        <x:v>https://www.timeshighereducation.com/world-university-rankings/2022/world-ranking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70</x:v>
      </x:c>
      <x:c r="G176" s="36" t="n">
        <x:v>67.7</x:v>
      </x:c>
      <x:c r="H176" s="15" t="str">
        <x:v>Published rank retained</x:v>
      </x:c>
      <x:c r="I176" s="15" t="str">
        <x:v>Delft University of Technology</x:v>
      </x:c>
      <x:c r="J176" s="31" t="str">
        <x:v>https://www.timeshighereducation.com/world-university-rankings/delft-university-technology</x:v>
      </x:c>
      <x:c r="K176" s="31" t="str">
        <x:v>https://www.timeshighereducation.com/world-university-rankings/2023/world-ranking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48</x:v>
      </x:c>
      <x:c r="G177" s="36" t="n">
        <x:v>76.3</x:v>
      </x:c>
      <x:c r="H177" s="15" t="str">
        <x:v>Published rank retained</x:v>
      </x:c>
      <x:c r="I177" s="15" t="str">
        <x:v>Delft University of Technology</x:v>
      </x:c>
      <x:c r="J177" s="31" t="str">
        <x:v>https://www.timeshighereducation.com/world-university-rankings/delft-university-technology</x:v>
      </x:c>
      <x:c r="K177" s="31" t="str">
        <x:v>https://www.timeshighereducation.com/world-university-rankings/2024/world-ranking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n">
        <x:f>56</x:f>
        <x:v>56</x:v>
      </x:c>
      <x:c r="G178" s="36" t="n">
        <x:v>74.8</x:v>
      </x:c>
      <x:c r="H178" s="15" t="str">
        <x:v>Published rank retained</x:v>
      </x:c>
      <x:c r="I178" s="15" t="str">
        <x:v>Delft University of Technology</x:v>
      </x:c>
      <x:c r="J178" s="31" t="str">
        <x:v>https://www.timeshighereducation.com/world-university-rankings/delft-university-technology</x:v>
      </x:c>
      <x:c r="K178" s="31" t="str">
        <x:v>https://www.timeshighereducation.com/world-university-rankings/2025/world-ranking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str">
        <x:v>57</x:v>
      </x:c>
      <x:c r="G179" s="36" t="n">
        <x:v>74.3</x:v>
      </x:c>
      <x:c r="H179" s="15" t="str">
        <x:v>Published rank retained</x:v>
      </x:c>
      <x:c r="I179" s="15" t="str">
        <x:v>Delft University of Technology</x:v>
      </x:c>
      <x:c r="J179" s="31" t="str">
        <x:v>https://www.timeshighereducation.com/world-university-rankings/delft-university-technology</x:v>
      </x:c>
      <x:c r="K179" s="31" t="str">
        <x:v>https://www.timeshighereducation.com/world-university-rankings/2026/world-ranking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n">
        <x:f>93</x:f>
        <x:v>93</x:v>
      </x:c>
      <x:c r="G180" s="36" t="n">
        <x:v>63</x:v>
      </x:c>
      <x:c r="H180" s="15" t="str">
        <x:v>Published rank retained</x:v>
      </x:c>
      <x:c r="I180" s="15" t="str">
        <x:v>Michigan State University</x:v>
      </x:c>
      <x:c r="J180" s="31" t="str">
        <x:v>https://www.timeshighereducation.com/world-university-rankings/michigan-state-university</x:v>
      </x:c>
      <x:c r="K180" s="31" t="str">
        <x:v>https://www.timeshighereducation.com/world-university-rankings/2022/world-ranking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str">
        <x:v>106</x:v>
      </x:c>
      <x:c r="G181" s="36" t="n">
        <x:v>62.8</x:v>
      </x:c>
      <x:c r="H181" s="15" t="str">
        <x:v>Published rank retained</x:v>
      </x:c>
      <x:c r="I181" s="15" t="str">
        <x:v>Michigan State University</x:v>
      </x:c>
      <x:c r="J181" s="31" t="str">
        <x:v>https://www.timeshighereducation.com/world-university-rankings/michigan-state-university</x:v>
      </x:c>
      <x:c r="K181" s="31" t="str">
        <x:v>https://www.timeshighereducation.com/world-university-rankings/2023/world-ranking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116</x:f>
        <x:v>116</x:v>
      </x:c>
      <x:c r="G182" s="36" t="n">
        <x:v>65.4</x:v>
      </x:c>
      <x:c r="H182" s="15" t="str">
        <x:v>Published rank retained</x:v>
      </x:c>
      <x:c r="I182" s="15" t="str">
        <x:v>Michigan State University</x:v>
      </x:c>
      <x:c r="J182" s="31" t="str">
        <x:v>https://www.timeshighereducation.com/world-university-rankings/michigan-state-university</x:v>
      </x:c>
      <x:c r="K182" s="31" t="str">
        <x:v>https://www.timeshighereducation.com/world-university-rankings/2024/world-ranking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str">
        <x:v>122</x:v>
      </x:c>
      <x:c r="G183" s="36" t="n">
        <x:v>64.7</x:v>
      </x:c>
      <x:c r="H183" s="15" t="str">
        <x:v>Published rank retained</x:v>
      </x:c>
      <x:c r="I183" s="15" t="str">
        <x:v>Michigan State University</x:v>
      </x:c>
      <x:c r="J183" s="31" t="str">
        <x:v>https://www.timeshighereducation.com/world-university-rankings/michigan-state-university</x:v>
      </x:c>
      <x:c r="K183" s="31" t="str">
        <x:v>https://www.timeshighereducation.com/world-university-rankings/2025/world-ranking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n">
        <x:f>105</x:f>
        <x:v>105</x:v>
      </x:c>
      <x:c r="G184" s="36" t="n">
        <x:v>65.7</x:v>
      </x:c>
      <x:c r="H184" s="15" t="str">
        <x:v>Published rank retained</x:v>
      </x:c>
      <x:c r="I184" s="15" t="str">
        <x:v>Michigan State University</x:v>
      </x:c>
      <x:c r="J184" s="31" t="str">
        <x:v>https://www.timeshighereducation.com/world-university-rankings/michigan-state-university</x:v>
      </x:c>
      <x:c r="K184" s="31" t="str">
        <x:v>https://www.timeshighereducation.com/world-university-rankings/2026/world-ranking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str">
        <x:v>57</x:v>
      </x:c>
      <x:c r="G185" s="36" t="n">
        <x:v>69.9</x:v>
      </x:c>
      <x:c r="H185" s="15" t="str">
        <x:v>Published rank retained</x:v>
      </x:c>
      <x:c r="I185" s="15" t="str">
        <x:v>Monash University</x:v>
      </x:c>
      <x:c r="J185" s="31" t="str">
        <x:v>https://www.timeshighereducation.com/world-university-rankings/monash-university</x:v>
      </x:c>
      <x:c r="K185" s="31" t="str">
        <x:v>https://www.timeshighereducation.com/world-university-rankings/2022/world-ranking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str">
        <x:v>44</x:v>
      </x:c>
      <x:c r="G186" s="36" t="n">
        <x:v>73.6</x:v>
      </x:c>
      <x:c r="H186" s="15" t="str">
        <x:v>Published rank retained</x:v>
      </x:c>
      <x:c r="I186" s="15" t="str">
        <x:v>Monash University</x:v>
      </x:c>
      <x:c r="J186" s="31" t="str">
        <x:v>https://www.timeshighereducation.com/world-university-rankings/monash-university</x:v>
      </x:c>
      <x:c r="K186" s="31" t="str">
        <x:v>https://www.timeshighereducation.com/world-university-rankings/2023/world-ranking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54</x:v>
      </x:c>
      <x:c r="G187" s="36" t="n">
        <x:v>75.2</x:v>
      </x:c>
      <x:c r="H187" s="15" t="str">
        <x:v>Published rank retained</x:v>
      </x:c>
      <x:c r="I187" s="15" t="str">
        <x:v>Monash University</x:v>
      </x:c>
      <x:c r="J187" s="31" t="str">
        <x:v>https://www.timeshighereducation.com/world-university-rankings/monash-university</x:v>
      </x:c>
      <x:c r="K187" s="31" t="str">
        <x:v>https://www.timeshighereducation.com/world-university-rankings/2024/world-ranking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n">
        <x:f>58</x:f>
        <x:v>58</x:v>
      </x:c>
      <x:c r="G188" s="36" t="n">
        <x:v>73.8</x:v>
      </x:c>
      <x:c r="H188" s="15" t="str">
        <x:v>Published rank retained</x:v>
      </x:c>
      <x:c r="I188" s="15" t="str">
        <x:v>Monash University</x:v>
      </x:c>
      <x:c r="J188" s="31" t="str">
        <x:v>https://www.timeshighereducation.com/world-university-rankings/monash-university</x:v>
      </x:c>
      <x:c r="K188" s="31" t="str">
        <x:v>https://www.timeshighereducation.com/world-university-rankings/2025/world-ranking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n">
        <x:f>58</x:f>
        <x:v>58</x:v>
      </x:c>
      <x:c r="G189" s="36" t="n">
        <x:v>74.1</x:v>
      </x:c>
      <x:c r="H189" s="15" t="str">
        <x:v>Published rank retained</x:v>
      </x:c>
      <x:c r="I189" s="15" t="str">
        <x:v>Monash University</x:v>
      </x:c>
      <x:c r="J189" s="31" t="str">
        <x:v>https://www.timeshighereducation.com/world-university-rankings/monash-university</x:v>
      </x:c>
      <x:c r="K189" s="31" t="str">
        <x:v>https://www.timeshighereducation.com/world-university-rankings/2026/world-ranking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n">
        <x:f>54</x:f>
        <x:v>54</x:v>
      </x:c>
      <x:c r="G190" s="36" t="n">
        <x:v>70</x:v>
      </x:c>
      <x:c r="H190" s="15" t="str">
        <x:v>Published rank retained</x:v>
      </x:c>
      <x:c r="I190" s="15" t="str">
        <x:v>Seoul National University</x:v>
      </x:c>
      <x:c r="J190" s="31" t="str">
        <x:v>https://www.timeshighereducation.com/world-university-rankings/seoul-national-university</x:v>
      </x:c>
      <x:c r="K190" s="31" t="str">
        <x:v>https://www.timeshighereducation.com/world-university-rankings/2022/world-ranking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str">
        <x:v>56</x:v>
      </x:c>
      <x:c r="G191" s="36" t="n">
        <x:v>70.8</x:v>
      </x:c>
      <x:c r="H191" s="15" t="str">
        <x:v>Published rank retained</x:v>
      </x:c>
      <x:c r="I191" s="15" t="str">
        <x:v>Seoul National University</x:v>
      </x:c>
      <x:c r="J191" s="31" t="str">
        <x:v>https://www.timeshighereducation.com/world-university-rankings/seoul-national-university</x:v>
      </x:c>
      <x:c r="K191" s="31" t="str">
        <x:v>https://www.timeshighereducation.com/world-university-rankings/2023/world-ranking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str">
        <x:v>62</x:v>
      </x:c>
      <x:c r="G192" s="36" t="n">
        <x:v>73.4</x:v>
      </x:c>
      <x:c r="H192" s="15" t="str">
        <x:v>Published rank retained</x:v>
      </x:c>
      <x:c r="I192" s="15" t="str">
        <x:v>Seoul National University</x:v>
      </x:c>
      <x:c r="J192" s="31" t="str">
        <x:v>https://www.timeshighereducation.com/world-university-rankings/seoul-national-university</x:v>
      </x:c>
      <x:c r="K192" s="31" t="str">
        <x:v>https://www.timeshighereducation.com/world-university-rankings/2024/world-ranking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n">
        <x:f>62</x:f>
        <x:v>62</x:v>
      </x:c>
      <x:c r="G193" s="36" t="n">
        <x:v>73.5</x:v>
      </x:c>
      <x:c r="H193" s="15" t="str">
        <x:v>Published rank retained</x:v>
      </x:c>
      <x:c r="I193" s="15" t="str">
        <x:v>Seoul National University</x:v>
      </x:c>
      <x:c r="J193" s="31" t="str">
        <x:v>https://www.timeshighereducation.com/world-university-rankings/seoul-national-university</x:v>
      </x:c>
      <x:c r="K193" s="31" t="str">
        <x:v>https://www.timeshighereducation.com/world-university-rankings/2025/world-ranking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n">
        <x:f>58</x:f>
        <x:v>58</x:v>
      </x:c>
      <x:c r="G194" s="36" t="n">
        <x:v>74.1</x:v>
      </x:c>
      <x:c r="H194" s="15" t="str">
        <x:v>Published rank retained</x:v>
      </x:c>
      <x:c r="I194" s="15" t="str">
        <x:v>Seoul National University</x:v>
      </x:c>
      <x:c r="J194" s="31" t="str">
        <x:v>https://www.timeshighereducation.com/world-university-rankings/seoul-national-university</x:v>
      </x:c>
      <x:c r="K194" s="31" t="str">
        <x:v>https://www.timeshighereducation.com/world-university-rankings/2026/world-ranking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141</x:v>
      </x:c>
      <x:c r="G195" s="36" t="n">
        <x:v>58.1</x:v>
      </x:c>
      <x:c r="H195" s="15" t="str">
        <x:v>Published rank retained</x:v>
      </x:c>
      <x:c r="I195" s="15" t="str">
        <x:v>University of Nottingham</x:v>
      </x:c>
      <x:c r="J195" s="31" t="str">
        <x:v>https://www.timeshighereducation.com/world-university-rankings/university-nottingham</x:v>
      </x:c>
      <x:c r="K195" s="31" t="str">
        <x:v>https://www.timeshighereducation.com/world-university-rankings/2022/world-ranking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str">
        <x:v>130</x:v>
      </x:c>
      <x:c r="G196" s="36" t="n">
        <x:v>59.6</x:v>
      </x:c>
      <x:c r="H196" s="15" t="str">
        <x:v>Published rank retained</x:v>
      </x:c>
      <x:c r="I196" s="15" t="str">
        <x:v>University of Nottingham</x:v>
      </x:c>
      <x:c r="J196" s="31" t="str">
        <x:v>https://www.timeshighereducation.com/world-university-rankings/university-nottingham</x:v>
      </x:c>
      <x:c r="K196" s="31" t="str">
        <x:v>https://www.timeshighereducation.com/world-university-rankings/2023/world-ranking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n">
        <x:f>130</x:f>
        <x:v>130</x:v>
      </x:c>
      <x:c r="G197" s="36" t="n">
        <x:v>63.8</x:v>
      </x:c>
      <x:c r="H197" s="15" t="str">
        <x:v>Published rank retained</x:v>
      </x:c>
      <x:c r="I197" s="15" t="str">
        <x:v>University of Nottingham</x:v>
      </x:c>
      <x:c r="J197" s="31" t="str">
        <x:v>https://www.timeshighereducation.com/world-university-rankings/university-nottingham</x:v>
      </x:c>
      <x:c r="K197" s="31" t="str">
        <x:v>https://www.timeshighereducation.com/world-university-rankings/2024/world-ranking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n">
        <x:f>136</x:f>
        <x:v>136</x:v>
      </x:c>
      <x:c r="G198" s="36" t="n">
        <x:v>62.7</x:v>
      </x:c>
      <x:c r="H198" s="15" t="str">
        <x:v>Published rank retained</x:v>
      </x:c>
      <x:c r="I198" s="15" t="str">
        <x:v>University of Nottingham</x:v>
      </x:c>
      <x:c r="J198" s="31" t="str">
        <x:v>https://www.timeshighereducation.com/world-university-rankings/university-nottingham</x:v>
      </x:c>
      <x:c r="K198" s="31" t="str">
        <x:v>https://www.timeshighereducation.com/world-university-rankings/2025/world-ranking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n">
        <x:f>145</x:f>
        <x:v>145</x:v>
      </x:c>
      <x:c r="G199" s="36" t="n">
        <x:v>62</x:v>
      </x:c>
      <x:c r="H199" s="15" t="str">
        <x:v>Published rank retained</x:v>
      </x:c>
      <x:c r="I199" s="15" t="str">
        <x:v>University of Nottingham</x:v>
      </x:c>
      <x:c r="J199" s="31" t="str">
        <x:v>https://www.timeshighereducation.com/world-university-rankings/university-nottingham</x:v>
      </x:c>
      <x:c r="K199" s="31" t="str">
        <x:v>https://www.timeshighereducation.com/world-university-rankings/2026/world-ranking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169</x:v>
      </x:c>
      <x:c r="G200" s="36" t="n">
        <x:v>56</x:v>
      </x:c>
      <x:c r="H200" s="15" t="str">
        <x:v>Published rank retained</x:v>
      </x:c>
      <x:c r="I200" s="15" t="str">
        <x:v>University of York</x:v>
      </x:c>
      <x:c r="J200" s="31" t="str">
        <x:v>https://www.timeshighereducation.com/world-university-rankings/university-york</x:v>
      </x:c>
      <x:c r="K200" s="31" t="str">
        <x:v>https://www.timeshighereducation.com/world-university-rankings/2022/world-ranking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n">
        <x:f>139</x:f>
        <x:v>139</x:v>
      </x:c>
      <x:c r="G201" s="36" t="n">
        <x:v>58.4</x:v>
      </x:c>
      <x:c r="H201" s="15" t="str">
        <x:v>Published rank retained</x:v>
      </x:c>
      <x:c r="I201" s="15" t="str">
        <x:v>University of York</x:v>
      </x:c>
      <x:c r="J201" s="31" t="str">
        <x:v>https://www.timeshighereducation.com/world-university-rankings/university-york</x:v>
      </x:c>
      <x:c r="K201" s="31" t="str">
        <x:v>https://www.timeshighereducation.com/world-university-rankings/2023/world-ranking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147</x:v>
      </x:c>
      <x:c r="G202" s="36" t="n">
        <x:v>62.4</x:v>
      </x:c>
      <x:c r="H202" s="15" t="str">
        <x:v>Published rank retained</x:v>
      </x:c>
      <x:c r="I202" s="15" t="str">
        <x:v>University of York</x:v>
      </x:c>
      <x:c r="J202" s="31" t="str">
        <x:v>https://www.timeshighereducation.com/world-university-rankings/university-york</x:v>
      </x:c>
      <x:c r="K202" s="31" t="str">
        <x:v>https://www.timeshighereducation.com/world-university-rankings/2024/world-ranking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n">
        <x:f>146</x:f>
        <x:v>146</x:v>
      </x:c>
      <x:c r="G203" s="36" t="n">
        <x:v>62.1</x:v>
      </x:c>
      <x:c r="H203" s="15" t="str">
        <x:v>Published rank retained</x:v>
      </x:c>
      <x:c r="I203" s="15" t="str">
        <x:v>University of York</x:v>
      </x:c>
      <x:c r="J203" s="31" t="str">
        <x:v>https://www.timeshighereducation.com/world-university-rankings/university-york</x:v>
      </x:c>
      <x:c r="K203" s="31" t="str">
        <x:v>https://www.timeshighereducation.com/world-university-rankings/2025/world-ranking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n">
        <x:f>154</x:f>
        <x:v>154</x:v>
      </x:c>
      <x:c r="G204" s="36" t="n">
        <x:v>61.5</x:v>
      </x:c>
      <x:c r="H204" s="15" t="str">
        <x:v>Published rank retained</x:v>
      </x:c>
      <x:c r="I204" s="15" t="str">
        <x:v>University of York</x:v>
      </x:c>
      <x:c r="J204" s="31" t="str">
        <x:v>https://www.timeshighereducation.com/world-university-rankings/university-york</x:v>
      </x:c>
      <x:c r="K204" s="31" t="str">
        <x:v>https://www.timeshighereducation.com/world-university-rankings/2026/world-ranking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62</x:v>
      </x:c>
      <x:c r="G205" s="36" t="n">
        <x:v>69.5</x:v>
      </x:c>
      <x:c r="H205" s="15" t="str">
        <x:v>Published rank retained</x:v>
      </x:c>
      <x:c r="I205" s="15" t="str">
        <x:v>Boston University</x:v>
      </x:c>
      <x:c r="J205" s="31" t="str">
        <x:v>https://www.timeshighereducation.com/world-university-rankings/boston-university</x:v>
      </x:c>
      <x:c r="K205" s="31" t="str">
        <x:v>https://www.timeshighereducation.com/world-university-rankings/2022/world-ranking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n">
        <x:f>71</x:f>
        <x:v>71</x:v>
      </x:c>
      <x:c r="G206" s="36" t="n">
        <x:v>67.5</x:v>
      </x:c>
      <x:c r="H206" s="15" t="str">
        <x:v>Published rank retained</x:v>
      </x:c>
      <x:c r="I206" s="15" t="str">
        <x:v>Boston University</x:v>
      </x:c>
      <x:c r="J206" s="31" t="str">
        <x:v>https://www.timeshighereducation.com/world-university-rankings/boston-university</x:v>
      </x:c>
      <x:c r="K206" s="31" t="str">
        <x:v>https://www.timeshighereducation.com/world-university-rankings/2023/world-ranking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str">
        <x:v>78</x:v>
      </x:c>
      <x:c r="G207" s="36" t="n">
        <x:v>70.1</x:v>
      </x:c>
      <x:c r="H207" s="15" t="str">
        <x:v>Published rank retained</x:v>
      </x:c>
      <x:c r="I207" s="15" t="str">
        <x:v>Boston University</x:v>
      </x:c>
      <x:c r="J207" s="31" t="str">
        <x:v>https://www.timeshighereducation.com/world-university-rankings/boston-university</x:v>
      </x:c>
      <x:c r="K207" s="31" t="str">
        <x:v>https://www.timeshighereducation.com/world-university-rankings/2024/world-ranking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75</x:v>
      </x:c>
      <x:c r="G208" s="36" t="n">
        <x:v>70.6</x:v>
      </x:c>
      <x:c r="H208" s="15" t="str">
        <x:v>Published rank retained</x:v>
      </x:c>
      <x:c r="I208" s="15" t="str">
        <x:v>Boston University</x:v>
      </x:c>
      <x:c r="J208" s="31" t="str">
        <x:v>https://www.timeshighereducation.com/world-university-rankings/boston-university</x:v>
      </x:c>
      <x:c r="K208" s="31" t="str">
        <x:v>https://www.timeshighereducation.com/world-university-rankings/2025/world-ranking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n">
        <x:f>76</x:f>
        <x:v>76</x:v>
      </x:c>
      <x:c r="G209" s="36" t="n">
        <x:v>70.4</x:v>
      </x:c>
      <x:c r="H209" s="15" t="str">
        <x:v>Published rank retained</x:v>
      </x:c>
      <x:c r="I209" s="15" t="str">
        <x:v>Boston University</x:v>
      </x:c>
      <x:c r="J209" s="31" t="str">
        <x:v>https://www.timeshighereducation.com/world-university-rankings/boston-university</x:v>
      </x:c>
      <x:c r="K209" s="31" t="str">
        <x:v>https://www.timeshighereducation.com/world-university-rankings/2026/world-ranking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n">
        <x:f>13</x:f>
        <x:v>13</x:v>
      </x:c>
      <x:c r="G210" s="36" t="n">
        <x:v>88.4</x:v>
      </x:c>
      <x:c r="H210" s="15" t="str">
        <x:v>Published rank retained</x:v>
      </x:c>
      <x:c r="I210" s="15" t="str">
        <x:v>Johns Hopkins University</x:v>
      </x:c>
      <x:c r="J210" s="31" t="str">
        <x:v>https://www.timeshighereducation.com/world-university-rankings/johns-hopkins-university</x:v>
      </x:c>
      <x:c r="K210" s="31" t="str">
        <x:v>https://www.timeshighereducation.com/world-university-rankings/2022/world-ranking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15</x:v>
      </x:c>
      <x:c r="G211" s="36" t="n">
        <x:v>88.3</x:v>
      </x:c>
      <x:c r="H211" s="15" t="str">
        <x:v>Published rank retained</x:v>
      </x:c>
      <x:c r="I211" s="15" t="str">
        <x:v>Johns Hopkins University</x:v>
      </x:c>
      <x:c r="J211" s="31" t="str">
        <x:v>https://www.timeshighereducation.com/world-university-rankings/johns-hopkins-university</x:v>
      </x:c>
      <x:c r="K211" s="31" t="str">
        <x:v>https://www.timeshighereducation.com/world-university-rankings/2023/world-ranking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str">
        <x:v>15</x:v>
      </x:c>
      <x:c r="G212" s="36" t="n">
        <x:v>91.1</x:v>
      </x:c>
      <x:c r="H212" s="15" t="str">
        <x:v>Published rank retained</x:v>
      </x:c>
      <x:c r="I212" s="15" t="str">
        <x:v>Johns Hopkins University</x:v>
      </x:c>
      <x:c r="J212" s="31" t="str">
        <x:v>https://www.timeshighereducation.com/world-university-rankings/johns-hopkins-university</x:v>
      </x:c>
      <x:c r="K212" s="31" t="str">
        <x:v>https://www.timeshighereducation.com/world-university-rankings/2024/world-ranking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16</x:v>
      </x:c>
      <x:c r="G213" s="36" t="n">
        <x:v>90.7</x:v>
      </x:c>
      <x:c r="H213" s="15" t="str">
        <x:v>Published rank retained</x:v>
      </x:c>
      <x:c r="I213" s="15" t="str">
        <x:v>Johns Hopkins University</x:v>
      </x:c>
      <x:c r="J213" s="31" t="str">
        <x:v>https://www.timeshighereducation.com/world-university-rankings/johns-hopkins-university</x:v>
      </x:c>
      <x:c r="K213" s="31" t="str">
        <x:v>https://www.timeshighereducation.com/world-university-rankings/2025/world-ranking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str">
        <x:v>16</x:v>
      </x:c>
      <x:c r="G214" s="36" t="n">
        <x:v>90.1</x:v>
      </x:c>
      <x:c r="H214" s="15" t="str">
        <x:v>Published rank retained</x:v>
      </x:c>
      <x:c r="I214" s="15" t="str">
        <x:v>Johns Hopkins University</x:v>
      </x:c>
      <x:c r="J214" s="31" t="str">
        <x:v>https://www.timeshighereducation.com/world-university-rankings/johns-hopkins-university</x:v>
      </x:c>
      <x:c r="K214" s="31" t="str">
        <x:v>https://www.timeshighereducation.com/world-university-rankings/2026/world-ranking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n">
        <x:f>5</x:f>
        <x:v>5</x:v>
      </x:c>
      <x:c r="G215" s="36" t="n">
        <x:v>94.6</x:v>
      </x:c>
      <x:c r="H215" s="15" t="str">
        <x:v>Published rank retained</x:v>
      </x:c>
      <x:c r="I215" s="15" t="str">
        <x:v>Massachusetts Institute of Technology</x:v>
      </x:c>
      <x:c r="J215" s="31" t="str">
        <x:v>https://www.timeshighereducation.com/world-university-rankings/massachusetts-institute-technology</x:v>
      </x:c>
      <x:c r="K215" s="31" t="str">
        <x:v>https://www.timeshighereducation.com/world-university-rankings/2022/world-ranking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5</x:v>
      </x:c>
      <x:c r="G216" s="36" t="n">
        <x:v>94.2</x:v>
      </x:c>
      <x:c r="H216" s="15" t="str">
        <x:v>Published rank retained</x:v>
      </x:c>
      <x:c r="I216" s="15" t="str">
        <x:v>Massachusetts Institute of Technology</x:v>
      </x:c>
      <x:c r="J216" s="31" t="str">
        <x:v>https://www.timeshighereducation.com/world-university-rankings/massachusetts-institute-technology</x:v>
      </x:c>
      <x:c r="K216" s="31" t="str">
        <x:v>https://www.timeshighereducation.com/world-university-rankings/2023/world-ranking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str">
        <x:v>3</x:v>
      </x:c>
      <x:c r="G217" s="36" t="n">
        <x:v>97.9</x:v>
      </x:c>
      <x:c r="H217" s="15" t="str">
        <x:v>Published rank retained</x:v>
      </x:c>
      <x:c r="I217" s="15" t="str">
        <x:v>Massachusetts Institute of Technology</x:v>
      </x:c>
      <x:c r="J217" s="31" t="str">
        <x:v>https://www.timeshighereducation.com/world-university-rankings/massachusetts-institute-technology</x:v>
      </x:c>
      <x:c r="K217" s="31" t="str">
        <x:v>https://www.timeshighereducation.com/world-university-rankings/2024/world-ranking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2</x:v>
      </x:c>
      <x:c r="G218" s="36" t="n">
        <x:v>98.1</x:v>
      </x:c>
      <x:c r="H218" s="15" t="str">
        <x:v>Published rank retained</x:v>
      </x:c>
      <x:c r="I218" s="15" t="str">
        <x:v>Massachusetts Institute of Technology</x:v>
      </x:c>
      <x:c r="J218" s="31" t="str">
        <x:v>https://www.timeshighereducation.com/world-university-rankings/massachusetts-institute-technology</x:v>
      </x:c>
      <x:c r="K218" s="31" t="str">
        <x:v>https://www.timeshighereducation.com/world-university-rankings/2025/world-ranking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str">
        <x:v>2</x:v>
      </x:c>
      <x:c r="G219" s="36" t="n">
        <x:v>97.7</x:v>
      </x:c>
      <x:c r="H219" s="15" t="str">
        <x:v>Published rank retained</x:v>
      </x:c>
      <x:c r="I219" s="15" t="str">
        <x:v>Massachusetts Institute of Technology</x:v>
      </x:c>
      <x:c r="J219" s="31" t="str">
        <x:v>https://www.timeshighereducation.com/world-university-rankings/massachusetts-institute-technology</x:v>
      </x:c>
      <x:c r="K219" s="31" t="str">
        <x:v>https://www.timeshighereducation.com/world-university-rankings/2026/world-ranking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n">
        <x:f>105</x:f>
        <x:v>105</x:v>
      </x:c>
      <x:c r="G220" s="36" t="n">
        <x:v>61.5</x:v>
      </x:c>
      <x:c r="H220" s="15" t="str">
        <x:v>Published rank retained</x:v>
      </x:c>
      <x:c r="I220" s="15" t="str">
        <x:v>University of Birmingham</x:v>
      </x:c>
      <x:c r="J220" s="31" t="str">
        <x:v>https://www.timeshighereducation.com/world-university-rankings/university-birmingham</x:v>
      </x:c>
      <x:c r="K220" s="31" t="str">
        <x:v>https://www.timeshighereducation.com/world-university-rankings/2022/world-ranking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n">
        <x:f>108</x:f>
        <x:v>108</x:v>
      </x:c>
      <x:c r="G221" s="36" t="n">
        <x:v>62.6</x:v>
      </x:c>
      <x:c r="H221" s="15" t="str">
        <x:v>Published rank retained</x:v>
      </x:c>
      <x:c r="I221" s="15" t="str">
        <x:v>University of Birmingham</x:v>
      </x:c>
      <x:c r="J221" s="31" t="str">
        <x:v>https://www.timeshighereducation.com/world-university-rankings/university-birmingham</x:v>
      </x:c>
      <x:c r="K221" s="31" t="str">
        <x:v>https://www.timeshighereducation.com/world-university-rankings/2023/world-ranking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101</x:v>
      </x:c>
      <x:c r="G222" s="36" t="n">
        <x:v>66.6</x:v>
      </x:c>
      <x:c r="H222" s="15" t="str">
        <x:v>Published rank retained</x:v>
      </x:c>
      <x:c r="I222" s="15" t="str">
        <x:v>University of Birmingham</x:v>
      </x:c>
      <x:c r="J222" s="31" t="str">
        <x:v>https://www.timeshighereducation.com/world-university-rankings/university-birmingham</x:v>
      </x:c>
      <x:c r="K222" s="31" t="str">
        <x:v>https://www.timeshighereducation.com/world-university-rankings/2024/world-ranking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n">
        <x:f>93</x:f>
        <x:v>93</x:v>
      </x:c>
      <x:c r="G223" s="36" t="n">
        <x:v>67.1</x:v>
      </x:c>
      <x:c r="H223" s="15" t="str">
        <x:v>Published rank retained</x:v>
      </x:c>
      <x:c r="I223" s="15" t="str">
        <x:v>University of Birmingham</x:v>
      </x:c>
      <x:c r="J223" s="31" t="str">
        <x:v>https://www.timeshighereducation.com/world-university-rankings/university-birmingham</x:v>
      </x:c>
      <x:c r="K223" s="31" t="str">
        <x:v>https://www.timeshighereducation.com/world-university-rankings/2025/world-ranking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n">
        <x:f>98</x:f>
        <x:v>98</x:v>
      </x:c>
      <x:c r="G224" s="36" t="n">
        <x:v>66.3</x:v>
      </x:c>
      <x:c r="H224" s="15" t="str">
        <x:v>Published rank retained</x:v>
      </x:c>
      <x:c r="I224" s="15" t="str">
        <x:v>University of Birmingham</x:v>
      </x:c>
      <x:c r="J224" s="31" t="str">
        <x:v>https://www.timeshighereducation.com/world-university-rankings/university-birmingham</x:v>
      </x:c>
      <x:c r="K224" s="31" t="str">
        <x:v>https://www.timeshighereducation.com/world-university-rankings/2026/world-ranking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n">
        <x:f>117</x:f>
        <x:v>117</x:v>
      </x:c>
      <x:c r="G225" s="36" t="n">
        <x:v>60.4</x:v>
      </x:c>
      <x:c r="H225" s="15" t="str">
        <x:v>Published rank retained</x:v>
      </x:c>
      <x:c r="I225" s="15" t="str">
        <x:v>Université Paris-Saclay</x:v>
      </x:c>
      <x:c r="J225" s="31" t="str">
        <x:v>https://www.timeshighereducation.com/world-university-rankings/universite-paris-saclay</x:v>
      </x:c>
      <x:c r="K225" s="31" t="str">
        <x:v>https://www.timeshighereducation.com/world-university-rankings/2022/world-ranking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93</x:v>
      </x:c>
      <x:c r="G226" s="36" t="n">
        <x:v>63.9</x:v>
      </x:c>
      <x:c r="H226" s="15" t="str">
        <x:v>Published rank retained</x:v>
      </x:c>
      <x:c r="I226" s="15" t="str">
        <x:v>Université Paris-Saclay</x:v>
      </x:c>
      <x:c r="J226" s="31" t="str">
        <x:v>https://www.timeshighereducation.com/world-university-rankings/universite-paris-saclay</x:v>
      </x:c>
      <x:c r="K226" s="31" t="str">
        <x:v>https://www.timeshighereducation.com/world-university-rankings/2023/world-ranking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str">
        <x:v>58</x:v>
      </x:c>
      <x:c r="G227" s="36" t="n">
        <x:v>74.4</x:v>
      </x:c>
      <x:c r="H227" s="15" t="str">
        <x:v>Published rank retained</x:v>
      </x:c>
      <x:c r="I227" s="15" t="str">
        <x:v>Université Paris-Saclay</x:v>
      </x:c>
      <x:c r="J227" s="31" t="str">
        <x:v>https://www.timeshighereducation.com/world-university-rankings/universite-paris-saclay</x:v>
      </x:c>
      <x:c r="K227" s="31" t="str">
        <x:v>https://www.timeshighereducation.com/world-university-rankings/2024/world-ranking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str">
        <x:v>64</x:v>
      </x:c>
      <x:c r="G228" s="36" t="n">
        <x:v>73.4</x:v>
      </x:c>
      <x:c r="H228" s="15" t="str">
        <x:v>Published rank retained</x:v>
      </x:c>
      <x:c r="I228" s="15" t="str">
        <x:v>Université Paris-Saclay</x:v>
      </x:c>
      <x:c r="J228" s="31" t="str">
        <x:v>https://www.timeshighereducation.com/world-university-rankings/universite-paris-saclay</x:v>
      </x:c>
      <x:c r="K228" s="31" t="str">
        <x:v>https://www.timeshighereducation.com/world-university-rankings/2025/world-ranking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n">
        <x:f>68</x:f>
        <x:v>68</x:v>
      </x:c>
      <x:c r="G229" s="36" t="n">
        <x:v>71.6</x:v>
      </x:c>
      <x:c r="H229" s="15" t="str">
        <x:v>Published rank retained</x:v>
      </x:c>
      <x:c r="I229" s="15" t="str">
        <x:v>Université Paris-Saclay</x:v>
      </x:c>
      <x:c r="J229" s="31" t="str">
        <x:v>https://www.timeshighereducation.com/world-university-rankings/universite-paris-saclay</x:v>
      </x:c>
      <x:c r="K229" s="31" t="str">
        <x:v>https://www.timeshighereducation.com/world-university-rankings/2026/world-ranking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n">
        <x:f>132</x:f>
        <x:v>132</x:v>
      </x:c>
      <x:c r="G230" s="36" t="n">
        <x:v>58.6</x:v>
      </x:c>
      <x:c r="H230" s="15" t="str">
        <x:v>Published rank retained</x:v>
      </x:c>
      <x:c r="I230" s="15" t="str">
        <x:v>University of Hamburg</x:v>
      </x:c>
      <x:c r="J230" s="31" t="str">
        <x:v>https://www.timeshighereducation.com/world-university-rankings/university-hamburg</x:v>
      </x:c>
      <x:c r="K230" s="31" t="str">
        <x:v>https://www.timeshighereducation.com/world-university-rankings/2022/world-ranking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n">
        <x:f>128</x:f>
        <x:v>128</x:v>
      </x:c>
      <x:c r="G231" s="36" t="n">
        <x:v>59.8</x:v>
      </x:c>
      <x:c r="H231" s="15" t="str">
        <x:v>Published rank retained</x:v>
      </x:c>
      <x:c r="I231" s="15" t="str">
        <x:v>University of Hamburg</x:v>
      </x:c>
      <x:c r="J231" s="31" t="str">
        <x:v>https://www.timeshighereducation.com/world-university-rankings/university-hamburg</x:v>
      </x:c>
      <x:c r="K231" s="31" t="str">
        <x:v>https://www.timeshighereducation.com/world-university-rankings/2023/world-ranking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n">
        <x:f>136</x:f>
        <x:v>136</x:v>
      </x:c>
      <x:c r="G232" s="36" t="n">
        <x:v>63</x:v>
      </x:c>
      <x:c r="H232" s="15" t="str">
        <x:v>Published rank retained</x:v>
      </x:c>
      <x:c r="I232" s="15" t="str">
        <x:v>University of Hamburg</x:v>
      </x:c>
      <x:c r="J232" s="31" t="str">
        <x:v>https://www.timeshighereducation.com/world-university-rankings/university-hamburg</x:v>
      </x:c>
      <x:c r="K232" s="31" t="str">
        <x:v>https://www.timeshighereducation.com/world-university-rankings/2024/world-ranking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n">
        <x:f>132</x:f>
        <x:v>132</x:v>
      </x:c>
      <x:c r="G233" s="36" t="n">
        <x:v>63.2</x:v>
      </x:c>
      <x:c r="H233" s="15" t="str">
        <x:v>Published rank retained</x:v>
      </x:c>
      <x:c r="I233" s="15" t="str">
        <x:v>University of Hamburg</x:v>
      </x:c>
      <x:c r="J233" s="31" t="str">
        <x:v>https://www.timeshighereducation.com/world-university-rankings/university-hamburg</x:v>
      </x:c>
      <x:c r="K233" s="31" t="str">
        <x:v>https://www.timeshighereducation.com/world-university-rankings/2025/world-ranking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n">
        <x:f>125</x:f>
        <x:v>125</x:v>
      </x:c>
      <x:c r="G234" s="36" t="n">
        <x:v>63.7</x:v>
      </x:c>
      <x:c r="H234" s="15" t="str">
        <x:v>Published rank retained</x:v>
      </x:c>
      <x:c r="I234" s="15" t="str">
        <x:v>University of Hamburg</x:v>
      </x:c>
      <x:c r="J234" s="31" t="str">
        <x:v>https://www.timeshighereducation.com/world-university-rankings/university-hamburg</x:v>
      </x:c>
      <x:c r="K234" s="31" t="str">
        <x:v>https://www.timeshighereducation.com/world-university-rankings/2026/world-ranking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200+</x:v>
      </x:c>
      <x:c r="G235" s="36"/>
      <x:c r="H235" s="15" t="str">
        <x:v>Published beyond rank 200; exact value intentionally suppressed</x:v>
      </x:c>
      <x:c r="I235" s="15" t="str">
        <x:v>University College Dublin</x:v>
      </x:c>
      <x:c r="J235" s="31" t="str">
        <x:v>https://www.timeshighereducation.com/world-university-rankings/university-college-dublin</x:v>
      </x:c>
      <x:c r="K235" s="31" t="str">
        <x:v>https://www.timeshighereducation.com/world-university-rankings/2022/world-ranking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200+</x:v>
      </x:c>
      <x:c r="G236" s="36"/>
      <x:c r="H236" s="15" t="str">
        <x:v>Published beyond rank 200; exact value intentionally suppressed</x:v>
      </x:c>
      <x:c r="I236" s="15" t="str">
        <x:v>University College Dublin</x:v>
      </x:c>
      <x:c r="J236" s="31" t="str">
        <x:v>https://www.timeshighereducation.com/world-university-rankings/university-college-dublin</x:v>
      </x:c>
      <x:c r="K236" s="31" t="str">
        <x:v>https://www.timeshighereducation.com/world-university-rankings/2023/world-ranking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str">
        <x:v>200+</x:v>
      </x:c>
      <x:c r="G237" s="36"/>
      <x:c r="H237" s="15" t="str">
        <x:v>Published beyond rank 200; exact value intentionally suppressed</x:v>
      </x:c>
      <x:c r="I237" s="15" t="str">
        <x:v>University College Dublin</x:v>
      </x:c>
      <x:c r="J237" s="31" t="str">
        <x:v>https://www.timeshighereducation.com/world-university-rankings/university-college-dublin</x:v>
      </x:c>
      <x:c r="K237" s="31" t="str">
        <x:v>https://www.timeshighereducation.com/world-university-rankings/2024/world-ranking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str">
        <x:v>200+</x:v>
      </x:c>
      <x:c r="G238" s="36"/>
      <x:c r="H238" s="15" t="str">
        <x:v>Published beyond rank 200; exact value intentionally suppressed</x:v>
      </x:c>
      <x:c r="I238" s="15" t="str">
        <x:v>University College Dublin</x:v>
      </x:c>
      <x:c r="J238" s="31" t="str">
        <x:v>https://www.timeshighereducation.com/world-university-rankings/university-college-dublin</x:v>
      </x:c>
      <x:c r="K238" s="31" t="str">
        <x:v>https://www.timeshighereducation.com/world-university-rankings/2025/world-ranking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200+</x:v>
      </x:c>
      <x:c r="G239" s="36"/>
      <x:c r="H239" s="15" t="str">
        <x:v>Published beyond rank 200; exact value intentionally suppressed</x:v>
      </x:c>
      <x:c r="I239" s="15" t="str">
        <x:v>University College Dublin</x:v>
      </x:c>
      <x:c r="J239" s="31" t="str">
        <x:v>https://www.timeshighereducation.com/world-university-rankings/university-college-dublin</x:v>
      </x:c>
      <x:c r="K239" s="31" t="str">
        <x:v>https://www.timeshighereducation.com/world-university-rankings/2026/world-ranking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n">
        <x:f>35</x:f>
        <x:v>35</x:v>
      </x:c>
      <x:c r="G240" s="36" t="n">
        <x:v>76</x:v>
      </x:c>
      <x:c r="H240" s="15" t="str">
        <x:v>Published rank retained</x:v>
      </x:c>
      <x:c r="I240" s="15" t="str">
        <x:v>The University of Tokyo</x:v>
      </x:c>
      <x:c r="J240" s="31" t="str">
        <x:v>https://www.timeshighereducation.com/world-university-rankings/university-tokyo</x:v>
      </x:c>
      <x:c r="K240" s="31" t="str">
        <x:v>https://www.timeshighereducation.com/world-university-rankings/2022/world-ranking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39</x:v>
      </x:c>
      <x:c r="G241" s="36" t="n">
        <x:v>75.9</x:v>
      </x:c>
      <x:c r="H241" s="15" t="str">
        <x:v>Published rank retained</x:v>
      </x:c>
      <x:c r="I241" s="15" t="str">
        <x:v>The University of Tokyo</x:v>
      </x:c>
      <x:c r="J241" s="31" t="str">
        <x:v>https://www.timeshighereducation.com/world-university-rankings/university-tokyo</x:v>
      </x:c>
      <x:c r="K241" s="31" t="str">
        <x:v>https://www.timeshighereducation.com/world-university-rankings/2023/world-ranking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29</x:v>
      </x:c>
      <x:c r="G242" s="36" t="n">
        <x:v>83.1</x:v>
      </x:c>
      <x:c r="H242" s="15" t="str">
        <x:v>Published rank retained</x:v>
      </x:c>
      <x:c r="I242" s="15" t="str">
        <x:v>The University of Tokyo</x:v>
      </x:c>
      <x:c r="J242" s="31" t="str">
        <x:v>https://www.timeshighereducation.com/world-university-rankings/university-tokyo</x:v>
      </x:c>
      <x:c r="K242" s="31" t="str">
        <x:v>https://www.timeshighereducation.com/world-university-rankings/2024/world-ranking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28</x:v>
      </x:c>
      <x:c r="G243" s="36" t="n">
        <x:v>83.3</x:v>
      </x:c>
      <x:c r="H243" s="15" t="str">
        <x:v>Published rank retained</x:v>
      </x:c>
      <x:c r="I243" s="15" t="str">
        <x:v>The University of Tokyo</x:v>
      </x:c>
      <x:c r="J243" s="31" t="str">
        <x:v>https://www.timeshighereducation.com/world-university-rankings/university-tokyo</x:v>
      </x:c>
      <x:c r="K243" s="31" t="str">
        <x:v>https://www.timeshighereducation.com/world-university-rankings/2025/world-ranking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str">
        <x:v>26</x:v>
      </x:c>
      <x:c r="G244" s="36" t="n">
        <x:v>83.5</x:v>
      </x:c>
      <x:c r="H244" s="15" t="str">
        <x:v>Published rank retained</x:v>
      </x:c>
      <x:c r="I244" s="15" t="str">
        <x:v>The University of Tokyo</x:v>
      </x:c>
      <x:c r="J244" s="31" t="str">
        <x:v>https://www.timeshighereducation.com/world-university-rankings/university-tokyo</x:v>
      </x:c>
      <x:c r="K244" s="31" t="str">
        <x:v>https://www.timeshighereducation.com/world-university-rankings/2026/world-ranking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n">
        <x:f>143</x:f>
        <x:v>143</x:v>
      </x:c>
      <x:c r="G245" s="36" t="n">
        <x:v>57.8</x:v>
      </x:c>
      <x:c r="H245" s="15" t="str">
        <x:v>Published rank retained</x:v>
      </x:c>
      <x:c r="I245" s="15" t="str">
        <x:v>University of Exeter</x:v>
      </x:c>
      <x:c r="J245" s="31" t="str">
        <x:v>https://www.timeshighereducation.com/world-university-rankings/university-exeter</x:v>
      </x:c>
      <x:c r="K245" s="31" t="str">
        <x:v>https://www.timeshighereducation.com/world-university-rankings/2022/world-ranking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n">
        <x:f>137</x:f>
        <x:v>137</x:v>
      </x:c>
      <x:c r="G246" s="36" t="n">
        <x:v>58.5</x:v>
      </x:c>
      <x:c r="H246" s="15" t="str">
        <x:v>Published rank retained</x:v>
      </x:c>
      <x:c r="I246" s="15" t="str">
        <x:v>University of Exeter</x:v>
      </x:c>
      <x:c r="J246" s="31" t="str">
        <x:v>https://www.timeshighereducation.com/world-university-rankings/university-exeter</x:v>
      </x:c>
      <x:c r="K246" s="31" t="str">
        <x:v>https://www.timeshighereducation.com/world-university-rankings/2023/world-ranking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n">
        <x:f>177</x:f>
        <x:v>177</x:v>
      </x:c>
      <x:c r="G247" s="36" t="n">
        <x:v>60.2</x:v>
      </x:c>
      <x:c r="H247" s="15" t="str">
        <x:v>Published rank retained</x:v>
      </x:c>
      <x:c r="I247" s="15" t="str">
        <x:v>University of Exeter</x:v>
      </x:c>
      <x:c r="J247" s="31" t="str">
        <x:v>https://www.timeshighereducation.com/world-university-rankings/university-exeter</x:v>
      </x:c>
      <x:c r="K247" s="31" t="str">
        <x:v>https://www.timeshighereducation.com/world-university-rankings/2024/world-ranking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n">
        <x:f>172</x:f>
        <x:v>172</x:v>
      </x:c>
      <x:c r="G248" s="36" t="n">
        <x:v>60.4</x:v>
      </x:c>
      <x:c r="H248" s="15" t="str">
        <x:v>Published rank retained</x:v>
      </x:c>
      <x:c r="I248" s="15" t="str">
        <x:v>University of Exeter</x:v>
      </x:c>
      <x:c r="J248" s="31" t="str">
        <x:v>https://www.timeshighereducation.com/world-university-rankings/university-exeter</x:v>
      </x:c>
      <x:c r="K248" s="31" t="str">
        <x:v>https://www.timeshighereducation.com/world-university-rankings/2025/world-ranking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170</x:f>
        <x:v>170</x:v>
      </x:c>
      <x:c r="G249" s="36" t="n">
        <x:v>60.6</x:v>
      </x:c>
      <x:c r="H249" s="15" t="str">
        <x:v>Published rank retained</x:v>
      </x:c>
      <x:c r="I249" s="15" t="str">
        <x:v>University of Exeter</x:v>
      </x:c>
      <x:c r="J249" s="31" t="str">
        <x:v>https://www.timeshighereducation.com/world-university-rankings/university-exeter</x:v>
      </x:c>
      <x:c r="K249" s="31" t="str">
        <x:v>https://www.timeshighereducation.com/world-university-rankings/2026/world-ranking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n">
        <x:f>54</x:f>
        <x:v>54</x:v>
      </x:c>
      <x:c r="G250" s="36" t="n">
        <x:v>70</x:v>
      </x:c>
      <x:c r="H250" s="15" t="str">
        <x:v>Published rank retained</x:v>
      </x:c>
      <x:c r="I250" s="15" t="str">
        <x:v>The University of Queensland</x:v>
      </x:c>
      <x:c r="J250" s="31" t="str">
        <x:v>https://www.timeshighereducation.com/world-university-rankings/university-queensland</x:v>
      </x:c>
      <x:c r="K250" s="31" t="str">
        <x:v>https://www.timeshighereducation.com/world-university-rankings/2022/world-ranking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str">
        <x:v>53</x:v>
      </x:c>
      <x:c r="G251" s="36" t="n">
        <x:v>71.1</x:v>
      </x:c>
      <x:c r="H251" s="15" t="str">
        <x:v>Published rank retained</x:v>
      </x:c>
      <x:c r="I251" s="15" t="str">
        <x:v>The University of Queensland</x:v>
      </x:c>
      <x:c r="J251" s="31" t="str">
        <x:v>https://www.timeshighereducation.com/world-university-rankings/university-queensland</x:v>
      </x:c>
      <x:c r="K251" s="31" t="str">
        <x:v>https://www.timeshighereducation.com/world-university-rankings/2023/world-ranking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70</x:v>
      </x:c>
      <x:c r="G252" s="36" t="n">
        <x:v>72</x:v>
      </x:c>
      <x:c r="H252" s="15" t="str">
        <x:v>Published rank retained</x:v>
      </x:c>
      <x:c r="I252" s="15" t="str">
        <x:v>The University of Queensland</x:v>
      </x:c>
      <x:c r="J252" s="31" t="str">
        <x:v>https://www.timeshighereducation.com/world-university-rankings/university-queensland</x:v>
      </x:c>
      <x:c r="K252" s="31" t="str">
        <x:v>https://www.timeshighereducation.com/world-university-rankings/2024/world-ranking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77</x:v>
      </x:c>
      <x:c r="G253" s="36" t="n">
        <x:v>70.3</x:v>
      </x:c>
      <x:c r="H253" s="15" t="str">
        <x:v>Published rank retained</x:v>
      </x:c>
      <x:c r="I253" s="15" t="str">
        <x:v>The University of Queensland</x:v>
      </x:c>
      <x:c r="J253" s="31" t="str">
        <x:v>https://www.timeshighereducation.com/world-university-rankings/university-queensland</x:v>
      </x:c>
      <x:c r="K253" s="31" t="str">
        <x:v>https://www.timeshighereducation.com/world-university-rankings/2025/world-ranking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n">
        <x:f>80</x:f>
        <x:v>80</x:v>
      </x:c>
      <x:c r="G254" s="36" t="n">
        <x:v>69.7</x:v>
      </x:c>
      <x:c r="H254" s="15" t="str">
        <x:v>Published rank retained</x:v>
      </x:c>
      <x:c r="I254" s="15" t="str">
        <x:v>The University of Queensland</x:v>
      </x:c>
      <x:c r="J254" s="31" t="str">
        <x:v>https://www.timeshighereducation.com/world-university-rankings/university-queensland</x:v>
      </x:c>
      <x:c r="K254" s="31" t="str">
        <x:v>https://www.timeshighereducation.com/world-university-rankings/2026/world-ranking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n">
        <x:f>185</x:f>
        <x:v>185</x:v>
      </x:c>
      <x:c r="G255" s="36" t="n">
        <x:v>54.8</x:v>
      </x:c>
      <x:c r="H255" s="15" t="str">
        <x:v>Published rank retained</x:v>
      </x:c>
      <x:c r="I255" s="15" t="str">
        <x:v>University of Gothenburg</x:v>
      </x:c>
      <x:c r="J255" s="31" t="str">
        <x:v>https://www.timeshighereducation.com/world-university-rankings/university-gothenburg</x:v>
      </x:c>
      <x:c r="K255" s="31" t="str">
        <x:v>https://www.timeshighereducation.com/world-university-rankings/2022/world-ranking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str">
        <x:v>200+</x:v>
      </x:c>
      <x:c r="G256" s="36"/>
      <x:c r="H256" s="15" t="str">
        <x:v>Published beyond rank 200; exact value intentionally suppressed</x:v>
      </x:c>
      <x:c r="I256" s="15" t="str">
        <x:v>University of Gothenburg</x:v>
      </x:c>
      <x:c r="J256" s="31" t="str">
        <x:v>https://www.timeshighereducation.com/world-university-rankings/university-gothenburg</x:v>
      </x:c>
      <x:c r="K256" s="31" t="str">
        <x:v>https://www.timeshighereducation.com/world-university-rankings/2023/world-ranking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200+</x:v>
      </x:c>
      <x:c r="G257" s="36"/>
      <x:c r="H257" s="15" t="str">
        <x:v>Published beyond rank 200; exact value intentionally suppressed</x:v>
      </x:c>
      <x:c r="I257" s="15" t="str">
        <x:v>University of Gothenburg</x:v>
      </x:c>
      <x:c r="J257" s="31" t="str">
        <x:v>https://www.timeshighereducation.com/world-university-rankings/university-gothenburg</x:v>
      </x:c>
      <x:c r="K257" s="31" t="str">
        <x:v>https://www.timeshighereducation.com/world-university-rankings/2024/world-ranking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str">
        <x:v>200+</x:v>
      </x:c>
      <x:c r="G258" s="36"/>
      <x:c r="H258" s="15" t="str">
        <x:v>Published beyond rank 200; exact value intentionally suppressed</x:v>
      </x:c>
      <x:c r="I258" s="15" t="str">
        <x:v>University of Gothenburg</x:v>
      </x:c>
      <x:c r="J258" s="31" t="str">
        <x:v>https://www.timeshighereducation.com/world-university-rankings/university-gothenburg</x:v>
      </x:c>
      <x:c r="K258" s="31" t="str">
        <x:v>https://www.timeshighereducation.com/world-university-rankings/2025/world-ranking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str">
        <x:v>200+</x:v>
      </x:c>
      <x:c r="G259" s="36"/>
      <x:c r="H259" s="15" t="str">
        <x:v>Published beyond rank 200; exact value intentionally suppressed</x:v>
      </x:c>
      <x:c r="I259" s="15" t="str">
        <x:v>University of Gothenburg</x:v>
      </x:c>
      <x:c r="J259" s="31" t="str">
        <x:v>https://www.timeshighereducation.com/world-university-rankings/university-gothenburg</x:v>
      </x:c>
      <x:c r="K259" s="31" t="str">
        <x:v>https://www.timeshighereducation.com/world-university-rankings/2026/world-ranking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str">
        <x:v>200+</x:v>
      </x:c>
      <x:c r="G260" s="36"/>
      <x:c r="H260" s="15" t="str">
        <x:v>Published beyond rank 200; exact value intentionally suppressed</x:v>
      </x:c>
      <x:c r="I260" s="15" t="str">
        <x:v>Griffith University</x:v>
      </x:c>
      <x:c r="J260" s="31" t="str">
        <x:v>https://www.timeshighereducation.com/world-university-rankings/griffith-university</x:v>
      </x:c>
      <x:c r="K260" s="31" t="str">
        <x:v>https://www.timeshighereducation.com/world-university-rankings/2022/world-ranking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str">
        <x:v>200+</x:v>
      </x:c>
      <x:c r="G261" s="36"/>
      <x:c r="H261" s="15" t="str">
        <x:v>Published beyond rank 200; exact value intentionally suppressed</x:v>
      </x:c>
      <x:c r="I261" s="15" t="str">
        <x:v>Griffith University</x:v>
      </x:c>
      <x:c r="J261" s="31" t="str">
        <x:v>https://www.timeshighereducation.com/world-university-rankings/griffith-university</x:v>
      </x:c>
      <x:c r="K261" s="31" t="str">
        <x:v>https://www.timeshighereducation.com/world-university-rankings/2023/world-ranking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200+</x:v>
      </x:c>
      <x:c r="G262" s="36"/>
      <x:c r="H262" s="15" t="str">
        <x:v>Published beyond rank 200; exact value intentionally suppressed</x:v>
      </x:c>
      <x:c r="I262" s="15" t="str">
        <x:v>Griffith University</x:v>
      </x:c>
      <x:c r="J262" s="31" t="str">
        <x:v>https://www.timeshighereducation.com/world-university-rankings/griffith-university</x:v>
      </x:c>
      <x:c r="K262" s="31" t="str">
        <x:v>https://www.timeshighereducation.com/world-university-rankings/2024/world-ranking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str">
        <x:v>200+</x:v>
      </x:c>
      <x:c r="G263" s="36"/>
      <x:c r="H263" s="15" t="str">
        <x:v>Published beyond rank 200; exact value intentionally suppressed</x:v>
      </x:c>
      <x:c r="I263" s="15" t="str">
        <x:v>Griffith University</x:v>
      </x:c>
      <x:c r="J263" s="31" t="str">
        <x:v>https://www.timeshighereducation.com/world-university-rankings/griffith-university</x:v>
      </x:c>
      <x:c r="K263" s="31" t="str">
        <x:v>https://www.timeshighereducation.com/world-university-rankings/2025/world-ranking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200+</x:v>
      </x:c>
      <x:c r="G264" s="36"/>
      <x:c r="H264" s="15" t="str">
        <x:v>Published beyond rank 200; exact value intentionally suppressed</x:v>
      </x:c>
      <x:c r="I264" s="15" t="str">
        <x:v>Griffith University</x:v>
      </x:c>
      <x:c r="J264" s="31" t="str">
        <x:v>https://www.timeshighereducation.com/world-university-rankings/griffith-university</x:v>
      </x:c>
      <x:c r="K264" s="31" t="str">
        <x:v>https://www.timeshighereducation.com/world-university-rankings/2026/world-ranking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200+</x:v>
      </x:c>
      <x:c r="G265" s="36"/>
      <x:c r="H265" s="15" t="str">
        <x:v>Published beyond rank 200; exact value intentionally suppressed</x:v>
      </x:c>
      <x:c r="I265" s="15" t="str">
        <x:v>Western Sydney University</x:v>
      </x:c>
      <x:c r="J265" s="31" t="str">
        <x:v>https://www.timeshighereducation.com/world-university-rankings/western-sydney-university</x:v>
      </x:c>
      <x:c r="K265" s="31" t="str">
        <x:v>https://www.timeshighereducation.com/world-university-rankings/2022/world-ranking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str">
        <x:v>200+</x:v>
      </x:c>
      <x:c r="G266" s="36"/>
      <x:c r="H266" s="15" t="str">
        <x:v>Published beyond rank 200; exact value intentionally suppressed</x:v>
      </x:c>
      <x:c r="I266" s="15" t="str">
        <x:v>Western Sydney University</x:v>
      </x:c>
      <x:c r="J266" s="31" t="str">
        <x:v>https://www.timeshighereducation.com/world-university-rankings/western-sydney-university</x:v>
      </x:c>
      <x:c r="K266" s="31" t="str">
        <x:v>https://www.timeshighereducation.com/world-university-rankings/2023/world-ranking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str">
        <x:v>200+</x:v>
      </x:c>
      <x:c r="G267" s="36"/>
      <x:c r="H267" s="15" t="str">
        <x:v>Published beyond rank 200; exact value intentionally suppressed</x:v>
      </x:c>
      <x:c r="I267" s="15" t="str">
        <x:v>Western Sydney University</x:v>
      </x:c>
      <x:c r="J267" s="31" t="str">
        <x:v>https://www.timeshighereducation.com/world-university-rankings/western-sydney-university</x:v>
      </x:c>
      <x:c r="K267" s="31" t="str">
        <x:v>https://www.timeshighereducation.com/world-university-rankings/2024/world-ranking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200+</x:v>
      </x:c>
      <x:c r="G268" s="36"/>
      <x:c r="H268" s="15" t="str">
        <x:v>Published beyond rank 200; exact value intentionally suppressed</x:v>
      </x:c>
      <x:c r="I268" s="15" t="str">
        <x:v>Western Sydney University</x:v>
      </x:c>
      <x:c r="J268" s="31" t="str">
        <x:v>https://www.timeshighereducation.com/world-university-rankings/western-sydney-university</x:v>
      </x:c>
      <x:c r="K268" s="31" t="str">
        <x:v>https://www.timeshighereducation.com/world-university-rankings/2025/world-ranking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str">
        <x:v>200+</x:v>
      </x:c>
      <x:c r="G269" s="36"/>
      <x:c r="H269" s="15" t="str">
        <x:v>Published beyond rank 200; exact value intentionally suppressed</x:v>
      </x:c>
      <x:c r="I269" s="15" t="str">
        <x:v>Western Sydney University</x:v>
      </x:c>
      <x:c r="J269" s="31" t="str">
        <x:v>https://www.timeshighereducation.com/world-university-rankings/western-sydney-university</x:v>
      </x:c>
      <x:c r="K269" s="31" t="str">
        <x:v>https://www.timeshighereducation.com/world-university-rankings/2026/world-ranking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200+</x:v>
      </x:c>
      <x:c r="G270" s="36"/>
      <x:c r="H270" s="15" t="str">
        <x:v>Published beyond rank 200; exact value intentionally suppressed</x:v>
      </x:c>
      <x:c r="I270" s="15" t="str">
        <x:v>Queen’s University</x:v>
      </x:c>
      <x:c r="J270" s="31" t="str">
        <x:v>https://www.timeshighereducation.com/world-university-rankings/queens-university</x:v>
      </x:c>
      <x:c r="K270" s="31" t="str">
        <x:v>https://www.timeshighereducation.com/world-university-rankings/2022/world-ranking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200+</x:v>
      </x:c>
      <x:c r="G271" s="36"/>
      <x:c r="H271" s="15" t="str">
        <x:v>Published beyond rank 200; exact value intentionally suppressed</x:v>
      </x:c>
      <x:c r="I271" s="15" t="str">
        <x:v>Queen’s University</x:v>
      </x:c>
      <x:c r="J271" s="31" t="str">
        <x:v>https://www.timeshighereducation.com/world-university-rankings/queens-university</x:v>
      </x:c>
      <x:c r="K271" s="31" t="str">
        <x:v>https://www.timeshighereducation.com/world-university-rankings/2023/world-ranking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str">
        <x:v>200+</x:v>
      </x:c>
      <x:c r="G272" s="36"/>
      <x:c r="H272" s="15" t="str">
        <x:v>Published beyond rank 200; exact value intentionally suppressed</x:v>
      </x:c>
      <x:c r="I272" s="15" t="str">
        <x:v>Queen’s University</x:v>
      </x:c>
      <x:c r="J272" s="31" t="str">
        <x:v>https://www.timeshighereducation.com/world-university-rankings/queens-university</x:v>
      </x:c>
      <x:c r="K272" s="31" t="str">
        <x:v>https://www.timeshighereducation.com/world-university-rankings/2024/world-ranking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str">
        <x:v>200+</x:v>
      </x:c>
      <x:c r="G273" s="36"/>
      <x:c r="H273" s="15" t="str">
        <x:v>Published beyond rank 200; exact value intentionally suppressed</x:v>
      </x:c>
      <x:c r="I273" s="15" t="str">
        <x:v>Queen’s University</x:v>
      </x:c>
      <x:c r="J273" s="31" t="str">
        <x:v>https://www.timeshighereducation.com/world-university-rankings/queens-university</x:v>
      </x:c>
      <x:c r="K273" s="31" t="str">
        <x:v>https://www.timeshighereducation.com/world-university-rankings/2025/world-ranking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str">
        <x:v>200+</x:v>
      </x:c>
      <x:c r="G274" s="36"/>
      <x:c r="H274" s="15" t="str">
        <x:v>Published beyond rank 200; exact value intentionally suppressed</x:v>
      </x:c>
      <x:c r="I274" s="15" t="str">
        <x:v>Queen’s University</x:v>
      </x:c>
      <x:c r="J274" s="31" t="str">
        <x:v>https://www.timeshighereducation.com/world-university-rankings/queens-university</x:v>
      </x:c>
      <x:c r="K274" s="31" t="str">
        <x:v>https://www.timeshighereducation.com/world-university-rankings/2026/world-ranking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str">
        <x:v>200+</x:v>
      </x:c>
      <x:c r="G275" s="36"/>
      <x:c r="H275" s="15" t="str">
        <x:v>Published beyond rank 200; exact value intentionally suppressed</x:v>
      </x:c>
      <x:c r="I275" s="15" t="str">
        <x:v>Universiti Sains Malaysia</x:v>
      </x:c>
      <x:c r="J275" s="31" t="str">
        <x:v>https://www.timeshighereducation.com/world-university-rankings/universiti-sains-malaysia</x:v>
      </x:c>
      <x:c r="K275" s="31" t="str">
        <x:v>https://www.timeshighereducation.com/world-university-rankings/2022/world-ranking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str">
        <x:v>200+</x:v>
      </x:c>
      <x:c r="G276" s="36"/>
      <x:c r="H276" s="15" t="str">
        <x:v>Published beyond rank 200; exact value intentionally suppressed</x:v>
      </x:c>
      <x:c r="I276" s="15" t="str">
        <x:v>Universiti Sains Malaysia</x:v>
      </x:c>
      <x:c r="J276" s="31" t="str">
        <x:v>https://www.timeshighereducation.com/world-university-rankings/universiti-sains-malaysia</x:v>
      </x:c>
      <x:c r="K276" s="31" t="str">
        <x:v>https://www.timeshighereducation.com/world-university-rankings/2023/world-ranking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str">
        <x:v>200+</x:v>
      </x:c>
      <x:c r="G277" s="36"/>
      <x:c r="H277" s="15" t="str">
        <x:v>Published beyond rank 200; exact value intentionally suppressed</x:v>
      </x:c>
      <x:c r="I277" s="15" t="str">
        <x:v>Universiti Sains Malaysia</x:v>
      </x:c>
      <x:c r="J277" s="31" t="str">
        <x:v>https://www.timeshighereducation.com/world-university-rankings/universiti-sains-malaysia</x:v>
      </x:c>
      <x:c r="K277" s="31" t="str">
        <x:v>https://www.timeshighereducation.com/world-university-rankings/2024/world-ranking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str">
        <x:v>200+</x:v>
      </x:c>
      <x:c r="G278" s="36"/>
      <x:c r="H278" s="15" t="str">
        <x:v>Published beyond rank 200; exact value intentionally suppressed</x:v>
      </x:c>
      <x:c r="I278" s="15" t="str">
        <x:v>Universiti Sains Malaysia</x:v>
      </x:c>
      <x:c r="J278" s="31" t="str">
        <x:v>https://www.timeshighereducation.com/world-university-rankings/universiti-sains-malaysia</x:v>
      </x:c>
      <x:c r="K278" s="31" t="str">
        <x:v>https://www.timeshighereducation.com/world-university-rankings/2025/world-ranking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str">
        <x:v>200+</x:v>
      </x:c>
      <x:c r="G279" s="36"/>
      <x:c r="H279" s="15" t="str">
        <x:v>Published beyond rank 200; exact value intentionally suppressed</x:v>
      </x:c>
      <x:c r="I279" s="15" t="str">
        <x:v>Universiti Sains Malaysia</x:v>
      </x:c>
      <x:c r="J279" s="31" t="str">
        <x:v>https://www.timeshighereducation.com/world-university-rankings/universiti-sains-malaysia</x:v>
      </x:c>
      <x:c r="K279" s="31" t="str">
        <x:v>https://www.timeshighereducation.com/world-university-rankings/2026/world-ranking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str">
        <x:v>200+</x:v>
      </x:c>
      <x:c r="G280" s="36"/>
      <x:c r="H280" s="15" t="str">
        <x:v>Published beyond rank 200; exact value intentionally suppressed</x:v>
      </x:c>
      <x:c r="I280" s="15" t="str">
        <x:v>Hanyang University</x:v>
      </x:c>
      <x:c r="J280" s="31" t="str">
        <x:v>https://www.timeshighereducation.com/world-university-rankings/hanyang-university</x:v>
      </x:c>
      <x:c r="K280" s="31" t="str">
        <x:v>https://www.timeshighereducation.com/world-university-rankings/2022/world-ranking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200+</x:v>
      </x:c>
      <x:c r="G281" s="36"/>
      <x:c r="H281" s="15" t="str">
        <x:v>Published beyond rank 200; exact value intentionally suppressed</x:v>
      </x:c>
      <x:c r="I281" s="15" t="str">
        <x:v>Hanyang University</x:v>
      </x:c>
      <x:c r="J281" s="31" t="str">
        <x:v>https://www.timeshighereducation.com/world-university-rankings/hanyang-university</x:v>
      </x:c>
      <x:c r="K281" s="31" t="str">
        <x:v>https://www.timeshighereducation.com/world-university-rankings/2023/world-ranking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str">
        <x:v>200+</x:v>
      </x:c>
      <x:c r="G282" s="36"/>
      <x:c r="H282" s="15" t="str">
        <x:v>Published beyond rank 200; exact value intentionally suppressed</x:v>
      </x:c>
      <x:c r="I282" s="15" t="str">
        <x:v>Hanyang University</x:v>
      </x:c>
      <x:c r="J282" s="31" t="str">
        <x:v>https://www.timeshighereducation.com/world-university-rankings/hanyang-university</x:v>
      </x:c>
      <x:c r="K282" s="31" t="str">
        <x:v>https://www.timeshighereducation.com/world-university-rankings/2024/world-ranking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str">
        <x:v>200+</x:v>
      </x:c>
      <x:c r="G283" s="36"/>
      <x:c r="H283" s="15" t="str">
        <x:v>Published beyond rank 200; exact value intentionally suppressed</x:v>
      </x:c>
      <x:c r="I283" s="15" t="str">
        <x:v>Hanyang University</x:v>
      </x:c>
      <x:c r="J283" s="31" t="str">
        <x:v>https://www.timeshighereducation.com/world-university-rankings/hanyang-university</x:v>
      </x:c>
      <x:c r="K283" s="31" t="str">
        <x:v>https://www.timeshighereducation.com/world-university-rankings/2025/world-ranking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str">
        <x:v>200+</x:v>
      </x:c>
      <x:c r="G284" s="36"/>
      <x:c r="H284" s="15" t="str">
        <x:v>Published beyond rank 200; exact value intentionally suppressed</x:v>
      </x:c>
      <x:c r="I284" s="15" t="str">
        <x:v>Hanyang University</x:v>
      </x:c>
      <x:c r="J284" s="31" t="str">
        <x:v>https://www.timeshighereducation.com/world-university-rankings/hanyang-university</x:v>
      </x:c>
      <x:c r="K284" s="31" t="str">
        <x:v>https://www.timeshighereducation.com/world-university-rankings/2026/world-ranking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200+</x:v>
      </x:c>
      <x:c r="G285" s="36"/>
      <x:c r="H285" s="15" t="str">
        <x:v>Published beyond rank 200; exact value intentionally suppressed</x:v>
      </x:c>
      <x:c r="I285" s="15" t="str">
        <x:v>Hokkaido University</x:v>
      </x:c>
      <x:c r="J285" s="31" t="str">
        <x:v>https://www.timeshighereducation.com/world-university-rankings/hokkaido-university</x:v>
      </x:c>
      <x:c r="K285" s="31" t="str">
        <x:v>https://www.timeshighereducation.com/world-university-rankings/2022/world-ranking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200+</x:v>
      </x:c>
      <x:c r="G286" s="36"/>
      <x:c r="H286" s="15" t="str">
        <x:v>Published beyond rank 200; exact value intentionally suppressed</x:v>
      </x:c>
      <x:c r="I286" s="15" t="str">
        <x:v>Hokkaido University</x:v>
      </x:c>
      <x:c r="J286" s="31" t="str">
        <x:v>https://www.timeshighereducation.com/world-university-rankings/hokkaido-university</x:v>
      </x:c>
      <x:c r="K286" s="31" t="str">
        <x:v>https://www.timeshighereducation.com/world-university-rankings/2023/world-ranking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str">
        <x:v>200+</x:v>
      </x:c>
      <x:c r="G287" s="36"/>
      <x:c r="H287" s="15" t="str">
        <x:v>Published beyond rank 200; exact value intentionally suppressed</x:v>
      </x:c>
      <x:c r="I287" s="15" t="str">
        <x:v>Hokkaido University</x:v>
      </x:c>
      <x:c r="J287" s="31" t="str">
        <x:v>https://www.timeshighereducation.com/world-university-rankings/hokkaido-university</x:v>
      </x:c>
      <x:c r="K287" s="31" t="str">
        <x:v>https://www.timeshighereducation.com/world-university-rankings/2024/world-ranking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str">
        <x:v>200+</x:v>
      </x:c>
      <x:c r="G288" s="36"/>
      <x:c r="H288" s="15" t="str">
        <x:v>Published beyond rank 200; exact value intentionally suppressed</x:v>
      </x:c>
      <x:c r="I288" s="15" t="str">
        <x:v>Hokkaido University</x:v>
      </x:c>
      <x:c r="J288" s="31" t="str">
        <x:v>https://www.timeshighereducation.com/world-university-rankings/hokkaido-university</x:v>
      </x:c>
      <x:c r="K288" s="31" t="str">
        <x:v>https://www.timeshighereducation.com/world-university-rankings/2025/world-ranking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str">
        <x:v>200+</x:v>
      </x:c>
      <x:c r="G289" s="36"/>
      <x:c r="H289" s="15" t="str">
        <x:v>Published beyond rank 200; exact value intentionally suppressed</x:v>
      </x:c>
      <x:c r="I289" s="15" t="str">
        <x:v>Hokkaido University</x:v>
      </x:c>
      <x:c r="J289" s="31" t="str">
        <x:v>https://www.timeshighereducation.com/world-university-rankings/hokkaido-university</x:v>
      </x:c>
      <x:c r="K289" s="31" t="str">
        <x:v>https://www.timeshighereducation.com/world-university-rankings/2026/world-ranking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200+</x:v>
      </x:c>
      <x:c r="G290" s="36"/>
      <x:c r="H290" s="15" t="str">
        <x:v>Published beyond rank 200; exact value intentionally suppressed</x:v>
      </x:c>
      <x:c r="I290" s="15" t="str">
        <x:v>Universiti Kebangsaan Malaysia</x:v>
      </x:c>
      <x:c r="J290" s="31" t="str">
        <x:v>https://www.timeshighereducation.com/world-university-rankings/universiti-kebangsaan-malaysia</x:v>
      </x:c>
      <x:c r="K290" s="31" t="str">
        <x:v>https://www.timeshighereducation.com/world-university-rankings/2022/world-ranking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200+</x:v>
      </x:c>
      <x:c r="G291" s="36"/>
      <x:c r="H291" s="15" t="str">
        <x:v>Published beyond rank 200; exact value intentionally suppressed</x:v>
      </x:c>
      <x:c r="I291" s="15" t="str">
        <x:v>Universiti Kebangsaan Malaysia</x:v>
      </x:c>
      <x:c r="J291" s="31" t="str">
        <x:v>https://www.timeshighereducation.com/world-university-rankings/universiti-kebangsaan-malaysia</x:v>
      </x:c>
      <x:c r="K291" s="31" t="str">
        <x:v>https://www.timeshighereducation.com/world-university-rankings/2023/world-ranking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str">
        <x:v>200+</x:v>
      </x:c>
      <x:c r="G292" s="36"/>
      <x:c r="H292" s="15" t="str">
        <x:v>Published beyond rank 200; exact value intentionally suppressed</x:v>
      </x:c>
      <x:c r="I292" s="15" t="str">
        <x:v>Universiti Kebangsaan Malaysia</x:v>
      </x:c>
      <x:c r="J292" s="31" t="str">
        <x:v>https://www.timeshighereducation.com/world-university-rankings/universiti-kebangsaan-malaysia</x:v>
      </x:c>
      <x:c r="K292" s="31" t="str">
        <x:v>https://www.timeshighereducation.com/world-university-rankings/2024/world-ranking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str">
        <x:v>200+</x:v>
      </x:c>
      <x:c r="G293" s="36"/>
      <x:c r="H293" s="15" t="str">
        <x:v>Published beyond rank 200; exact value intentionally suppressed</x:v>
      </x:c>
      <x:c r="I293" s="15" t="str">
        <x:v>Universiti Kebangsaan Malaysia</x:v>
      </x:c>
      <x:c r="J293" s="31" t="str">
        <x:v>https://www.timeshighereducation.com/world-university-rankings/universiti-kebangsaan-malaysia</x:v>
      </x:c>
      <x:c r="K293" s="31" t="str">
        <x:v>https://www.timeshighereducation.com/world-university-rankings/2025/world-ranking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str">
        <x:v>200+</x:v>
      </x:c>
      <x:c r="G294" s="36"/>
      <x:c r="H294" s="15" t="str">
        <x:v>Published beyond rank 200; exact value intentionally suppressed</x:v>
      </x:c>
      <x:c r="I294" s="15" t="str">
        <x:v>Universiti Kebangsaan Malaysia</x:v>
      </x:c>
      <x:c r="J294" s="31" t="str">
        <x:v>https://www.timeshighereducation.com/world-university-rankings/universiti-kebangsaan-malaysia</x:v>
      </x:c>
      <x:c r="K294" s="31" t="str">
        <x:v>https://www.timeshighereducation.com/world-university-rankings/2026/world-ranking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200+</x:v>
      </x:c>
      <x:c r="G295" s="36"/>
      <x:c r="H295" s="15" t="str">
        <x:v>Published beyond rank 200; exact value intentionally suppressed</x:v>
      </x:c>
      <x:c r="I295" s="15" t="str">
        <x:v>Institut Agro</x:v>
      </x:c>
      <x:c r="J295" s="31" t="str">
        <x:v>https://www.timeshighereducation.com/world-university-rankings/institut-agro</x:v>
      </x:c>
      <x:c r="K295" s="31" t="str">
        <x:v>https://www.timeshighereducation.com/world-university-rankings/2022/world-ranking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200+</x:v>
      </x:c>
      <x:c r="G296" s="36"/>
      <x:c r="H296" s="15" t="str">
        <x:v>Published beyond rank 200; exact value intentionally suppressed</x:v>
      </x:c>
      <x:c r="I296" s="15" t="str">
        <x:v>Institut Agro</x:v>
      </x:c>
      <x:c r="J296" s="31" t="str">
        <x:v>https://www.timeshighereducation.com/world-university-rankings/institut-agro</x:v>
      </x:c>
      <x:c r="K296" s="31" t="str">
        <x:v>https://www.timeshighereducation.com/world-university-rankings/2023/world-ranking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str">
        <x:v>200+</x:v>
      </x:c>
      <x:c r="G297" s="36"/>
      <x:c r="H297" s="15" t="str">
        <x:v>Published beyond rank 200; exact value intentionally suppressed</x:v>
      </x:c>
      <x:c r="I297" s="15" t="str">
        <x:v>Institut Agro</x:v>
      </x:c>
      <x:c r="J297" s="31" t="str">
        <x:v>https://www.timeshighereducation.com/world-university-rankings/institut-agro</x:v>
      </x:c>
      <x:c r="K297" s="31" t="str">
        <x:v>https://www.timeshighereducation.com/world-university-rankings/2024/world-ranking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str">
        <x:v>200+</x:v>
      </x:c>
      <x:c r="G298" s="36"/>
      <x:c r="H298" s="15" t="str">
        <x:v>Published beyond rank 200; exact value intentionally suppressed</x:v>
      </x:c>
      <x:c r="I298" s="15" t="str">
        <x:v>Institut Agro</x:v>
      </x:c>
      <x:c r="J298" s="31" t="str">
        <x:v>https://www.timeshighereducation.com/world-university-rankings/institut-agro</x:v>
      </x:c>
      <x:c r="K298" s="31" t="str">
        <x:v>https://www.timeshighereducation.com/world-university-rankings/2025/world-ranking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200+</x:v>
      </x:c>
      <x:c r="G299" s="36"/>
      <x:c r="H299" s="15" t="str">
        <x:v>Published beyond rank 200; exact value intentionally suppressed</x:v>
      </x:c>
      <x:c r="I299" s="15" t="str">
        <x:v>Institut Agro</x:v>
      </x:c>
      <x:c r="J299" s="31" t="str">
        <x:v>https://www.timeshighereducation.com/world-university-rankings/institut-agro</x:v>
      </x:c>
      <x:c r="K299" s="31" t="str">
        <x:v>https://www.timeshighereducation.com/world-university-rankings/2026/world-ranking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n">
        <x:f>113</x:f>
        <x:v>113</x:v>
      </x:c>
      <x:c r="G300" s="36" t="n">
        <x:v>61</x:v>
      </x:c>
      <x:c r="H300" s="15" t="str">
        <x:v>Published rank retained</x:v>
      </x:c>
      <x:c r="I300" s="15" t="str">
        <x:v>National Taiwan University (NTU)</x:v>
      </x:c>
      <x:c r="J300" s="31" t="str">
        <x:v>https://www.timeshighereducation.com/world-university-rankings/national-taiwan-university-ntu</x:v>
      </x:c>
      <x:c r="K300" s="31" t="str">
        <x:v>https://www.timeshighereducation.com/world-university-rankings/2022/world-ranking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187</x:f>
        <x:v>187</x:v>
      </x:c>
      <x:c r="G301" s="36" t="n">
        <x:v>55.2</x:v>
      </x:c>
      <x:c r="H301" s="15" t="str">
        <x:v>Published rank retained</x:v>
      </x:c>
      <x:c r="I301" s="15" t="str">
        <x:v>National Taiwan University (NTU)</x:v>
      </x:c>
      <x:c r="J301" s="31" t="str">
        <x:v>https://www.timeshighereducation.com/world-university-rankings/national-taiwan-university-ntu</x:v>
      </x:c>
      <x:c r="K301" s="31" t="str">
        <x:v>https://www.timeshighereducation.com/world-university-rankings/2023/world-ranking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152</x:f>
        <x:v>152</x:v>
      </x:c>
      <x:c r="G302" s="36" t="n">
        <x:v>61.9</x:v>
      </x:c>
      <x:c r="H302" s="15" t="str">
        <x:v>Published rank retained</x:v>
      </x:c>
      <x:c r="I302" s="15" t="str">
        <x:v>National Taiwan University (NTU)</x:v>
      </x:c>
      <x:c r="J302" s="31" t="str">
        <x:v>https://www.timeshighereducation.com/world-university-rankings/national-taiwan-university-ntu</x:v>
      </x:c>
      <x:c r="K302" s="31" t="str">
        <x:v>https://www.timeshighereducation.com/world-university-rankings/2024/world-ranking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172</x:f>
        <x:v>172</x:v>
      </x:c>
      <x:c r="G303" s="36" t="n">
        <x:v>60.4</x:v>
      </x:c>
      <x:c r="H303" s="15" t="str">
        <x:v>Published rank retained</x:v>
      </x:c>
      <x:c r="I303" s="15" t="str">
        <x:v>National Taiwan University (NTU)</x:v>
      </x:c>
      <x:c r="J303" s="31" t="str">
        <x:v>https://www.timeshighereducation.com/world-university-rankings/national-taiwan-university-ntu</x:v>
      </x:c>
      <x:c r="K303" s="31" t="str">
        <x:v>https://www.timeshighereducation.com/world-university-rankings/2025/world-ranking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str">
        <x:v>140</x:v>
      </x:c>
      <x:c r="G304" s="36" t="n">
        <x:v>62.5</x:v>
      </x:c>
      <x:c r="H304" s="15" t="str">
        <x:v>Published rank retained</x:v>
      </x:c>
      <x:c r="I304" s="15" t="str">
        <x:v>National Taiwan University (NTU)</x:v>
      </x:c>
      <x:c r="J304" s="31" t="str">
        <x:v>https://www.timeshighereducation.com/world-university-rankings/national-taiwan-university-ntu</x:v>
      </x:c>
      <x:c r="K304" s="31" t="str">
        <x:v>https://www.timeshighereducation.com/world-university-rankings/2026/world-ranking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125</x:v>
      </x:c>
      <x:c r="G305" s="36" t="n">
        <x:v>59.6</x:v>
      </x:c>
      <x:c r="H305" s="15" t="str">
        <x:v>Published rank retained</x:v>
      </x:c>
      <x:c r="I305" s="15" t="str">
        <x:v>University of Alberta</x:v>
      </x:c>
      <x:c r="J305" s="31" t="str">
        <x:v>https://www.timeshighereducation.com/world-university-rankings/university-alberta</x:v>
      </x:c>
      <x:c r="K305" s="31" t="str">
        <x:v>https://www.timeshighereducation.com/world-university-rankings/2022/world-ranking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str">
        <x:v>118</x:v>
      </x:c>
      <x:c r="G306" s="36" t="n">
        <x:v>61.1</x:v>
      </x:c>
      <x:c r="H306" s="15" t="str">
        <x:v>Published rank retained</x:v>
      </x:c>
      <x:c r="I306" s="15" t="str">
        <x:v>University of Alberta</x:v>
      </x:c>
      <x:c r="J306" s="31" t="str">
        <x:v>https://www.timeshighereducation.com/world-university-rankings/university-alberta</x:v>
      </x:c>
      <x:c r="K306" s="31" t="str">
        <x:v>https://www.timeshighereducation.com/world-university-rankings/2023/world-ranking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n">
        <x:f>109</x:f>
        <x:v>109</x:v>
      </x:c>
      <x:c r="G307" s="36" t="n">
        <x:v>65.9</x:v>
      </x:c>
      <x:c r="H307" s="15" t="str">
        <x:v>Published rank retained</x:v>
      </x:c>
      <x:c r="I307" s="15" t="str">
        <x:v>University of Alberta</x:v>
      </x:c>
      <x:c r="J307" s="31" t="str">
        <x:v>https://www.timeshighereducation.com/world-university-rankings/university-alberta</x:v>
      </x:c>
      <x:c r="K307" s="31" t="str">
        <x:v>https://www.timeshighereducation.com/world-university-rankings/2024/world-ranking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n">
        <x:f>116</x:f>
        <x:v>116</x:v>
      </x:c>
      <x:c r="G308" s="36" t="n">
        <x:v>65.2</x:v>
      </x:c>
      <x:c r="H308" s="15" t="str">
        <x:v>Published rank retained</x:v>
      </x:c>
      <x:c r="I308" s="15" t="str">
        <x:v>University of Alberta</x:v>
      </x:c>
      <x:c r="J308" s="31" t="str">
        <x:v>https://www.timeshighereducation.com/world-university-rankings/university-alberta</x:v>
      </x:c>
      <x:c r="K308" s="31" t="str">
        <x:v>https://www.timeshighereducation.com/world-university-rankings/2025/world-ranking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str">
        <x:v>119</x:v>
      </x:c>
      <x:c r="G309" s="36" t="n">
        <x:v>64.6</x:v>
      </x:c>
      <x:c r="H309" s="15" t="str">
        <x:v>Published rank retained</x:v>
      </x:c>
      <x:c r="I309" s="15" t="str">
        <x:v>University of Alberta</x:v>
      </x:c>
      <x:c r="J309" s="31" t="str">
        <x:v>https://www.timeshighereducation.com/world-university-rankings/university-alberta</x:v>
      </x:c>
      <x:c r="K309" s="31" t="str">
        <x:v>https://www.timeshighereducation.com/world-university-rankings/2026/world-ranking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200+</x:v>
      </x:c>
      <x:c r="G310" s="36"/>
      <x:c r="H310" s="15" t="str">
        <x:v>Published beyond rank 200; exact value intentionally suppressed</x:v>
      </x:c>
      <x:c r="I310" s="15" t="str">
        <x:v>Korea University</x:v>
      </x:c>
      <x:c r="J310" s="31" t="str">
        <x:v>https://www.timeshighereducation.com/world-university-rankings/korea-university</x:v>
      </x:c>
      <x:c r="K310" s="31" t="str">
        <x:v>https://www.timeshighereducation.com/world-university-rankings/2022/world-ranking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200+</x:v>
      </x:c>
      <x:c r="G311" s="36"/>
      <x:c r="H311" s="15" t="str">
        <x:v>Published beyond rank 200; exact value intentionally suppressed</x:v>
      </x:c>
      <x:c r="I311" s="15" t="str">
        <x:v>Korea University</x:v>
      </x:c>
      <x:c r="J311" s="31" t="str">
        <x:v>https://www.timeshighereducation.com/world-university-rankings/korea-university</x:v>
      </x:c>
      <x:c r="K311" s="31" t="str">
        <x:v>https://www.timeshighereducation.com/world-university-rankings/2023/world-ranking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str">
        <x:v>200+</x:v>
      </x:c>
      <x:c r="G312" s="36"/>
      <x:c r="H312" s="15" t="str">
        <x:v>Published beyond rank 200; exact value intentionally suppressed</x:v>
      </x:c>
      <x:c r="I312" s="15" t="str">
        <x:v>Korea University</x:v>
      </x:c>
      <x:c r="J312" s="31" t="str">
        <x:v>https://www.timeshighereducation.com/world-university-rankings/korea-university</x:v>
      </x:c>
      <x:c r="K312" s="31" t="str">
        <x:v>https://www.timeshighereducation.com/world-university-rankings/2024/world-ranking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n">
        <x:f>189</x:f>
        <x:v>189</x:v>
      </x:c>
      <x:c r="G313" s="36" t="n">
        <x:v>59.3</x:v>
      </x:c>
      <x:c r="H313" s="15" t="str">
        <x:v>Published rank retained</x:v>
      </x:c>
      <x:c r="I313" s="15" t="str">
        <x:v>Korea University</x:v>
      </x:c>
      <x:c r="J313" s="31" t="str">
        <x:v>https://www.timeshighereducation.com/world-university-rankings/korea-university</x:v>
      </x:c>
      <x:c r="K313" s="31" t="str">
        <x:v>https://www.timeshighereducation.com/world-university-rankings/2025/world-ranking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156</x:f>
        <x:v>156</x:v>
      </x:c>
      <x:c r="G314" s="36" t="n">
        <x:v>61.4</x:v>
      </x:c>
      <x:c r="H314" s="15" t="str">
        <x:v>Published rank retained</x:v>
      </x:c>
      <x:c r="I314" s="15" t="str">
        <x:v>Korea University</x:v>
      </x:c>
      <x:c r="J314" s="31" t="str">
        <x:v>https://www.timeshighereducation.com/world-university-rankings/korea-university</x:v>
      </x:c>
      <x:c r="K314" s="31" t="str">
        <x:v>https://www.timeshighereducation.com/world-university-rankings/2026/world-ranking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200+</x:v>
      </x:c>
      <x:c r="G315" s="36"/>
      <x:c r="H315" s="15" t="str">
        <x:v>Published beyond rank 200; exact value intentionally suppressed</x:v>
      </x:c>
      <x:c r="I315" s="15" t="str">
        <x:v>Universitas Airlangga</x:v>
      </x:c>
      <x:c r="J315" s="31" t="str">
        <x:v>https://www.timeshighereducation.com/world-university-rankings/universitas-airlangga</x:v>
      </x:c>
      <x:c r="K315" s="31" t="str">
        <x:v>https://www.timeshighereducation.com/world-university-rankings/2022/world-ranking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200+</x:v>
      </x:c>
      <x:c r="G316" s="36"/>
      <x:c r="H316" s="15" t="str">
        <x:v>Published beyond rank 200; exact value intentionally suppressed</x:v>
      </x:c>
      <x:c r="I316" s="15" t="str">
        <x:v>Universitas Airlangga</x:v>
      </x:c>
      <x:c r="J316" s="31" t="str">
        <x:v>https://www.timeshighereducation.com/world-university-rankings/universitas-airlangga</x:v>
      </x:c>
      <x:c r="K316" s="31" t="str">
        <x:v>https://www.timeshighereducation.com/world-university-rankings/2023/world-ranking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str">
        <x:v>200+</x:v>
      </x:c>
      <x:c r="G317" s="36"/>
      <x:c r="H317" s="15" t="str">
        <x:v>Published beyond rank 200; exact value intentionally suppressed</x:v>
      </x:c>
      <x:c r="I317" s="15" t="str">
        <x:v>Universitas Airlangga</x:v>
      </x:c>
      <x:c r="J317" s="31" t="str">
        <x:v>https://www.timeshighereducation.com/world-university-rankings/universitas-airlangga</x:v>
      </x:c>
      <x:c r="K317" s="31" t="str">
        <x:v>https://www.timeshighereducation.com/world-university-rankings/2024/world-ranking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str">
        <x:v>200+</x:v>
      </x:c>
      <x:c r="G318" s="36"/>
      <x:c r="H318" s="15" t="str">
        <x:v>Published beyond rank 200; exact value intentionally suppressed</x:v>
      </x:c>
      <x:c r="I318" s="15" t="str">
        <x:v>Universitas Airlangga</x:v>
      </x:c>
      <x:c r="J318" s="31" t="str">
        <x:v>https://www.timeshighereducation.com/world-university-rankings/universitas-airlangga</x:v>
      </x:c>
      <x:c r="K318" s="31" t="str">
        <x:v>https://www.timeshighereducation.com/world-university-rankings/2025/world-ranking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str">
        <x:v>200+</x:v>
      </x:c>
      <x:c r="G319" s="36"/>
      <x:c r="H319" s="15" t="str">
        <x:v>Published beyond rank 200; exact value intentionally suppressed</x:v>
      </x:c>
      <x:c r="I319" s="15" t="str">
        <x:v>Universitas Airlangga</x:v>
      </x:c>
      <x:c r="J319" s="31" t="str">
        <x:v>https://www.timeshighereducation.com/world-university-rankings/universitas-airlangga</x:v>
      </x:c>
      <x:c r="K319" s="31" t="str">
        <x:v>https://www.timeshighereducation.com/world-university-rankings/2026/world-ranking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200+</x:v>
      </x:c>
      <x:c r="G320" s="36"/>
      <x:c r="H320" s="15" t="str">
        <x:v>Published beyond rank 200; exact value intentionally suppressed</x:v>
      </x:c>
      <x:c r="I320" s="15" t="str">
        <x:v>Pusan National University</x:v>
      </x:c>
      <x:c r="J320" s="31" t="str">
        <x:v>https://www.timeshighereducation.com/world-university-rankings/pusan-national-university</x:v>
      </x:c>
      <x:c r="K320" s="31" t="str">
        <x:v>https://www.timeshighereducation.com/world-university-rankings/2022/world-ranking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200+</x:v>
      </x:c>
      <x:c r="G321" s="36"/>
      <x:c r="H321" s="15" t="str">
        <x:v>Published beyond rank 200; exact value intentionally suppressed</x:v>
      </x:c>
      <x:c r="I321" s="15" t="str">
        <x:v>Pusan National University</x:v>
      </x:c>
      <x:c r="J321" s="31" t="str">
        <x:v>https://www.timeshighereducation.com/world-university-rankings/pusan-national-university</x:v>
      </x:c>
      <x:c r="K321" s="31" t="str">
        <x:v>https://www.timeshighereducation.com/world-university-rankings/2023/world-ranking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str">
        <x:v>200+</x:v>
      </x:c>
      <x:c r="G322" s="36"/>
      <x:c r="H322" s="15" t="str">
        <x:v>Published beyond rank 200; exact value intentionally suppressed</x:v>
      </x:c>
      <x:c r="I322" s="15" t="str">
        <x:v>Pusan National University</x:v>
      </x:c>
      <x:c r="J322" s="31" t="str">
        <x:v>https://www.timeshighereducation.com/world-university-rankings/pusan-national-university</x:v>
      </x:c>
      <x:c r="K322" s="31" t="str">
        <x:v>https://www.timeshighereducation.com/world-university-rankings/2024/world-ranking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str">
        <x:v>200+</x:v>
      </x:c>
      <x:c r="G323" s="36"/>
      <x:c r="H323" s="15" t="str">
        <x:v>Published beyond rank 200; exact value intentionally suppressed</x:v>
      </x:c>
      <x:c r="I323" s="15" t="str">
        <x:v>Pusan National University</x:v>
      </x:c>
      <x:c r="J323" s="31" t="str">
        <x:v>https://www.timeshighereducation.com/world-university-rankings/pusan-national-university</x:v>
      </x:c>
      <x:c r="K323" s="31" t="str">
        <x:v>https://www.timeshighereducation.com/world-university-rankings/2025/world-ranking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str">
        <x:v>200+</x:v>
      </x:c>
      <x:c r="G324" s="36"/>
      <x:c r="H324" s="15" t="str">
        <x:v>Published beyond rank 200; exact value intentionally suppressed</x:v>
      </x:c>
      <x:c r="I324" s="15" t="str">
        <x:v>Pusan National University</x:v>
      </x:c>
      <x:c r="J324" s="31" t="str">
        <x:v>https://www.timeshighereducation.com/world-university-rankings/pusan-national-university</x:v>
      </x:c>
      <x:c r="K324" s="31" t="str">
        <x:v>https://www.timeshighereducation.com/world-university-rankings/2026/world-ranking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200+</x:v>
      </x:c>
      <x:c r="G325" s="36"/>
      <x:c r="H325" s="15" t="str">
        <x:v>Published beyond rank 200; exact value intentionally suppressed</x:v>
      </x:c>
      <x:c r="I325" s="15" t="str">
        <x:v>University of Tasmania</x:v>
      </x:c>
      <x:c r="J325" s="31" t="str">
        <x:v>https://www.timeshighereducation.com/world-university-rankings/university-tasmania</x:v>
      </x:c>
      <x:c r="K325" s="31" t="str">
        <x:v>https://www.timeshighereducation.com/world-university-rankings/2022/world-ranking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200+</x:v>
      </x:c>
      <x:c r="G326" s="36"/>
      <x:c r="H326" s="15" t="str">
        <x:v>Published beyond rank 200; exact value intentionally suppressed</x:v>
      </x:c>
      <x:c r="I326" s="15" t="str">
        <x:v>University of Tasmania</x:v>
      </x:c>
      <x:c r="J326" s="31" t="str">
        <x:v>https://www.timeshighereducation.com/world-university-rankings/university-tasmania</x:v>
      </x:c>
      <x:c r="K326" s="31" t="str">
        <x:v>https://www.timeshighereducation.com/world-university-rankings/2023/world-ranking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str">
        <x:v>200+</x:v>
      </x:c>
      <x:c r="G327" s="36"/>
      <x:c r="H327" s="15" t="str">
        <x:v>Published beyond rank 200; exact value intentionally suppressed</x:v>
      </x:c>
      <x:c r="I327" s="15" t="str">
        <x:v>University of Tasmania</x:v>
      </x:c>
      <x:c r="J327" s="31" t="str">
        <x:v>https://www.timeshighereducation.com/world-university-rankings/university-tasmania</x:v>
      </x:c>
      <x:c r="K327" s="31" t="str">
        <x:v>https://www.timeshighereducation.com/world-university-rankings/2024/world-ranking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str">
        <x:v>200+</x:v>
      </x:c>
      <x:c r="G328" s="36"/>
      <x:c r="H328" s="15" t="str">
        <x:v>Published beyond rank 200; exact value intentionally suppressed</x:v>
      </x:c>
      <x:c r="I328" s="15" t="str">
        <x:v>University of Tasmania</x:v>
      </x:c>
      <x:c r="J328" s="31" t="str">
        <x:v>https://www.timeshighereducation.com/world-university-rankings/university-tasmania</x:v>
      </x:c>
      <x:c r="K328" s="31" t="str">
        <x:v>https://www.timeshighereducation.com/world-university-rankings/2025/world-ranking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str">
        <x:v>200+</x:v>
      </x:c>
      <x:c r="G329" s="36"/>
      <x:c r="H329" s="15" t="str">
        <x:v>Published beyond rank 200; exact value intentionally suppressed</x:v>
      </x:c>
      <x:c r="I329" s="15" t="str">
        <x:v>University of Tasmania</x:v>
      </x:c>
      <x:c r="J329" s="31" t="str">
        <x:v>https://www.timeshighereducation.com/world-university-rankings/university-tasmania</x:v>
      </x:c>
      <x:c r="K329" s="31" t="str">
        <x:v>https://www.timeshighereducation.com/world-university-rankings/2026/world-ranking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n">
        <x:f>80</x:f>
        <x:v>80</x:v>
      </x:c>
      <x:c r="G330" s="36" t="n">
        <x:v>65.2</x:v>
      </x:c>
      <x:c r="H330" s="15" t="str">
        <x:v>Published rank retained</x:v>
      </x:c>
      <x:c r="I330" s="15" t="str">
        <x:v>McMaster University</x:v>
      </x:c>
      <x:c r="J330" s="31" t="str">
        <x:v>https://www.timeshighereducation.com/world-university-rankings/mcmaster-university</x:v>
      </x:c>
      <x:c r="K330" s="31" t="str">
        <x:v>https://www.timeshighereducation.com/world-university-rankings/2022/world-ranking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85</x:v>
      </x:c>
      <x:c r="G331" s="36" t="n">
        <x:v>65.1</x:v>
      </x:c>
      <x:c r="H331" s="15" t="str">
        <x:v>Published rank retained</x:v>
      </x:c>
      <x:c r="I331" s="15" t="str">
        <x:v>McMaster University</x:v>
      </x:c>
      <x:c r="J331" s="31" t="str">
        <x:v>https://www.timeshighereducation.com/world-university-rankings/mcmaster-university</x:v>
      </x:c>
      <x:c r="K331" s="31" t="str">
        <x:v>https://www.timeshighereducation.com/world-university-rankings/2023/world-ranking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n">
        <x:f>103</x:f>
        <x:v>103</x:v>
      </x:c>
      <x:c r="G332" s="36" t="n">
        <x:v>66.3</x:v>
      </x:c>
      <x:c r="H332" s="15" t="str">
        <x:v>Published rank retained</x:v>
      </x:c>
      <x:c r="I332" s="15" t="str">
        <x:v>McMaster University</x:v>
      </x:c>
      <x:c r="J332" s="31" t="str">
        <x:v>https://www.timeshighereducation.com/world-university-rankings/mcmaster-university</x:v>
      </x:c>
      <x:c r="K332" s="31" t="str">
        <x:v>https://www.timeshighereducation.com/world-university-rankings/2024/world-ranking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116</x:f>
        <x:v>116</x:v>
      </x:c>
      <x:c r="G333" s="36" t="n">
        <x:v>65.2</x:v>
      </x:c>
      <x:c r="H333" s="15" t="str">
        <x:v>Published rank retained</x:v>
      </x:c>
      <x:c r="I333" s="15" t="str">
        <x:v>McMaster University</x:v>
      </x:c>
      <x:c r="J333" s="31" t="str">
        <x:v>https://www.timeshighereducation.com/world-university-rankings/mcmaster-university</x:v>
      </x:c>
      <x:c r="K333" s="31" t="str">
        <x:v>https://www.timeshighereducation.com/world-university-rankings/2025/world-ranking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n">
        <x:f>116</x:f>
        <x:v>116</x:v>
      </x:c>
      <x:c r="G334" s="36" t="n">
        <x:v>65</x:v>
      </x:c>
      <x:c r="H334" s="15" t="str">
        <x:v>Published rank retained</x:v>
      </x:c>
      <x:c r="I334" s="15" t="str">
        <x:v>McMaster University</x:v>
      </x:c>
      <x:c r="J334" s="31" t="str">
        <x:v>https://www.timeshighereducation.com/world-university-rankings/mcmaster-university</x:v>
      </x:c>
      <x:c r="K334" s="31" t="str">
        <x:v>https://www.timeshighereducation.com/world-university-rankings/2026/world-ranking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str">
        <x:v>200+</x:v>
      </x:c>
      <x:c r="G335" s="36"/>
      <x:c r="H335" s="15" t="str">
        <x:v>Published beyond rank 200; exact value intentionally suppressed</x:v>
      </x:c>
      <x:c r="I335" s="15" t="str">
        <x:v>Chulalongkorn University</x:v>
      </x:c>
      <x:c r="J335" s="31" t="str">
        <x:v>https://www.timeshighereducation.com/world-university-rankings/chulalongkorn-university</x:v>
      </x:c>
      <x:c r="K335" s="31" t="str">
        <x:v>https://www.timeshighereducation.com/world-university-rankings/2022/world-ranking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200+</x:v>
      </x:c>
      <x:c r="G336" s="36"/>
      <x:c r="H336" s="15" t="str">
        <x:v>Published beyond rank 200; exact value intentionally suppressed</x:v>
      </x:c>
      <x:c r="I336" s="15" t="str">
        <x:v>Chulalongkorn University</x:v>
      </x:c>
      <x:c r="J336" s="31" t="str">
        <x:v>https://www.timeshighereducation.com/world-university-rankings/chulalongkorn-university</x:v>
      </x:c>
      <x:c r="K336" s="31" t="str">
        <x:v>https://www.timeshighereducation.com/world-university-rankings/2023/world-ranking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str">
        <x:v>200+</x:v>
      </x:c>
      <x:c r="G337" s="36"/>
      <x:c r="H337" s="15" t="str">
        <x:v>Published beyond rank 200; exact value intentionally suppressed</x:v>
      </x:c>
      <x:c r="I337" s="15" t="str">
        <x:v>Chulalongkorn University</x:v>
      </x:c>
      <x:c r="J337" s="31" t="str">
        <x:v>https://www.timeshighereducation.com/world-university-rankings/chulalongkorn-university</x:v>
      </x:c>
      <x:c r="K337" s="31" t="str">
        <x:v>https://www.timeshighereducation.com/world-university-rankings/2024/world-ranking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str">
        <x:v>200+</x:v>
      </x:c>
      <x:c r="G338" s="36"/>
      <x:c r="H338" s="15" t="str">
        <x:v>Published beyond rank 200; exact value intentionally suppressed</x:v>
      </x:c>
      <x:c r="I338" s="15" t="str">
        <x:v>Chulalongkorn University</x:v>
      </x:c>
      <x:c r="J338" s="31" t="str">
        <x:v>https://www.timeshighereducation.com/world-university-rankings/chulalongkorn-university</x:v>
      </x:c>
      <x:c r="K338" s="31" t="str">
        <x:v>https://www.timeshighereducation.com/world-university-rankings/2025/world-ranking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200+</x:v>
      </x:c>
      <x:c r="G339" s="36"/>
      <x:c r="H339" s="15" t="str">
        <x:v>Published beyond rank 200; exact value intentionally suppressed</x:v>
      </x:c>
      <x:c r="I339" s="15" t="str">
        <x:v>Chulalongkorn University</x:v>
      </x:c>
      <x:c r="J339" s="31" t="str">
        <x:v>https://www.timeshighereducation.com/world-university-rankings/chulalongkorn-university</x:v>
      </x:c>
      <x:c r="K339" s="31" t="str">
        <x:v>https://www.timeshighereducation.com/world-university-rankings/2026/world-ranking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str">
        <x:v>200+</x:v>
      </x:c>
      <x:c r="G340" s="36"/>
      <x:c r="H340" s="15" t="str">
        <x:v>Published beyond rank 200; exact value intentionally suppressed</x:v>
      </x:c>
      <x:c r="I340" s="15" t="str">
        <x:v>Kyungpook National University (KNU)</x:v>
      </x:c>
      <x:c r="J340" s="31" t="str">
        <x:v>https://www.timeshighereducation.com/world-university-rankings/kyungpook-national-university-knu</x:v>
      </x:c>
      <x:c r="K340" s="31" t="str">
        <x:v>https://www.timeshighereducation.com/world-university-rankings/2022/world-ranking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str">
        <x:v>200+</x:v>
      </x:c>
      <x:c r="G341" s="36"/>
      <x:c r="H341" s="15" t="str">
        <x:v>Published beyond rank 200; exact value intentionally suppressed</x:v>
      </x:c>
      <x:c r="I341" s="15" t="str">
        <x:v>Kyungpook National University (KNU)</x:v>
      </x:c>
      <x:c r="J341" s="31" t="str">
        <x:v>https://www.timeshighereducation.com/world-university-rankings/kyungpook-national-university-knu</x:v>
      </x:c>
      <x:c r="K341" s="31" t="str">
        <x:v>https://www.timeshighereducation.com/world-university-rankings/2023/world-ranking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str">
        <x:v>200+</x:v>
      </x:c>
      <x:c r="G342" s="36"/>
      <x:c r="H342" s="15" t="str">
        <x:v>Published beyond rank 200; exact value intentionally suppressed</x:v>
      </x:c>
      <x:c r="I342" s="15" t="str">
        <x:v>Kyungpook National University (KNU)</x:v>
      </x:c>
      <x:c r="J342" s="31" t="str">
        <x:v>https://www.timeshighereducation.com/world-university-rankings/kyungpook-national-university-knu</x:v>
      </x:c>
      <x:c r="K342" s="31" t="str">
        <x:v>https://www.timeshighereducation.com/world-university-rankings/2024/world-ranking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str">
        <x:v>200+</x:v>
      </x:c>
      <x:c r="G343" s="36"/>
      <x:c r="H343" s="15" t="str">
        <x:v>Published beyond rank 200; exact value intentionally suppressed</x:v>
      </x:c>
      <x:c r="I343" s="15" t="str">
        <x:v>Kyungpook National University (KNU)</x:v>
      </x:c>
      <x:c r="J343" s="31" t="str">
        <x:v>https://www.timeshighereducation.com/world-university-rankings/kyungpook-national-university-knu</x:v>
      </x:c>
      <x:c r="K343" s="31" t="str">
        <x:v>https://www.timeshighereducation.com/world-university-rankings/2025/world-ranking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str">
        <x:v>200+</x:v>
      </x:c>
      <x:c r="G344" s="36"/>
      <x:c r="H344" s="15" t="str">
        <x:v>Published beyond rank 200; exact value intentionally suppressed</x:v>
      </x:c>
      <x:c r="I344" s="15" t="str">
        <x:v>Kyungpook National University (KNU)</x:v>
      </x:c>
      <x:c r="J344" s="31" t="str">
        <x:v>https://www.timeshighereducation.com/world-university-rankings/kyungpook-national-university-knu</x:v>
      </x:c>
      <x:c r="K344" s="31" t="str">
        <x:v>https://www.timeshighereducation.com/world-university-rankings/2026/world-ranking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66</x:v>
      </x:c>
      <x:c r="G345" s="36" t="n">
        <x:v>68.8</x:v>
      </x:c>
      <x:c r="H345" s="15" t="str">
        <x:v>Published rank retained</x:v>
      </x:c>
      <x:c r="I345" s="15" t="str">
        <x:v>The Hong Kong University of Science and Technology</x:v>
      </x:c>
      <x:c r="J345" s="31" t="str">
        <x:v>https://www.timeshighereducation.com/world-university-rankings/hong-kong-university-science-and-technology</x:v>
      </x:c>
      <x:c r="K345" s="31" t="str">
        <x:v>https://www.timeshighereducation.com/world-university-rankings/2022/world-ranking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58</x:v>
      </x:c>
      <x:c r="G346" s="36" t="n">
        <x:v>70.5</x:v>
      </x:c>
      <x:c r="H346" s="15" t="str">
        <x:v>Published rank retained</x:v>
      </x:c>
      <x:c r="I346" s="15" t="str">
        <x:v>The Hong Kong University of Science and Technology</x:v>
      </x:c>
      <x:c r="J346" s="31" t="str">
        <x:v>https://www.timeshighereducation.com/world-university-rankings/hong-kong-university-science-and-technology</x:v>
      </x:c>
      <x:c r="K346" s="31" t="str">
        <x:v>https://www.timeshighereducation.com/world-university-rankings/2023/world-ranking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64</x:f>
        <x:v>64</x:v>
      </x:c>
      <x:c r="G347" s="36" t="n">
        <x:v>73</x:v>
      </x:c>
      <x:c r="H347" s="15" t="str">
        <x:v>Published rank retained</x:v>
      </x:c>
      <x:c r="I347" s="15" t="str">
        <x:v>The Hong Kong University of Science and Technology</x:v>
      </x:c>
      <x:c r="J347" s="31" t="str">
        <x:v>https://www.timeshighereducation.com/world-university-rankings/hong-kong-university-science-and-technology</x:v>
      </x:c>
      <x:c r="K347" s="31" t="str">
        <x:v>https://www.timeshighereducation.com/world-university-rankings/2024/world-ranking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str">
        <x:v>66</x:v>
      </x:c>
      <x:c r="G348" s="36" t="n">
        <x:v>72.9</x:v>
      </x:c>
      <x:c r="H348" s="15" t="str">
        <x:v>Published rank retained</x:v>
      </x:c>
      <x:c r="I348" s="15" t="str">
        <x:v>The Hong Kong University of Science and Technology</x:v>
      </x:c>
      <x:c r="J348" s="31" t="str">
        <x:v>https://www.timeshighereducation.com/world-university-rankings/hong-kong-university-science-and-technology</x:v>
      </x:c>
      <x:c r="K348" s="31" t="str">
        <x:v>https://www.timeshighereducation.com/world-university-rankings/2025/world-ranking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58</x:f>
        <x:v>58</x:v>
      </x:c>
      <x:c r="G349" s="36" t="n">
        <x:v>74.1</x:v>
      </x:c>
      <x:c r="H349" s="15" t="str">
        <x:v>Published rank retained</x:v>
      </x:c>
      <x:c r="I349" s="15" t="str">
        <x:v>The Hong Kong University of Science and Technology</x:v>
      </x:c>
      <x:c r="J349" s="31" t="str">
        <x:v>https://www.timeshighereducation.com/world-university-rankings/hong-kong-university-science-and-technology</x:v>
      </x:c>
      <x:c r="K349" s="31" t="str">
        <x:v>https://www.timeshighereducation.com/world-university-rankings/2026/world-ranking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str">
        <x:v>200+</x:v>
      </x:c>
      <x:c r="G350" s="36"/>
      <x:c r="H350" s="15" t="str">
        <x:v>Published beyond rank 200; exact value intentionally suppressed</x:v>
      </x:c>
      <x:c r="I350" s="15" t="str">
        <x:v>Lovely Professional University</x:v>
      </x:c>
      <x:c r="J350" s="31" t="str">
        <x:v>https://www.timeshighereducation.com/world-university-rankings/lovely-professional-university</x:v>
      </x:c>
      <x:c r="K350" s="31" t="str">
        <x:v>https://www.timeshighereducation.com/world-university-rankings/2022/world-ranking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200+</x:v>
      </x:c>
      <x:c r="G351" s="36"/>
      <x:c r="H351" s="15" t="str">
        <x:v>Published beyond rank 200; exact value intentionally suppressed</x:v>
      </x:c>
      <x:c r="I351" s="15" t="str">
        <x:v>Lovely Professional University</x:v>
      </x:c>
      <x:c r="J351" s="31" t="str">
        <x:v>https://www.timeshighereducation.com/world-university-rankings/lovely-professional-university</x:v>
      </x:c>
      <x:c r="K351" s="31" t="str">
        <x:v>https://www.timeshighereducation.com/world-university-rankings/2023/world-ranking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str">
        <x:v>200+</x:v>
      </x:c>
      <x:c r="G352" s="36"/>
      <x:c r="H352" s="15" t="str">
        <x:v>Published beyond rank 200; exact value intentionally suppressed</x:v>
      </x:c>
      <x:c r="I352" s="15" t="str">
        <x:v>Lovely Professional University</x:v>
      </x:c>
      <x:c r="J352" s="31" t="str">
        <x:v>https://www.timeshighereducation.com/world-university-rankings/lovely-professional-university</x:v>
      </x:c>
      <x:c r="K352" s="31" t="str">
        <x:v>https://www.timeshighereducation.com/world-university-rankings/2024/world-ranking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str">
        <x:v>200+</x:v>
      </x:c>
      <x:c r="G353" s="36"/>
      <x:c r="H353" s="15" t="str">
        <x:v>Published beyond rank 200; exact value intentionally suppressed</x:v>
      </x:c>
      <x:c r="I353" s="15" t="str">
        <x:v>Lovely Professional University</x:v>
      </x:c>
      <x:c r="J353" s="31" t="str">
        <x:v>https://www.timeshighereducation.com/world-university-rankings/lovely-professional-university</x:v>
      </x:c>
      <x:c r="K353" s="31" t="str">
        <x:v>https://www.timeshighereducation.com/world-university-rankings/2025/world-ranking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str">
        <x:v>200+</x:v>
      </x:c>
      <x:c r="G354" s="36"/>
      <x:c r="H354" s="15" t="str">
        <x:v>Published beyond rank 200; exact value intentionally suppressed</x:v>
      </x:c>
      <x:c r="I354" s="15" t="str">
        <x:v>Lovely Professional University</x:v>
      </x:c>
      <x:c r="J354" s="31" t="str">
        <x:v>https://www.timeshighereducation.com/world-university-rankings/lovely-professional-university</x:v>
      </x:c>
      <x:c r="K354" s="31" t="str">
        <x:v>https://www.timeshighereducation.com/world-university-rankings/2026/world-ranking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200+</x:v>
      </x:c>
      <x:c r="G355" s="36"/>
      <x:c r="H355" s="15" t="str">
        <x:v>Published beyond rank 200; exact value intentionally suppressed</x:v>
      </x:c>
      <x:c r="I355" s="15" t="str">
        <x:v>University of Malaya</x:v>
      </x:c>
      <x:c r="J355" s="31" t="str">
        <x:v>https://www.timeshighereducation.com/world-university-rankings/university-malaya</x:v>
      </x:c>
      <x:c r="K355" s="31" t="str">
        <x:v>https://www.timeshighereducation.com/world-university-rankings/2022/world-ranking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str">
        <x:v>200+</x:v>
      </x:c>
      <x:c r="G356" s="36"/>
      <x:c r="H356" s="15" t="str">
        <x:v>Published beyond rank 200; exact value intentionally suppressed</x:v>
      </x:c>
      <x:c r="I356" s="15" t="str">
        <x:v>University of Malaya</x:v>
      </x:c>
      <x:c r="J356" s="31" t="str">
        <x:v>https://www.timeshighereducation.com/world-university-rankings/university-malaya</x:v>
      </x:c>
      <x:c r="K356" s="31" t="str">
        <x:v>https://www.timeshighereducation.com/world-university-rankings/2023/world-ranking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str">
        <x:v>200+</x:v>
      </x:c>
      <x:c r="G357" s="36"/>
      <x:c r="H357" s="15" t="str">
        <x:v>Published beyond rank 200; exact value intentionally suppressed</x:v>
      </x:c>
      <x:c r="I357" s="15" t="str">
        <x:v>University of Malaya</x:v>
      </x:c>
      <x:c r="J357" s="31" t="str">
        <x:v>https://www.timeshighereducation.com/world-university-rankings/university-malaya</x:v>
      </x:c>
      <x:c r="K357" s="31" t="str">
        <x:v>https://www.timeshighereducation.com/world-university-rankings/2024/world-ranking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str">
        <x:v>200+</x:v>
      </x:c>
      <x:c r="G358" s="36"/>
      <x:c r="H358" s="15" t="str">
        <x:v>Published beyond rank 200; exact value intentionally suppressed</x:v>
      </x:c>
      <x:c r="I358" s="15" t="str">
        <x:v>University of Malaya</x:v>
      </x:c>
      <x:c r="J358" s="31" t="str">
        <x:v>https://www.timeshighereducation.com/world-university-rankings/university-malaya</x:v>
      </x:c>
      <x:c r="K358" s="31" t="str">
        <x:v>https://www.timeshighereducation.com/world-university-rankings/2025/world-ranking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str">
        <x:v>200+</x:v>
      </x:c>
      <x:c r="G359" s="36"/>
      <x:c r="H359" s="15" t="str">
        <x:v>Published beyond rank 200; exact value intentionally suppressed</x:v>
      </x:c>
      <x:c r="I359" s="15" t="str">
        <x:v>University of Malaya</x:v>
      </x:c>
      <x:c r="J359" s="31" t="str">
        <x:v>https://www.timeshighereducation.com/world-university-rankings/university-malaya</x:v>
      </x:c>
      <x:c r="K359" s="31" t="str">
        <x:v>https://www.timeshighereducation.com/world-university-rankings/2026/world-ranking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str">
        <x:v>200+</x:v>
      </x:c>
      <x:c r="G360" s="36"/>
      <x:c r="H360" s="15" t="str">
        <x:v>Published beyond rank 200; exact value intentionally suppressed</x:v>
      </x:c>
      <x:c r="I360" s="15" t="str">
        <x:v>Aalborg University</x:v>
      </x:c>
      <x:c r="J360" s="31" t="str">
        <x:v>https://www.timeshighereducation.com/world-university-rankings/aalborg-university</x:v>
      </x:c>
      <x:c r="K360" s="31" t="str">
        <x:v>https://www.timeshighereducation.com/world-university-rankings/2022/world-ranking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str">
        <x:v>200+</x:v>
      </x:c>
      <x:c r="G361" s="36"/>
      <x:c r="H361" s="15" t="str">
        <x:v>Published beyond rank 200; exact value intentionally suppressed</x:v>
      </x:c>
      <x:c r="I361" s="15" t="str">
        <x:v>Aalborg University</x:v>
      </x:c>
      <x:c r="J361" s="31" t="str">
        <x:v>https://www.timeshighereducation.com/world-university-rankings/aalborg-university</x:v>
      </x:c>
      <x:c r="K361" s="31" t="str">
        <x:v>https://www.timeshighereducation.com/world-university-rankings/2023/world-ranking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200+</x:v>
      </x:c>
      <x:c r="G362" s="36"/>
      <x:c r="H362" s="15" t="str">
        <x:v>Published beyond rank 200; exact value intentionally suppressed</x:v>
      </x:c>
      <x:c r="I362" s="15" t="str">
        <x:v>Aalborg University</x:v>
      </x:c>
      <x:c r="J362" s="31" t="str">
        <x:v>https://www.timeshighereducation.com/world-university-rankings/aalborg-university</x:v>
      </x:c>
      <x:c r="K362" s="31" t="str">
        <x:v>https://www.timeshighereducation.com/world-university-rankings/2024/world-ranking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str">
        <x:v>200+</x:v>
      </x:c>
      <x:c r="G363" s="36"/>
      <x:c r="H363" s="15" t="str">
        <x:v>Published beyond rank 200; exact value intentionally suppressed</x:v>
      </x:c>
      <x:c r="I363" s="15" t="str">
        <x:v>Aalborg University</x:v>
      </x:c>
      <x:c r="J363" s="31" t="str">
        <x:v>https://www.timeshighereducation.com/world-university-rankings/aalborg-university</x:v>
      </x:c>
      <x:c r="K363" s="31" t="str">
        <x:v>https://www.timeshighereducation.com/world-university-rankings/2025/world-ranking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str">
        <x:v>200+</x:v>
      </x:c>
      <x:c r="G364" s="36"/>
      <x:c r="H364" s="15" t="str">
        <x:v>Published beyond rank 200; exact value intentionally suppressed</x:v>
      </x:c>
      <x:c r="I364" s="15" t="str">
        <x:v>Aalborg University</x:v>
      </x:c>
      <x:c r="J364" s="31" t="str">
        <x:v>https://www.timeshighereducation.com/world-university-rankings/aalborg-university</x:v>
      </x:c>
      <x:c r="K364" s="31" t="str">
        <x:v>https://www.timeshighereducation.com/world-university-rankings/2026/world-ranking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str">
        <x:v>200+</x:v>
      </x:c>
      <x:c r="G365" s="36"/>
      <x:c r="H365" s="15" t="str">
        <x:v>Published beyond rank 200; exact value intentionally suppressed</x:v>
      </x:c>
      <x:c r="I365" s="15" t="str">
        <x:v>Kyung Hee University</x:v>
      </x:c>
      <x:c r="J365" s="31" t="str">
        <x:v>https://www.timeshighereducation.com/world-university-rankings/kyung-hee-university</x:v>
      </x:c>
      <x:c r="K365" s="31" t="str">
        <x:v>https://www.timeshighereducation.com/world-university-rankings/2022/world-ranking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str">
        <x:v>200+</x:v>
      </x:c>
      <x:c r="G366" s="36"/>
      <x:c r="H366" s="15" t="str">
        <x:v>Published beyond rank 200; exact value intentionally suppressed</x:v>
      </x:c>
      <x:c r="I366" s="15" t="str">
        <x:v>Kyung Hee University</x:v>
      </x:c>
      <x:c r="J366" s="31" t="str">
        <x:v>https://www.timeshighereducation.com/world-university-rankings/kyung-hee-university</x:v>
      </x:c>
      <x:c r="K366" s="31" t="str">
        <x:v>https://www.timeshighereducation.com/world-university-rankings/2023/world-ranking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str">
        <x:v>200+</x:v>
      </x:c>
      <x:c r="G367" s="36"/>
      <x:c r="H367" s="15" t="str">
        <x:v>Published beyond rank 200; exact value intentionally suppressed</x:v>
      </x:c>
      <x:c r="I367" s="15" t="str">
        <x:v>Kyung Hee University</x:v>
      </x:c>
      <x:c r="J367" s="31" t="str">
        <x:v>https://www.timeshighereducation.com/world-university-rankings/kyung-hee-university</x:v>
      </x:c>
      <x:c r="K367" s="31" t="str">
        <x:v>https://www.timeshighereducation.com/world-university-rankings/2024/world-ranking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str">
        <x:v>200+</x:v>
      </x:c>
      <x:c r="G368" s="36"/>
      <x:c r="H368" s="15" t="str">
        <x:v>Published beyond rank 200; exact value intentionally suppressed</x:v>
      </x:c>
      <x:c r="I368" s="15" t="str">
        <x:v>Kyung Hee University</x:v>
      </x:c>
      <x:c r="J368" s="31" t="str">
        <x:v>https://www.timeshighereducation.com/world-university-rankings/kyung-hee-university</x:v>
      </x:c>
      <x:c r="K368" s="31" t="str">
        <x:v>https://www.timeshighereducation.com/world-university-rankings/2025/world-ranking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str">
        <x:v>200+</x:v>
      </x:c>
      <x:c r="G369" s="36"/>
      <x:c r="H369" s="15" t="str">
        <x:v>Published beyond rank 200; exact value intentionally suppressed</x:v>
      </x:c>
      <x:c r="I369" s="15" t="str">
        <x:v>Kyung Hee University</x:v>
      </x:c>
      <x:c r="J369" s="31" t="str">
        <x:v>https://www.timeshighereducation.com/world-university-rankings/kyung-hee-university</x:v>
      </x:c>
      <x:c r="K369" s="31" t="str">
        <x:v>https://www.timeshighereducation.com/world-university-rankings/2026/world-ranking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200+</x:v>
      </x:c>
      <x:c r="G370" s="36"/>
      <x:c r="H370" s="15" t="str">
        <x:v>Published beyond rank 200; exact value intentionally suppressed</x:v>
      </x:c>
      <x:c r="I370" s="15" t="str">
        <x:v>University of Victoria</x:v>
      </x:c>
      <x:c r="J370" s="31" t="str">
        <x:v>https://www.timeshighereducation.com/world-university-rankings/university-victoria</x:v>
      </x:c>
      <x:c r="K370" s="31" t="str">
        <x:v>https://www.timeshighereducation.com/world-university-rankings/2022/world-ranking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str">
        <x:v>200+</x:v>
      </x:c>
      <x:c r="G371" s="36"/>
      <x:c r="H371" s="15" t="str">
        <x:v>Published beyond rank 200; exact value intentionally suppressed</x:v>
      </x:c>
      <x:c r="I371" s="15" t="str">
        <x:v>University of Victoria</x:v>
      </x:c>
      <x:c r="J371" s="31" t="str">
        <x:v>https://www.timeshighereducation.com/world-university-rankings/university-victoria</x:v>
      </x:c>
      <x:c r="K371" s="31" t="str">
        <x:v>https://www.timeshighereducation.com/world-university-rankings/2023/world-ranking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str">
        <x:v>200+</x:v>
      </x:c>
      <x:c r="G372" s="36"/>
      <x:c r="H372" s="15" t="str">
        <x:v>Published beyond rank 200; exact value intentionally suppressed</x:v>
      </x:c>
      <x:c r="I372" s="15" t="str">
        <x:v>University of Victoria</x:v>
      </x:c>
      <x:c r="J372" s="31" t="str">
        <x:v>https://www.timeshighereducation.com/world-university-rankings/university-victoria</x:v>
      </x:c>
      <x:c r="K372" s="31" t="str">
        <x:v>https://www.timeshighereducation.com/world-university-rankings/2024/world-ranking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str">
        <x:v>200+</x:v>
      </x:c>
      <x:c r="G373" s="36"/>
      <x:c r="H373" s="15" t="str">
        <x:v>Published beyond rank 200; exact value intentionally suppressed</x:v>
      </x:c>
      <x:c r="I373" s="15" t="str">
        <x:v>University of Victoria</x:v>
      </x:c>
      <x:c r="J373" s="31" t="str">
        <x:v>https://www.timeshighereducation.com/world-university-rankings/university-victoria</x:v>
      </x:c>
      <x:c r="K373" s="31" t="str">
        <x:v>https://www.timeshighereducation.com/world-university-rankings/2025/world-ranking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str">
        <x:v>200+</x:v>
      </x:c>
      <x:c r="G374" s="36"/>
      <x:c r="H374" s="15" t="str">
        <x:v>Published beyond rank 200; exact value intentionally suppressed</x:v>
      </x:c>
      <x:c r="I374" s="15" t="str">
        <x:v>University of Victoria</x:v>
      </x:c>
      <x:c r="J374" s="31" t="str">
        <x:v>https://www.timeshighereducation.com/world-university-rankings/university-victoria</x:v>
      </x:c>
      <x:c r="K374" s="31" t="str">
        <x:v>https://www.timeshighereducation.com/world-university-rankings/2026/world-ranking</x:v>
      </x:c>
      <x:c r="L374" s="31" t="str">
        <x:v>https://www.uvic.ca/socialsciences/environmental/programs/graduate/index.php</x:v>
      </x:c>
    </x:row>
    <x:row r="375">
      <x:c r="A375" s="15" t="n">
        <x:v>76</x:v>
      </x:c>
      <x:c r="B375" s="15" t="str">
        <x:v>Central Queensland University</x:v>
      </x:c>
      <x:c r="C375" s="15" t="str">
        <x:v>Australia</x:v>
      </x:c>
      <x:c r="D375" s="15" t="str">
        <x:v>Master of Sustainable Development</x:v>
      </x:c>
      <x:c r="E375" s="32" t="n">
        <x:v>2022</x:v>
      </x:c>
      <x:c r="F375" s="32" t="str">
        <x:v>200+</x:v>
      </x:c>
      <x:c r="G375" s="36"/>
      <x:c r="H375" s="15" t="str">
        <x:v>Published beyond rank 200; exact value intentionally suppressed</x:v>
      </x:c>
      <x:c r="I375" s="15" t="str">
        <x:v>Central Queensland University</x:v>
      </x:c>
      <x:c r="J375" s="31" t="str">
        <x:v>https://www.timeshighereducation.com/world-university-rankings/central-queensland-university</x:v>
      </x:c>
      <x:c r="K375" s="31" t="str">
        <x:v>https://www.timeshighereducation.com/world-university-rankings/2022/world-ranking</x:v>
      </x:c>
      <x:c r="L375" s="31" t="str">
        <x:v>https://handbook.cqu.edu.au/he/courses/view/CM82/HT1/2025</x:v>
      </x:c>
    </x:row>
    <x:row r="376">
      <x:c r="A376" s="15" t="n">
        <x:v>76</x:v>
      </x:c>
      <x:c r="B376" s="15" t="str">
        <x:v>Central Queensland University</x:v>
      </x:c>
      <x:c r="C376" s="15" t="str">
        <x:v>Australia</x:v>
      </x:c>
      <x:c r="D376" s="15" t="str">
        <x:v>Master of Sustainable Development</x:v>
      </x:c>
      <x:c r="E376" s="32" t="n">
        <x:v>2023</x:v>
      </x:c>
      <x:c r="F376" s="32" t="str">
        <x:v>200+</x:v>
      </x:c>
      <x:c r="G376" s="36"/>
      <x:c r="H376" s="15" t="str">
        <x:v>Published beyond rank 200; exact value intentionally suppressed</x:v>
      </x:c>
      <x:c r="I376" s="15" t="str">
        <x:v>Central Queensland University</x:v>
      </x:c>
      <x:c r="J376" s="31" t="str">
        <x:v>https://www.timeshighereducation.com/world-university-rankings/central-queensland-university</x:v>
      </x:c>
      <x:c r="K376" s="31" t="str">
        <x:v>https://www.timeshighereducation.com/world-university-rankings/2023/world-ranking</x:v>
      </x:c>
      <x:c r="L376" s="31" t="str">
        <x:v>https://handbook.cqu.edu.au/he/courses/view/CM82/HT1/2025</x:v>
      </x:c>
    </x:row>
    <x:row r="377">
      <x:c r="A377" s="15" t="n">
        <x:v>76</x:v>
      </x:c>
      <x:c r="B377" s="15" t="str">
        <x:v>Central Queensland University</x:v>
      </x:c>
      <x:c r="C377" s="15" t="str">
        <x:v>Australia</x:v>
      </x:c>
      <x:c r="D377" s="15" t="str">
        <x:v>Master of Sustainable Development</x:v>
      </x:c>
      <x:c r="E377" s="32" t="n">
        <x:v>2024</x:v>
      </x:c>
      <x:c r="F377" s="32" t="str">
        <x:v>200+</x:v>
      </x:c>
      <x:c r="G377" s="36"/>
      <x:c r="H377" s="15" t="str">
        <x:v>Published beyond rank 200; exact value intentionally suppressed</x:v>
      </x:c>
      <x:c r="I377" s="15" t="str">
        <x:v>Central Queensland University</x:v>
      </x:c>
      <x:c r="J377" s="31" t="str">
        <x:v>https://www.timeshighereducation.com/world-university-rankings/central-queensland-university</x:v>
      </x:c>
      <x:c r="K377" s="31" t="str">
        <x:v>https://www.timeshighereducation.com/world-university-rankings/2024/world-ranking</x:v>
      </x:c>
      <x:c r="L377" s="31" t="str">
        <x:v>https://handbook.cqu.edu.au/he/courses/view/CM82/HT1/2025</x:v>
      </x:c>
    </x:row>
    <x:row r="378">
      <x:c r="A378" s="15" t="n">
        <x:v>76</x:v>
      </x:c>
      <x:c r="B378" s="15" t="str">
        <x:v>Central Queensland University</x:v>
      </x:c>
      <x:c r="C378" s="15" t="str">
        <x:v>Australia</x:v>
      </x:c>
      <x:c r="D378" s="15" t="str">
        <x:v>Master of Sustainable Development</x:v>
      </x:c>
      <x:c r="E378" s="32" t="n">
        <x:v>2025</x:v>
      </x:c>
      <x:c r="F378" s="32" t="str">
        <x:v>200+</x:v>
      </x:c>
      <x:c r="G378" s="36"/>
      <x:c r="H378" s="15" t="str">
        <x:v>Published beyond rank 200; exact value intentionally suppressed</x:v>
      </x:c>
      <x:c r="I378" s="15" t="str">
        <x:v>Central Queensland University</x:v>
      </x:c>
      <x:c r="J378" s="31" t="str">
        <x:v>https://www.timeshighereducation.com/world-university-rankings/central-queensland-university</x:v>
      </x:c>
      <x:c r="K378" s="31" t="str">
        <x:v>https://www.timeshighereducation.com/world-university-rankings/2025/world-ranking</x:v>
      </x:c>
      <x:c r="L378" s="31" t="str">
        <x:v>https://handbook.cqu.edu.au/he/courses/view/CM82/HT1/2025</x:v>
      </x:c>
    </x:row>
    <x:row r="379">
      <x:c r="A379" s="15" t="n">
        <x:v>76</x:v>
      </x:c>
      <x:c r="B379" s="15" t="str">
        <x:v>Central Queensland University</x:v>
      </x:c>
      <x:c r="C379" s="15" t="str">
        <x:v>Australia</x:v>
      </x:c>
      <x:c r="D379" s="15" t="str">
        <x:v>Master of Sustainable Development</x:v>
      </x:c>
      <x:c r="E379" s="32" t="n">
        <x:v>2026</x:v>
      </x:c>
      <x:c r="F379" s="32" t="str">
        <x:v>200+</x:v>
      </x:c>
      <x:c r="G379" s="36"/>
      <x:c r="H379" s="15" t="str">
        <x:v>Published beyond rank 200; exact value intentionally suppressed</x:v>
      </x:c>
      <x:c r="I379" s="15" t="str">
        <x:v>Central Queensland University</x:v>
      </x:c>
      <x:c r="J379" s="31" t="str">
        <x:v>https://www.timeshighereducation.com/world-university-rankings/central-queensland-university</x:v>
      </x:c>
      <x:c r="K379" s="31" t="str">
        <x:v>https://www.timeshighereducation.com/world-university-rankings/2026/world-ranking</x:v>
      </x:c>
      <x:c r="L379" s="31" t="str">
        <x:v>https://handbook.cqu.edu.au/he/courses/view/CM82/HT1/2025</x:v>
      </x:c>
    </x:row>
    <x:row r="380">
      <x:c r="A380" s="15" t="n">
        <x:v>77</x:v>
      </x:c>
      <x:c r="B380" s="15" t="str">
        <x:v>University of Newcastle</x:v>
      </x:c>
      <x:c r="C380" s="15" t="str">
        <x:v>Australia</x:v>
      </x:c>
      <x:c r="D380" s="15" t="str">
        <x:v>Master of Environmental Management and Sustainability</x:v>
      </x:c>
      <x:c r="E380" s="32" t="n">
        <x:v>2022</x:v>
      </x:c>
      <x:c r="F380" s="32" t="str">
        <x:v>200+</x:v>
      </x:c>
      <x:c r="G380" s="36"/>
      <x:c r="H380" s="15" t="str">
        <x:v>Published beyond rank 200; exact value intentionally suppressed</x:v>
      </x:c>
      <x:c r="I380" s="15" t="str">
        <x:v>University of Newcastle</x:v>
      </x:c>
      <x:c r="J380" s="31" t="str">
        <x:v>https://www.timeshighereducation.com/world-university-rankings/university-newcastle</x:v>
      </x:c>
      <x:c r="K380" s="31" t="str">
        <x:v>https://www.timeshighereducation.com/world-university-rankings/2022/world-ranking</x:v>
      </x:c>
      <x:c r="L380" s="31" t="str">
        <x:v>https://www.newcastle.edu.au/degrees/master-environmental-management-sustainability</x:v>
      </x:c>
    </x:row>
    <x:row r="381">
      <x:c r="A381" s="15" t="n">
        <x:v>77</x:v>
      </x:c>
      <x:c r="B381" s="15" t="str">
        <x:v>University of Newcastle</x:v>
      </x:c>
      <x:c r="C381" s="15" t="str">
        <x:v>Australia</x:v>
      </x:c>
      <x:c r="D381" s="15" t="str">
        <x:v>Master of Environmental Management and Sustainability</x:v>
      </x:c>
      <x:c r="E381" s="32" t="n">
        <x:v>2023</x:v>
      </x:c>
      <x:c r="F381" s="32" t="str">
        <x:v>200+</x:v>
      </x:c>
      <x:c r="G381" s="36"/>
      <x:c r="H381" s="15" t="str">
        <x:v>Published beyond rank 200; exact value intentionally suppressed</x:v>
      </x:c>
      <x:c r="I381" s="15" t="str">
        <x:v>University of Newcastle</x:v>
      </x:c>
      <x:c r="J381" s="31" t="str">
        <x:v>https://www.timeshighereducation.com/world-university-rankings/university-newcastle</x:v>
      </x:c>
      <x:c r="K381" s="31" t="str">
        <x:v>https://www.timeshighereducation.com/world-university-rankings/2023/world-ranking</x:v>
      </x:c>
      <x:c r="L381" s="31" t="str">
        <x:v>https://www.newcastle.edu.au/degrees/master-environmental-management-sustainability</x:v>
      </x:c>
    </x:row>
    <x:row r="382">
      <x:c r="A382" s="15" t="n">
        <x:v>77</x:v>
      </x:c>
      <x:c r="B382" s="15" t="str">
        <x:v>University of Newcastle</x:v>
      </x:c>
      <x:c r="C382" s="15" t="str">
        <x:v>Australia</x:v>
      </x:c>
      <x:c r="D382" s="15" t="str">
        <x:v>Master of Environmental Management and Sustainability</x:v>
      </x:c>
      <x:c r="E382" s="32" t="n">
        <x:v>2024</x:v>
      </x:c>
      <x:c r="F382" s="32" t="str">
        <x:v>200+</x:v>
      </x:c>
      <x:c r="G382" s="36"/>
      <x:c r="H382" s="15" t="str">
        <x:v>Published beyond rank 200; exact value intentionally suppressed</x:v>
      </x:c>
      <x:c r="I382" s="15" t="str">
        <x:v>University of Newcastle</x:v>
      </x:c>
      <x:c r="J382" s="31" t="str">
        <x:v>https://www.timeshighereducation.com/world-university-rankings/university-newcastle</x:v>
      </x:c>
      <x:c r="K382" s="31" t="str">
        <x:v>https://www.timeshighereducation.com/world-university-rankings/2024/world-ranking</x:v>
      </x:c>
      <x:c r="L382" s="31" t="str">
        <x:v>https://www.newcastle.edu.au/degrees/master-environmental-management-sustainability</x:v>
      </x:c>
    </x:row>
    <x:row r="383">
      <x:c r="A383" s="15" t="n">
        <x:v>77</x:v>
      </x:c>
      <x:c r="B383" s="15" t="str">
        <x:v>University of Newcastle</x:v>
      </x:c>
      <x:c r="C383" s="15" t="str">
        <x:v>Australia</x:v>
      </x:c>
      <x:c r="D383" s="15" t="str">
        <x:v>Master of Environmental Management and Sustainability</x:v>
      </x:c>
      <x:c r="E383" s="32" t="n">
        <x:v>2025</x:v>
      </x:c>
      <x:c r="F383" s="32" t="str">
        <x:v>200+</x:v>
      </x:c>
      <x:c r="G383" s="36"/>
      <x:c r="H383" s="15" t="str">
        <x:v>Published beyond rank 200; exact value intentionally suppressed</x:v>
      </x:c>
      <x:c r="I383" s="15" t="str">
        <x:v>University of Newcastle</x:v>
      </x:c>
      <x:c r="J383" s="31" t="str">
        <x:v>https://www.timeshighereducation.com/world-university-rankings/university-newcastle</x:v>
      </x:c>
      <x:c r="K383" s="31" t="str">
        <x:v>https://www.timeshighereducation.com/world-university-rankings/2025/world-ranking</x:v>
      </x:c>
      <x:c r="L383" s="31" t="str">
        <x:v>https://www.newcastle.edu.au/degrees/master-environmental-management-sustainability</x:v>
      </x:c>
    </x:row>
    <x:row r="384">
      <x:c r="A384" s="15" t="n">
        <x:v>77</x:v>
      </x:c>
      <x:c r="B384" s="15" t="str">
        <x:v>University of Newcastle</x:v>
      </x:c>
      <x:c r="C384" s="15" t="str">
        <x:v>Australia</x:v>
      </x:c>
      <x:c r="D384" s="15" t="str">
        <x:v>Master of Environmental Management and Sustainability</x:v>
      </x:c>
      <x:c r="E384" s="32" t="n">
        <x:v>2026</x:v>
      </x:c>
      <x:c r="F384" s="32" t="str">
        <x:v>200+</x:v>
      </x:c>
      <x:c r="G384" s="36"/>
      <x:c r="H384" s="15" t="str">
        <x:v>Published beyond rank 200; exact value intentionally suppressed</x:v>
      </x:c>
      <x:c r="I384" s="15" t="str">
        <x:v>University of Newcastle</x:v>
      </x:c>
      <x:c r="J384" s="31" t="str">
        <x:v>https://www.timeshighereducation.com/world-university-rankings/university-newcastle</x:v>
      </x:c>
      <x:c r="K384" s="31" t="str">
        <x:v>https://www.timeshighereducation.com/world-university-rankings/2026/world-ranking</x:v>
      </x:c>
      <x:c r="L384" s="31" t="str">
        <x:v>https://www.newcastle.edu.au/degrees/master-environmental-management-sustainability</x:v>
      </x:c>
    </x:row>
    <x:row r="385">
      <x:c r="A385" s="15" t="n">
        <x:v>78</x:v>
      </x:c>
      <x:c r="B385" s="15" t="str">
        <x:v>Northumbria University</x:v>
      </x:c>
      <x:c r="C385" s="15" t="str">
        <x:v>United Kingdom</x:v>
      </x:c>
      <x:c r="D385" s="15" t="str">
        <x:v>MSc Disaster Management and Sustainable Development</x:v>
      </x:c>
      <x:c r="E385" s="32" t="n">
        <x:v>2022</x:v>
      </x:c>
      <x:c r="F385" s="32" t="str">
        <x:v>200+</x:v>
      </x:c>
      <x:c r="G385" s="36"/>
      <x:c r="H385" s="15" t="str">
        <x:v>Published beyond rank 200; exact value intentionally suppressed</x:v>
      </x:c>
      <x:c r="I385" s="15" t="str">
        <x:v>Northumbria University</x:v>
      </x:c>
      <x:c r="J385" s="31" t="str">
        <x:v>https://www.timeshighereducation.com/world-university-rankings/northumbria-university</x:v>
      </x:c>
      <x:c r="K385" s="31" t="str">
        <x:v>https://www.timeshighereducation.com/world-university-rankings/2022/world-ranking</x:v>
      </x:c>
      <x:c r="L385" s="31" t="str">
        <x:v>https://www.northumbria.ac.uk/study-at-northumbria/courses/disaster-management-and-sustainable-development-with-advanced-practice-msc-ft-dtsdds6/</x:v>
      </x:c>
    </x:row>
    <x:row r="386">
      <x:c r="A386" s="15" t="n">
        <x:v>78</x:v>
      </x:c>
      <x:c r="B386" s="15" t="str">
        <x:v>Northumbria University</x:v>
      </x:c>
      <x:c r="C386" s="15" t="str">
        <x:v>United Kingdom</x:v>
      </x:c>
      <x:c r="D386" s="15" t="str">
        <x:v>MSc Disaster Management and Sustainable Development</x:v>
      </x:c>
      <x:c r="E386" s="32" t="n">
        <x:v>2023</x:v>
      </x:c>
      <x:c r="F386" s="32" t="str">
        <x:v>200+</x:v>
      </x:c>
      <x:c r="G386" s="36"/>
      <x:c r="H386" s="15" t="str">
        <x:v>Published beyond rank 200; exact value intentionally suppressed</x:v>
      </x:c>
      <x:c r="I386" s="15" t="str">
        <x:v>Northumbria University</x:v>
      </x:c>
      <x:c r="J386" s="31" t="str">
        <x:v>https://www.timeshighereducation.com/world-university-rankings/northumbria-university</x:v>
      </x:c>
      <x:c r="K386" s="31" t="str">
        <x:v>https://www.timeshighereducation.com/world-university-rankings/2023/world-ranking</x:v>
      </x:c>
      <x:c r="L386" s="31" t="str">
        <x:v>https://www.northumbria.ac.uk/study-at-northumbria/courses/disaster-management-and-sustainable-development-with-advanced-practice-msc-ft-dtsdds6/</x:v>
      </x:c>
    </x:row>
    <x:row r="387">
      <x:c r="A387" s="15" t="n">
        <x:v>78</x:v>
      </x:c>
      <x:c r="B387" s="15" t="str">
        <x:v>Northumbria University</x:v>
      </x:c>
      <x:c r="C387" s="15" t="str">
        <x:v>United Kingdom</x:v>
      </x:c>
      <x:c r="D387" s="15" t="str">
        <x:v>MSc Disaster Management and Sustainable Development</x:v>
      </x:c>
      <x:c r="E387" s="32" t="n">
        <x:v>2024</x:v>
      </x:c>
      <x:c r="F387" s="32" t="str">
        <x:v>200+</x:v>
      </x:c>
      <x:c r="G387" s="36"/>
      <x:c r="H387" s="15" t="str">
        <x:v>Published beyond rank 200; exact value intentionally suppressed</x:v>
      </x:c>
      <x:c r="I387" s="15" t="str">
        <x:v>Northumbria University</x:v>
      </x:c>
      <x:c r="J387" s="31" t="str">
        <x:v>https://www.timeshighereducation.com/world-university-rankings/northumbria-university</x:v>
      </x:c>
      <x:c r="K387" s="31" t="str">
        <x:v>https://www.timeshighereducation.com/world-university-rankings/2024/world-ranking</x:v>
      </x:c>
      <x:c r="L387" s="31" t="str">
        <x:v>https://www.northumbria.ac.uk/study-at-northumbria/courses/disaster-management-and-sustainable-development-with-advanced-practice-msc-ft-dtsdds6/</x:v>
      </x:c>
    </x:row>
    <x:row r="388">
      <x:c r="A388" s="15" t="n">
        <x:v>78</x:v>
      </x:c>
      <x:c r="B388" s="15" t="str">
        <x:v>Northumbria University</x:v>
      </x:c>
      <x:c r="C388" s="15" t="str">
        <x:v>United Kingdom</x:v>
      </x:c>
      <x:c r="D388" s="15" t="str">
        <x:v>MSc Disaster Management and Sustainable Development</x:v>
      </x:c>
      <x:c r="E388" s="32" t="n">
        <x:v>2025</x:v>
      </x:c>
      <x:c r="F388" s="32" t="str">
        <x:v>200+</x:v>
      </x:c>
      <x:c r="G388" s="36"/>
      <x:c r="H388" s="15" t="str">
        <x:v>Published beyond rank 200; exact value intentionally suppressed</x:v>
      </x:c>
      <x:c r="I388" s="15" t="str">
        <x:v>Northumbria University</x:v>
      </x:c>
      <x:c r="J388" s="31" t="str">
        <x:v>https://www.timeshighereducation.com/world-university-rankings/northumbria-university</x:v>
      </x:c>
      <x:c r="K388" s="31" t="str">
        <x:v>https://www.timeshighereducation.com/world-university-rankings/2025/world-ranking</x:v>
      </x:c>
      <x:c r="L388" s="31" t="str">
        <x:v>https://www.northumbria.ac.uk/study-at-northumbria/courses/disaster-management-and-sustainable-development-with-advanced-practice-msc-ft-dtsdds6/</x:v>
      </x:c>
    </x:row>
    <x:row r="389">
      <x:c r="A389" s="15" t="n">
        <x:v>78</x:v>
      </x:c>
      <x:c r="B389" s="15" t="str">
        <x:v>Northumbria University</x:v>
      </x:c>
      <x:c r="C389" s="15" t="str">
        <x:v>United Kingdom</x:v>
      </x:c>
      <x:c r="D389" s="15" t="str">
        <x:v>MSc Disaster Management and Sustainable Development</x:v>
      </x:c>
      <x:c r="E389" s="32" t="n">
        <x:v>2026</x:v>
      </x:c>
      <x:c r="F389" s="32" t="str">
        <x:v>200+</x:v>
      </x:c>
      <x:c r="G389" s="36"/>
      <x:c r="H389" s="15" t="str">
        <x:v>Published beyond rank 200; exact value intentionally suppressed</x:v>
      </x:c>
      <x:c r="I389" s="15" t="str">
        <x:v>Northumbria University</x:v>
      </x:c>
      <x:c r="J389" s="31" t="str">
        <x:v>https://www.timeshighereducation.com/world-university-rankings/northumbria-university</x:v>
      </x:c>
      <x:c r="K389" s="31" t="str">
        <x:v>https://www.timeshighereducation.com/world-university-rankings/2026/world-ranking</x:v>
      </x:c>
      <x:c r="L389" s="31" t="str">
        <x:v>https://www.northumbria.ac.uk/study-at-northumbria/courses/disaster-management-and-sustainable-development-with-advanced-practice-msc-ft-dtsdds6/</x:v>
      </x:c>
    </x:row>
    <x:row r="390">
      <x:c r="A390" s="15" t="n">
        <x:v>79</x:v>
      </x:c>
      <x:c r="B390" s="15" t="str">
        <x:v>University of Indonesia</x:v>
      </x:c>
      <x:c r="C390" s="15" t="str">
        <x:v>Indonesia</x:v>
      </x:c>
      <x:c r="D390" s="15" t="str">
        <x:v>Master of Environmental Science</x:v>
      </x:c>
      <x:c r="E390" s="32" t="n">
        <x:v>2022</x:v>
      </x:c>
      <x:c r="F390" s="32" t="str">
        <x:v>200+</x:v>
      </x:c>
      <x:c r="G390" s="36"/>
      <x:c r="H390" s="15" t="str">
        <x:v>Published beyond rank 200; exact value intentionally suppressed</x:v>
      </x:c>
      <x:c r="I390" s="15" t="str">
        <x:v>University of Indonesia</x:v>
      </x:c>
      <x:c r="J390" s="31" t="str">
        <x:v>https://www.timeshighereducation.com/world-university-rankings/university-indonesia</x:v>
      </x:c>
      <x:c r="K390" s="31" t="str">
        <x:v>https://www.timeshighereducation.com/world-university-rankings/2022/world-ranking</x:v>
      </x:c>
      <x:c r="L390" s="31" t="str">
        <x:v>https://sil.ui.ac.id/en/master-of-environmental-science/</x:v>
      </x:c>
    </x:row>
    <x:row r="391">
      <x:c r="A391" s="15" t="n">
        <x:v>79</x:v>
      </x:c>
      <x:c r="B391" s="15" t="str">
        <x:v>University of Indonesia</x:v>
      </x:c>
      <x:c r="C391" s="15" t="str">
        <x:v>Indonesia</x:v>
      </x:c>
      <x:c r="D391" s="15" t="str">
        <x:v>Master of Environmental Science</x:v>
      </x:c>
      <x:c r="E391" s="32" t="n">
        <x:v>2023</x:v>
      </x:c>
      <x:c r="F391" s="32" t="str">
        <x:v>200+</x:v>
      </x:c>
      <x:c r="G391" s="36"/>
      <x:c r="H391" s="15" t="str">
        <x:v>Published beyond rank 200; exact value intentionally suppressed</x:v>
      </x:c>
      <x:c r="I391" s="15" t="str">
        <x:v>University of Indonesia</x:v>
      </x:c>
      <x:c r="J391" s="31" t="str">
        <x:v>https://www.timeshighereducation.com/world-university-rankings/university-indonesia</x:v>
      </x:c>
      <x:c r="K391" s="31" t="str">
        <x:v>https://www.timeshighereducation.com/world-university-rankings/2023/world-ranking</x:v>
      </x:c>
      <x:c r="L391" s="31" t="str">
        <x:v>https://sil.ui.ac.id/en/master-of-environmental-science/</x:v>
      </x:c>
    </x:row>
    <x:row r="392">
      <x:c r="A392" s="15" t="n">
        <x:v>79</x:v>
      </x:c>
      <x:c r="B392" s="15" t="str">
        <x:v>University of Indonesia</x:v>
      </x:c>
      <x:c r="C392" s="15" t="str">
        <x:v>Indonesia</x:v>
      </x:c>
      <x:c r="D392" s="15" t="str">
        <x:v>Master of Environmental Science</x:v>
      </x:c>
      <x:c r="E392" s="32" t="n">
        <x:v>2024</x:v>
      </x:c>
      <x:c r="F392" s="32" t="str">
        <x:v>200+</x:v>
      </x:c>
      <x:c r="G392" s="36"/>
      <x:c r="H392" s="15" t="str">
        <x:v>Published beyond rank 200; exact value intentionally suppressed</x:v>
      </x:c>
      <x:c r="I392" s="15" t="str">
        <x:v>University of Indonesia</x:v>
      </x:c>
      <x:c r="J392" s="31" t="str">
        <x:v>https://www.timeshighereducation.com/world-university-rankings/university-indonesia</x:v>
      </x:c>
      <x:c r="K392" s="31" t="str">
        <x:v>https://www.timeshighereducation.com/world-university-rankings/2024/world-ranking</x:v>
      </x:c>
      <x:c r="L392" s="31" t="str">
        <x:v>https://sil.ui.ac.id/en/master-of-environmental-science/</x:v>
      </x:c>
    </x:row>
    <x:row r="393">
      <x:c r="A393" s="15" t="n">
        <x:v>79</x:v>
      </x:c>
      <x:c r="B393" s="15" t="str">
        <x:v>University of Indonesia</x:v>
      </x:c>
      <x:c r="C393" s="15" t="str">
        <x:v>Indonesia</x:v>
      </x:c>
      <x:c r="D393" s="15" t="str">
        <x:v>Master of Environmental Science</x:v>
      </x:c>
      <x:c r="E393" s="32" t="n">
        <x:v>2025</x:v>
      </x:c>
      <x:c r="F393" s="32" t="str">
        <x:v>200+</x:v>
      </x:c>
      <x:c r="G393" s="36"/>
      <x:c r="H393" s="15" t="str">
        <x:v>Published beyond rank 200; exact value intentionally suppressed</x:v>
      </x:c>
      <x:c r="I393" s="15" t="str">
        <x:v>University of Indonesia</x:v>
      </x:c>
      <x:c r="J393" s="31" t="str">
        <x:v>https://www.timeshighereducation.com/world-university-rankings/university-indonesia</x:v>
      </x:c>
      <x:c r="K393" s="31" t="str">
        <x:v>https://www.timeshighereducation.com/world-university-rankings/2025/world-ranking</x:v>
      </x:c>
      <x:c r="L393" s="31" t="str">
        <x:v>https://sil.ui.ac.id/en/master-of-environmental-science/</x:v>
      </x:c>
    </x:row>
    <x:row r="394">
      <x:c r="A394" s="15" t="n">
        <x:v>79</x:v>
      </x:c>
      <x:c r="B394" s="15" t="str">
        <x:v>University of Indonesia</x:v>
      </x:c>
      <x:c r="C394" s="15" t="str">
        <x:v>Indonesia</x:v>
      </x:c>
      <x:c r="D394" s="15" t="str">
        <x:v>Master of Environmental Science</x:v>
      </x:c>
      <x:c r="E394" s="32" t="n">
        <x:v>2026</x:v>
      </x:c>
      <x:c r="F394" s="32" t="str">
        <x:v>200+</x:v>
      </x:c>
      <x:c r="G394" s="36"/>
      <x:c r="H394" s="15" t="str">
        <x:v>Published beyond rank 200; exact value intentionally suppressed</x:v>
      </x:c>
      <x:c r="I394" s="15" t="str">
        <x:v>University of Indonesia</x:v>
      </x:c>
      <x:c r="J394" s="31" t="str">
        <x:v>https://www.timeshighereducation.com/world-university-rankings/university-indonesia</x:v>
      </x:c>
      <x:c r="K394" s="31" t="str">
        <x:v>https://www.timeshighereducation.com/world-university-rankings/2026/world-ranking</x:v>
      </x:c>
      <x:c r="L394" s="31" t="str">
        <x:v>https://sil.ui.ac.id/en/master-of-environmental-science/</x:v>
      </x:c>
    </x:row>
    <x:row r="395">
      <x:c r="A395" s="15" t="n">
        <x:v>80</x:v>
      </x:c>
      <x:c r="B395" s="15" t="str">
        <x:v>An-Najah National University</x:v>
      </x:c>
      <x:c r="C395" s="15" t="str">
        <x:v>Palestine</x:v>
      </x:c>
      <x:c r="D395" s="15" t="str">
        <x:v>MSc Environmental Sciences</x:v>
      </x:c>
      <x:c r="E395" s="32" t="n">
        <x:v>2022</x:v>
      </x:c>
      <x:c r="F395" s="32" t="str">
        <x:v>200+</x:v>
      </x:c>
      <x:c r="G395" s="36"/>
      <x:c r="H395" s="15" t="str">
        <x:v>Published beyond rank 200; exact value intentionally suppressed</x:v>
      </x:c>
      <x:c r="I395" s="15" t="str">
        <x:v>An-Najah National University</x:v>
      </x:c>
      <x:c r="J395" s="31" t="str">
        <x:v>https://www.timeshighereducation.com/world-university-rankings/najah-national-university</x:v>
      </x:c>
      <x:c r="K395" s="31" t="str">
        <x:v>https://www.timeshighereducation.com/world-university-rankings/2022/world-ranking</x:v>
      </x:c>
      <x:c r="L395" s="31" t="str">
        <x:v>https://www.najah.edu/en/academic/postgraduate-programs/program/environmental-sciences/info-card/</x:v>
      </x:c>
    </x:row>
    <x:row r="396">
      <x:c r="A396" s="15" t="n">
        <x:v>80</x:v>
      </x:c>
      <x:c r="B396" s="15" t="str">
        <x:v>An-Najah National University</x:v>
      </x:c>
      <x:c r="C396" s="15" t="str">
        <x:v>Palestine</x:v>
      </x:c>
      <x:c r="D396" s="15" t="str">
        <x:v>MSc Environmental Sciences</x:v>
      </x:c>
      <x:c r="E396" s="32" t="n">
        <x:v>2023</x:v>
      </x:c>
      <x:c r="F396" s="32" t="str">
        <x:v>200+</x:v>
      </x:c>
      <x:c r="G396" s="36"/>
      <x:c r="H396" s="15" t="str">
        <x:v>Published beyond rank 200; exact value intentionally suppressed</x:v>
      </x:c>
      <x:c r="I396" s="15" t="str">
        <x:v>An-Najah National University</x:v>
      </x:c>
      <x:c r="J396" s="31" t="str">
        <x:v>https://www.timeshighereducation.com/world-university-rankings/najah-national-university</x:v>
      </x:c>
      <x:c r="K396" s="31" t="str">
        <x:v>https://www.timeshighereducation.com/world-university-rankings/2023/world-ranking</x:v>
      </x:c>
      <x:c r="L396" s="31" t="str">
        <x:v>https://www.najah.edu/en/academic/postgraduate-programs/program/environmental-sciences/info-card/</x:v>
      </x:c>
    </x:row>
    <x:row r="397">
      <x:c r="A397" s="15" t="n">
        <x:v>80</x:v>
      </x:c>
      <x:c r="B397" s="15" t="str">
        <x:v>An-Najah National University</x:v>
      </x:c>
      <x:c r="C397" s="15" t="str">
        <x:v>Palestine</x:v>
      </x:c>
      <x:c r="D397" s="15" t="str">
        <x:v>MSc Environmental Sciences</x:v>
      </x:c>
      <x:c r="E397" s="32" t="n">
        <x:v>2024</x:v>
      </x:c>
      <x:c r="F397" s="32" t="str">
        <x:v>200+</x:v>
      </x:c>
      <x:c r="G397" s="36"/>
      <x:c r="H397" s="15" t="str">
        <x:v>Published beyond rank 200; exact value intentionally suppressed</x:v>
      </x:c>
      <x:c r="I397" s="15" t="str">
        <x:v>An-Najah National University</x:v>
      </x:c>
      <x:c r="J397" s="31" t="str">
        <x:v>https://www.timeshighereducation.com/world-university-rankings/najah-national-university</x:v>
      </x:c>
      <x:c r="K397" s="31" t="str">
        <x:v>https://www.timeshighereducation.com/world-university-rankings/2024/world-ranking</x:v>
      </x:c>
      <x:c r="L397" s="31" t="str">
        <x:v>https://www.najah.edu/en/academic/postgraduate-programs/program/environmental-sciences/info-card/</x:v>
      </x:c>
    </x:row>
    <x:row r="398">
      <x:c r="A398" s="15" t="n">
        <x:v>80</x:v>
      </x:c>
      <x:c r="B398" s="15" t="str">
        <x:v>An-Najah National University</x:v>
      </x:c>
      <x:c r="C398" s="15" t="str">
        <x:v>Palestine</x:v>
      </x:c>
      <x:c r="D398" s="15" t="str">
        <x:v>MSc Environmental Sciences</x:v>
      </x:c>
      <x:c r="E398" s="32" t="n">
        <x:v>2025</x:v>
      </x:c>
      <x:c r="F398" s="32" t="str">
        <x:v>200+</x:v>
      </x:c>
      <x:c r="G398" s="36"/>
      <x:c r="H398" s="15" t="str">
        <x:v>Published beyond rank 200; exact value intentionally suppressed</x:v>
      </x:c>
      <x:c r="I398" s="15" t="str">
        <x:v>An-Najah National University</x:v>
      </x:c>
      <x:c r="J398" s="31" t="str">
        <x:v>https://www.timeshighereducation.com/world-university-rankings/najah-national-university</x:v>
      </x:c>
      <x:c r="K398" s="31" t="str">
        <x:v>https://www.timeshighereducation.com/world-university-rankings/2025/world-ranking</x:v>
      </x:c>
      <x:c r="L398" s="31" t="str">
        <x:v>https://www.najah.edu/en/academic/postgraduate-programs/program/environmental-sciences/info-card/</x:v>
      </x:c>
    </x:row>
    <x:row r="399">
      <x:c r="A399" s="15" t="n">
        <x:v>80</x:v>
      </x:c>
      <x:c r="B399" s="15" t="str">
        <x:v>An-Najah National University</x:v>
      </x:c>
      <x:c r="C399" s="15" t="str">
        <x:v>Palestine</x:v>
      </x:c>
      <x:c r="D399" s="15" t="str">
        <x:v>MSc Environmental Sciences</x:v>
      </x:c>
      <x:c r="E399" s="32" t="n">
        <x:v>2026</x:v>
      </x:c>
      <x:c r="F399" s="32" t="str">
        <x:v>200+</x:v>
      </x:c>
      <x:c r="G399" s="36"/>
      <x:c r="H399" s="15" t="str">
        <x:v>Published beyond rank 200; exact value intentionally suppressed</x:v>
      </x:c>
      <x:c r="I399" s="15" t="str">
        <x:v>An-Najah National University</x:v>
      </x:c>
      <x:c r="J399" s="31" t="str">
        <x:v>https://www.timeshighereducation.com/world-university-rankings/najah-national-university</x:v>
      </x:c>
      <x:c r="K399" s="31" t="str">
        <x:v>https://www.timeshighereducation.com/world-university-rankings/2026/world-ranking</x:v>
      </x:c>
      <x:c r="L399" s="31" t="str">
        <x:v>https://www.najah.edu/en/academic/postgraduate-programs/program/environmental-sciences/info-card/</x:v>
      </x:c>
    </x:row>
    <x:row r="400">
      <x:c r="A400" s="15" t="n">
        <x:v>81</x:v>
      </x:c>
      <x:c r="B400" s="15" t="str">
        <x:v>Arizona State University (Tempe)</x:v>
      </x:c>
      <x:c r="C400" s="15" t="str">
        <x:v>United States</x:v>
      </x:c>
      <x:c r="D400" s="15" t="str">
        <x:v>Master of Sustainability Solutions</x:v>
      </x:c>
      <x:c r="E400" s="32" t="n">
        <x:v>2022</x:v>
      </x:c>
      <x:c r="F400" s="32" t="n">
        <x:f>132</x:f>
        <x:v>132</x:v>
      </x:c>
      <x:c r="G400" s="36" t="n">
        <x:v>58.6</x:v>
      </x:c>
      <x:c r="H400" s="15" t="str">
        <x:v>Published rank retained</x:v>
      </x:c>
      <x:c r="I400" s="15" t="str">
        <x:v>Arizona State University (Tempe)</x:v>
      </x:c>
      <x:c r="J400" s="31" t="str">
        <x:v>https://www.timeshighereducation.com/world-university-rankings/arizona-state-university-tempe</x:v>
      </x:c>
      <x:c r="K400" s="31" t="str">
        <x:v>https://www.timeshighereducation.com/world-university-rankings/2022/world-ranking</x:v>
      </x:c>
      <x:c r="L400" s="31" t="str">
        <x:v>https://degrees.apps.asu.edu/masters-phd/major/ASU00/SUSUSOMSUS/sustainability-solutions-msus?init=false&amp;nopassive=true</x:v>
      </x:c>
    </x:row>
    <x:row r="401">
      <x:c r="A401" s="15" t="n">
        <x:v>81</x:v>
      </x:c>
      <x:c r="B401" s="15" t="str">
        <x:v>Arizona State University (Tempe)</x:v>
      </x:c>
      <x:c r="C401" s="15" t="str">
        <x:v>United States</x:v>
      </x:c>
      <x:c r="D401" s="15" t="str">
        <x:v>Master of Sustainability Solutions</x:v>
      </x:c>
      <x:c r="E401" s="32" t="n">
        <x:v>2023</x:v>
      </x:c>
      <x:c r="F401" s="32" t="n">
        <x:f>156</x:f>
        <x:v>156</x:v>
      </x:c>
      <x:c r="G401" s="36" t="n">
        <x:v>57.4</x:v>
      </x:c>
      <x:c r="H401" s="15" t="str">
        <x:v>Published rank retained</x:v>
      </x:c>
      <x:c r="I401" s="15" t="str">
        <x:v>Arizona State University (Tempe)</x:v>
      </x:c>
      <x:c r="J401" s="31" t="str">
        <x:v>https://www.timeshighereducation.com/world-university-rankings/arizona-state-university-tempe</x:v>
      </x:c>
      <x:c r="K401" s="31" t="str">
        <x:v>https://www.timeshighereducation.com/world-university-rankings/2023/world-ranking</x:v>
      </x:c>
      <x:c r="L401" s="31" t="str">
        <x:v>https://degrees.apps.asu.edu/masters-phd/major/ASU00/SUSUSOMSUS/sustainability-solutions-msus?init=false&amp;nopassive=true</x:v>
      </x:c>
    </x:row>
    <x:row r="402">
      <x:c r="A402" s="15" t="n">
        <x:v>81</x:v>
      </x:c>
      <x:c r="B402" s="15" t="str">
        <x:v>Arizona State University (Tempe)</x:v>
      </x:c>
      <x:c r="C402" s="15" t="str">
        <x:v>United States</x:v>
      </x:c>
      <x:c r="D402" s="15" t="str">
        <x:v>Master of Sustainability Solutions</x:v>
      </x:c>
      <x:c r="E402" s="32" t="n">
        <x:v>2024</x:v>
      </x:c>
      <x:c r="F402" s="32" t="str">
        <x:v>182</x:v>
      </x:c>
      <x:c r="G402" s="36" t="n">
        <x:v>59.9</x:v>
      </x:c>
      <x:c r="H402" s="15" t="str">
        <x:v>Published rank retained</x:v>
      </x:c>
      <x:c r="I402" s="15" t="str">
        <x:v>Arizona State University (Tempe)</x:v>
      </x:c>
      <x:c r="J402" s="31" t="str">
        <x:v>https://www.timeshighereducation.com/world-university-rankings/arizona-state-university-tempe</x:v>
      </x:c>
      <x:c r="K402" s="31" t="str">
        <x:v>https://www.timeshighereducation.com/world-university-rankings/2024/world-ranking</x:v>
      </x:c>
      <x:c r="L402" s="31" t="str">
        <x:v>https://degrees.apps.asu.edu/masters-phd/major/ASU00/SUSUSOMSUS/sustainability-solutions-msus?init=false&amp;nopassive=true</x:v>
      </x:c>
    </x:row>
    <x:row r="403">
      <x:c r="A403" s="15" t="n">
        <x:v>81</x:v>
      </x:c>
      <x:c r="B403" s="15" t="str">
        <x:v>Arizona State University (Tempe)</x:v>
      </x:c>
      <x:c r="C403" s="15" t="str">
        <x:v>United States</x:v>
      </x:c>
      <x:c r="D403" s="15" t="str">
        <x:v>Master of Sustainability Solutions</x:v>
      </x:c>
      <x:c r="E403" s="32" t="n">
        <x:v>2025</x:v>
      </x:c>
      <x:c r="F403" s="32" t="str">
        <x:v>200+</x:v>
      </x:c>
      <x:c r="G403" s="36"/>
      <x:c r="H403" s="15" t="str">
        <x:v>Published beyond rank 200; exact value intentionally suppressed</x:v>
      </x:c>
      <x:c r="I403" s="15" t="str">
        <x:v>Arizona State University (Tempe)</x:v>
      </x:c>
      <x:c r="J403" s="31" t="str">
        <x:v>https://www.timeshighereducation.com/world-university-rankings/arizona-state-university-tempe</x:v>
      </x:c>
      <x:c r="K403" s="31" t="str">
        <x:v>https://www.timeshighereducation.com/world-university-rankings/2025/world-ranking</x:v>
      </x:c>
      <x:c r="L403" s="31" t="str">
        <x:v>https://degrees.apps.asu.edu/masters-phd/major/ASU00/SUSUSOMSUS/sustainability-solutions-msus?init=false&amp;nopassive=true</x:v>
      </x:c>
    </x:row>
    <x:row r="404">
      <x:c r="A404" s="15" t="n">
        <x:v>81</x:v>
      </x:c>
      <x:c r="B404" s="15" t="str">
        <x:v>Arizona State University (Tempe)</x:v>
      </x:c>
      <x:c r="C404" s="15" t="str">
        <x:v>United States</x:v>
      </x:c>
      <x:c r="D404" s="15" t="str">
        <x:v>Master of Sustainability Solutions</x:v>
      </x:c>
      <x:c r="E404" s="32" t="n">
        <x:v>2026</x:v>
      </x:c>
      <x:c r="F404" s="32" t="str">
        <x:v>200+</x:v>
      </x:c>
      <x:c r="G404" s="36"/>
      <x:c r="H404" s="15" t="str">
        <x:v>Published beyond rank 200; exact value intentionally suppressed</x:v>
      </x:c>
      <x:c r="I404" s="15" t="str">
        <x:v>Arizona State University (Tempe)</x:v>
      </x:c>
      <x:c r="J404" s="31" t="str">
        <x:v>https://www.timeshighereducation.com/world-university-rankings/arizona-state-university-tempe</x:v>
      </x:c>
      <x:c r="K404" s="31" t="str">
        <x:v>https://www.timeshighereducation.com/world-university-rankings/2026/world-ranking</x:v>
      </x:c>
      <x:c r="L404" s="31" t="str">
        <x:v>https://degrees.apps.asu.edu/masters-phd/major/ASU00/SUSUSOMSUS/sustainability-solutions-msus?init=false&amp;nopassive=true</x:v>
      </x:c>
    </x:row>
    <x:row r="405">
      <x:c r="A405" s="15" t="n">
        <x:v>82</x:v>
      </x:c>
      <x:c r="B405" s="15" t="str">
        <x:v>King Faisal University</x:v>
      </x:c>
      <x:c r="C405" s="15" t="str">
        <x:v>Saudi Arabia</x:v>
      </x:c>
      <x:c r="D405" s="15" t="str">
        <x:v>MSc Agricultural Systems Engineering - Environmental Systems discipline</x:v>
      </x:c>
      <x:c r="E405" s="32" t="n">
        <x:v>2022</x:v>
      </x:c>
      <x:c r="F405" s="32" t="str">
        <x:v>200+</x:v>
      </x:c>
      <x:c r="G405" s="36"/>
      <x:c r="H405" s="15" t="str">
        <x:v>Published beyond rank 200; exact value intentionally suppressed</x:v>
      </x:c>
      <x:c r="I405" s="15" t="str">
        <x:v>King Faisal University</x:v>
      </x:c>
      <x:c r="J405" s="31" t="str">
        <x:v>https://www.timeshighereducation.com/world-university-rankings/king-faisal-university</x:v>
      </x:c>
      <x:c r="K405" s="31" t="str">
        <x:v>https://www.timeshighereducation.com/world-university-rankings/2022/world-ranking</x:v>
      </x:c>
      <x:c r="L405" s="31" t="str">
        <x:v>https://www.kfu.edu.sa/ar/Deans/HigherStudies/Documents/custompages/studyplans/MSc_Agriculture_Engineering_Information.pdf</x:v>
      </x:c>
    </x:row>
    <x:row r="406">
      <x:c r="A406" s="15" t="n">
        <x:v>82</x:v>
      </x:c>
      <x:c r="B406" s="15" t="str">
        <x:v>King Faisal University</x:v>
      </x:c>
      <x:c r="C406" s="15" t="str">
        <x:v>Saudi Arabia</x:v>
      </x:c>
      <x:c r="D406" s="15" t="str">
        <x:v>MSc Agricultural Systems Engineering - Environmental Systems discipline</x:v>
      </x:c>
      <x:c r="E406" s="32" t="n">
        <x:v>2023</x:v>
      </x:c>
      <x:c r="F406" s="32" t="str">
        <x:v>200+</x:v>
      </x:c>
      <x:c r="G406" s="36"/>
      <x:c r="H406" s="15" t="str">
        <x:v>Published beyond rank 200; exact value intentionally suppressed</x:v>
      </x:c>
      <x:c r="I406" s="15" t="str">
        <x:v>King Faisal University</x:v>
      </x:c>
      <x:c r="J406" s="31" t="str">
        <x:v>https://www.timeshighereducation.com/world-university-rankings/king-faisal-university</x:v>
      </x:c>
      <x:c r="K406" s="31" t="str">
        <x:v>https://www.timeshighereducation.com/world-university-rankings/2023/world-ranking</x:v>
      </x:c>
      <x:c r="L406" s="31" t="str">
        <x:v>https://www.kfu.edu.sa/ar/Deans/HigherStudies/Documents/custompages/studyplans/MSc_Agriculture_Engineering_Information.pdf</x:v>
      </x:c>
    </x:row>
    <x:row r="407">
      <x:c r="A407" s="15" t="n">
        <x:v>82</x:v>
      </x:c>
      <x:c r="B407" s="15" t="str">
        <x:v>King Faisal University</x:v>
      </x:c>
      <x:c r="C407" s="15" t="str">
        <x:v>Saudi Arabia</x:v>
      </x:c>
      <x:c r="D407" s="15" t="str">
        <x:v>MSc Agricultural Systems Engineering - Environmental Systems discipline</x:v>
      </x:c>
      <x:c r="E407" s="32" t="n">
        <x:v>2024</x:v>
      </x:c>
      <x:c r="F407" s="32" t="str">
        <x:v>200+</x:v>
      </x:c>
      <x:c r="G407" s="36"/>
      <x:c r="H407" s="15" t="str">
        <x:v>Published beyond rank 200; exact value intentionally suppressed</x:v>
      </x:c>
      <x:c r="I407" s="15" t="str">
        <x:v>King Faisal University</x:v>
      </x:c>
      <x:c r="J407" s="31" t="str">
        <x:v>https://www.timeshighereducation.com/world-university-rankings/king-faisal-university</x:v>
      </x:c>
      <x:c r="K407" s="31" t="str">
        <x:v>https://www.timeshighereducation.com/world-university-rankings/2024/world-ranking</x:v>
      </x:c>
      <x:c r="L407" s="31" t="str">
        <x:v>https://www.kfu.edu.sa/ar/Deans/HigherStudies/Documents/custompages/studyplans/MSc_Agriculture_Engineering_Information.pdf</x:v>
      </x:c>
    </x:row>
    <x:row r="408">
      <x:c r="A408" s="15" t="n">
        <x:v>82</x:v>
      </x:c>
      <x:c r="B408" s="15" t="str">
        <x:v>King Faisal University</x:v>
      </x:c>
      <x:c r="C408" s="15" t="str">
        <x:v>Saudi Arabia</x:v>
      </x:c>
      <x:c r="D408" s="15" t="str">
        <x:v>MSc Agricultural Systems Engineering - Environmental Systems discipline</x:v>
      </x:c>
      <x:c r="E408" s="32" t="n">
        <x:v>2025</x:v>
      </x:c>
      <x:c r="F408" s="32" t="str">
        <x:v>200+</x:v>
      </x:c>
      <x:c r="G408" s="36"/>
      <x:c r="H408" s="15" t="str">
        <x:v>Published beyond rank 200; exact value intentionally suppressed</x:v>
      </x:c>
      <x:c r="I408" s="15" t="str">
        <x:v>King Faisal University</x:v>
      </x:c>
      <x:c r="J408" s="31" t="str">
        <x:v>https://www.timeshighereducation.com/world-university-rankings/king-faisal-university</x:v>
      </x:c>
      <x:c r="K408" s="31" t="str">
        <x:v>https://www.timeshighereducation.com/world-university-rankings/2025/world-ranking</x:v>
      </x:c>
      <x:c r="L408" s="31" t="str">
        <x:v>https://www.kfu.edu.sa/ar/Deans/HigherStudies/Documents/custompages/studyplans/MSc_Agriculture_Engineering_Information.pdf</x:v>
      </x:c>
    </x:row>
    <x:row r="409">
      <x:c r="A409" s="15" t="n">
        <x:v>82</x:v>
      </x:c>
      <x:c r="B409" s="15" t="str">
        <x:v>King Faisal University</x:v>
      </x:c>
      <x:c r="C409" s="15" t="str">
        <x:v>Saudi Arabia</x:v>
      </x:c>
      <x:c r="D409" s="15" t="str">
        <x:v>MSc Agricultural Systems Engineering - Environmental Systems discipline</x:v>
      </x:c>
      <x:c r="E409" s="32" t="n">
        <x:v>2026</x:v>
      </x:c>
      <x:c r="F409" s="32" t="str">
        <x:v>200+</x:v>
      </x:c>
      <x:c r="G409" s="36"/>
      <x:c r="H409" s="15" t="str">
        <x:v>Published beyond rank 200; exact value intentionally suppressed</x:v>
      </x:c>
      <x:c r="I409" s="15" t="str">
        <x:v>King Faisal University</x:v>
      </x:c>
      <x:c r="J409" s="31" t="str">
        <x:v>https://www.timeshighereducation.com/world-university-rankings/king-faisal-university</x:v>
      </x:c>
      <x:c r="K409" s="31" t="str">
        <x:v>https://www.timeshighereducation.com/world-university-rankings/2026/world-ranking</x:v>
      </x:c>
      <x:c r="L409" s="31" t="str">
        <x:v>https://www.kfu.edu.sa/ar/Deans/HigherStudies/Documents/custompages/studyplans/MSc_Agriculture_Engineering_Information.pdf</x:v>
      </x:c>
    </x:row>
    <x:row r="410">
      <x:c r="A410" s="15" t="n">
        <x:v>83</x:v>
      </x:c>
      <x:c r="B410" s="15" t="str">
        <x:v>Flinders University</x:v>
      </x:c>
      <x:c r="C410" s="15" t="str">
        <x:v>Australia</x:v>
      </x:c>
      <x:c r="D410" s="15" t="str">
        <x:v>Master of Environmental Management and Sustainability</x:v>
      </x:c>
      <x:c r="E410" s="32" t="n">
        <x:v>2022</x:v>
      </x:c>
      <x:c r="F410" s="32" t="str">
        <x:v>200+</x:v>
      </x:c>
      <x:c r="G410" s="36"/>
      <x:c r="H410" s="15" t="str">
        <x:v>Published beyond rank 200; exact value intentionally suppressed</x:v>
      </x:c>
      <x:c r="I410" s="15" t="str">
        <x:v>Flinders University</x:v>
      </x:c>
      <x:c r="J410" s="31" t="str">
        <x:v>https://www.timeshighereducation.com/world-university-rankings/flinders-university</x:v>
      </x:c>
      <x:c r="K410" s="31" t="str">
        <x:v>https://www.timeshighereducation.com/world-university-rankings/2022/world-ranking</x:v>
      </x:c>
      <x:c r="L410" s="31" t="str">
        <x:v>https://www.flinders.edu.au/study/courses/postgraduate-environmental-management-sustainability</x:v>
      </x:c>
    </x:row>
    <x:row r="411">
      <x:c r="A411" s="15" t="n">
        <x:v>83</x:v>
      </x:c>
      <x:c r="B411" s="15" t="str">
        <x:v>Flinders University</x:v>
      </x:c>
      <x:c r="C411" s="15" t="str">
        <x:v>Australia</x:v>
      </x:c>
      <x:c r="D411" s="15" t="str">
        <x:v>Master of Environmental Management and Sustainability</x:v>
      </x:c>
      <x:c r="E411" s="32" t="n">
        <x:v>2023</x:v>
      </x:c>
      <x:c r="F411" s="32" t="str">
        <x:v>200+</x:v>
      </x:c>
      <x:c r="G411" s="36"/>
      <x:c r="H411" s="15" t="str">
        <x:v>Published beyond rank 200; exact value intentionally suppressed</x:v>
      </x:c>
      <x:c r="I411" s="15" t="str">
        <x:v>Flinders University</x:v>
      </x:c>
      <x:c r="J411" s="31" t="str">
        <x:v>https://www.timeshighereducation.com/world-university-rankings/flinders-university</x:v>
      </x:c>
      <x:c r="K411" s="31" t="str">
        <x:v>https://www.timeshighereducation.com/world-university-rankings/2023/world-ranking</x:v>
      </x:c>
      <x:c r="L411" s="31" t="str">
        <x:v>https://www.flinders.edu.au/study/courses/postgraduate-environmental-management-sustainability</x:v>
      </x:c>
    </x:row>
    <x:row r="412">
      <x:c r="A412" s="15" t="n">
        <x:v>83</x:v>
      </x:c>
      <x:c r="B412" s="15" t="str">
        <x:v>Flinders University</x:v>
      </x:c>
      <x:c r="C412" s="15" t="str">
        <x:v>Australia</x:v>
      </x:c>
      <x:c r="D412" s="15" t="str">
        <x:v>Master of Environmental Management and Sustainability</x:v>
      </x:c>
      <x:c r="E412" s="32" t="n">
        <x:v>2024</x:v>
      </x:c>
      <x:c r="F412" s="32" t="str">
        <x:v>200+</x:v>
      </x:c>
      <x:c r="G412" s="36"/>
      <x:c r="H412" s="15" t="str">
        <x:v>Published beyond rank 200; exact value intentionally suppressed</x:v>
      </x:c>
      <x:c r="I412" s="15" t="str">
        <x:v>Flinders University</x:v>
      </x:c>
      <x:c r="J412" s="31" t="str">
        <x:v>https://www.timeshighereducation.com/world-university-rankings/flinders-university</x:v>
      </x:c>
      <x:c r="K412" s="31" t="str">
        <x:v>https://www.timeshighereducation.com/world-university-rankings/2024/world-ranking</x:v>
      </x:c>
      <x:c r="L412" s="31" t="str">
        <x:v>https://www.flinders.edu.au/study/courses/postgraduate-environmental-management-sustainability</x:v>
      </x:c>
    </x:row>
    <x:row r="413">
      <x:c r="A413" s="15" t="n">
        <x:v>83</x:v>
      </x:c>
      <x:c r="B413" s="15" t="str">
        <x:v>Flinders University</x:v>
      </x:c>
      <x:c r="C413" s="15" t="str">
        <x:v>Australia</x:v>
      </x:c>
      <x:c r="D413" s="15" t="str">
        <x:v>Master of Environmental Management and Sustainability</x:v>
      </x:c>
      <x:c r="E413" s="32" t="n">
        <x:v>2025</x:v>
      </x:c>
      <x:c r="F413" s="32" t="str">
        <x:v>200+</x:v>
      </x:c>
      <x:c r="G413" s="36"/>
      <x:c r="H413" s="15" t="str">
        <x:v>Published beyond rank 200; exact value intentionally suppressed</x:v>
      </x:c>
      <x:c r="I413" s="15" t="str">
        <x:v>Flinders University</x:v>
      </x:c>
      <x:c r="J413" s="31" t="str">
        <x:v>https://www.timeshighereducation.com/world-university-rankings/flinders-university</x:v>
      </x:c>
      <x:c r="K413" s="31" t="str">
        <x:v>https://www.timeshighereducation.com/world-university-rankings/2025/world-ranking</x:v>
      </x:c>
      <x:c r="L413" s="31" t="str">
        <x:v>https://www.flinders.edu.au/study/courses/postgraduate-environmental-management-sustainability</x:v>
      </x:c>
    </x:row>
    <x:row r="414">
      <x:c r="A414" s="15" t="n">
        <x:v>83</x:v>
      </x:c>
      <x:c r="B414" s="15" t="str">
        <x:v>Flinders University</x:v>
      </x:c>
      <x:c r="C414" s="15" t="str">
        <x:v>Australia</x:v>
      </x:c>
      <x:c r="D414" s="15" t="str">
        <x:v>Master of Environmental Management and Sustainability</x:v>
      </x:c>
      <x:c r="E414" s="32" t="n">
        <x:v>2026</x:v>
      </x:c>
      <x:c r="F414" s="32" t="str">
        <x:v>200+</x:v>
      </x:c>
      <x:c r="G414" s="36"/>
      <x:c r="H414" s="15" t="str">
        <x:v>Published beyond rank 200; exact value intentionally suppressed</x:v>
      </x:c>
      <x:c r="I414" s="15" t="str">
        <x:v>Flinders University</x:v>
      </x:c>
      <x:c r="J414" s="31" t="str">
        <x:v>https://www.timeshighereducation.com/world-university-rankings/flinders-university</x:v>
      </x:c>
      <x:c r="K414" s="31" t="str">
        <x:v>https://www.timeshighereducation.com/world-university-rankings/2026/world-ranking</x:v>
      </x:c>
      <x:c r="L414" s="31" t="str">
        <x:v>https://www.flinders.edu.au/study/courses/postgraduate-environmental-management-sustainability</x:v>
      </x:c>
    </x:row>
    <x:row r="415">
      <x:c r="A415" s="15" t="n">
        <x:v>84</x:v>
      </x:c>
      <x:c r="B415" s="15" t="str">
        <x:v>Amrita Vishwa Vidyapeetham</x:v>
      </x:c>
      <x:c r="C415" s="15" t="str">
        <x:v>India</x:v>
      </x:c>
      <x:c r="D415" s="15" t="str">
        <x:v>No standalone sustainability/environment master's confirmed</x:v>
      </x:c>
      <x:c r="E415" s="32" t="n">
        <x:v>2022</x:v>
      </x:c>
      <x:c r="F415" s="32" t="str">
        <x:v>200+</x:v>
      </x:c>
      <x:c r="G415" s="36"/>
      <x:c r="H415" s="15" t="str">
        <x:v>Published beyond rank 200; exact value intentionally suppressed</x:v>
      </x:c>
      <x:c r="I415" s="15" t="str">
        <x:v>Amrita Vishwa Vidyapeetham</x:v>
      </x:c>
      <x:c r="J415" s="31" t="str">
        <x:v>https://www.timeshighereducation.com/world-university-rankings/amrita-vishwa-vidyapeetham</x:v>
      </x:c>
      <x:c r="K415" s="31" t="str">
        <x:v>https://www.timeshighereducation.com/world-university-rankings/2022/world-ranking</x:v>
      </x:c>
      <x:c r="L415" s="31" t="str">
        <x:v>https://www.amrita.edu/course/environmental-science-and-sustainability-6/</x:v>
      </x:c>
    </x:row>
    <x:row r="416">
      <x:c r="A416" s="15" t="n">
        <x:v>84</x:v>
      </x:c>
      <x:c r="B416" s="15" t="str">
        <x:v>Amrita Vishwa Vidyapeetham</x:v>
      </x:c>
      <x:c r="C416" s="15" t="str">
        <x:v>India</x:v>
      </x:c>
      <x:c r="D416" s="15" t="str">
        <x:v>No standalone sustainability/environment master's confirmed</x:v>
      </x:c>
      <x:c r="E416" s="32" t="n">
        <x:v>2023</x:v>
      </x:c>
      <x:c r="F416" s="32" t="str">
        <x:v>NR</x:v>
      </x:c>
      <x:c r="G416" s="36"/>
      <x:c r="H416" s="15" t="str">
        <x:v>Not ranked in complete official table</x:v>
      </x:c>
      <x:c r="I416" s="15" t="str"/>
      <x:c r="J416" s="31" t="str"/>
      <x:c r="K416" s="31" t="str">
        <x:v>https://www.timeshighereducation.com/world-university-rankings/2023/world-ranking</x:v>
      </x:c>
      <x:c r="L416" s="31" t="str">
        <x:v>https://www.amrita.edu/course/environmental-science-and-sustainability-6/</x:v>
      </x:c>
    </x:row>
    <x:row r="417">
      <x:c r="A417" s="15" t="n">
        <x:v>84</x:v>
      </x:c>
      <x:c r="B417" s="15" t="str">
        <x:v>Amrita Vishwa Vidyapeetham</x:v>
      </x:c>
      <x:c r="C417" s="15" t="str">
        <x:v>India</x:v>
      </x:c>
      <x:c r="D417" s="15" t="str">
        <x:v>No standalone sustainability/environment master's confirmed</x:v>
      </x:c>
      <x:c r="E417" s="32" t="n">
        <x:v>2024</x:v>
      </x:c>
      <x:c r="F417" s="32" t="str">
        <x:v>200+</x:v>
      </x:c>
      <x:c r="G417" s="36"/>
      <x:c r="H417" s="15" t="str">
        <x:v>Published beyond rank 200; exact value intentionally suppressed</x:v>
      </x:c>
      <x:c r="I417" s="15" t="str">
        <x:v>Amrita Vishwa Vidyapeetham</x:v>
      </x:c>
      <x:c r="J417" s="31" t="str">
        <x:v>https://www.timeshighereducation.com/world-university-rankings/amrita-vishwa-vidyapeetham</x:v>
      </x:c>
      <x:c r="K417" s="31" t="str">
        <x:v>https://www.timeshighereducation.com/world-university-rankings/2024/world-ranking</x:v>
      </x:c>
      <x:c r="L417" s="31" t="str">
        <x:v>https://www.amrita.edu/course/environmental-science-and-sustainability-6/</x:v>
      </x:c>
    </x:row>
    <x:row r="418">
      <x:c r="A418" s="15" t="n">
        <x:v>84</x:v>
      </x:c>
      <x:c r="B418" s="15" t="str">
        <x:v>Amrita Vishwa Vidyapeetham</x:v>
      </x:c>
      <x:c r="C418" s="15" t="str">
        <x:v>India</x:v>
      </x:c>
      <x:c r="D418" s="15" t="str">
        <x:v>No standalone sustainability/environment master's confirmed</x:v>
      </x:c>
      <x:c r="E418" s="32" t="n">
        <x:v>2025</x:v>
      </x:c>
      <x:c r="F418" s="32" t="str">
        <x:v>NR</x:v>
      </x:c>
      <x:c r="G418" s="36"/>
      <x:c r="H418" s="15" t="str">
        <x:v>Not ranked in complete official table</x:v>
      </x:c>
      <x:c r="I418" s="15" t="str"/>
      <x:c r="J418" s="31" t="str"/>
      <x:c r="K418" s="31" t="str">
        <x:v>https://www.timeshighereducation.com/world-university-rankings/2025/world-ranking</x:v>
      </x:c>
      <x:c r="L418" s="31" t="str">
        <x:v>https://www.amrita.edu/course/environmental-science-and-sustainability-6/</x:v>
      </x:c>
    </x:row>
    <x:row r="419">
      <x:c r="A419" s="15" t="n">
        <x:v>84</x:v>
      </x:c>
      <x:c r="B419" s="15" t="str">
        <x:v>Amrita Vishwa Vidyapeetham</x:v>
      </x:c>
      <x:c r="C419" s="15" t="str">
        <x:v>India</x:v>
      </x:c>
      <x:c r="D419" s="15" t="str">
        <x:v>No standalone sustainability/environment master's confirmed</x:v>
      </x:c>
      <x:c r="E419" s="32" t="n">
        <x:v>2026</x:v>
      </x:c>
      <x:c r="F419" s="32" t="str">
        <x:v>NR</x:v>
      </x:c>
      <x:c r="G419" s="36"/>
      <x:c r="H419" s="15" t="str">
        <x:v>Not ranked in complete official table</x:v>
      </x:c>
      <x:c r="I419" s="15" t="str"/>
      <x:c r="J419" s="31" t="str"/>
      <x:c r="K419" s="31" t="str">
        <x:v>https://www.timeshighereducation.com/world-university-rankings/2026/world-ranking</x:v>
      </x:c>
      <x:c r="L419" s="31" t="str">
        <x:v>https://www.amrita.edu/course/environmental-science-and-sustainability-6/</x:v>
      </x:c>
    </x:row>
    <x:row r="420">
      <x:c r="A420" s="15" t="n">
        <x:v>85</x:v>
      </x:c>
      <x:c r="B420" s="15" t="str">
        <x:v>Queen's University Belfast</x:v>
      </x:c>
      <x:c r="C420" s="15" t="str">
        <x:v>United Kingdom</x:v>
      </x:c>
      <x:c r="D420" s="15" t="str">
        <x:v>MSc Leadership for Sustainable Development</x:v>
      </x:c>
      <x:c r="E420" s="32" t="n">
        <x:v>2022</x:v>
      </x:c>
      <x:c r="F420" s="32" t="str">
        <x:v>200+</x:v>
      </x:c>
      <x:c r="G420" s="36"/>
      <x:c r="H420" s="15" t="str">
        <x:v>Published beyond rank 200; exact value intentionally suppressed</x:v>
      </x:c>
      <x:c r="I420" s="15" t="str">
        <x:v>Queen’s University Belfast</x:v>
      </x:c>
      <x:c r="J420" s="31" t="str">
        <x:v>https://www.timeshighereducation.com/world-university-rankings/queens-university-belfast</x:v>
      </x:c>
      <x:c r="K420" s="31" t="str">
        <x:v>https://www.timeshighereducation.com/world-university-rankings/2022/world-ranking</x:v>
      </x:c>
      <x:c r="L420" s="31" t="str">
        <x:v>https://www.qub.ac.uk/courses/postgraduate-taught/leadership-sustainable-development-msc/</x:v>
      </x:c>
    </x:row>
    <x:row r="421">
      <x:c r="A421" s="15" t="n">
        <x:v>85</x:v>
      </x:c>
      <x:c r="B421" s="15" t="str">
        <x:v>Queen's University Belfast</x:v>
      </x:c>
      <x:c r="C421" s="15" t="str">
        <x:v>United Kingdom</x:v>
      </x:c>
      <x:c r="D421" s="15" t="str">
        <x:v>MSc Leadership for Sustainable Development</x:v>
      </x:c>
      <x:c r="E421" s="32" t="n">
        <x:v>2023</x:v>
      </x:c>
      <x:c r="F421" s="32" t="n">
        <x:f>198</x:f>
        <x:v>198</x:v>
      </x:c>
      <x:c r="G421" s="36" t="n">
        <x:v>54.4</x:v>
      </x:c>
      <x:c r="H421" s="15" t="str">
        <x:v>Published rank retained</x:v>
      </x:c>
      <x:c r="I421" s="15" t="str">
        <x:v>Queen’s University Belfast</x:v>
      </x:c>
      <x:c r="J421" s="31" t="str">
        <x:v>https://www.timeshighereducation.com/world-university-rankings/queens-university-belfast</x:v>
      </x:c>
      <x:c r="K421" s="31" t="str">
        <x:v>https://www.timeshighereducation.com/world-university-rankings/2023/world-ranking</x:v>
      </x:c>
      <x:c r="L421" s="31" t="str">
        <x:v>https://www.qub.ac.uk/courses/postgraduate-taught/leadership-sustainable-development-msc/</x:v>
      </x:c>
    </x:row>
    <x:row r="422">
      <x:c r="A422" s="15" t="n">
        <x:v>85</x:v>
      </x:c>
      <x:c r="B422" s="15" t="str">
        <x:v>Queen's University Belfast</x:v>
      </x:c>
      <x:c r="C422" s="15" t="str">
        <x:v>United Kingdom</x:v>
      </x:c>
      <x:c r="D422" s="15" t="str">
        <x:v>MSc Leadership for Sustainable Development</x:v>
      </x:c>
      <x:c r="E422" s="32" t="n">
        <x:v>2024</x:v>
      </x:c>
      <x:c r="F422" s="32" t="str">
        <x:v>200+</x:v>
      </x:c>
      <x:c r="G422" s="36"/>
      <x:c r="H422" s="15" t="str">
        <x:v>Published beyond rank 200; exact value intentionally suppressed</x:v>
      </x:c>
      <x:c r="I422" s="15" t="str">
        <x:v>Queen’s University Belfast</x:v>
      </x:c>
      <x:c r="J422" s="31" t="str">
        <x:v>https://www.timeshighereducation.com/world-university-rankings/queens-university-belfast</x:v>
      </x:c>
      <x:c r="K422" s="31" t="str">
        <x:v>https://www.timeshighereducation.com/world-university-rankings/2024/world-ranking</x:v>
      </x:c>
      <x:c r="L422" s="31" t="str">
        <x:v>https://www.qub.ac.uk/courses/postgraduate-taught/leadership-sustainable-development-msc/</x:v>
      </x:c>
    </x:row>
    <x:row r="423">
      <x:c r="A423" s="15" t="n">
        <x:v>85</x:v>
      </x:c>
      <x:c r="B423" s="15" t="str">
        <x:v>Queen's University Belfast</x:v>
      </x:c>
      <x:c r="C423" s="15" t="str">
        <x:v>United Kingdom</x:v>
      </x:c>
      <x:c r="D423" s="15" t="str">
        <x:v>MSc Leadership for Sustainable Development</x:v>
      </x:c>
      <x:c r="E423" s="32" t="n">
        <x:v>2025</x:v>
      </x:c>
      <x:c r="F423" s="32" t="str">
        <x:v>200+</x:v>
      </x:c>
      <x:c r="G423" s="36"/>
      <x:c r="H423" s="15" t="str">
        <x:v>Published beyond rank 200; exact value intentionally suppressed</x:v>
      </x:c>
      <x:c r="I423" s="15" t="str">
        <x:v>Queen’s University Belfast</x:v>
      </x:c>
      <x:c r="J423" s="31" t="str">
        <x:v>https://www.timeshighereducation.com/world-university-rankings/queens-university-belfast</x:v>
      </x:c>
      <x:c r="K423" s="31" t="str">
        <x:v>https://www.timeshighereducation.com/world-university-rankings/2025/world-ranking</x:v>
      </x:c>
      <x:c r="L423" s="31" t="str">
        <x:v>https://www.qub.ac.uk/courses/postgraduate-taught/leadership-sustainable-development-msc/</x:v>
      </x:c>
    </x:row>
    <x:row r="424">
      <x:c r="A424" s="15" t="n">
        <x:v>85</x:v>
      </x:c>
      <x:c r="B424" s="15" t="str">
        <x:v>Queen's University Belfast</x:v>
      </x:c>
      <x:c r="C424" s="15" t="str">
        <x:v>United Kingdom</x:v>
      </x:c>
      <x:c r="D424" s="15" t="str">
        <x:v>MSc Leadership for Sustainable Development</x:v>
      </x:c>
      <x:c r="E424" s="32" t="n">
        <x:v>2026</x:v>
      </x:c>
      <x:c r="F424" s="32" t="n">
        <x:f>198</x:f>
        <x:v>198</x:v>
      </x:c>
      <x:c r="G424" s="36" t="n">
        <x:v>58.8</x:v>
      </x:c>
      <x:c r="H424" s="15" t="str">
        <x:v>Published rank retained</x:v>
      </x:c>
      <x:c r="I424" s="15" t="str">
        <x:v>Queen’s University Belfast</x:v>
      </x:c>
      <x:c r="J424" s="31" t="str">
        <x:v>https://www.timeshighereducation.com/world-university-rankings/queens-university-belfast</x:v>
      </x:c>
      <x:c r="K424" s="31" t="str">
        <x:v>https://www.timeshighereducation.com/world-university-rankings/2026/world-ranking</x:v>
      </x:c>
      <x:c r="L424" s="31" t="str">
        <x:v>https://www.qub.ac.uk/courses/postgraduate-taught/leadership-sustainable-development-msc/</x:v>
      </x:c>
    </x:row>
    <x:row r="425">
      <x:c r="A425" s="15" t="n">
        <x:v>86</x:v>
      </x:c>
      <x:c r="B425" s="15" t="str">
        <x:v>Near East University</x:v>
      </x:c>
      <x:c r="C425" s="15" t="str">
        <x:v>Northern Cyprus</x:v>
      </x:c>
      <x:c r="D425" s="15" t="str">
        <x:v>Master's in Environmental Education</x:v>
      </x:c>
      <x:c r="E425" s="32" t="n">
        <x:v>2022</x:v>
      </x:c>
      <x:c r="F425" s="32" t="str">
        <x:v>200+</x:v>
      </x:c>
      <x:c r="G425" s="36"/>
      <x:c r="H425" s="15" t="str">
        <x:v>Published beyond rank 200; exact value intentionally suppressed</x:v>
      </x:c>
      <x:c r="I425" s="15" t="str">
        <x:v>Near East University</x:v>
      </x:c>
      <x:c r="J425" s="31" t="str">
        <x:v>https://www.timeshighereducation.com/world-university-rankings/near-east-university</x:v>
      </x:c>
      <x:c r="K425" s="31" t="str">
        <x:v>https://www.timeshighereducation.com/world-university-rankings/2022/world-ranking</x:v>
      </x:c>
      <x:c r="L425" s="31" t="str">
        <x:v>https://sustainability.neu.edu.tr/education/sustainability-programmes/</x:v>
      </x:c>
    </x:row>
    <x:row r="426">
      <x:c r="A426" s="15" t="n">
        <x:v>86</x:v>
      </x:c>
      <x:c r="B426" s="15" t="str">
        <x:v>Near East University</x:v>
      </x:c>
      <x:c r="C426" s="15" t="str">
        <x:v>Northern Cyprus</x:v>
      </x:c>
      <x:c r="D426" s="15" t="str">
        <x:v>Master's in Environmental Education</x:v>
      </x:c>
      <x:c r="E426" s="32" t="n">
        <x:v>2023</x:v>
      </x:c>
      <x:c r="F426" s="32" t="str">
        <x:v>200+</x:v>
      </x:c>
      <x:c r="G426" s="36"/>
      <x:c r="H426" s="15" t="str">
        <x:v>Published beyond rank 200; exact value intentionally suppressed</x:v>
      </x:c>
      <x:c r="I426" s="15" t="str">
        <x:v>Near East University</x:v>
      </x:c>
      <x:c r="J426" s="31" t="str">
        <x:v>https://www.timeshighereducation.com/world-university-rankings/near-east-university</x:v>
      </x:c>
      <x:c r="K426" s="31" t="str">
        <x:v>https://www.timeshighereducation.com/world-university-rankings/2023/world-ranking</x:v>
      </x:c>
      <x:c r="L426" s="31" t="str">
        <x:v>https://sustainability.neu.edu.tr/education/sustainability-programmes/</x:v>
      </x:c>
    </x:row>
    <x:row r="427">
      <x:c r="A427" s="15" t="n">
        <x:v>86</x:v>
      </x:c>
      <x:c r="B427" s="15" t="str">
        <x:v>Near East University</x:v>
      </x:c>
      <x:c r="C427" s="15" t="str">
        <x:v>Northern Cyprus</x:v>
      </x:c>
      <x:c r="D427" s="15" t="str">
        <x:v>Master's in Environmental Education</x:v>
      </x:c>
      <x:c r="E427" s="32" t="n">
        <x:v>2024</x:v>
      </x:c>
      <x:c r="F427" s="32" t="str">
        <x:v>200+</x:v>
      </x:c>
      <x:c r="G427" s="36"/>
      <x:c r="H427" s="15" t="str">
        <x:v>Published beyond rank 200; exact value intentionally suppressed</x:v>
      </x:c>
      <x:c r="I427" s="15" t="str">
        <x:v>Near East University</x:v>
      </x:c>
      <x:c r="J427" s="31" t="str">
        <x:v>https://www.timeshighereducation.com/world-university-rankings/near-east-university</x:v>
      </x:c>
      <x:c r="K427" s="31" t="str">
        <x:v>https://www.timeshighereducation.com/world-university-rankings/2024/world-ranking</x:v>
      </x:c>
      <x:c r="L427" s="31" t="str">
        <x:v>https://sustainability.neu.edu.tr/education/sustainability-programmes/</x:v>
      </x:c>
    </x:row>
    <x:row r="428">
      <x:c r="A428" s="15" t="n">
        <x:v>86</x:v>
      </x:c>
      <x:c r="B428" s="15" t="str">
        <x:v>Near East University</x:v>
      </x:c>
      <x:c r="C428" s="15" t="str">
        <x:v>Northern Cyprus</x:v>
      </x:c>
      <x:c r="D428" s="15" t="str">
        <x:v>Master's in Environmental Education</x:v>
      </x:c>
      <x:c r="E428" s="32" t="n">
        <x:v>2025</x:v>
      </x:c>
      <x:c r="F428" s="32" t="str">
        <x:v>200+</x:v>
      </x:c>
      <x:c r="G428" s="36"/>
      <x:c r="H428" s="15" t="str">
        <x:v>Published beyond rank 200; exact value intentionally suppressed</x:v>
      </x:c>
      <x:c r="I428" s="15" t="str">
        <x:v>Near East University</x:v>
      </x:c>
      <x:c r="J428" s="31" t="str">
        <x:v>https://www.timeshighereducation.com/world-university-rankings/near-east-university</x:v>
      </x:c>
      <x:c r="K428" s="31" t="str">
        <x:v>https://www.timeshighereducation.com/world-university-rankings/2025/world-ranking</x:v>
      </x:c>
      <x:c r="L428" s="31" t="str">
        <x:v>https://sustainability.neu.edu.tr/education/sustainability-programmes/</x:v>
      </x:c>
    </x:row>
    <x:row r="429">
      <x:c r="A429" s="15" t="n">
        <x:v>86</x:v>
      </x:c>
      <x:c r="B429" s="15" t="str">
        <x:v>Near East University</x:v>
      </x:c>
      <x:c r="C429" s="15" t="str">
        <x:v>Northern Cyprus</x:v>
      </x:c>
      <x:c r="D429" s="15" t="str">
        <x:v>Master's in Environmental Education</x:v>
      </x:c>
      <x:c r="E429" s="32" t="n">
        <x:v>2026</x:v>
      </x:c>
      <x:c r="F429" s="32" t="str">
        <x:v>200+</x:v>
      </x:c>
      <x:c r="G429" s="36"/>
      <x:c r="H429" s="15" t="str">
        <x:v>Published beyond rank 200; exact value intentionally suppressed</x:v>
      </x:c>
      <x:c r="I429" s="15" t="str">
        <x:v>Near East University</x:v>
      </x:c>
      <x:c r="J429" s="31" t="str">
        <x:v>https://www.timeshighereducation.com/world-university-rankings/near-east-university</x:v>
      </x:c>
      <x:c r="K429" s="31" t="str">
        <x:v>https://www.timeshighereducation.com/world-university-rankings/2026/world-ranking</x:v>
      </x:c>
      <x:c r="L429" s="31" t="str">
        <x:v>https://sustainability.neu.edu.tr/education/sustainability-programmes/</x:v>
      </x:c>
    </x:row>
    <x:row r="430">
      <x:c r="A430" s="15" t="n">
        <x:v>87</x:v>
      </x:c>
      <x:c r="B430" s="15" t="str">
        <x:v>University of Johannesburg</x:v>
      </x:c>
      <x:c r="C430" s="15" t="str">
        <x:v>South Africa</x:v>
      </x:c>
      <x:c r="D430" s="15" t="str">
        <x:v>Master's in Sustainability Management</x:v>
      </x:c>
      <x:c r="E430" s="32" t="n">
        <x:v>2022</x:v>
      </x:c>
      <x:c r="F430" s="32" t="str">
        <x:v>200+</x:v>
      </x:c>
      <x:c r="G430" s="36"/>
      <x:c r="H430" s="15" t="str">
        <x:v>Published beyond rank 200; exact value intentionally suppressed</x:v>
      </x:c>
      <x:c r="I430" s="15" t="str">
        <x:v>University of Johannesburg</x:v>
      </x:c>
      <x:c r="J430" s="31" t="str">
        <x:v>https://www.timeshighereducation.com/world-university-rankings/university-johannesburg</x:v>
      </x:c>
      <x:c r="K430" s="31" t="str">
        <x:v>https://www.timeshighereducation.com/world-university-rankings/2022/world-ranking</x:v>
      </x:c>
      <x:c r="L430" s="31" t="str">
        <x:v>https://www.uj.ac.za/university-courses/masters-in-sustainability-management/</x:v>
      </x:c>
    </x:row>
    <x:row r="431">
      <x:c r="A431" s="15" t="n">
        <x:v>87</x:v>
      </x:c>
      <x:c r="B431" s="15" t="str">
        <x:v>University of Johannesburg</x:v>
      </x:c>
      <x:c r="C431" s="15" t="str">
        <x:v>South Africa</x:v>
      </x:c>
      <x:c r="D431" s="15" t="str">
        <x:v>Master's in Sustainability Management</x:v>
      </x:c>
      <x:c r="E431" s="32" t="n">
        <x:v>2023</x:v>
      </x:c>
      <x:c r="F431" s="32" t="str">
        <x:v>200+</x:v>
      </x:c>
      <x:c r="G431" s="36"/>
      <x:c r="H431" s="15" t="str">
        <x:v>Published beyond rank 200; exact value intentionally suppressed</x:v>
      </x:c>
      <x:c r="I431" s="15" t="str">
        <x:v>University of Johannesburg</x:v>
      </x:c>
      <x:c r="J431" s="31" t="str">
        <x:v>https://www.timeshighereducation.com/world-university-rankings/university-johannesburg</x:v>
      </x:c>
      <x:c r="K431" s="31" t="str">
        <x:v>https://www.timeshighereducation.com/world-university-rankings/2023/world-ranking</x:v>
      </x:c>
      <x:c r="L431" s="31" t="str">
        <x:v>https://www.uj.ac.za/university-courses/masters-in-sustainability-management/</x:v>
      </x:c>
    </x:row>
    <x:row r="432">
      <x:c r="A432" s="15" t="n">
        <x:v>87</x:v>
      </x:c>
      <x:c r="B432" s="15" t="str">
        <x:v>University of Johannesburg</x:v>
      </x:c>
      <x:c r="C432" s="15" t="str">
        <x:v>South Africa</x:v>
      </x:c>
      <x:c r="D432" s="15" t="str">
        <x:v>Master's in Sustainability Management</x:v>
      </x:c>
      <x:c r="E432" s="32" t="n">
        <x:v>2024</x:v>
      </x:c>
      <x:c r="F432" s="32" t="str">
        <x:v>200+</x:v>
      </x:c>
      <x:c r="G432" s="36"/>
      <x:c r="H432" s="15" t="str">
        <x:v>Published beyond rank 200; exact value intentionally suppressed</x:v>
      </x:c>
      <x:c r="I432" s="15" t="str">
        <x:v>University of Johannesburg</x:v>
      </x:c>
      <x:c r="J432" s="31" t="str">
        <x:v>https://www.timeshighereducation.com/world-university-rankings/university-johannesburg</x:v>
      </x:c>
      <x:c r="K432" s="31" t="str">
        <x:v>https://www.timeshighereducation.com/world-university-rankings/2024/world-ranking</x:v>
      </x:c>
      <x:c r="L432" s="31" t="str">
        <x:v>https://www.uj.ac.za/university-courses/masters-in-sustainability-management/</x:v>
      </x:c>
    </x:row>
    <x:row r="433">
      <x:c r="A433" s="15" t="n">
        <x:v>87</x:v>
      </x:c>
      <x:c r="B433" s="15" t="str">
        <x:v>University of Johannesburg</x:v>
      </x:c>
      <x:c r="C433" s="15" t="str">
        <x:v>South Africa</x:v>
      </x:c>
      <x:c r="D433" s="15" t="str">
        <x:v>Master's in Sustainability Management</x:v>
      </x:c>
      <x:c r="E433" s="32" t="n">
        <x:v>2025</x:v>
      </x:c>
      <x:c r="F433" s="32" t="str">
        <x:v>200+</x:v>
      </x:c>
      <x:c r="G433" s="36"/>
      <x:c r="H433" s="15" t="str">
        <x:v>Published beyond rank 200; exact value intentionally suppressed</x:v>
      </x:c>
      <x:c r="I433" s="15" t="str">
        <x:v>University of Johannesburg</x:v>
      </x:c>
      <x:c r="J433" s="31" t="str">
        <x:v>https://www.timeshighereducation.com/world-university-rankings/university-johannesburg</x:v>
      </x:c>
      <x:c r="K433" s="31" t="str">
        <x:v>https://www.timeshighereducation.com/world-university-rankings/2025/world-ranking</x:v>
      </x:c>
      <x:c r="L433" s="31" t="str">
        <x:v>https://www.uj.ac.za/university-courses/masters-in-sustainability-management/</x:v>
      </x:c>
    </x:row>
    <x:row r="434">
      <x:c r="A434" s="15" t="n">
        <x:v>87</x:v>
      </x:c>
      <x:c r="B434" s="15" t="str">
        <x:v>University of Johannesburg</x:v>
      </x:c>
      <x:c r="C434" s="15" t="str">
        <x:v>South Africa</x:v>
      </x:c>
      <x:c r="D434" s="15" t="str">
        <x:v>Master's in Sustainability Management</x:v>
      </x:c>
      <x:c r="E434" s="32" t="n">
        <x:v>2026</x:v>
      </x:c>
      <x:c r="F434" s="32" t="str">
        <x:v>200+</x:v>
      </x:c>
      <x:c r="G434" s="36"/>
      <x:c r="H434" s="15" t="str">
        <x:v>Published beyond rank 200; exact value intentionally suppressed</x:v>
      </x:c>
      <x:c r="I434" s="15" t="str">
        <x:v>University of Johannesburg</x:v>
      </x:c>
      <x:c r="J434" s="31" t="str">
        <x:v>https://www.timeshighereducation.com/world-university-rankings/university-johannesburg</x:v>
      </x:c>
      <x:c r="K434" s="31" t="str">
        <x:v>https://www.timeshighereducation.com/world-university-rankings/2026/world-ranking</x:v>
      </x:c>
      <x:c r="L434" s="31" t="str">
        <x:v>https://www.uj.ac.za/university-courses/masters-in-sustainability-management/</x:v>
      </x:c>
    </x:row>
    <x:row r="435">
      <x:c r="A435" s="15" t="n">
        <x:v>88</x:v>
      </x:c>
      <x:c r="B435" s="15" t="str">
        <x:v>Universitas Gadjah Mada</x:v>
      </x:c>
      <x:c r="C435" s="15" t="str">
        <x:v>Indonesia</x:v>
      </x:c>
      <x:c r="D435" s="15" t="str">
        <x:v>Master in Environmental Science</x:v>
      </x:c>
      <x:c r="E435" s="32" t="n">
        <x:v>2022</x:v>
      </x:c>
      <x:c r="F435" s="32" t="str">
        <x:v>200+</x:v>
      </x:c>
      <x:c r="G435" s="36"/>
      <x:c r="H435" s="15" t="str">
        <x:v>Published beyond rank 200; exact value intentionally suppressed</x:v>
      </x:c>
      <x:c r="I435" s="15" t="str">
        <x:v>Universitas Gadjah Mada</x:v>
      </x:c>
      <x:c r="J435" s="31" t="str">
        <x:v>https://www.timeshighereducation.com/world-university-rankings/universitas-gadjah-mada</x:v>
      </x:c>
      <x:c r="K435" s="31" t="str">
        <x:v>https://www.timeshighereducation.com/world-university-rankings/2022/world-ranking</x:v>
      </x:c>
      <x:c r="L435" s="31" t="str">
        <x:v>https://admissions.ugm.ac.id/v26/program-studi/magister-ilmu-lingkungan-master-in-environmental-science/</x:v>
      </x:c>
    </x:row>
    <x:row r="436">
      <x:c r="A436" s="15" t="n">
        <x:v>88</x:v>
      </x:c>
      <x:c r="B436" s="15" t="str">
        <x:v>Universitas Gadjah Mada</x:v>
      </x:c>
      <x:c r="C436" s="15" t="str">
        <x:v>Indonesia</x:v>
      </x:c>
      <x:c r="D436" s="15" t="str">
        <x:v>Master in Environmental Science</x:v>
      </x:c>
      <x:c r="E436" s="32" t="n">
        <x:v>2023</x:v>
      </x:c>
      <x:c r="F436" s="32" t="str">
        <x:v>200+</x:v>
      </x:c>
      <x:c r="G436" s="36"/>
      <x:c r="H436" s="15" t="str">
        <x:v>Published beyond rank 200; exact value intentionally suppressed</x:v>
      </x:c>
      <x:c r="I436" s="15" t="str">
        <x:v>Universitas Gadjah Mada</x:v>
      </x:c>
      <x:c r="J436" s="31" t="str">
        <x:v>https://www.timeshighereducation.com/world-university-rankings/universitas-gadjah-mada</x:v>
      </x:c>
      <x:c r="K436" s="31" t="str">
        <x:v>https://www.timeshighereducation.com/world-university-rankings/2023/world-ranking</x:v>
      </x:c>
      <x:c r="L436" s="31" t="str">
        <x:v>https://admissions.ugm.ac.id/v26/program-studi/magister-ilmu-lingkungan-master-in-environmental-science/</x:v>
      </x:c>
    </x:row>
    <x:row r="437">
      <x:c r="A437" s="15" t="n">
        <x:v>88</x:v>
      </x:c>
      <x:c r="B437" s="15" t="str">
        <x:v>Universitas Gadjah Mada</x:v>
      </x:c>
      <x:c r="C437" s="15" t="str">
        <x:v>Indonesia</x:v>
      </x:c>
      <x:c r="D437" s="15" t="str">
        <x:v>Master in Environmental Science</x:v>
      </x:c>
      <x:c r="E437" s="32" t="n">
        <x:v>2024</x:v>
      </x:c>
      <x:c r="F437" s="32" t="str">
        <x:v>200+</x:v>
      </x:c>
      <x:c r="G437" s="36"/>
      <x:c r="H437" s="15" t="str">
        <x:v>Published beyond rank 200; exact value intentionally suppressed</x:v>
      </x:c>
      <x:c r="I437" s="15" t="str">
        <x:v>Universitas Gadjah Mada</x:v>
      </x:c>
      <x:c r="J437" s="31" t="str">
        <x:v>https://www.timeshighereducation.com/world-university-rankings/universitas-gadjah-mada</x:v>
      </x:c>
      <x:c r="K437" s="31" t="str">
        <x:v>https://www.timeshighereducation.com/world-university-rankings/2024/world-ranking</x:v>
      </x:c>
      <x:c r="L437" s="31" t="str">
        <x:v>https://admissions.ugm.ac.id/v26/program-studi/magister-ilmu-lingkungan-master-in-environmental-science/</x:v>
      </x:c>
    </x:row>
    <x:row r="438">
      <x:c r="A438" s="15" t="n">
        <x:v>88</x:v>
      </x:c>
      <x:c r="B438" s="15" t="str">
        <x:v>Universitas Gadjah Mada</x:v>
      </x:c>
      <x:c r="C438" s="15" t="str">
        <x:v>Indonesia</x:v>
      </x:c>
      <x:c r="D438" s="15" t="str">
        <x:v>Master in Environmental Science</x:v>
      </x:c>
      <x:c r="E438" s="32" t="n">
        <x:v>2025</x:v>
      </x:c>
      <x:c r="F438" s="32" t="str">
        <x:v>200+</x:v>
      </x:c>
      <x:c r="G438" s="36"/>
      <x:c r="H438" s="15" t="str">
        <x:v>Published beyond rank 200; exact value intentionally suppressed</x:v>
      </x:c>
      <x:c r="I438" s="15" t="str">
        <x:v>Universitas Gadjah Mada</x:v>
      </x:c>
      <x:c r="J438" s="31" t="str">
        <x:v>https://www.timeshighereducation.com/world-university-rankings/universitas-gadjah-mada</x:v>
      </x:c>
      <x:c r="K438" s="31" t="str">
        <x:v>https://www.timeshighereducation.com/world-university-rankings/2025/world-ranking</x:v>
      </x:c>
      <x:c r="L438" s="31" t="str">
        <x:v>https://admissions.ugm.ac.id/v26/program-studi/magister-ilmu-lingkungan-master-in-environmental-science/</x:v>
      </x:c>
    </x:row>
    <x:row r="439">
      <x:c r="A439" s="15" t="n">
        <x:v>88</x:v>
      </x:c>
      <x:c r="B439" s="15" t="str">
        <x:v>Universitas Gadjah Mada</x:v>
      </x:c>
      <x:c r="C439" s="15" t="str">
        <x:v>Indonesia</x:v>
      </x:c>
      <x:c r="D439" s="15" t="str">
        <x:v>Master in Environmental Science</x:v>
      </x:c>
      <x:c r="E439" s="32" t="n">
        <x:v>2026</x:v>
      </x:c>
      <x:c r="F439" s="32" t="str">
        <x:v>200+</x:v>
      </x:c>
      <x:c r="G439" s="36"/>
      <x:c r="H439" s="15" t="str">
        <x:v>Published beyond rank 200; exact value intentionally suppressed</x:v>
      </x:c>
      <x:c r="I439" s="15" t="str">
        <x:v>Universitas Gadjah Mada</x:v>
      </x:c>
      <x:c r="J439" s="31" t="str">
        <x:v>https://www.timeshighereducation.com/world-university-rankings/universitas-gadjah-mada</x:v>
      </x:c>
      <x:c r="K439" s="31" t="str">
        <x:v>https://www.timeshighereducation.com/world-university-rankings/2026/world-ranking</x:v>
      </x:c>
      <x:c r="L439" s="31" t="str">
        <x:v>https://admissions.ugm.ac.id/v26/program-studi/magister-ilmu-lingkungan-master-in-environmental-science/</x:v>
      </x:c>
    </x:row>
    <x:row r="440">
      <x:c r="A440" s="15" t="n">
        <x:v>89</x:v>
      </x:c>
      <x:c r="B440" s="15" t="str">
        <x:v>University of Wollongong</x:v>
      </x:c>
      <x:c r="C440" s="15" t="str">
        <x:v>Australia</x:v>
      </x:c>
      <x:c r="D440" s="15" t="str">
        <x:v>Master of Earth and Environmental Sciences</x:v>
      </x:c>
      <x:c r="E440" s="32" t="n">
        <x:v>2022</x:v>
      </x:c>
      <x:c r="F440" s="32" t="str">
        <x:v>200+</x:v>
      </x:c>
      <x:c r="G440" s="36"/>
      <x:c r="H440" s="15" t="str">
        <x:v>Published beyond rank 200; exact value intentionally suppressed</x:v>
      </x:c>
      <x:c r="I440" s="15" t="str">
        <x:v>University of Wollongong</x:v>
      </x:c>
      <x:c r="J440" s="31" t="str">
        <x:v>https://www.timeshighereducation.com/world-university-rankings/university-wollongong</x:v>
      </x:c>
      <x:c r="K440" s="31" t="str">
        <x:v>https://www.timeshighereducation.com/world-university-rankings/2022/world-ranking</x:v>
      </x:c>
      <x:c r="L440" s="31" t="str">
        <x:v>https://www.uow.edu.au/study/courses/master-of-earth-and-environmental-sciences/</x:v>
      </x:c>
    </x:row>
    <x:row r="441">
      <x:c r="A441" s="15" t="n">
        <x:v>89</x:v>
      </x:c>
      <x:c r="B441" s="15" t="str">
        <x:v>University of Wollongong</x:v>
      </x:c>
      <x:c r="C441" s="15" t="str">
        <x:v>Australia</x:v>
      </x:c>
      <x:c r="D441" s="15" t="str">
        <x:v>Master of Earth and Environmental Sciences</x:v>
      </x:c>
      <x:c r="E441" s="32" t="n">
        <x:v>2023</x:v>
      </x:c>
      <x:c r="F441" s="32" t="str">
        <x:v>200+</x:v>
      </x:c>
      <x:c r="G441" s="36"/>
      <x:c r="H441" s="15" t="str">
        <x:v>Published beyond rank 200; exact value intentionally suppressed</x:v>
      </x:c>
      <x:c r="I441" s="15" t="str">
        <x:v>University of Wollongong</x:v>
      </x:c>
      <x:c r="J441" s="31" t="str">
        <x:v>https://www.timeshighereducation.com/world-university-rankings/university-wollongong</x:v>
      </x:c>
      <x:c r="K441" s="31" t="str">
        <x:v>https://www.timeshighereducation.com/world-university-rankings/2023/world-ranking</x:v>
      </x:c>
      <x:c r="L441" s="31" t="str">
        <x:v>https://www.uow.edu.au/study/courses/master-of-earth-and-environmental-sciences/</x:v>
      </x:c>
    </x:row>
    <x:row r="442">
      <x:c r="A442" s="15" t="n">
        <x:v>89</x:v>
      </x:c>
      <x:c r="B442" s="15" t="str">
        <x:v>University of Wollongong</x:v>
      </x:c>
      <x:c r="C442" s="15" t="str">
        <x:v>Australia</x:v>
      </x:c>
      <x:c r="D442" s="15" t="str">
        <x:v>Master of Earth and Environmental Sciences</x:v>
      </x:c>
      <x:c r="E442" s="32" t="n">
        <x:v>2024</x:v>
      </x:c>
      <x:c r="F442" s="32" t="str">
        <x:v>200+</x:v>
      </x:c>
      <x:c r="G442" s="36"/>
      <x:c r="H442" s="15" t="str">
        <x:v>Published beyond rank 200; exact value intentionally suppressed</x:v>
      </x:c>
      <x:c r="I442" s="15" t="str">
        <x:v>University of Wollongong</x:v>
      </x:c>
      <x:c r="J442" s="31" t="str">
        <x:v>https://www.timeshighereducation.com/world-university-rankings/university-wollongong</x:v>
      </x:c>
      <x:c r="K442" s="31" t="str">
        <x:v>https://www.timeshighereducation.com/world-university-rankings/2024/world-ranking</x:v>
      </x:c>
      <x:c r="L442" s="31" t="str">
        <x:v>https://www.uow.edu.au/study/courses/master-of-earth-and-environmental-sciences/</x:v>
      </x:c>
    </x:row>
    <x:row r="443">
      <x:c r="A443" s="15" t="n">
        <x:v>89</x:v>
      </x:c>
      <x:c r="B443" s="15" t="str">
        <x:v>University of Wollongong</x:v>
      </x:c>
      <x:c r="C443" s="15" t="str">
        <x:v>Australia</x:v>
      </x:c>
      <x:c r="D443" s="15" t="str">
        <x:v>Master of Earth and Environmental Sciences</x:v>
      </x:c>
      <x:c r="E443" s="32" t="n">
        <x:v>2025</x:v>
      </x:c>
      <x:c r="F443" s="32" t="str">
        <x:v>200+</x:v>
      </x:c>
      <x:c r="G443" s="36"/>
      <x:c r="H443" s="15" t="str">
        <x:v>Published beyond rank 200; exact value intentionally suppressed</x:v>
      </x:c>
      <x:c r="I443" s="15" t="str">
        <x:v>University of Wollongong</x:v>
      </x:c>
      <x:c r="J443" s="31" t="str">
        <x:v>https://www.timeshighereducation.com/world-university-rankings/university-wollongong</x:v>
      </x:c>
      <x:c r="K443" s="31" t="str">
        <x:v>https://www.timeshighereducation.com/world-university-rankings/2025/world-ranking</x:v>
      </x:c>
      <x:c r="L443" s="31" t="str">
        <x:v>https://www.uow.edu.au/study/courses/master-of-earth-and-environmental-sciences/</x:v>
      </x:c>
    </x:row>
    <x:row r="444">
      <x:c r="A444" s="15" t="n">
        <x:v>89</x:v>
      </x:c>
      <x:c r="B444" s="15" t="str">
        <x:v>University of Wollongong</x:v>
      </x:c>
      <x:c r="C444" s="15" t="str">
        <x:v>Australia</x:v>
      </x:c>
      <x:c r="D444" s="15" t="str">
        <x:v>Master of Earth and Environmental Sciences</x:v>
      </x:c>
      <x:c r="E444" s="32" t="n">
        <x:v>2026</x:v>
      </x:c>
      <x:c r="F444" s="32" t="str">
        <x:v>200+</x:v>
      </x:c>
      <x:c r="G444" s="36"/>
      <x:c r="H444" s="15" t="str">
        <x:v>Published beyond rank 200; exact value intentionally suppressed</x:v>
      </x:c>
      <x:c r="I444" s="15" t="str">
        <x:v>University of Wollongong</x:v>
      </x:c>
      <x:c r="J444" s="31" t="str">
        <x:v>https://www.timeshighereducation.com/world-university-rankings/university-wollongong</x:v>
      </x:c>
      <x:c r="K444" s="31" t="str">
        <x:v>https://www.timeshighereducation.com/world-university-rankings/2026/world-ranking</x:v>
      </x:c>
      <x:c r="L444" s="31" t="str">
        <x:v>https://www.uow.edu.au/study/courses/master-of-earth-and-environmental-sciences/</x:v>
      </x:c>
    </x:row>
    <x:row r="445">
      <x:c r="A445" s="15" t="n">
        <x:v>90</x:v>
      </x:c>
      <x:c r="B445" s="15" t="str">
        <x:v>Yonsei University (Seoul campus)</x:v>
      </x:c>
      <x:c r="C445" s="15" t="str">
        <x:v>South Korea</x:v>
      </x:c>
      <x:c r="D445" s="15" t="str">
        <x:v>Master of Global Civic Studies - Global Citizenship and Sustainable Development</x:v>
      </x:c>
      <x:c r="E445" s="32" t="n">
        <x:v>2022</x:v>
      </x:c>
      <x:c r="F445" s="32" t="n">
        <x:f>151</x:f>
        <x:v>151</x:v>
      </x:c>
      <x:c r="G445" s="36" t="n">
        <x:v>57.4</x:v>
      </x:c>
      <x:c r="H445" s="15" t="str">
        <x:v>Published rank retained</x:v>
      </x:c>
      <x:c r="I445" s="15" t="str">
        <x:v>Yonsei University (Seoul campus)</x:v>
      </x:c>
      <x:c r="J445" s="31" t="str">
        <x:v>https://www.timeshighereducation.com/world-university-rankings/yonsei-university-seoul-campus</x:v>
      </x:c>
      <x:c r="K445" s="31" t="str">
        <x:v>https://www.timeshighereducation.com/world-university-rankings/2022/world-ranking</x:v>
      </x:c>
      <x:c r="L445" s="31" t="str">
        <x:v>https://lawschool.yonsei.ac.kr/gsis/intro/status.do</x:v>
      </x:c>
    </x:row>
    <x:row r="446">
      <x:c r="A446" s="15" t="n">
        <x:v>90</x:v>
      </x:c>
      <x:c r="B446" s="15" t="str">
        <x:v>Yonsei University (Seoul campus)</x:v>
      </x:c>
      <x:c r="C446" s="15" t="str">
        <x:v>South Korea</x:v>
      </x:c>
      <x:c r="D446" s="15" t="str">
        <x:v>Master of Global Civic Studies - Global Citizenship and Sustainable Development</x:v>
      </x:c>
      <x:c r="E446" s="32" t="n">
        <x:v>2023</x:v>
      </x:c>
      <x:c r="F446" s="32" t="str">
        <x:v>78</x:v>
      </x:c>
      <x:c r="G446" s="36" t="n">
        <x:v>66.3</x:v>
      </x:c>
      <x:c r="H446" s="15" t="str">
        <x:v>Published rank retained</x:v>
      </x:c>
      <x:c r="I446" s="15" t="str">
        <x:v>Yonsei University (Seoul campus)</x:v>
      </x:c>
      <x:c r="J446" s="31" t="str">
        <x:v>https://www.timeshighereducation.com/world-university-rankings/yonsei-university-seoul-campus</x:v>
      </x:c>
      <x:c r="K446" s="31" t="str">
        <x:v>https://www.timeshighereducation.com/world-university-rankings/2023/world-ranking</x:v>
      </x:c>
      <x:c r="L446" s="31" t="str">
        <x:v>https://lawschool.yonsei.ac.kr/gsis/intro/status.do</x:v>
      </x:c>
    </x:row>
    <x:row r="447">
      <x:c r="A447" s="15" t="n">
        <x:v>90</x:v>
      </x:c>
      <x:c r="B447" s="15" t="str">
        <x:v>Yonsei University (Seoul campus)</x:v>
      </x:c>
      <x:c r="C447" s="15" t="str">
        <x:v>South Korea</x:v>
      </x:c>
      <x:c r="D447" s="15" t="str">
        <x:v>Master of Global Civic Studies - Global Citizenship and Sustainable Development</x:v>
      </x:c>
      <x:c r="E447" s="32" t="n">
        <x:v>2024</x:v>
      </x:c>
      <x:c r="F447" s="32" t="str">
        <x:v>76</x:v>
      </x:c>
      <x:c r="G447" s="36" t="n">
        <x:v>70.4</x:v>
      </x:c>
      <x:c r="H447" s="15" t="str">
        <x:v>Published rank retained</x:v>
      </x:c>
      <x:c r="I447" s="15" t="str">
        <x:v>Yonsei University (Seoul campus)</x:v>
      </x:c>
      <x:c r="J447" s="31" t="str">
        <x:v>https://www.timeshighereducation.com/world-university-rankings/yonsei-university-seoul-campus</x:v>
      </x:c>
      <x:c r="K447" s="31" t="str">
        <x:v>https://www.timeshighereducation.com/world-university-rankings/2024/world-ranking</x:v>
      </x:c>
      <x:c r="L447" s="31" t="str">
        <x:v>https://lawschool.yonsei.ac.kr/gsis/intro/status.do</x:v>
      </x:c>
    </x:row>
    <x:row r="448">
      <x:c r="A448" s="15" t="n">
        <x:v>90</x:v>
      </x:c>
      <x:c r="B448" s="15" t="str">
        <x:v>Yonsei University (Seoul campus)</x:v>
      </x:c>
      <x:c r="C448" s="15" t="str">
        <x:v>South Korea</x:v>
      </x:c>
      <x:c r="D448" s="15" t="str">
        <x:v>Master of Global Civic Studies - Global Citizenship and Sustainable Development</x:v>
      </x:c>
      <x:c r="E448" s="32" t="n">
        <x:v>2025</x:v>
      </x:c>
      <x:c r="F448" s="32" t="n">
        <x:f>102</x:f>
        <x:v>102</x:v>
      </x:c>
      <x:c r="G448" s="36" t="n">
        <x:v>66.1</x:v>
      </x:c>
      <x:c r="H448" s="15" t="str">
        <x:v>Published rank retained</x:v>
      </x:c>
      <x:c r="I448" s="15" t="str">
        <x:v>Yonsei University (Seoul campus)</x:v>
      </x:c>
      <x:c r="J448" s="31" t="str">
        <x:v>https://www.timeshighereducation.com/world-university-rankings/yonsei-university-seoul-campus</x:v>
      </x:c>
      <x:c r="K448" s="31" t="str">
        <x:v>https://www.timeshighereducation.com/world-university-rankings/2025/world-ranking</x:v>
      </x:c>
      <x:c r="L448" s="31" t="str">
        <x:v>https://lawschool.yonsei.ac.kr/gsis/intro/status.do</x:v>
      </x:c>
    </x:row>
    <x:row r="449">
      <x:c r="A449" s="15" t="n">
        <x:v>90</x:v>
      </x:c>
      <x:c r="B449" s="15" t="str">
        <x:v>Yonsei University (Seoul campus)</x:v>
      </x:c>
      <x:c r="C449" s="15" t="str">
        <x:v>South Korea</x:v>
      </x:c>
      <x:c r="D449" s="15" t="str">
        <x:v>Master of Global Civic Studies - Global Citizenship and Sustainable Development</x:v>
      </x:c>
      <x:c r="E449" s="32" t="n">
        <x:v>2026</x:v>
      </x:c>
      <x:c r="F449" s="32" t="str">
        <x:v>86</x:v>
      </x:c>
      <x:c r="G449" s="36" t="n">
        <x:v>68.5</x:v>
      </x:c>
      <x:c r="H449" s="15" t="str">
        <x:v>Published rank retained</x:v>
      </x:c>
      <x:c r="I449" s="15" t="str">
        <x:v>Yonsei University (Seoul campus)</x:v>
      </x:c>
      <x:c r="J449" s="31" t="str">
        <x:v>https://www.timeshighereducation.com/world-university-rankings/yonsei-university-seoul-campus</x:v>
      </x:c>
      <x:c r="K449" s="31" t="str">
        <x:v>https://www.timeshighereducation.com/world-university-rankings/2026/world-ranking</x:v>
      </x:c>
      <x:c r="L449" s="31" t="str">
        <x:v>https://lawschool.yonsei.ac.kr/gsis/intro/status.do</x:v>
      </x:c>
    </x:row>
    <x:row r="450">
      <x:c r="A450" s="15" t="n">
        <x:v>91</x:v>
      </x:c>
      <x:c r="B450" s="15" t="str">
        <x:v>Sunway University</x:v>
      </x:c>
      <x:c r="C450" s="15" t="str">
        <x:v>Malaysia</x:v>
      </x:c>
      <x:c r="D450" s="15" t="str">
        <x:v>Master in Sustainable Development Management</x:v>
      </x:c>
      <x:c r="E450" s="32" t="n">
        <x:v>2022</x:v>
      </x:c>
      <x:c r="F450" s="32" t="str">
        <x:v>NR</x:v>
      </x:c>
      <x:c r="G450" s="36"/>
      <x:c r="H450" s="15" t="str">
        <x:v>Not ranked in complete official table</x:v>
      </x:c>
      <x:c r="I450" s="15" t="str"/>
      <x:c r="J450" s="31" t="str"/>
      <x:c r="K450" s="31" t="str">
        <x:v>https://www.timeshighereducation.com/world-university-rankings/2022/world-ranking</x:v>
      </x:c>
      <x:c r="L450" s="31" t="str">
        <x:v>https://sunwayuniversity.edu.my/jsc/courses/master-sustainable-development-management-0</x:v>
      </x:c>
    </x:row>
    <x:row r="451">
      <x:c r="A451" s="15" t="n">
        <x:v>91</x:v>
      </x:c>
      <x:c r="B451" s="15" t="str">
        <x:v>Sunway University</x:v>
      </x:c>
      <x:c r="C451" s="15" t="str">
        <x:v>Malaysia</x:v>
      </x:c>
      <x:c r="D451" s="15" t="str">
        <x:v>Master in Sustainable Development Management</x:v>
      </x:c>
      <x:c r="E451" s="32" t="n">
        <x:v>2023</x:v>
      </x:c>
      <x:c r="F451" s="32" t="str">
        <x:v>200+</x:v>
      </x:c>
      <x:c r="G451" s="36"/>
      <x:c r="H451" s="15" t="str">
        <x:v>Published beyond rank 200; exact value intentionally suppressed</x:v>
      </x:c>
      <x:c r="I451" s="15" t="str">
        <x:v>Sunway University</x:v>
      </x:c>
      <x:c r="J451" s="31" t="str">
        <x:v>https://www.timeshighereducation.com/world-university-rankings/sunway-university</x:v>
      </x:c>
      <x:c r="K451" s="31" t="str">
        <x:v>https://www.timeshighereducation.com/world-university-rankings/2023/world-ranking</x:v>
      </x:c>
      <x:c r="L451" s="31" t="str">
        <x:v>https://sunwayuniversity.edu.my/jsc/courses/master-sustainable-development-management-0</x:v>
      </x:c>
    </x:row>
    <x:row r="452">
      <x:c r="A452" s="15" t="n">
        <x:v>91</x:v>
      </x:c>
      <x:c r="B452" s="15" t="str">
        <x:v>Sunway University</x:v>
      </x:c>
      <x:c r="C452" s="15" t="str">
        <x:v>Malaysia</x:v>
      </x:c>
      <x:c r="D452" s="15" t="str">
        <x:v>Master in Sustainable Development Management</x:v>
      </x:c>
      <x:c r="E452" s="32" t="n">
        <x:v>2024</x:v>
      </x:c>
      <x:c r="F452" s="32" t="str">
        <x:v>200+</x:v>
      </x:c>
      <x:c r="G452" s="36"/>
      <x:c r="H452" s="15" t="str">
        <x:v>Published beyond rank 200; exact value intentionally suppressed</x:v>
      </x:c>
      <x:c r="I452" s="15" t="str">
        <x:v>Sunway University</x:v>
      </x:c>
      <x:c r="J452" s="31" t="str">
        <x:v>https://www.timeshighereducation.com/world-university-rankings/sunway-university</x:v>
      </x:c>
      <x:c r="K452" s="31" t="str">
        <x:v>https://www.timeshighereducation.com/world-university-rankings/2024/world-ranking</x:v>
      </x:c>
      <x:c r="L452" s="31" t="str">
        <x:v>https://sunwayuniversity.edu.my/jsc/courses/master-sustainable-development-management-0</x:v>
      </x:c>
    </x:row>
    <x:row r="453">
      <x:c r="A453" s="15" t="n">
        <x:v>91</x:v>
      </x:c>
      <x:c r="B453" s="15" t="str">
        <x:v>Sunway University</x:v>
      </x:c>
      <x:c r="C453" s="15" t="str">
        <x:v>Malaysia</x:v>
      </x:c>
      <x:c r="D453" s="15" t="str">
        <x:v>Master in Sustainable Development Management</x:v>
      </x:c>
      <x:c r="E453" s="32" t="n">
        <x:v>2025</x:v>
      </x:c>
      <x:c r="F453" s="32" t="str">
        <x:v>200+</x:v>
      </x:c>
      <x:c r="G453" s="36"/>
      <x:c r="H453" s="15" t="str">
        <x:v>Published beyond rank 200; exact value intentionally suppressed</x:v>
      </x:c>
      <x:c r="I453" s="15" t="str">
        <x:v>Sunway University</x:v>
      </x:c>
      <x:c r="J453" s="31" t="str">
        <x:v>https://www.timeshighereducation.com/world-university-rankings/sunway-university</x:v>
      </x:c>
      <x:c r="K453" s="31" t="str">
        <x:v>https://www.timeshighereducation.com/world-university-rankings/2025/world-ranking</x:v>
      </x:c>
      <x:c r="L453" s="31" t="str">
        <x:v>https://sunwayuniversity.edu.my/jsc/courses/master-sustainable-development-management-0</x:v>
      </x:c>
    </x:row>
    <x:row r="454">
      <x:c r="A454" s="15" t="n">
        <x:v>91</x:v>
      </x:c>
      <x:c r="B454" s="15" t="str">
        <x:v>Sunway University</x:v>
      </x:c>
      <x:c r="C454" s="15" t="str">
        <x:v>Malaysia</x:v>
      </x:c>
      <x:c r="D454" s="15" t="str">
        <x:v>Master in Sustainable Development Management</x:v>
      </x:c>
      <x:c r="E454" s="32" t="n">
        <x:v>2026</x:v>
      </x:c>
      <x:c r="F454" s="32" t="str">
        <x:v>200+</x:v>
      </x:c>
      <x:c r="G454" s="36"/>
      <x:c r="H454" s="15" t="str">
        <x:v>Published beyond rank 200; exact value intentionally suppressed</x:v>
      </x:c>
      <x:c r="I454" s="15" t="str">
        <x:v>Sunway University</x:v>
      </x:c>
      <x:c r="J454" s="31" t="str">
        <x:v>https://www.timeshighereducation.com/world-university-rankings/sunway-university</x:v>
      </x:c>
      <x:c r="K454" s="31" t="str">
        <x:v>https://www.timeshighereducation.com/world-university-rankings/2026/world-ranking</x:v>
      </x:c>
      <x:c r="L454" s="31" t="str">
        <x:v>https://sunwayuniversity.edu.my/jsc/courses/master-sustainable-development-management-0</x:v>
      </x:c>
    </x:row>
    <x:row r="455">
      <x:c r="A455" s="15" t="n">
        <x:v>92</x:v>
      </x:c>
      <x:c r="B455" s="15" t="str">
        <x:v>Thammasat University</x:v>
      </x:c>
      <x:c r="C455" s="15" t="str">
        <x:v>Thailand</x:v>
      </x:c>
      <x:c r="D455" s="15" t="str">
        <x:v>MA Social Innovation and Sustainability</x:v>
      </x:c>
      <x:c r="E455" s="32" t="n">
        <x:v>2022</x:v>
      </x:c>
      <x:c r="F455" s="32" t="str">
        <x:v>200+</x:v>
      </x:c>
      <x:c r="G455" s="36"/>
      <x:c r="H455" s="15" t="str">
        <x:v>Published beyond rank 200; exact value intentionally suppressed</x:v>
      </x:c>
      <x:c r="I455" s="15" t="str">
        <x:v>Thammasat University</x:v>
      </x:c>
      <x:c r="J455" s="31" t="str">
        <x:v>https://www.timeshighereducation.com/world-university-rankings/thammasat-university</x:v>
      </x:c>
      <x:c r="K455" s="31" t="str">
        <x:v>https://www.timeshighereducation.com/world-university-rankings/2022/world-ranking</x:v>
      </x:c>
      <x:c r="L455" s="31" t="str">
        <x:v>https://sgs.tu.ac.th/ma-program/</x:v>
      </x:c>
    </x:row>
    <x:row r="456">
      <x:c r="A456" s="15" t="n">
        <x:v>92</x:v>
      </x:c>
      <x:c r="B456" s="15" t="str">
        <x:v>Thammasat University</x:v>
      </x:c>
      <x:c r="C456" s="15" t="str">
        <x:v>Thailand</x:v>
      </x:c>
      <x:c r="D456" s="15" t="str">
        <x:v>MA Social Innovation and Sustainability</x:v>
      </x:c>
      <x:c r="E456" s="32" t="n">
        <x:v>2023</x:v>
      </x:c>
      <x:c r="F456" s="32" t="str">
        <x:v>200+</x:v>
      </x:c>
      <x:c r="G456" s="36"/>
      <x:c r="H456" s="15" t="str">
        <x:v>Published beyond rank 200; exact value intentionally suppressed</x:v>
      </x:c>
      <x:c r="I456" s="15" t="str">
        <x:v>Thammasat University</x:v>
      </x:c>
      <x:c r="J456" s="31" t="str">
        <x:v>https://www.timeshighereducation.com/world-university-rankings/thammasat-university</x:v>
      </x:c>
      <x:c r="K456" s="31" t="str">
        <x:v>https://www.timeshighereducation.com/world-university-rankings/2023/world-ranking</x:v>
      </x:c>
      <x:c r="L456" s="31" t="str">
        <x:v>https://sgs.tu.ac.th/ma-program/</x:v>
      </x:c>
    </x:row>
    <x:row r="457">
      <x:c r="A457" s="15" t="n">
        <x:v>92</x:v>
      </x:c>
      <x:c r="B457" s="15" t="str">
        <x:v>Thammasat University</x:v>
      </x:c>
      <x:c r="C457" s="15" t="str">
        <x:v>Thailand</x:v>
      </x:c>
      <x:c r="D457" s="15" t="str">
        <x:v>MA Social Innovation and Sustainability</x:v>
      </x:c>
      <x:c r="E457" s="32" t="n">
        <x:v>2024</x:v>
      </x:c>
      <x:c r="F457" s="32" t="str">
        <x:v>200+</x:v>
      </x:c>
      <x:c r="G457" s="36"/>
      <x:c r="H457" s="15" t="str">
        <x:v>Published beyond rank 200; exact value intentionally suppressed</x:v>
      </x:c>
      <x:c r="I457" s="15" t="str">
        <x:v>Thammasat University</x:v>
      </x:c>
      <x:c r="J457" s="31" t="str">
        <x:v>https://www.timeshighereducation.com/world-university-rankings/thammasat-university</x:v>
      </x:c>
      <x:c r="K457" s="31" t="str">
        <x:v>https://www.timeshighereducation.com/world-university-rankings/2024/world-ranking</x:v>
      </x:c>
      <x:c r="L457" s="31" t="str">
        <x:v>https://sgs.tu.ac.th/ma-program/</x:v>
      </x:c>
    </x:row>
    <x:row r="458">
      <x:c r="A458" s="15" t="n">
        <x:v>92</x:v>
      </x:c>
      <x:c r="B458" s="15" t="str">
        <x:v>Thammasat University</x:v>
      </x:c>
      <x:c r="C458" s="15" t="str">
        <x:v>Thailand</x:v>
      </x:c>
      <x:c r="D458" s="15" t="str">
        <x:v>MA Social Innovation and Sustainability</x:v>
      </x:c>
      <x:c r="E458" s="32" t="n">
        <x:v>2025</x:v>
      </x:c>
      <x:c r="F458" s="32" t="str">
        <x:v>200+</x:v>
      </x:c>
      <x:c r="G458" s="36"/>
      <x:c r="H458" s="15" t="str">
        <x:v>Published beyond rank 200; exact value intentionally suppressed</x:v>
      </x:c>
      <x:c r="I458" s="15" t="str">
        <x:v>Thammasat University</x:v>
      </x:c>
      <x:c r="J458" s="31" t="str">
        <x:v>https://www.timeshighereducation.com/world-university-rankings/thammasat-university</x:v>
      </x:c>
      <x:c r="K458" s="31" t="str">
        <x:v>https://www.timeshighereducation.com/world-university-rankings/2025/world-ranking</x:v>
      </x:c>
      <x:c r="L458" s="31" t="str">
        <x:v>https://sgs.tu.ac.th/ma-program/</x:v>
      </x:c>
    </x:row>
    <x:row r="459">
      <x:c r="A459" s="15" t="n">
        <x:v>92</x:v>
      </x:c>
      <x:c r="B459" s="15" t="str">
        <x:v>Thammasat University</x:v>
      </x:c>
      <x:c r="C459" s="15" t="str">
        <x:v>Thailand</x:v>
      </x:c>
      <x:c r="D459" s="15" t="str">
        <x:v>MA Social Innovation and Sustainability</x:v>
      </x:c>
      <x:c r="E459" s="32" t="n">
        <x:v>2026</x:v>
      </x:c>
      <x:c r="F459" s="32" t="str">
        <x:v>200+</x:v>
      </x:c>
      <x:c r="G459" s="36"/>
      <x:c r="H459" s="15" t="str">
        <x:v>Published beyond rank 200; exact value intentionally suppressed</x:v>
      </x:c>
      <x:c r="I459" s="15" t="str">
        <x:v>Thammasat University</x:v>
      </x:c>
      <x:c r="J459" s="31" t="str">
        <x:v>https://www.timeshighereducation.com/world-university-rankings/thammasat-university</x:v>
      </x:c>
      <x:c r="K459" s="31" t="str">
        <x:v>https://www.timeshighereducation.com/world-university-rankings/2026/world-ranking</x:v>
      </x:c>
      <x:c r="L459" s="31" t="str">
        <x:v>https://sgs.tu.ac.th/ma-program/</x:v>
      </x:c>
    </x:row>
    <x:row r="460">
      <x:c r="A460" s="15" t="n">
        <x:v>93</x:v>
      </x:c>
      <x:c r="B460" s="15" t="str">
        <x:v>Walailak University</x:v>
      </x:c>
      <x:c r="C460" s="15" t="str">
        <x:v>Thailand</x:v>
      </x:c>
      <x:c r="D460" s="15" t="str">
        <x:v>MSc Environmental, Safety Technology and Health</x:v>
      </x:c>
      <x:c r="E460" s="32" t="n">
        <x:v>2022</x:v>
      </x:c>
      <x:c r="F460" s="32" t="str">
        <x:v>200+</x:v>
      </x:c>
      <x:c r="G460" s="36"/>
      <x:c r="H460" s="15" t="str">
        <x:v>Published beyond rank 200; exact value intentionally suppressed</x:v>
      </x:c>
      <x:c r="I460" s="15" t="str">
        <x:v>Walailak University</x:v>
      </x:c>
      <x:c r="J460" s="31" t="str">
        <x:v>https://www.timeshighereducation.com/world-university-rankings/walailak-university</x:v>
      </x:c>
      <x:c r="K460" s="31" t="str">
        <x:v>https://www.timeshighereducation.com/world-university-rankings/2022/world-ranking</x:v>
      </x:c>
      <x:c r="L460" s="31" t="str">
        <x:v>https://www.wu.ac.th/en/news/21010/School-College</x:v>
      </x:c>
    </x:row>
    <x:row r="461">
      <x:c r="A461" s="15" t="n">
        <x:v>93</x:v>
      </x:c>
      <x:c r="B461" s="15" t="str">
        <x:v>Walailak University</x:v>
      </x:c>
      <x:c r="C461" s="15" t="str">
        <x:v>Thailand</x:v>
      </x:c>
      <x:c r="D461" s="15" t="str">
        <x:v>MSc Environmental, Safety Technology and Health</x:v>
      </x:c>
      <x:c r="E461" s="32" t="n">
        <x:v>2023</x:v>
      </x:c>
      <x:c r="F461" s="32" t="str">
        <x:v>200+</x:v>
      </x:c>
      <x:c r="G461" s="36"/>
      <x:c r="H461" s="15" t="str">
        <x:v>Published beyond rank 200; exact value intentionally suppressed</x:v>
      </x:c>
      <x:c r="I461" s="15" t="str">
        <x:v>Walailak University</x:v>
      </x:c>
      <x:c r="J461" s="31" t="str">
        <x:v>https://www.timeshighereducation.com/world-university-rankings/walailak-university</x:v>
      </x:c>
      <x:c r="K461" s="31" t="str">
        <x:v>https://www.timeshighereducation.com/world-university-rankings/2023/world-ranking</x:v>
      </x:c>
      <x:c r="L461" s="31" t="str">
        <x:v>https://www.wu.ac.th/en/news/21010/School-College</x:v>
      </x:c>
    </x:row>
    <x:row r="462">
      <x:c r="A462" s="15" t="n">
        <x:v>93</x:v>
      </x:c>
      <x:c r="B462" s="15" t="str">
        <x:v>Walailak University</x:v>
      </x:c>
      <x:c r="C462" s="15" t="str">
        <x:v>Thailand</x:v>
      </x:c>
      <x:c r="D462" s="15" t="str">
        <x:v>MSc Environmental, Safety Technology and Health</x:v>
      </x:c>
      <x:c r="E462" s="32" t="n">
        <x:v>2024</x:v>
      </x:c>
      <x:c r="F462" s="32" t="str">
        <x:v>200+</x:v>
      </x:c>
      <x:c r="G462" s="36"/>
      <x:c r="H462" s="15" t="str">
        <x:v>Published beyond rank 200; exact value intentionally suppressed</x:v>
      </x:c>
      <x:c r="I462" s="15" t="str">
        <x:v>Walailak University</x:v>
      </x:c>
      <x:c r="J462" s="31" t="str">
        <x:v>https://www.timeshighereducation.com/world-university-rankings/walailak-university</x:v>
      </x:c>
      <x:c r="K462" s="31" t="str">
        <x:v>https://www.timeshighereducation.com/world-university-rankings/2024/world-ranking</x:v>
      </x:c>
      <x:c r="L462" s="31" t="str">
        <x:v>https://www.wu.ac.th/en/news/21010/School-College</x:v>
      </x:c>
    </x:row>
    <x:row r="463">
      <x:c r="A463" s="15" t="n">
        <x:v>93</x:v>
      </x:c>
      <x:c r="B463" s="15" t="str">
        <x:v>Walailak University</x:v>
      </x:c>
      <x:c r="C463" s="15" t="str">
        <x:v>Thailand</x:v>
      </x:c>
      <x:c r="D463" s="15" t="str">
        <x:v>MSc Environmental, Safety Technology and Health</x:v>
      </x:c>
      <x:c r="E463" s="32" t="n">
        <x:v>2025</x:v>
      </x:c>
      <x:c r="F463" s="32" t="str">
        <x:v>200+</x:v>
      </x:c>
      <x:c r="G463" s="36"/>
      <x:c r="H463" s="15" t="str">
        <x:v>Published beyond rank 200; exact value intentionally suppressed</x:v>
      </x:c>
      <x:c r="I463" s="15" t="str">
        <x:v>Walailak University</x:v>
      </x:c>
      <x:c r="J463" s="31" t="str">
        <x:v>https://www.timeshighereducation.com/world-university-rankings/walailak-university</x:v>
      </x:c>
      <x:c r="K463" s="31" t="str">
        <x:v>https://www.timeshighereducation.com/world-university-rankings/2025/world-ranking</x:v>
      </x:c>
      <x:c r="L463" s="31" t="str">
        <x:v>https://www.wu.ac.th/en/news/21010/School-College</x:v>
      </x:c>
    </x:row>
    <x:row r="464">
      <x:c r="A464" s="15" t="n">
        <x:v>93</x:v>
      </x:c>
      <x:c r="B464" s="15" t="str">
        <x:v>Walailak University</x:v>
      </x:c>
      <x:c r="C464" s="15" t="str">
        <x:v>Thailand</x:v>
      </x:c>
      <x:c r="D464" s="15" t="str">
        <x:v>MSc Environmental, Safety Technology and Health</x:v>
      </x:c>
      <x:c r="E464" s="32" t="n">
        <x:v>2026</x:v>
      </x:c>
      <x:c r="F464" s="32" t="str">
        <x:v>200+</x:v>
      </x:c>
      <x:c r="G464" s="36"/>
      <x:c r="H464" s="15" t="str">
        <x:v>Published beyond rank 200; exact value intentionally suppressed</x:v>
      </x:c>
      <x:c r="I464" s="15" t="str">
        <x:v>Walailak University</x:v>
      </x:c>
      <x:c r="J464" s="31" t="str">
        <x:v>https://www.timeshighereducation.com/world-university-rankings/walailak-university</x:v>
      </x:c>
      <x:c r="K464" s="31" t="str">
        <x:v>https://www.timeshighereducation.com/world-university-rankings/2026/world-ranking</x:v>
      </x:c>
      <x:c r="L464" s="31" t="str">
        <x:v>https://www.wu.ac.th/en/news/21010/School-College</x:v>
      </x:c>
    </x:row>
    <x:row r="465">
      <x:c r="A465" s="15" t="n">
        <x:v>94</x:v>
      </x:c>
      <x:c r="B465" s="15" t="str">
        <x:v>King Abdullah University of Science and Technology (KAUST)</x:v>
      </x:c>
      <x:c r="C465" s="15" t="str">
        <x:v>Saudi Arabia</x:v>
      </x:c>
      <x:c r="D465" s="15" t="str">
        <x:v>MS Environmental Science and Engineering</x:v>
      </x:c>
      <x:c r="E465" s="32" t="n">
        <x:v>2022</x:v>
      </x:c>
      <x:c r="F465" s="32" t="str">
        <x:v>NR</x:v>
      </x:c>
      <x:c r="G465" s="36"/>
      <x:c r="H465" s="15" t="str">
        <x:v>Not ranked in complete official table</x:v>
      </x:c>
      <x:c r="I465" s="15" t="str"/>
      <x:c r="J465" s="31" t="str"/>
      <x:c r="K465" s="31" t="str">
        <x:v>https://www.timeshighereducation.com/world-university-rankings/2022/world-ranking</x:v>
      </x:c>
      <x:c r="L465" s="31" t="str">
        <x:v>https://bese.kaust.edu.sa/study/academic-programs/ense</x:v>
      </x:c>
    </x:row>
    <x:row r="466">
      <x:c r="A466" s="15" t="n">
        <x:v>94</x:v>
      </x:c>
      <x:c r="B466" s="15" t="str">
        <x:v>King Abdullah University of Science and Technology (KAUST)</x:v>
      </x:c>
      <x:c r="C466" s="15" t="str">
        <x:v>Saudi Arabia</x:v>
      </x:c>
      <x:c r="D466" s="15" t="str">
        <x:v>MS Environmental Science and Engineering</x:v>
      </x:c>
      <x:c r="E466" s="32" t="n">
        <x:v>2023</x:v>
      </x:c>
      <x:c r="F466" s="32" t="str">
        <x:v>NR</x:v>
      </x:c>
      <x:c r="G466" s="36"/>
      <x:c r="H466" s="15" t="str">
        <x:v>Not ranked in complete official table</x:v>
      </x:c>
      <x:c r="I466" s="15" t="str"/>
      <x:c r="J466" s="31" t="str"/>
      <x:c r="K466" s="31" t="str">
        <x:v>https://www.timeshighereducation.com/world-university-rankings/2023/world-ranking</x:v>
      </x:c>
      <x:c r="L466" s="31" t="str">
        <x:v>https://bese.kaust.edu.sa/study/academic-programs/ense</x:v>
      </x:c>
    </x:row>
    <x:row r="467">
      <x:c r="A467" s="15" t="n">
        <x:v>94</x:v>
      </x:c>
      <x:c r="B467" s="15" t="str">
        <x:v>King Abdullah University of Science and Technology (KAUST)</x:v>
      </x:c>
      <x:c r="C467" s="15" t="str">
        <x:v>Saudi Arabia</x:v>
      </x:c>
      <x:c r="D467" s="15" t="str">
        <x:v>MS Environmental Science and Engineering</x:v>
      </x:c>
      <x:c r="E467" s="32" t="n">
        <x:v>2024</x:v>
      </x:c>
      <x:c r="F467" s="32" t="str">
        <x:v>200+</x:v>
      </x:c>
      <x:c r="G467" s="36"/>
      <x:c r="H467" s="15" t="str">
        <x:v>Published beyond rank 200; exact value intentionally suppressed</x:v>
      </x:c>
      <x:c r="I467" s="15" t="str">
        <x:v>King Abdullah University of Science and Technology (KAUST)</x:v>
      </x:c>
      <x:c r="J467" s="31" t="str">
        <x:v>https://www.timeshighereducation.com/world-university-rankings/king-abdullah-university-science-and-technology-kaust</x:v>
      </x:c>
      <x:c r="K467" s="31" t="str">
        <x:v>https://www.timeshighereducation.com/world-university-rankings/2024/world-ranking</x:v>
      </x:c>
      <x:c r="L467" s="31" t="str">
        <x:v>https://bese.kaust.edu.sa/study/academic-programs/ense</x:v>
      </x:c>
    </x:row>
    <x:row r="468">
      <x:c r="A468" s="15" t="n">
        <x:v>94</x:v>
      </x:c>
      <x:c r="B468" s="15" t="str">
        <x:v>King Abdullah University of Science and Technology (KAUST)</x:v>
      </x:c>
      <x:c r="C468" s="15" t="str">
        <x:v>Saudi Arabia</x:v>
      </x:c>
      <x:c r="D468" s="15" t="str">
        <x:v>MS Environmental Science and Engineering</x:v>
      </x:c>
      <x:c r="E468" s="32" t="n">
        <x:v>2025</x:v>
      </x:c>
      <x:c r="F468" s="32" t="str">
        <x:v>200+</x:v>
      </x:c>
      <x:c r="G468" s="36"/>
      <x:c r="H468" s="15" t="str">
        <x:v>Published beyond rank 200; exact value intentionally suppressed</x:v>
      </x:c>
      <x:c r="I468" s="15" t="str">
        <x:v>King Abdullah University of Science and Technology (KAUST)</x:v>
      </x:c>
      <x:c r="J468" s="31" t="str">
        <x:v>https://www.timeshighereducation.com/world-university-rankings/king-abdullah-university-science-and-technology-kaust</x:v>
      </x:c>
      <x:c r="K468" s="31" t="str">
        <x:v>https://www.timeshighereducation.com/world-university-rankings/2025/world-ranking</x:v>
      </x:c>
      <x:c r="L468" s="31" t="str">
        <x:v>https://bese.kaust.edu.sa/study/academic-programs/ense</x:v>
      </x:c>
    </x:row>
    <x:row r="469">
      <x:c r="A469" s="15" t="n">
        <x:v>94</x:v>
      </x:c>
      <x:c r="B469" s="15" t="str">
        <x:v>King Abdullah University of Science and Technology (KAUST)</x:v>
      </x:c>
      <x:c r="C469" s="15" t="str">
        <x:v>Saudi Arabia</x:v>
      </x:c>
      <x:c r="D469" s="15" t="str">
        <x:v>MS Environmental Science and Engineering</x:v>
      </x:c>
      <x:c r="E469" s="32" t="n">
        <x:v>2026</x:v>
      </x:c>
      <x:c r="F469" s="32" t="str">
        <x:v>200+</x:v>
      </x:c>
      <x:c r="G469" s="36"/>
      <x:c r="H469" s="15" t="str">
        <x:v>Published beyond rank 200; exact value intentionally suppressed</x:v>
      </x:c>
      <x:c r="I469" s="15" t="str">
        <x:v>King Abdullah University of Science and Technology (KAUST)</x:v>
      </x:c>
      <x:c r="J469" s="31" t="str">
        <x:v>https://www.timeshighereducation.com/world-university-rankings/king-abdullah-university-science-and-technology-kaust</x:v>
      </x:c>
      <x:c r="K469" s="31" t="str">
        <x:v>https://www.timeshighereducation.com/world-university-rankings/2026/world-ranking</x:v>
      </x:c>
      <x:c r="L469" s="31" t="str">
        <x:v>https://bese.kaust.edu.sa/study/academic-programs/ense</x:v>
      </x:c>
    </x:row>
    <x:row r="470">
      <x:c r="A470" s="15" t="n">
        <x:v>95</x:v>
      </x:c>
      <x:c r="B470" s="15" t="str">
        <x:v>Chiang Mai University</x:v>
      </x:c>
      <x:c r="C470" s="15" t="str">
        <x:v>Thailand</x:v>
      </x:c>
      <x:c r="D470" s="15" t="str">
        <x:v>MSc Environmental Science</x:v>
      </x:c>
      <x:c r="E470" s="32" t="n">
        <x:v>2022</x:v>
      </x:c>
      <x:c r="F470" s="32" t="str">
        <x:v>200+</x:v>
      </x:c>
      <x:c r="G470" s="36"/>
      <x:c r="H470" s="15" t="str">
        <x:v>Published beyond rank 200; exact value intentionally suppressed</x:v>
      </x:c>
      <x:c r="I470" s="15" t="str">
        <x:v>Chiang Mai University</x:v>
      </x:c>
      <x:c r="J470" s="31" t="str">
        <x:v>https://www.timeshighereducation.com/world-university-rankings/chiang-mai-university</x:v>
      </x:c>
      <x:c r="K470" s="31" t="str">
        <x:v>https://www.timeshighereducation.com/world-university-rankings/2022/world-ranking</x:v>
      </x:c>
      <x:c r="L470" s="31" t="str">
        <x:v>https://www.science.cmu.ac.th/english/master.php</x:v>
      </x:c>
    </x:row>
    <x:row r="471">
      <x:c r="A471" s="15" t="n">
        <x:v>95</x:v>
      </x:c>
      <x:c r="B471" s="15" t="str">
        <x:v>Chiang Mai University</x:v>
      </x:c>
      <x:c r="C471" s="15" t="str">
        <x:v>Thailand</x:v>
      </x:c>
      <x:c r="D471" s="15" t="str">
        <x:v>MSc Environmental Science</x:v>
      </x:c>
      <x:c r="E471" s="32" t="n">
        <x:v>2023</x:v>
      </x:c>
      <x:c r="F471" s="32" t="str">
        <x:v>200+</x:v>
      </x:c>
      <x:c r="G471" s="36"/>
      <x:c r="H471" s="15" t="str">
        <x:v>Published beyond rank 200; exact value intentionally suppressed</x:v>
      </x:c>
      <x:c r="I471" s="15" t="str">
        <x:v>Chiang Mai University</x:v>
      </x:c>
      <x:c r="J471" s="31" t="str">
        <x:v>https://www.timeshighereducation.com/world-university-rankings/chiang-mai-university</x:v>
      </x:c>
      <x:c r="K471" s="31" t="str">
        <x:v>https://www.timeshighereducation.com/world-university-rankings/2023/world-ranking</x:v>
      </x:c>
      <x:c r="L471" s="31" t="str">
        <x:v>https://www.science.cmu.ac.th/english/master.php</x:v>
      </x:c>
    </x:row>
    <x:row r="472">
      <x:c r="A472" s="15" t="n">
        <x:v>95</x:v>
      </x:c>
      <x:c r="B472" s="15" t="str">
        <x:v>Chiang Mai University</x:v>
      </x:c>
      <x:c r="C472" s="15" t="str">
        <x:v>Thailand</x:v>
      </x:c>
      <x:c r="D472" s="15" t="str">
        <x:v>MSc Environmental Science</x:v>
      </x:c>
      <x:c r="E472" s="32" t="n">
        <x:v>2024</x:v>
      </x:c>
      <x:c r="F472" s="32" t="str">
        <x:v>200+</x:v>
      </x:c>
      <x:c r="G472" s="36"/>
      <x:c r="H472" s="15" t="str">
        <x:v>Published beyond rank 200; exact value intentionally suppressed</x:v>
      </x:c>
      <x:c r="I472" s="15" t="str">
        <x:v>Chiang Mai University</x:v>
      </x:c>
      <x:c r="J472" s="31" t="str">
        <x:v>https://www.timeshighereducation.com/world-university-rankings/chiang-mai-university</x:v>
      </x:c>
      <x:c r="K472" s="31" t="str">
        <x:v>https://www.timeshighereducation.com/world-university-rankings/2024/world-ranking</x:v>
      </x:c>
      <x:c r="L472" s="31" t="str">
        <x:v>https://www.science.cmu.ac.th/english/master.php</x:v>
      </x:c>
    </x:row>
    <x:row r="473">
      <x:c r="A473" s="15" t="n">
        <x:v>95</x:v>
      </x:c>
      <x:c r="B473" s="15" t="str">
        <x:v>Chiang Mai University</x:v>
      </x:c>
      <x:c r="C473" s="15" t="str">
        <x:v>Thailand</x:v>
      </x:c>
      <x:c r="D473" s="15" t="str">
        <x:v>MSc Environmental Science</x:v>
      </x:c>
      <x:c r="E473" s="32" t="n">
        <x:v>2025</x:v>
      </x:c>
      <x:c r="F473" s="32" t="str">
        <x:v>200+</x:v>
      </x:c>
      <x:c r="G473" s="36"/>
      <x:c r="H473" s="15" t="str">
        <x:v>Published beyond rank 200; exact value intentionally suppressed</x:v>
      </x:c>
      <x:c r="I473" s="15" t="str">
        <x:v>Chiang Mai University</x:v>
      </x:c>
      <x:c r="J473" s="31" t="str">
        <x:v>https://www.timeshighereducation.com/world-university-rankings/chiang-mai-university</x:v>
      </x:c>
      <x:c r="K473" s="31" t="str">
        <x:v>https://www.timeshighereducation.com/world-university-rankings/2025/world-ranking</x:v>
      </x:c>
      <x:c r="L473" s="31" t="str">
        <x:v>https://www.science.cmu.ac.th/english/master.php</x:v>
      </x:c>
    </x:row>
    <x:row r="474">
      <x:c r="A474" s="15" t="n">
        <x:v>95</x:v>
      </x:c>
      <x:c r="B474" s="15" t="str">
        <x:v>Chiang Mai University</x:v>
      </x:c>
      <x:c r="C474" s="15" t="str">
        <x:v>Thailand</x:v>
      </x:c>
      <x:c r="D474" s="15" t="str">
        <x:v>MSc Environmental Science</x:v>
      </x:c>
      <x:c r="E474" s="32" t="n">
        <x:v>2026</x:v>
      </x:c>
      <x:c r="F474" s="32" t="str">
        <x:v>200+</x:v>
      </x:c>
      <x:c r="G474" s="36"/>
      <x:c r="H474" s="15" t="str">
        <x:v>Published beyond rank 200; exact value intentionally suppressed</x:v>
      </x:c>
      <x:c r="I474" s="15" t="str">
        <x:v>Chiang Mai University</x:v>
      </x:c>
      <x:c r="J474" s="31" t="str">
        <x:v>https://www.timeshighereducation.com/world-university-rankings/chiang-mai-university</x:v>
      </x:c>
      <x:c r="K474" s="31" t="str">
        <x:v>https://www.timeshighereducation.com/world-university-rankings/2026/world-ranking</x:v>
      </x:c>
      <x:c r="L474" s="31" t="str">
        <x:v>https://www.science.cmu.ac.th/english/master.php</x:v>
      </x:c>
    </x:row>
    <x:row r="475">
      <x:c r="A475" s="15" t="n">
        <x:v>96</x:v>
      </x:c>
      <x:c r="B475" s="15" t="str">
        <x:v>Jeonbuk National University</x:v>
      </x:c>
      <x:c r="C475" s="15" t="str">
        <x:v>South Korea</x:v>
      </x:c>
      <x:c r="D475" s="15" t="str">
        <x:v>Master of Engineering in Environmental Engineering</x:v>
      </x:c>
      <x:c r="E475" s="32" t="n">
        <x:v>2022</x:v>
      </x:c>
      <x:c r="F475" s="32" t="str">
        <x:v>200+</x:v>
      </x:c>
      <x:c r="G475" s="36"/>
      <x:c r="H475" s="15" t="str">
        <x:v>Published beyond rank 200; exact value intentionally suppressed</x:v>
      </x:c>
      <x:c r="I475" s="15" t="str">
        <x:v>Jeonbuk National University</x:v>
      </x:c>
      <x:c r="J475" s="31" t="str">
        <x:v>https://www.timeshighereducation.com/world-university-rankings/jeonbuk-national-university</x:v>
      </x:c>
      <x:c r="K475" s="31" t="str">
        <x:v>https://www.timeshighereducation.com/world-university-rankings/2022/world-ranking</x:v>
      </x:c>
      <x:c r="L475" s="31" t="str">
        <x:v>https://gse.jbnu.ac.kr/gse/1394/subview.do</x:v>
      </x:c>
    </x:row>
    <x:row r="476">
      <x:c r="A476" s="15" t="n">
        <x:v>96</x:v>
      </x:c>
      <x:c r="B476" s="15" t="str">
        <x:v>Jeonbuk National University</x:v>
      </x:c>
      <x:c r="C476" s="15" t="str">
        <x:v>South Korea</x:v>
      </x:c>
      <x:c r="D476" s="15" t="str">
        <x:v>Master of Engineering in Environmental Engineering</x:v>
      </x:c>
      <x:c r="E476" s="32" t="n">
        <x:v>2023</x:v>
      </x:c>
      <x:c r="F476" s="32" t="str">
        <x:v>200+</x:v>
      </x:c>
      <x:c r="G476" s="36"/>
      <x:c r="H476" s="15" t="str">
        <x:v>Published beyond rank 200; exact value intentionally suppressed</x:v>
      </x:c>
      <x:c r="I476" s="15" t="str">
        <x:v>Jeonbuk National University</x:v>
      </x:c>
      <x:c r="J476" s="31" t="str">
        <x:v>https://www.timeshighereducation.com/world-university-rankings/jeonbuk-national-university</x:v>
      </x:c>
      <x:c r="K476" s="31" t="str">
        <x:v>https://www.timeshighereducation.com/world-university-rankings/2023/world-ranking</x:v>
      </x:c>
      <x:c r="L476" s="31" t="str">
        <x:v>https://gse.jbnu.ac.kr/gse/1394/subview.do</x:v>
      </x:c>
    </x:row>
    <x:row r="477">
      <x:c r="A477" s="15" t="n">
        <x:v>96</x:v>
      </x:c>
      <x:c r="B477" s="15" t="str">
        <x:v>Jeonbuk National University</x:v>
      </x:c>
      <x:c r="C477" s="15" t="str">
        <x:v>South Korea</x:v>
      </x:c>
      <x:c r="D477" s="15" t="str">
        <x:v>Master of Engineering in Environmental Engineering</x:v>
      </x:c>
      <x:c r="E477" s="32" t="n">
        <x:v>2024</x:v>
      </x:c>
      <x:c r="F477" s="32" t="str">
        <x:v>200+</x:v>
      </x:c>
      <x:c r="G477" s="36"/>
      <x:c r="H477" s="15" t="str">
        <x:v>Published beyond rank 200; exact value intentionally suppressed</x:v>
      </x:c>
      <x:c r="I477" s="15" t="str">
        <x:v>Jeonbuk National University</x:v>
      </x:c>
      <x:c r="J477" s="31" t="str">
        <x:v>https://www.timeshighereducation.com/world-university-rankings/jeonbuk-national-university</x:v>
      </x:c>
      <x:c r="K477" s="31" t="str">
        <x:v>https://www.timeshighereducation.com/world-university-rankings/2024/world-ranking</x:v>
      </x:c>
      <x:c r="L477" s="31" t="str">
        <x:v>https://gse.jbnu.ac.kr/gse/1394/subview.do</x:v>
      </x:c>
    </x:row>
    <x:row r="478">
      <x:c r="A478" s="15" t="n">
        <x:v>96</x:v>
      </x:c>
      <x:c r="B478" s="15" t="str">
        <x:v>Jeonbuk National University</x:v>
      </x:c>
      <x:c r="C478" s="15" t="str">
        <x:v>South Korea</x:v>
      </x:c>
      <x:c r="D478" s="15" t="str">
        <x:v>Master of Engineering in Environmental Engineering</x:v>
      </x:c>
      <x:c r="E478" s="32" t="n">
        <x:v>2025</x:v>
      </x:c>
      <x:c r="F478" s="32" t="str">
        <x:v>200+</x:v>
      </x:c>
      <x:c r="G478" s="36"/>
      <x:c r="H478" s="15" t="str">
        <x:v>Published beyond rank 200; exact value intentionally suppressed</x:v>
      </x:c>
      <x:c r="I478" s="15" t="str">
        <x:v>Jeonbuk National University</x:v>
      </x:c>
      <x:c r="J478" s="31" t="str">
        <x:v>https://www.timeshighereducation.com/world-university-rankings/jeonbuk-national-university</x:v>
      </x:c>
      <x:c r="K478" s="31" t="str">
        <x:v>https://www.timeshighereducation.com/world-university-rankings/2025/world-ranking</x:v>
      </x:c>
      <x:c r="L478" s="31" t="str">
        <x:v>https://gse.jbnu.ac.kr/gse/1394/subview.do</x:v>
      </x:c>
    </x:row>
    <x:row r="479">
      <x:c r="A479" s="15" t="n">
        <x:v>96</x:v>
      </x:c>
      <x:c r="B479" s="15" t="str">
        <x:v>Jeonbuk National University</x:v>
      </x:c>
      <x:c r="C479" s="15" t="str">
        <x:v>South Korea</x:v>
      </x:c>
      <x:c r="D479" s="15" t="str">
        <x:v>Master of Engineering in Environmental Engineering</x:v>
      </x:c>
      <x:c r="E479" s="32" t="n">
        <x:v>2026</x:v>
      </x:c>
      <x:c r="F479" s="32" t="str">
        <x:v>200+</x:v>
      </x:c>
      <x:c r="G479" s="36"/>
      <x:c r="H479" s="15" t="str">
        <x:v>Published beyond rank 200; exact value intentionally suppressed</x:v>
      </x:c>
      <x:c r="I479" s="15" t="str">
        <x:v>Jeonbuk National University</x:v>
      </x:c>
      <x:c r="J479" s="31" t="str">
        <x:v>https://www.timeshighereducation.com/world-university-rankings/jeonbuk-national-university</x:v>
      </x:c>
      <x:c r="K479" s="31" t="str">
        <x:v>https://www.timeshighereducation.com/world-university-rankings/2026/world-ranking</x:v>
      </x:c>
      <x:c r="L479" s="31" t="str">
        <x:v>https://gse.jbnu.ac.kr/gse/1394/subview.do</x:v>
      </x:c>
    </x:row>
    <x:row r="480">
      <x:c r="A480" s="15" t="n">
        <x:v>97</x:v>
      </x:c>
      <x:c r="B480" s="15" t="str">
        <x:v>National Yang Ming Chiao Tung University (NYCU Taiwan)</x:v>
      </x:c>
      <x:c r="C480" s="15" t="str">
        <x:v>Taiwan</x:v>
      </x:c>
      <x:c r="D480" s="15" t="str">
        <x:v>Master Program in Environmental Engineering</x:v>
      </x:c>
      <x:c r="E480" s="32" t="n">
        <x:v>2022</x:v>
      </x:c>
      <x:c r="F480" s="32" t="str">
        <x:v>200+</x:v>
      </x:c>
      <x:c r="G480" s="36"/>
      <x:c r="H480" s="15" t="str">
        <x:v>Published beyond rank 200; exact value intentionally suppressed</x:v>
      </x:c>
      <x:c r="I480" s="15" t="str">
        <x:v>National Yang Ming Chiao Tung University (NYCU Taiwan)</x:v>
      </x:c>
      <x:c r="J480" s="31" t="str">
        <x:v>https://www.timeshighereducation.com/world-university-rankings/national-yang-ming-chiao-tung-university-nycu-taiwan</x:v>
      </x:c>
      <x:c r="K480" s="31" t="str">
        <x:v>https://www.timeshighereducation.com/world-university-rankings/2022/world-ranking</x:v>
      </x:c>
      <x:c r="L480" s="31" t="str">
        <x:v>https://sdgs.nycu.edu.tw/archives/27449/</x:v>
      </x:c>
    </x:row>
    <x:row r="481">
      <x:c r="A481" s="15" t="n">
        <x:v>97</x:v>
      </x:c>
      <x:c r="B481" s="15" t="str">
        <x:v>National Yang Ming Chiao Tung University (NYCU Taiwan)</x:v>
      </x:c>
      <x:c r="C481" s="15" t="str">
        <x:v>Taiwan</x:v>
      </x:c>
      <x:c r="D481" s="15" t="str">
        <x:v>Master Program in Environmental Engineering</x:v>
      </x:c>
      <x:c r="E481" s="32" t="n">
        <x:v>2023</x:v>
      </x:c>
      <x:c r="F481" s="32" t="str">
        <x:v>200+</x:v>
      </x:c>
      <x:c r="G481" s="36"/>
      <x:c r="H481" s="15" t="str">
        <x:v>Published beyond rank 200; exact value intentionally suppressed</x:v>
      </x:c>
      <x:c r="I481" s="15" t="str">
        <x:v>National Yang Ming Chiao Tung University (NYCU Taiwan)</x:v>
      </x:c>
      <x:c r="J481" s="31" t="str">
        <x:v>https://www.timeshighereducation.com/world-university-rankings/national-yang-ming-chiao-tung-university-nycu-taiwan</x:v>
      </x:c>
      <x:c r="K481" s="31" t="str">
        <x:v>https://www.timeshighereducation.com/world-university-rankings/2023/world-ranking</x:v>
      </x:c>
      <x:c r="L481" s="31" t="str">
        <x:v>https://sdgs.nycu.edu.tw/archives/27449/</x:v>
      </x:c>
    </x:row>
    <x:row r="482">
      <x:c r="A482" s="15" t="n">
        <x:v>97</x:v>
      </x:c>
      <x:c r="B482" s="15" t="str">
        <x:v>National Yang Ming Chiao Tung University (NYCU Taiwan)</x:v>
      </x:c>
      <x:c r="C482" s="15" t="str">
        <x:v>Taiwan</x:v>
      </x:c>
      <x:c r="D482" s="15" t="str">
        <x:v>Master Program in Environmental Engineering</x:v>
      </x:c>
      <x:c r="E482" s="32" t="n">
        <x:v>2024</x:v>
      </x:c>
      <x:c r="F482" s="32" t="str">
        <x:v>200+</x:v>
      </x:c>
      <x:c r="G482" s="36"/>
      <x:c r="H482" s="15" t="str">
        <x:v>Published beyond rank 200; exact value intentionally suppressed</x:v>
      </x:c>
      <x:c r="I482" s="15" t="str">
        <x:v>National Yang Ming Chiao Tung University (NYCU Taiwan)</x:v>
      </x:c>
      <x:c r="J482" s="31" t="str">
        <x:v>https://www.timeshighereducation.com/world-university-rankings/national-yang-ming-chiao-tung-university-nycu-taiwan</x:v>
      </x:c>
      <x:c r="K482" s="31" t="str">
        <x:v>https://www.timeshighereducation.com/world-university-rankings/2024/world-ranking</x:v>
      </x:c>
      <x:c r="L482" s="31" t="str">
        <x:v>https://sdgs.nycu.edu.tw/archives/27449/</x:v>
      </x:c>
    </x:row>
    <x:row r="483">
      <x:c r="A483" s="15" t="n">
        <x:v>97</x:v>
      </x:c>
      <x:c r="B483" s="15" t="str">
        <x:v>National Yang Ming Chiao Tung University (NYCU Taiwan)</x:v>
      </x:c>
      <x:c r="C483" s="15" t="str">
        <x:v>Taiwan</x:v>
      </x:c>
      <x:c r="D483" s="15" t="str">
        <x:v>Master Program in Environmental Engineering</x:v>
      </x:c>
      <x:c r="E483" s="32" t="n">
        <x:v>2025</x:v>
      </x:c>
      <x:c r="F483" s="32" t="str">
        <x:v>200+</x:v>
      </x:c>
      <x:c r="G483" s="36"/>
      <x:c r="H483" s="15" t="str">
        <x:v>Published beyond rank 200; exact value intentionally suppressed</x:v>
      </x:c>
      <x:c r="I483" s="15" t="str">
        <x:v>National Yang Ming Chiao Tung University (NYCU Taiwan)</x:v>
      </x:c>
      <x:c r="J483" s="31" t="str">
        <x:v>https://www.timeshighereducation.com/world-university-rankings/national-yang-ming-chiao-tung-university-nycu-taiwan</x:v>
      </x:c>
      <x:c r="K483" s="31" t="str">
        <x:v>https://www.timeshighereducation.com/world-university-rankings/2025/world-ranking</x:v>
      </x:c>
      <x:c r="L483" s="31" t="str">
        <x:v>https://sdgs.nycu.edu.tw/archives/27449/</x:v>
      </x:c>
    </x:row>
    <x:row r="484">
      <x:c r="A484" s="15" t="n">
        <x:v>97</x:v>
      </x:c>
      <x:c r="B484" s="15" t="str">
        <x:v>National Yang Ming Chiao Tung University (NYCU Taiwan)</x:v>
      </x:c>
      <x:c r="C484" s="15" t="str">
        <x:v>Taiwan</x:v>
      </x:c>
      <x:c r="D484" s="15" t="str">
        <x:v>Master Program in Environmental Engineering</x:v>
      </x:c>
      <x:c r="E484" s="32" t="n">
        <x:v>2026</x:v>
      </x:c>
      <x:c r="F484" s="32" t="str">
        <x:v>200+</x:v>
      </x:c>
      <x:c r="G484" s="36"/>
      <x:c r="H484" s="15" t="str">
        <x:v>Published beyond rank 200; exact value intentionally suppressed</x:v>
      </x:c>
      <x:c r="I484" s="15" t="str">
        <x:v>National Yang Ming Chiao Tung University (NYCU Taiwan)</x:v>
      </x:c>
      <x:c r="J484" s="31" t="str">
        <x:v>https://www.timeshighereducation.com/world-university-rankings/national-yang-ming-chiao-tung-university-nycu-taiwan</x:v>
      </x:c>
      <x:c r="K484" s="31" t="str">
        <x:v>https://www.timeshighereducation.com/world-university-rankings/2026/world-ranking</x:v>
      </x:c>
      <x:c r="L484" s="31" t="str">
        <x:v>https://sdgs.nycu.edu.tw/archives/27449/</x:v>
      </x:c>
    </x:row>
  </x:sheetData>
  <x:mergeCells>
    <x:mergeCell ref="A1:L1"/>
    <x:mergeCell ref="A2:L2"/>
  </x:mergeCells>
  <x:conditionalFormatting sqref="F5:F484">
    <x:cfRule type="containsText" dxfId="15" priority="1" operator="containsText" text="NR"/>
    <x:cfRule type="containsText" dxfId="16" priority="2" operator="containsText" text="N/P"/>
    <x:cfRule type="containsText" dxfId="17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277cae16d49149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2" hidden="0" customWidth="1"/>
    <x:col min="4" max="4" width="10" hidden="0" customWidth="1"/>
    <x:col min="5" max="5" width="58" hidden="0" customWidth="1"/>
    <x:col min="6" max="6" width="38" hidden="0" customWidth="1"/>
    <x:col min="7" max="7" width="52" hidden="0" customWidth="1"/>
    <x:col min="8" max="8" width="14" hidden="0" customWidth="1"/>
  </x:cols>
  <x:sheetData>
    <x:row r="1" ht="30" customHeight="1">
      <x:c r="A1" s="3" t="str">
        <x:v>Official Sources, Definitions, and Method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Official ranking pages and the project rules used to collect, match, and transform the ranking histories.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45" t="str">
        <x:v>Category</x:v>
      </x:c>
      <x:c r="B4" s="45" t="str">
        <x:v>Publisher</x:v>
      </x:c>
      <x:c r="C4" s="45" t="str">
        <x:v>Series</x:v>
      </x:c>
      <x:c r="D4" s="45" t="str">
        <x:v>Edition</x:v>
      </x:c>
      <x:c r="E4" s="45" t="str">
        <x:v>Official Source</x:v>
      </x:c>
      <x:c r="F4" s="45" t="str">
        <x:v>Coverage Used</x:v>
      </x:c>
      <x:c r="G4" s="45" t="str">
        <x:v>Workbook Treatment</x:v>
      </x:c>
      <x:c r="H4" s="45" t="str">
        <x:v>Retrieved</x:v>
      </x:c>
    </x:row>
    <x:row r="5">
      <x:c r="A5" s="15" t="str">
        <x:v>Sustainability</x:v>
      </x:c>
      <x:c r="B5" s="15" t="str">
        <x:v>QS</x:v>
      </x:c>
      <x:c r="C5" s="15" t="str">
        <x:v>QS Sustainability Rankings</x:v>
      </x:c>
      <x:c r="D5" s="15" t="n">
        <x:v>2022</x:v>
      </x:c>
      <x:c r="E5" s="31" t="str"/>
      <x:c r="F5" s="46" t="str">
        <x:v>Not published</x:v>
      </x:c>
      <x:c r="G5" s="46" t="str">
        <x:v>N/P</x:v>
      </x:c>
      <x:c r="H5" s="46" t="str">
        <x:v>2026-07-18</x:v>
      </x:c>
    </x:row>
    <x:row r="6">
      <x:c r="A6" s="15" t="str">
        <x:v>Sustainability</x:v>
      </x:c>
      <x:c r="B6" s="15" t="str">
        <x:v>QS</x:v>
      </x:c>
      <x:c r="C6" s="15" t="str">
        <x:v>QS Sustainability Rankings</x:v>
      </x:c>
      <x:c r="D6" s="15" t="n">
        <x:v>2023</x:v>
      </x:c>
      <x:c r="E6" s="31" t="str">
        <x:v>https://www.topuniversities.com/sustainability-rankings/2023</x:v>
      </x:c>
      <x:c r="F6" s="46" t="str">
        <x:v>Complete official table</x:v>
      </x:c>
      <x:c r="G6" s="46" t="str">
        <x:v>Exact published rank retained; NR when absent</x:v>
      </x:c>
      <x:c r="H6" s="46" t="str">
        <x:v>2026-07-18</x:v>
      </x:c>
    </x:row>
    <x:row r="7">
      <x:c r="A7" s="15" t="str">
        <x:v>Sustainability</x:v>
      </x:c>
      <x:c r="B7" s="15" t="str">
        <x:v>QS</x:v>
      </x:c>
      <x:c r="C7" s="15" t="str">
        <x:v>QS Sustainability Rankings</x:v>
      </x:c>
      <x:c r="D7" s="15" t="n">
        <x:v>2024</x:v>
      </x:c>
      <x:c r="E7" s="31" t="str">
        <x:v>https://www.topuniversities.com/sustainability-rankings/2024</x:v>
      </x:c>
      <x:c r="F7" s="46" t="str">
        <x:v>Complete official table</x:v>
      </x:c>
      <x:c r="G7" s="46" t="str">
        <x:v>Exact published rank retained; NR when absent</x:v>
      </x:c>
      <x:c r="H7" s="46" t="str">
        <x:v>2026-07-18</x:v>
      </x:c>
    </x:row>
    <x:row r="8">
      <x:c r="A8" s="15" t="str">
        <x:v>Sustainability</x:v>
      </x:c>
      <x:c r="B8" s="15" t="str">
        <x:v>QS</x:v>
      </x:c>
      <x:c r="C8" s="15" t="str">
        <x:v>QS Sustainability Rankings</x:v>
      </x:c>
      <x:c r="D8" s="15" t="n">
        <x:v>2025</x:v>
      </x:c>
      <x:c r="E8" s="31" t="str">
        <x:v>https://www.topuniversities.com/sustainability-rankings/2025</x:v>
      </x:c>
      <x:c r="F8" s="46" t="str">
        <x:v>Complete official table</x:v>
      </x:c>
      <x:c r="G8" s="46" t="str">
        <x:v>Exact published rank retained; NR when absent</x:v>
      </x:c>
      <x:c r="H8" s="46" t="str">
        <x:v>2026-07-18</x:v>
      </x:c>
    </x:row>
    <x:row r="9">
      <x:c r="A9" s="15" t="str">
        <x:v>Sustainability</x:v>
      </x:c>
      <x:c r="B9" s="15" t="str">
        <x:v>QS</x:v>
      </x:c>
      <x:c r="C9" s="15" t="str">
        <x:v>QS Sustainability Rankings</x:v>
      </x:c>
      <x:c r="D9" s="15" t="n">
        <x:v>2026</x:v>
      </x:c>
      <x:c r="E9" s="31" t="str">
        <x:v>https://www.topuniversities.com/sustainability-rankings</x:v>
      </x:c>
      <x:c r="F9" s="46" t="str">
        <x:v>Complete official table</x:v>
      </x:c>
      <x:c r="G9" s="46" t="str">
        <x:v>Exact published rank retained; NR when absent</x:v>
      </x:c>
      <x:c r="H9" s="46" t="str">
        <x:v>2026-07-18</x:v>
      </x:c>
    </x:row>
    <x:row r="10">
      <x:c r="A10" s="15" t="str">
        <x:v>Sustainability</x:v>
      </x:c>
      <x:c r="B10" s="15" t="str">
        <x:v>THE</x:v>
      </x:c>
      <x:c r="C10" s="15" t="str">
        <x:v>Impact Rankings</x:v>
      </x:c>
      <x:c r="D10" s="15" t="n">
        <x:v>2022</x:v>
      </x:c>
      <x:c r="E10" s="31" t="str">
        <x:v>https://www.timeshighereducation.com/rankings/impact/overall/2022</x:v>
      </x:c>
      <x:c r="F10" s="46" t="str">
        <x:v>Complete official table</x:v>
      </x:c>
      <x:c r="G10" s="46" t="str">
        <x:v>Exact published rank retained; NR when absent</x:v>
      </x:c>
      <x:c r="H10" s="46" t="str">
        <x:v>2026-07-18</x:v>
      </x:c>
    </x:row>
    <x:row r="11">
      <x:c r="A11" s="15" t="str">
        <x:v>Sustainability</x:v>
      </x:c>
      <x:c r="B11" s="15" t="str">
        <x:v>THE</x:v>
      </x:c>
      <x:c r="C11" s="15" t="str">
        <x:v>Impact Rankings</x:v>
      </x:c>
      <x:c r="D11" s="15" t="n">
        <x:v>2023</x:v>
      </x:c>
      <x:c r="E11" s="31" t="str">
        <x:v>https://www.timeshighereducation.com/rankings/impact/overall/2023</x:v>
      </x:c>
      <x:c r="F11" s="46" t="str">
        <x:v>Complete official table</x:v>
      </x:c>
      <x:c r="G11" s="46" t="str">
        <x:v>Exact published rank retained; NR when absent</x:v>
      </x:c>
      <x:c r="H11" s="46" t="str">
        <x:v>2026-07-18</x:v>
      </x:c>
    </x:row>
    <x:row r="12">
      <x:c r="A12" s="15" t="str">
        <x:v>Sustainability</x:v>
      </x:c>
      <x:c r="B12" s="15" t="str">
        <x:v>THE</x:v>
      </x:c>
      <x:c r="C12" s="15" t="str">
        <x:v>Impact Rankings</x:v>
      </x:c>
      <x:c r="D12" s="15" t="n">
        <x:v>2024</x:v>
      </x:c>
      <x:c r="E12" s="31" t="str">
        <x:v>https://www.timeshighereducation.com/rankings/impact/overall/2024</x:v>
      </x:c>
      <x:c r="F12" s="46" t="str">
        <x:v>Complete official table</x:v>
      </x:c>
      <x:c r="G12" s="46" t="str">
        <x:v>Exact published rank retained; NR when absent</x:v>
      </x:c>
      <x:c r="H12" s="46" t="str">
        <x:v>2026-07-18</x:v>
      </x:c>
    </x:row>
    <x:row r="13">
      <x:c r="A13" s="15" t="str">
        <x:v>Sustainability</x:v>
      </x:c>
      <x:c r="B13" s="15" t="str">
        <x:v>THE</x:v>
      </x:c>
      <x:c r="C13" s="15" t="str">
        <x:v>Impact Rankings</x:v>
      </x:c>
      <x:c r="D13" s="15" t="n">
        <x:v>2025</x:v>
      </x:c>
      <x:c r="E13" s="31" t="str">
        <x:v>https://www.timeshighereducation.com/rankings/impact/overall/2025</x:v>
      </x:c>
      <x:c r="F13" s="46" t="str">
        <x:v>Complete official table</x:v>
      </x:c>
      <x:c r="G13" s="46" t="str">
        <x:v>Exact published rank retained; NR when absent</x:v>
      </x:c>
      <x:c r="H13" s="46" t="str">
        <x:v>2026-07-18</x:v>
      </x:c>
    </x:row>
    <x:row r="14">
      <x:c r="A14" s="15" t="str">
        <x:v>Sustainability</x:v>
      </x:c>
      <x:c r="B14" s="15" t="str">
        <x:v>THE</x:v>
      </x:c>
      <x:c r="C14" s="15" t="str">
        <x:v>Sustainability Impact Ratings</x:v>
      </x:c>
      <x:c r="D14" s="15" t="n">
        <x:v>2026</x:v>
      </x:c>
      <x:c r="E14" s="31" t="str">
        <x:v>https://www.timeshighereducation.com/impactrankings</x:v>
      </x:c>
      <x:c r="F14" s="46" t="str">
        <x:v>Complete official table</x:v>
      </x:c>
      <x:c r="G14" s="46" t="str">
        <x:v>Exact published rank retained; NR when absent</x:v>
      </x:c>
      <x:c r="H14" s="46" t="str">
        <x:v>2026-07-18</x:v>
      </x:c>
    </x:row>
    <x:row r="15">
      <x:c r="A15" s="15" t="str">
        <x:v>Overall school</x:v>
      </x:c>
      <x:c r="B15" s="15" t="str">
        <x:v>QS</x:v>
      </x:c>
      <x:c r="C15" s="15" t="str">
        <x:v>World University Rankings</x:v>
      </x:c>
      <x:c r="D15" s="15" t="n">
        <x:v>2023</x:v>
      </x:c>
      <x:c r="E15" s="31" t="str">
        <x:v>https://www.topuniversities.com/world-university-rankings/2023</x:v>
      </x:c>
      <x:c r="F15" s="46" t="str">
        <x:v>Official table through rank 200 plus tie buffer</x:v>
      </x:c>
      <x:c r="G15" s="46" t="str">
        <x:v>Ranks 1-200 retained; all later values coded 200+</x:v>
      </x:c>
      <x:c r="H15" s="46" t="str">
        <x:v>2026-07-18</x:v>
      </x:c>
    </x:row>
    <x:row r="16">
      <x:c r="A16" s="15" t="str">
        <x:v>Overall school</x:v>
      </x:c>
      <x:c r="B16" s="15" t="str">
        <x:v>QS</x:v>
      </x:c>
      <x:c r="C16" s="15" t="str">
        <x:v>World University Rankings</x:v>
      </x:c>
      <x:c r="D16" s="15" t="n">
        <x:v>2024</x:v>
      </x:c>
      <x:c r="E16" s="31" t="str">
        <x:v>https://www.topuniversities.com/world-university-rankings/2024</x:v>
      </x:c>
      <x:c r="F16" s="46" t="str">
        <x:v>Official table through rank 200 plus tie buffer</x:v>
      </x:c>
      <x:c r="G16" s="46" t="str">
        <x:v>Ranks 1-200 retained; all later values coded 200+</x:v>
      </x:c>
      <x:c r="H16" s="46" t="str">
        <x:v>2026-07-18</x:v>
      </x:c>
    </x:row>
    <x:row r="17">
      <x:c r="A17" s="15" t="str">
        <x:v>Overall school</x:v>
      </x:c>
      <x:c r="B17" s="15" t="str">
        <x:v>QS</x:v>
      </x:c>
      <x:c r="C17" s="15" t="str">
        <x:v>World University Rankings</x:v>
      </x:c>
      <x:c r="D17" s="15" t="n">
        <x:v>2025</x:v>
      </x:c>
      <x:c r="E17" s="31" t="str">
        <x:v>https://www.topuniversities.com/world-university-rankings/2025</x:v>
      </x:c>
      <x:c r="F17" s="46" t="str">
        <x:v>Official table through rank 200 plus tie buffer</x:v>
      </x:c>
      <x:c r="G17" s="46" t="str">
        <x:v>Ranks 1-200 retained; all later values coded 200+</x:v>
      </x:c>
      <x:c r="H17" s="46" t="str">
        <x:v>2026-07-18</x:v>
      </x:c>
    </x:row>
    <x:row r="18">
      <x:c r="A18" s="15" t="str">
        <x:v>Overall school</x:v>
      </x:c>
      <x:c r="B18" s="15" t="str">
        <x:v>QS</x:v>
      </x:c>
      <x:c r="C18" s="15" t="str">
        <x:v>World University Rankings</x:v>
      </x:c>
      <x:c r="D18" s="15" t="n">
        <x:v>2026</x:v>
      </x:c>
      <x:c r="E18" s="31" t="str">
        <x:v>https://www.topuniversities.com/world-university-rankings/2026</x:v>
      </x:c>
      <x:c r="F18" s="46" t="str">
        <x:v>Official table through rank 200 plus tie buffer</x:v>
      </x:c>
      <x:c r="G18" s="46" t="str">
        <x:v>Ranks 1-200 retained; all later values coded 200+</x:v>
      </x:c>
      <x:c r="H18" s="46" t="str">
        <x:v>2026-07-18</x:v>
      </x:c>
    </x:row>
    <x:row r="19">
      <x:c r="A19" s="15" t="str">
        <x:v>Overall school</x:v>
      </x:c>
      <x:c r="B19" s="15" t="str">
        <x:v>QS</x:v>
      </x:c>
      <x:c r="C19" s="15" t="str">
        <x:v>World University Rankings</x:v>
      </x:c>
      <x:c r="D19" s="15" t="n">
        <x:v>2027</x:v>
      </x:c>
      <x:c r="E19" s="31" t="str">
        <x:v>https://www.topuniversities.com/world-university-rankings</x:v>
      </x:c>
      <x:c r="F19" s="46" t="str">
        <x:v>Official table through rank 200 plus tie buffer</x:v>
      </x:c>
      <x:c r="G19" s="46" t="str">
        <x:v>Ranks 1-200 retained; all later values coded 200+</x:v>
      </x:c>
      <x:c r="H19" s="46" t="str">
        <x:v>2026-07-18</x:v>
      </x:c>
    </x:row>
    <x:row r="20">
      <x:c r="A20" s="15" t="str">
        <x:v>Overall school</x:v>
      </x:c>
      <x:c r="B20" s="15" t="str">
        <x:v>THE</x:v>
      </x:c>
      <x:c r="C20" s="15" t="str">
        <x:v>World University Rankings</x:v>
      </x:c>
      <x:c r="D20" s="15" t="n">
        <x:v>2022</x:v>
      </x:c>
      <x:c r="E20" s="31" t="str">
        <x:v>https://www.timeshighereducation.com/world-university-rankings/2022/world-ranking</x:v>
      </x:c>
      <x:c r="F20" s="46" t="str">
        <x:v>Complete official table</x:v>
      </x:c>
      <x:c r="G20" s="46" t="str">
        <x:v>Ranks 1-200 retained; later values coded 200+; NR preserved</x:v>
      </x:c>
      <x:c r="H20" s="46" t="str">
        <x:v>2026-07-18</x:v>
      </x:c>
    </x:row>
    <x:row r="21">
      <x:c r="A21" s="15" t="str">
        <x:v>Overall school</x:v>
      </x:c>
      <x:c r="B21" s="15" t="str">
        <x:v>THE</x:v>
      </x:c>
      <x:c r="C21" s="15" t="str">
        <x:v>World University Rankings</x:v>
      </x:c>
      <x:c r="D21" s="15" t="n">
        <x:v>2023</x:v>
      </x:c>
      <x:c r="E21" s="31" t="str">
        <x:v>https://www.timeshighereducation.com/world-university-rankings/2023/world-ranking</x:v>
      </x:c>
      <x:c r="F21" s="46" t="str">
        <x:v>Complete official table</x:v>
      </x:c>
      <x:c r="G21" s="46" t="str">
        <x:v>Ranks 1-200 retained; later values coded 200+; NR preserved</x:v>
      </x:c>
      <x:c r="H21" s="46" t="str">
        <x:v>2026-07-18</x:v>
      </x:c>
    </x:row>
    <x:row r="22">
      <x:c r="A22" s="15" t="str">
        <x:v>Overall school</x:v>
      </x:c>
      <x:c r="B22" s="15" t="str">
        <x:v>THE</x:v>
      </x:c>
      <x:c r="C22" s="15" t="str">
        <x:v>World University Rankings</x:v>
      </x:c>
      <x:c r="D22" s="15" t="n">
        <x:v>2024</x:v>
      </x:c>
      <x:c r="E22" s="31" t="str">
        <x:v>https://www.timeshighereducation.com/world-university-rankings/2024/world-ranking</x:v>
      </x:c>
      <x:c r="F22" s="46" t="str">
        <x:v>Complete official table</x:v>
      </x:c>
      <x:c r="G22" s="46" t="str">
        <x:v>Ranks 1-200 retained; later values coded 200+; NR preserved</x:v>
      </x:c>
      <x:c r="H22" s="46" t="str">
        <x:v>2026-07-18</x:v>
      </x:c>
    </x:row>
    <x:row r="23">
      <x:c r="A23" s="15" t="str">
        <x:v>Overall school</x:v>
      </x:c>
      <x:c r="B23" s="15" t="str">
        <x:v>THE</x:v>
      </x:c>
      <x:c r="C23" s="15" t="str">
        <x:v>World University Rankings</x:v>
      </x:c>
      <x:c r="D23" s="15" t="n">
        <x:v>2025</x:v>
      </x:c>
      <x:c r="E23" s="31" t="str">
        <x:v>https://www.timeshighereducation.com/world-university-rankings/2025/world-ranking</x:v>
      </x:c>
      <x:c r="F23" s="46" t="str">
        <x:v>Complete official table</x:v>
      </x:c>
      <x:c r="G23" s="46" t="str">
        <x:v>Ranks 1-200 retained; later values coded 200+; NR preserved</x:v>
      </x:c>
      <x:c r="H23" s="46" t="str">
        <x:v>2026-07-18</x:v>
      </x:c>
    </x:row>
    <x:row r="24">
      <x:c r="A24" s="15" t="str">
        <x:v>Overall school</x:v>
      </x:c>
      <x:c r="B24" s="15" t="str">
        <x:v>THE</x:v>
      </x:c>
      <x:c r="C24" s="15" t="str">
        <x:v>World University Rankings</x:v>
      </x:c>
      <x:c r="D24" s="15" t="n">
        <x:v>2026</x:v>
      </x:c>
      <x:c r="E24" s="31" t="str">
        <x:v>https://www.timeshighereducation.com/world-university-rankings/2026/world-ranking</x:v>
      </x:c>
      <x:c r="F24" s="46" t="str">
        <x:v>Complete official table</x:v>
      </x:c>
      <x:c r="G24" s="46" t="str">
        <x:v>Ranks 1-200 retained; later values coded 200+; NR preserved</x:v>
      </x:c>
      <x:c r="H24" s="46" t="str">
        <x:v>2026-07-18</x:v>
      </x:c>
    </x:row>
    <x:row r="27">
      <x:c r="A27" s="47" t="str">
        <x:v>Definitions and quality-control rules</x:v>
      </x:c>
      <x:c r="B27" s="47"/>
      <x:c r="C27" s="47"/>
      <x:c r="D27" s="47"/>
      <x:c r="E27" s="47"/>
      <x:c r="F27" s="47"/>
      <x:c r="G27" s="47"/>
      <x:c r="H27" s="47"/>
    </x:row>
    <x:row r="28" ht="38" customHeight="1">
      <x:c r="A28" s="53" t="str">
        <x:v>Unit of analysis</x:v>
      </x:c>
      <x:c r="B28" s="51" t="str">
        <x:v>Every rank belongs to the university, not the individual master's program. Program names and URLs provide linkage for later manual review.</x:v>
      </x:c>
      <x:c r="C28" s="51"/>
      <x:c r="D28" s="51"/>
      <x:c r="E28" s="51"/>
      <x:c r="F28" s="51"/>
      <x:c r="G28" s="51"/>
      <x:c r="H28" s="51"/>
    </x:row>
    <x:row r="29" ht="38" customHeight="1">
      <x:c r="A29" s="53" t="str">
        <x:v>School rank cap</x:v>
      </x:c>
      <x:c r="B29" s="51" t="str">
        <x:v>Ranks 1-200 retain official text, including ties. Any published rank after 200 is reported as 200+ at the user's request.</x:v>
      </x:c>
      <x:c r="C29" s="51"/>
      <x:c r="D29" s="51"/>
      <x:c r="E29" s="51"/>
      <x:c r="F29" s="51"/>
      <x:c r="G29" s="51"/>
      <x:c r="H29" s="51"/>
    </x:row>
    <x:row r="30" ht="38" customHeight="1">
      <x:c r="A30" s="53" t="str">
        <x:v>N/P</x:v>
      </x:c>
      <x:c r="B30" s="51" t="str">
        <x:v>Not published. QS Sustainability did not have a 2022 edition; its first edition was 2023.</x:v>
      </x:c>
      <x:c r="C30" s="51"/>
      <x:c r="D30" s="51"/>
      <x:c r="E30" s="51"/>
      <x:c r="F30" s="51"/>
      <x:c r="G30" s="51"/>
      <x:c r="H30" s="51"/>
    </x:row>
    <x:row r="31" ht="38" customHeight="1">
      <x:c r="A31" s="53" t="str">
        <x:v>NR</x:v>
      </x:c>
      <x:c r="B31" s="51" t="str">
        <x:v>Not ranked in a complete official table. NR is not converted to zero and is not treated as 200+.</x:v>
      </x:c>
      <x:c r="C31" s="51"/>
      <x:c r="D31" s="51"/>
      <x:c r="E31" s="51"/>
      <x:c r="F31" s="51"/>
      <x:c r="G31" s="51"/>
      <x:c r="H31" s="51"/>
    </x:row>
    <x:row r="32" ht="38" customHeight="1">
      <x:c r="A32" s="53" t="str">
        <x:v>2026 THE name</x:v>
      </x:c>
      <x:c r="B32" s="51" t="str">
        <x:v>THE renamed the current series Sustainability Impact Ratings; the workbook keeps it in the five-year Impact series and identifies the name change.</x:v>
      </x:c>
      <x:c r="C32" s="51"/>
      <x:c r="D32" s="51"/>
      <x:c r="E32" s="51"/>
      <x:c r="F32" s="51"/>
      <x:c r="G32" s="51"/>
      <x:c r="H32" s="51"/>
    </x:row>
    <x:row r="33" ht="38" customHeight="1">
      <x:c r="A33" s="53" t="str">
        <x:v>Identity matching</x:v>
      </x:c>
      <x:c r="B33" s="51" t="str">
        <x:v>Stable official profile URL was used first, then normalized university name, verified aliases, and country. Current candidate ranks were cross-checked with zero mismatches.</x:v>
      </x:c>
      <x:c r="C33" s="51"/>
      <x:c r="D33" s="51"/>
      <x:c r="E33" s="51"/>
      <x:c r="F33" s="51"/>
      <x:c r="G33" s="51"/>
      <x:c r="H33" s="51"/>
    </x:row>
    <x:row r="34" ht="38" customHeight="1">
      <x:c r="A34" s="53" t="str">
        <x:v>Manual exclusion</x:v>
      </x:c>
      <x:c r="B34" s="51" t="str">
        <x:v>ID 75, Al-Ahliyya Amman University, is excluded from the program universe because manual validation found no relevant master's program. Source ranking tables remain unchanged.</x:v>
      </x:c>
      <x:c r="C34" s="51"/>
      <x:c r="D34" s="51"/>
      <x:c r="E34" s="51"/>
      <x:c r="F34" s="51"/>
      <x:c r="G34" s="51"/>
      <x:c r="H34" s="51"/>
    </x:row>
    <x:row r="35" ht="38" customHeight="1">
      <x:c r="A35" s="53" t="str">
        <x:v>QS source duplicates</x:v>
      </x:c>
      <x:c r="B35" s="51" t="str">
        <x:v>The official 2024 and 2025 QS Sustainability pages each exposed one duplicated profile/rank combination. Duplicate rows were removed while retaining the published institution record.</x:v>
      </x:c>
      <x:c r="C35" s="51"/>
      <x:c r="D35" s="51"/>
      <x:c r="E35" s="51"/>
      <x:c r="F35" s="51"/>
      <x:c r="G35" s="51"/>
      <x:c r="H35" s="51"/>
    </x:row>
    <x:row r="36" ht="38" customHeight="1">
      <x:c r="A36" s="53" t="str">
        <x:v>Point-in-time scope</x:v>
      </x:c>
      <x:c r="B36" s="51" t="str">
        <x:v>Data were collected on 18 July 2026. Rankings can change and should be refreshed before final publication.</x:v>
      </x:c>
      <x:c r="C36" s="51"/>
      <x:c r="D36" s="51"/>
      <x:c r="E36" s="51"/>
      <x:c r="F36" s="51"/>
      <x:c r="G36" s="51"/>
      <x:c r="H36" s="51"/>
    </x:row>
  </x:sheetData>
  <x:mergeCells>
    <x:mergeCell ref="A1:H1"/>
    <x:mergeCell ref="A2:H2"/>
    <x:mergeCell ref="A27:H27"/>
    <x:mergeCell ref="B28:H28"/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  <x:tableParts count="1">
    <x:tablePart xmlns:r="http://schemas.openxmlformats.org/officeDocument/2006/relationships" r:id="Rd23283ea10c44963"/>
  </x:tableParts>
</x:worksheet>
</file>