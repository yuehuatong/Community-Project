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a0fe6808d5740a3" /></Relationships>
</file>

<file path=xl/workbook.xml><?xml version="1.0" encoding="utf-8"?>
<x:workbook xmlns:x="http://schemas.openxmlformats.org/spreadsheetml/2006/main">
  <x:sheets>
    <x:sheet xmlns:r="http://schemas.openxmlformats.org/officeDocument/2006/relationships" name="Summary" sheetId="1" r:id="Rab13f1b332bc4968"/>
    <x:sheet xmlns:r="http://schemas.openxmlformats.org/officeDocument/2006/relationships" name="Candidate Universities" sheetId="2" r:id="R396596ea294f4141"/>
    <x:sheet xmlns:r="http://schemas.openxmlformats.org/officeDocument/2006/relationships" name="Program Verification" sheetId="3" r:id="R1bc38236c9404d72"/>
    <x:sheet xmlns:r="http://schemas.openxmlformats.org/officeDocument/2006/relationships" name="QS Sustainability Top 50" sheetId="4" r:id="R3857e376f6544868"/>
    <x:sheet xmlns:r="http://schemas.openxmlformats.org/officeDocument/2006/relationships" name="THE Impact Top 50" sheetId="5" r:id="Rcfa69bb0ce1c420e"/>
    <x:sheet xmlns:r="http://schemas.openxmlformats.org/officeDocument/2006/relationships" name="Overlap Analysis" sheetId="6" r:id="Rc98d73216cb04d14"/>
    <x:sheet xmlns:r="http://schemas.openxmlformats.org/officeDocument/2006/relationships" name="AASHE STARS" sheetId="7" r:id="R549c296009014b04"/>
    <x:sheet xmlns:r="http://schemas.openxmlformats.org/officeDocument/2006/relationships" name="UN PRME" sheetId="8" r:id="Rce6ecba447f24ea8"/>
    <x:sheet xmlns:r="http://schemas.openxmlformats.org/officeDocument/2006/relationships" name="OpenAlex 2021-2025" sheetId="9" r:id="R0b4c0ce2f849481e"/>
    <x:sheet xmlns:r="http://schemas.openxmlformats.org/officeDocument/2006/relationships" name="Program Details" sheetId="10" r:id="Rca7361a301b6400d"/>
    <x:sheet xmlns:r="http://schemas.openxmlformats.org/officeDocument/2006/relationships" name="Verification Issues" sheetId="11" r:id="Rd51cb63395ec4538"/>
    <x:sheet xmlns:r="http://schemas.openxmlformats.org/officeDocument/2006/relationships" name="URL Audit" sheetId="12" r:id="R2b5dbe67fc6c49f7"/>
    <x:sheet xmlns:r="http://schemas.openxmlformats.org/officeDocument/2006/relationships" name="Method &amp; Sources" sheetId="13" r:id="R0daaf91c8d9b494b"/>
    <x:sheet xmlns:r="http://schemas.openxmlformats.org/officeDocument/2006/relationships" name="Data Dictionary" sheetId="14" r:id="R645099701c8347c0"/>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0"/>
    <x:numFmt numFmtId="202" formatCode="0.000"/>
  </x:numFmts>
  <x:fonts count="8">
    <x:font>
      <x:sz val="11"/>
      <x:name val="Carlito"/>
    </x:font>
    <x:font>
      <x:b/>
      <x:sz val="16"/>
      <x:color rgb="FFFFFFFF"/>
      <x:name val="Aptos Display"/>
    </x:font>
    <x:font>
      <x:i/>
      <x:sz val="10"/>
      <x:color rgb="FF1F2937"/>
      <x:name val="Aptos"/>
    </x:font>
    <x:font>
      <x:b/>
      <x:sz val="10"/>
      <x:color rgb="FFFFFFFF"/>
      <x:name val="Aptos"/>
    </x:font>
    <x:font>
      <x:sz val="9"/>
      <x:color rgb="FF1F2937"/>
      <x:name val="Aptos"/>
    </x:font>
    <x:font>
      <x:b/>
      <x:sz val="13"/>
      <x:color rgb="FF0F766E"/>
      <x:name val="Aptos Display"/>
    </x:font>
    <x:font>
      <x:b/>
      <x:sz val="9"/>
      <x:color rgb="FF15803D"/>
      <x:name val="Aptos"/>
    </x:font>
    <x:font>
      <x:sz val="9"/>
      <x:color rgb="FF0563C1"/>
      <x:name val="Aptos"/>
    </x:font>
  </x:fonts>
  <x:fills count="10">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0F766E"/>
      </x:patternFill>
    </x:fill>
    <x:fill>
      <x:patternFill patternType="solid">
        <x:fgColor rgb="FFDDF3EE"/>
      </x:patternFill>
    </x:fill>
    <x:fill>
      <x:patternFill patternType="solid">
        <x:fgColor rgb="FF1F4E78"/>
      </x:patternFill>
    </x:fill>
    <x:fill>
      <x:patternFill patternType="solid">
        <x:fgColor rgb="FFDCFCE7"/>
      </x:patternFill>
    </x:fill>
    <x:fill>
      <x:patternFill patternType="solid">
        <x:fgColor rgb="FF6D28D9"/>
      </x:patternFill>
    </x:fill>
    <x:fill>
      <x:patternFill patternType="solid">
        <x:fgColor rgb="FFB91C1C"/>
      </x:patternFill>
    </x:fill>
  </x:fills>
  <x:borders count="3">
    <x:border/>
    <x:border>
      <x:left style="thin">
        <x:color rgb="FFFFFFFF"/>
      </x:left>
      <x:right style="thin">
        <x:color rgb="FFFFFFFF"/>
      </x:right>
      <x:top style="thin">
        <x:color rgb="FFFFFFFF"/>
      </x:top>
      <x:bottom style="thin">
        <x:color rgb="FFFFFFFF"/>
      </x:bottom>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4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2" xfId="0" applyNumberFormat="1" applyFont="1" applyFill="1" applyBorder="1"/>
    <x:xf numFmtId="0" fontId="4" fillId="0" borderId="2" xfId="0" applyNumberFormat="1" applyFont="1" applyFill="1" applyBorder="1" applyAlignment="1">
      <x:alignment wrapText="1"/>
    </x:xf>
    <x:xf numFmtId="0" fontId="4" fillId="0" borderId="2" xfId="0" applyNumberFormat="1" applyFont="1" applyFill="1" applyBorder="1" applyAlignment="1">
      <x:alignment vertical="top" wrapText="1"/>
    </x:xf>
    <x:xf numFmtId="0" fontId="4" fillId="5" borderId="2" xfId="0" applyNumberFormat="1" applyFont="1" applyFill="1" applyBorder="1" applyAlignment="1">
      <x:alignment vertical="top" wrapText="1"/>
    </x:xf>
    <x:xf numFmtId="0" fontId="5" fillId="5" borderId="2" xfId="0" applyNumberFormat="1" applyFont="1" applyFill="1" applyBorder="1" applyAlignment="1">
      <x:alignment vertical="top" wrapText="1"/>
    </x:xf>
    <x:xf numFmtId="0" fontId="5" fillId="5" borderId="2" xfId="0" applyNumberFormat="1" applyFont="1" applyFill="1" applyBorder="1" applyAlignment="1">
      <x:alignment horizontal="center" vertical="top" wrapText="1"/>
    </x:xf>
    <x:xf numFmtId="0" fontId="5" fillId="5" borderId="2"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wrapText="1"/>
    </x:xf>
    <x:xf numFmtId="0" fontId="3" fillId="6" borderId="1" xfId="0" applyNumberFormat="1" applyFont="1" applyFill="1" applyBorder="1" applyAlignment="1">
      <x:alignment horizontal="center" wrapText="1"/>
    </x:xf>
    <x:xf numFmtId="0" fontId="3" fillId="6" borderId="1" xfId="0" applyNumberFormat="1" applyFont="1" applyFill="1" applyBorder="1" applyAlignment="1">
      <x:alignment horizontal="center" vertical="center" wrapText="1"/>
    </x:xf>
    <x:xf numFmtId="0" fontId="4" fillId="7" borderId="2" xfId="0" applyNumberFormat="1" applyFont="1" applyFill="1" applyBorder="1" applyAlignment="1">
      <x:alignment vertical="top" wrapText="1"/>
    </x:xf>
    <x:xf numFmtId="0" fontId="6" fillId="7" borderId="2" xfId="0" applyNumberFormat="1" applyFont="1" applyFill="1" applyBorder="1" applyAlignment="1">
      <x:alignment vertical="top" wrapText="1"/>
    </x:xf>
    <x:xf numFmtId="0" fontId="7" fillId="0" borderId="2" xfId="0" applyNumberFormat="1" applyFont="1" applyFill="1" applyBorder="1" applyAlignment="1">
      <x:alignment vertical="top" wrapText="1"/>
    </x:xf>
    <x:xf numFmtId="200" fontId="4" fillId="0" borderId="2" xfId="0" applyNumberFormat="1" applyFont="1" applyFill="1" applyBorder="1" applyAlignment="1">
      <x:alignment vertical="top" wrapText="1"/>
    </x:xf>
    <x:xf numFmtId="0" fontId="0" fillId="8" borderId="0" xfId="0" applyNumberFormat="1" applyFont="1" applyFill="1" applyBorder="1"/>
    <x:xf numFmtId="0" fontId="3" fillId="8" borderId="0" xfId="0" applyNumberFormat="1" applyFont="1" applyFill="1" applyBorder="1"/>
    <x:xf numFmtId="0" fontId="3" fillId="8" borderId="1" xfId="0" applyNumberFormat="1" applyFont="1" applyFill="1" applyBorder="1"/>
    <x:xf numFmtId="0" fontId="3" fillId="8" borderId="1" xfId="0" applyNumberFormat="1" applyFont="1" applyFill="1" applyBorder="1" applyAlignment="1">
      <x:alignment wrapText="1"/>
    </x:xf>
    <x:xf numFmtId="0" fontId="3" fillId="8" borderId="1" xfId="0" applyNumberFormat="1" applyFont="1" applyFill="1" applyBorder="1" applyAlignment="1">
      <x:alignment horizontal="center" wrapText="1"/>
    </x:xf>
    <x:xf numFmtId="0" fontId="3" fillId="8" borderId="1" xfId="0" applyNumberFormat="1" applyFont="1" applyFill="1" applyBorder="1" applyAlignment="1">
      <x:alignment horizontal="center" vertical="center" wrapText="1"/>
    </x:xf>
    <x:xf numFmtId="201" fontId="4" fillId="0" borderId="2" xfId="0" applyNumberFormat="1" applyFont="1" applyFill="1" applyBorder="1" applyAlignment="1">
      <x:alignment vertical="top" wrapText="1"/>
    </x:xf>
    <x:xf numFmtId="202" fontId="4" fillId="0" borderId="2" xfId="0" applyNumberFormat="1" applyFont="1" applyFill="1" applyBorder="1" applyAlignment="1">
      <x:alignment vertical="top" wrapText="1"/>
    </x:xf>
    <x:xf numFmtId="0" fontId="0" fillId="9" borderId="0" xfId="0" applyNumberFormat="1" applyFont="1" applyFill="1" applyBorder="1"/>
    <x:xf numFmtId="0" fontId="3" fillId="9" borderId="0" xfId="0" applyNumberFormat="1" applyFont="1" applyFill="1" applyBorder="1"/>
    <x:xf numFmtId="0" fontId="3" fillId="9" borderId="1" xfId="0" applyNumberFormat="1" applyFont="1" applyFill="1" applyBorder="1"/>
    <x:xf numFmtId="0" fontId="3" fillId="9" borderId="1" xfId="0" applyNumberFormat="1" applyFont="1" applyFill="1" applyBorder="1" applyAlignment="1">
      <x:alignment wrapText="1"/>
    </x:xf>
    <x:xf numFmtId="0" fontId="3" fillId="9" borderId="1" xfId="0" applyNumberFormat="1" applyFont="1" applyFill="1" applyBorder="1" applyAlignment="1">
      <x:alignment horizontal="center" wrapText="1"/>
    </x:xf>
    <x:xf numFmtId="0" fontId="3" fillId="9" borderId="1" xfId="0" applyNumberFormat="1" applyFont="1" applyFill="1" applyBorder="1" applyAlignment="1">
      <x:alignment horizontal="center" vertical="center" wrapText="1"/>
    </x:xf>
  </x:cellXfs>
  <x:cellStyles count="1">
    <x:cellStyle name="Normal" xfId="0"/>
  </x:cellStyles>
  <x:dxfs count="20">
    <x:dxf>
      <x:font>
        <x:b/>
        <x:color rgb="FF6D28D9"/>
      </x:font>
      <x:fill>
        <x:patternFill patternType="solid">
          <x:bgColor rgb="FFEDE9FE"/>
        </x:patternFill>
      </x:fill>
    </x:dxf>
    <x:dxf>
      <x:font>
        <x:b/>
        <x:color rgb="FFB91C1C"/>
      </x:font>
      <x:fill>
        <x:patternFill patternType="solid">
          <x:bgColor rgb="FFFEE2E2"/>
        </x:patternFill>
      </x:fill>
    </x:dxf>
    <x:dxf>
      <x:font>
        <x:b/>
        <x:color rgb="FF15803D"/>
      </x:font>
      <x:fill>
        <x:patternFill patternType="solid">
          <x:bgColor rgb="FFDCFCE7"/>
        </x:patternFill>
      </x:fill>
    </x:dxf>
    <x:dxf>
      <x:font>
        <x:color rgb="FFB45309"/>
      </x:font>
      <x:fill>
        <x:patternFill patternType="solid">
          <x:bgColor rgb="FFFEF3C7"/>
        </x:patternFill>
      </x:fill>
    </x:dxf>
    <x:dxf>
      <x:font>
        <x:b/>
        <x:color rgb="FF15803D"/>
      </x:font>
      <x:fill>
        <x:patternFill patternType="solid">
          <x:bgColor rgb="FFDCFCE7"/>
        </x:patternFill>
      </x:fill>
    </x:dxf>
    <x:dxf>
      <x:font>
        <x:b/>
        <x:color rgb="FF15803D"/>
      </x:font>
      <x:fill>
        <x:patternFill patternType="solid">
          <x:bgColor rgb="FFDCFCE7"/>
        </x:patternFill>
      </x:fill>
    </x:dxf>
    <x:dxf>
      <x:font>
        <x:b/>
        <x:color rgb="FFB45309"/>
      </x:font>
      <x:fill>
        <x:patternFill patternType="solid">
          <x:bgColor rgb="FFFEF3C7"/>
        </x:patternFill>
      </x:fill>
    </x:dxf>
    <x:dxf>
      <x:font>
        <x:b/>
        <x:color rgb="FFB91C1C"/>
      </x:font>
      <x:fill>
        <x:patternFill patternType="solid">
          <x:bgColor rgb="FFFEE2E2"/>
        </x:patternFill>
      </x:fill>
    </x:dxf>
    <x:dxf>
      <x:font>
        <x:b/>
        <x:color rgb="FF15803D"/>
      </x:font>
      <x:fill>
        <x:patternFill patternType="solid">
          <x:bgColor rgb="FFDCFCE7"/>
        </x:patternFill>
      </x:fill>
    </x:dxf>
    <x:dxf>
      <x:font>
        <x:color rgb="FF6B7280"/>
      </x:font>
      <x:fill>
        <x:patternFill patternType="solid">
          <x:bgColor rgb="FFF3F4F6"/>
        </x:patternFill>
      </x:fill>
    </x:dxf>
    <x:dxf>
      <x:font>
        <x:b/>
        <x:color rgb="FF15803D"/>
      </x:font>
      <x:fill>
        <x:patternFill patternType="solid">
          <x:bgColor rgb="FFDCFCE7"/>
        </x:patternFill>
      </x:fill>
    </x:dxf>
    <x:dxf>
      <x:font>
        <x:b/>
        <x:color rgb="FFB45309"/>
      </x:font>
      <x:fill>
        <x:patternFill patternType="solid">
          <x:bgColor rgb="FFFEF3C7"/>
        </x:patternFill>
      </x:fill>
    </x:dxf>
    <x:dxf>
      <x:font>
        <x:color rgb="FF6B7280"/>
      </x:font>
      <x:fill>
        <x:patternFill patternType="solid">
          <x:bgColor rgb="FFF3F4F6"/>
        </x:patternFill>
      </x:fill>
    </x:dxf>
    <x:dxf>
      <x:font>
        <x:b/>
        <x:color rgb="FF15803D"/>
      </x:font>
      <x:fill>
        <x:patternFill patternType="solid">
          <x:bgColor rgb="FFDCFCE7"/>
        </x:patternFill>
      </x:fill>
    </x:dxf>
    <x:dxf>
      <x:font>
        <x:color rgb="FFB45309"/>
      </x:font>
      <x:fill>
        <x:patternFill patternType="solid">
          <x:bgColor rgb="FFFEF3C7"/>
        </x:patternFill>
      </x:fill>
    </x:dxf>
    <x:dxf>
      <x:font>
        <x:b/>
        <x:color rgb="FFB91C1C"/>
      </x:font>
      <x:fill>
        <x:patternFill patternType="solid">
          <x:bgColor rgb="FFFEE2E2"/>
        </x:patternFill>
      </x:fill>
    </x:dxf>
    <x:dxf>
      <x:font>
        <x:b/>
        <x:color rgb="FFB45309"/>
      </x:font>
      <x:fill>
        <x:patternFill patternType="solid">
          <x:bgColor rgb="FFFEF3C7"/>
        </x:patternFill>
      </x:fill>
    </x:dxf>
    <x:dxf>
      <x:font>
        <x:b/>
        <x:color rgb="FF15803D"/>
      </x:font>
      <x:fill>
        <x:patternFill patternType="solid">
          <x:bgColor rgb="FFDCFCE7"/>
        </x:patternFill>
      </x:fill>
    </x:dxf>
    <x:dxf>
      <x:font>
        <x:color rgb="FFB45309"/>
      </x:font>
      <x:fill>
        <x:patternFill patternType="solid">
          <x:bgColor rgb="FFFEF3C7"/>
        </x:patternFill>
      </x:fill>
    </x:dxf>
    <x:dxf>
      <x:font>
        <x:color rgb="FFB45309"/>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8a84a4bf8874453" /><Relationship Type="http://schemas.openxmlformats.org/officeDocument/2006/relationships/theme" Target="/xl/theme/theme1.xml" Id="Ra75e9252562f4384" /><Relationship Type="http://schemas.openxmlformats.org/officeDocument/2006/relationships/sharedStrings" Target="/xl/sharedStrings.xml" Id="Rdc1e636c836b4630" /><Relationship Type="http://schemas.openxmlformats.org/officeDocument/2006/relationships/worksheet" Target="/xl/worksheets/sheet1.xml" Id="Rab13f1b332bc4968" /><Relationship Type="http://schemas.openxmlformats.org/officeDocument/2006/relationships/worksheet" Target="/xl/worksheets/sheet2.xml" Id="R396596ea294f4141" /><Relationship Type="http://schemas.openxmlformats.org/officeDocument/2006/relationships/worksheet" Target="/xl/worksheets/sheet3.xml" Id="R1bc38236c9404d72" /><Relationship Type="http://schemas.openxmlformats.org/officeDocument/2006/relationships/worksheet" Target="/xl/worksheets/sheet4.xml" Id="R3857e376f6544868" /><Relationship Type="http://schemas.openxmlformats.org/officeDocument/2006/relationships/worksheet" Target="/xl/worksheets/sheet5.xml" Id="Rcfa69bb0ce1c420e" /><Relationship Type="http://schemas.openxmlformats.org/officeDocument/2006/relationships/worksheet" Target="/xl/worksheets/sheet6.xml" Id="Rc98d73216cb04d14" /><Relationship Type="http://schemas.openxmlformats.org/officeDocument/2006/relationships/worksheet" Target="/xl/worksheets/sheet7.xml" Id="R549c296009014b04" /><Relationship Type="http://schemas.openxmlformats.org/officeDocument/2006/relationships/worksheet" Target="/xl/worksheets/sheet8.xml" Id="Rce6ecba447f24ea8" /><Relationship Type="http://schemas.openxmlformats.org/officeDocument/2006/relationships/worksheet" Target="/xl/worksheets/sheet9.xml" Id="R0b4c0ce2f849481e" /><Relationship Type="http://schemas.openxmlformats.org/officeDocument/2006/relationships/worksheet" Target="/xl/worksheets/sheet10.xml" Id="Rca7361a301b6400d" /><Relationship Type="http://schemas.openxmlformats.org/officeDocument/2006/relationships/worksheet" Target="/xl/worksheets/sheet11.xml" Id="Rd51cb63395ec4538" /><Relationship Type="http://schemas.openxmlformats.org/officeDocument/2006/relationships/worksheet" Target="/xl/worksheets/sheet12.xml" Id="R2b5dbe67fc6c49f7" /><Relationship Type="http://schemas.openxmlformats.org/officeDocument/2006/relationships/worksheet" Target="/xl/worksheets/sheet13.xml" Id="R0daaf91c8d9b494b" /><Relationship Type="http://schemas.openxmlformats.org/officeDocument/2006/relationships/worksheet" Target="/xl/worksheets/sheet14.xml" Id="R645099701c8347c0" /></Relationships>
</file>

<file path=xl/tables/table1.xml><?xml version="1.0" encoding="utf-8"?>
<x:table xmlns:x="http://schemas.openxmlformats.org/spreadsheetml/2006/main" id="1" name="CandidateUniverseTable" displayName="CandidateUniverseTable" ref="A4:J100" headerRowCount="1" totalsRowCount="0" totalsRowShown="0">
  <x:autoFilter ref="A4:J100"/>
  <x:tableColumns count="10">
    <x:tableColumn id="1" name="ID"/>
    <x:tableColumn id="2" name="Institution"/>
    <x:tableColumn id="3" name="Country"/>
    <x:tableColumn id="4" name="Candidate Source"/>
    <x:tableColumn id="5" name="QS Rank"/>
    <x:tableColumn id="6" name="QS Score"/>
    <x:tableColumn id="7" name="THE Rank"/>
    <x:tableColumn id="8" name="THE Overall Score"/>
    <x:tableColumn id="9" name="QS Profile URL"/>
    <x:tableColumn id="10" name="THE Profile URL"/>
  </x:tableColumns>
  <x:tableStyleInfo name="TableStyleMedium4" showFirstColumn="0" showLastColumn="0" showRowStripes="1" showColumnStripes="0"/>
</x:table>
</file>

<file path=xl/tables/table2.xml><?xml version="1.0" encoding="utf-8"?>
<x:table xmlns:x="http://schemas.openxmlformats.org/spreadsheetml/2006/main" id="2" name="ProgramVerificationTable" displayName="ProgramVerificationTable" ref="A4:L100" headerRowCount="1" totalsRowCount="0" totalsRowShown="0">
  <x:autoFilter ref="A4:L100"/>
  <x:tableColumns count="12">
    <x:tableColumn id="1" name="ID"/>
    <x:tableColumn id="2" name="Institution"/>
    <x:tableColumn id="3" name="Country"/>
    <x:tableColumn id="4" name="Candidate Source"/>
    <x:tableColumn id="5" name="Program Name"/>
    <x:tableColumn id="6" name="Match Type"/>
    <x:tableColumn id="7" name="Verification Status"/>
    <x:tableColumn id="8" name="Official Program URL"/>
    <x:tableColumn id="9" name="Verification Date"/>
    <x:tableColumn id="10" name="URL Audit"/>
    <x:tableColumn id="11" name="HTTP Status"/>
    <x:tableColumn id="12" name="Verification Note"/>
  </x:tableColumns>
  <x:tableStyleInfo name="TableStyleMedium2" showFirstColumn="0" showLastColumn="0" showRowStripes="1" showColumnStripes="0"/>
</x:table>
</file>

<file path=xl/tables/table3.xml><?xml version="1.0" encoding="utf-8"?>
<x:table xmlns:x="http://schemas.openxmlformats.org/spreadsheetml/2006/main" id="3" name="QSSustainabilityTable" displayName="QSSustainabilityTable" ref="A4:O55" headerRowCount="1" totalsRowCount="0" totalsRowShown="0">
  <x:autoFilter ref="A4:O55"/>
  <x:tableColumns count="15">
    <x:tableColumn id="1" name="Rank"/>
    <x:tableColumn id="2" name="Rank Number"/>
    <x:tableColumn id="3" name="University"/>
    <x:tableColumn id="4" name="Location"/>
    <x:tableColumn id="5" name="Country"/>
    <x:tableColumn id="6" name="Overall Score"/>
    <x:tableColumn id="7" name="Environmental Sustainability"/>
    <x:tableColumn id="8" name="Environmental Education"/>
    <x:tableColumn id="9" name="Environmental Research"/>
    <x:tableColumn id="10" name="Equality"/>
    <x:tableColumn id="11" name="Knowledge Exchange"/>
    <x:tableColumn id="12" name="Impact of Education"/>
    <x:tableColumn id="13" name="Employability &amp; Opportunities"/>
    <x:tableColumn id="14" name="Good Governance"/>
    <x:tableColumn id="15" name="QS Profile URL"/>
  </x:tableColumns>
  <x:tableStyleInfo name="TableStyleMedium4" showFirstColumn="0" showLastColumn="0" showRowStripes="1" showColumnStripes="0"/>
</x:table>
</file>

<file path=xl/tables/table4.xml><?xml version="1.0" encoding="utf-8"?>
<x:table xmlns:x="http://schemas.openxmlformats.org/spreadsheetml/2006/main" id="4" name="THEImpactTable" displayName="THEImpactTable" ref="A4:H55" headerRowCount="1" totalsRowCount="0" totalsRowShown="0">
  <x:autoFilter ref="A4:H55"/>
  <x:tableColumns count="8">
    <x:tableColumn id="1" name="Rank"/>
    <x:tableColumn id="2" name="Rank Number"/>
    <x:tableColumn id="3" name="University"/>
    <x:tableColumn id="4" name="Country"/>
    <x:tableColumn id="5" name="Overall Score"/>
    <x:tableColumn id="6" name="SDG 17 Score"/>
    <x:tableColumn id="7" name="Top SDG Scores (published text)"/>
    <x:tableColumn id="8" name="THE Profile URL"/>
  </x:tableColumns>
  <x:tableStyleInfo name="TableStyleMedium4" showFirstColumn="0" showLastColumn="0" showRowStripes="1" showColumnStripes="0"/>
</x:table>
</file>

<file path=xl/tables/table5.xml><?xml version="1.0" encoding="utf-8"?>
<x:table xmlns:x="http://schemas.openxmlformats.org/spreadsheetml/2006/main" id="5" name="OverlapTable" displayName="OverlapTable" ref="A4:J9" headerRowCount="1" totalsRowCount="0" totalsRowShown="0">
  <x:autoFilter ref="A4:J9"/>
  <x:tableColumns count="10">
    <x:tableColumn id="1" name="ID"/>
    <x:tableColumn id="2" name="Canonical Institution"/>
    <x:tableColumn id="3" name="Country"/>
    <x:tableColumn id="4" name="QS Rank"/>
    <x:tableColumn id="5" name="QS Score"/>
    <x:tableColumn id="6" name="THE Rank"/>
    <x:tableColumn id="7" name="THE Score"/>
    <x:tableColumn id="8" name="QS Name"/>
    <x:tableColumn id="9" name="THE Name / Alias"/>
    <x:tableColumn id="10" name="Identity Note"/>
  </x:tableColumns>
  <x:tableStyleInfo name="TableStyleMedium5" showFirstColumn="0" showLastColumn="0" showRowStripes="1" showColumnStripes="0"/>
</x:table>
</file>

<file path=xl/tables/table6.xml><?xml version="1.0" encoding="utf-8"?>
<x:table xmlns:x="http://schemas.openxmlformats.org/spreadsheetml/2006/main" id="6" name="AASHEMatchTable" displayName="AASHEMatchTable" ref="A4:K100" headerRowCount="1" totalsRowCount="0" totalsRowShown="0">
  <x:autoFilter ref="A4:K100"/>
  <x:tableColumns count="11">
    <x:tableColumn id="1" name="ID"/>
    <x:tableColumn id="2" name="Candidate Institution"/>
    <x:tableColumn id="3" name="AASHE Match Status"/>
    <x:tableColumn id="4" name="Matched AASHE Institution"/>
    <x:tableColumn id="5" name="Rating"/>
    <x:tableColumn id="6" name="Score"/>
    <x:tableColumn id="7" name="Valid Through"/>
    <x:tableColumn id="8" name="AASHE Profile URL"/>
    <x:tableColumn id="9" name="Latest Report URL"/>
    <x:tableColumn id="10" name="Source URL"/>
    <x:tableColumn id="11" name="Scope Note"/>
  </x:tableColumns>
  <x:tableStyleInfo name="TableStyleMedium2" showFirstColumn="0" showLastColumn="0" showRowStripes="1" showColumnStripes="0"/>
</x:table>
</file>

<file path=xl/tables/table7.xml><?xml version="1.0" encoding="utf-8"?>
<x:table xmlns:x="http://schemas.openxmlformats.org/spreadsheetml/2006/main" id="7" name="UNPRMEMatchTable" displayName="UNPRMEMatchTable" ref="A4:Q100" headerRowCount="1" totalsRowCount="0" totalsRowShown="0">
  <x:autoFilter ref="A4:Q100"/>
  <x:tableColumns count="17">
    <x:tableColumn id="1" name="ID"/>
    <x:tableColumn id="2" name="Candidate Institution"/>
    <x:tableColumn id="3" name="Country"/>
    <x:tableColumn id="4" name="PRME Match Status"/>
    <x:tableColumn id="5" name="Matched Signatory"/>
    <x:tableColumn id="6" name="PRME Status"/>
    <x:tableColumn id="7" name="Joined Date"/>
    <x:tableColumn id="8" name="Recent SIP Count (2022-2026)"/>
    <x:tableColumn id="9" name="Latest SIP Report Year"/>
    <x:tableColumn id="10" name="Latest SIP Upload Date"/>
    <x:tableColumn id="11" name="Latest SIP Title"/>
    <x:tableColumn id="12" name="Latest SIP URL"/>
    <x:tableColumn id="13" name="Signatory URL"/>
    <x:tableColumn id="14" name="Source URL"/>
    <x:tableColumn id="15" name="Match Score"/>
    <x:tableColumn id="16" name="Matched Alias"/>
    <x:tableColumn id="17" name="Scope / Match Note"/>
  </x:tableColumns>
  <x:tableStyleInfo name="TableStyleMedium4" showFirstColumn="0" showLastColumn="0" showRowStripes="1" showColumnStripes="0"/>
</x:table>
</file>

<file path=xl/tables/table8.xml><?xml version="1.0" encoding="utf-8"?>
<x:table xmlns:x="http://schemas.openxmlformats.org/spreadsheetml/2006/main" id="8" name="OpenAlexSignalTable" displayName="OpenAlexSignalTable" ref="A4:U100" headerRowCount="1" totalsRowCount="0" totalsRowShown="0">
  <x:autoFilter ref="A4:U100"/>
  <x:tableColumns count="21">
    <x:tableColumn id="1" name="ID"/>
    <x:tableColumn id="2" name="Candidate Institution"/>
    <x:tableColumn id="3" name="Country"/>
    <x:tableColumn id="4" name="Collection Status"/>
    <x:tableColumn id="5" name="Matched OpenAlex Institution"/>
    <x:tableColumn id="6" name="Match Status"/>
    <x:tableColumn id="7" name="Match Score"/>
    <x:tableColumn id="8" name="Country Code"/>
    <x:tableColumn id="9" name="Institution Type"/>
    <x:tableColumn id="10" name="ROR"/>
    <x:tableColumn id="11" name="OpenAlex ID"/>
    <x:tableColumn id="12" name="All-time Works"/>
    <x:tableColumn id="13" name="All-time Citations"/>
    <x:tableColumn id="14" name="All-time H-index"/>
    <x:tableColumn id="15" name="Two-year Mean Citedness"/>
    <x:tableColumn id="16" name="Keyword Works 2021-2025"/>
    <x:tableColumn id="17" name="Top-25 Citations"/>
    <x:tableColumn id="18" name="Top Matching Work"/>
    <x:tableColumn id="19" name="Works Query URL"/>
    <x:tableColumn id="20" name="Institution Search URL"/>
    <x:tableColumn id="21" name="Collection Note / Error"/>
  </x:tableColumns>
  <x:tableStyleInfo name="TableStyleMedium5" showFirstColumn="0" showLastColumn="0" showRowStripes="1" showColumnStripes="0"/>
</x:table>
</file>

<file path=xl/tables/table9.xml><?xml version="1.0" encoding="utf-8"?>
<x:table xmlns:x="http://schemas.openxmlformats.org/spreadsheetml/2006/main" id="9" name="ProgramDetailsTable" displayName="ProgramDetailsTable" ref="A4:T100" headerRowCount="1" totalsRowCount="0" totalsRowShown="0">
  <x:autoFilter ref="A4:T100"/>
  <x:tableColumns count="20">
    <x:tableColumn id="1" name="ID"/>
    <x:tableColumn id="2" name="Institution"/>
    <x:tableColumn id="3" name="Country"/>
    <x:tableColumn id="4" name="Program"/>
    <x:tableColumn id="5" name="Tuition / Fees"/>
    <x:tableColumn id="6" name="Duration"/>
    <x:tableColumn id="7" name="Study Mode / Delivery"/>
    <x:tableColumn id="8" name="Language Requirements"/>
    <x:tableColumn id="9" name="Curriculum Focus"/>
    <x:tableColumn id="10" name="Internship / Fieldwork"/>
    <x:tableColumn id="11" name="Capstone / Project"/>
    <x:tableColumn id="12" name="Thesis Option"/>
    <x:tableColumn id="13" name="Thesis Evidence"/>
    <x:tableColumn id="14" name="Class Size (if available)"/>
    <x:tableColumn id="15" name="Placement Outcomes (if available)"/>
    <x:tableColumn id="16" name="Official Program URL"/>
    <x:tableColumn id="17" name="Additional Official Sources"/>
    <x:tableColumn id="18" name="Retrieved Date"/>
    <x:tableColumn id="19" name="Extraction Status"/>
    <x:tableColumn id="20" name="Review Notes"/>
  </x:tableColumns>
  <x:tableStyleInfo name="TableStyleMedium2" showFirstColumn="0" showLastColumn="0" showRowStripes="1" showColumnStripes="0"/>
</x:table>
</file>

<file path=xl/tables/table10.xml><?xml version="1.0" encoding="utf-8"?>
<x:table xmlns:x="http://schemas.openxmlformats.org/spreadsheetml/2006/main" id="10" name="VerificationIssuesTable" displayName="VerificationIssuesTable" ref="A4:G15" headerRowCount="1" totalsRowCount="0" totalsRowShown="0">
  <x:autoFilter ref="A4:G15"/>
  <x:tableColumns count="7">
    <x:tableColumn id="1" name="Priority"/>
    <x:tableColumn id="2" name="Category"/>
    <x:tableColumn id="3" name="Institution"/>
    <x:tableColumn id="4" name="Issue"/>
    <x:tableColumn id="5" name="Treatment in Workbook"/>
    <x:tableColumn id="6" name="Recommended Follow-up"/>
    <x:tableColumn id="7" name="Evidence URL"/>
  </x:tableColumns>
  <x:tableStyleInfo name="TableStyleMedium10" showFirstColumn="0" showLastColumn="0" showRowStripes="1" showColumnStripes="0"/>
</x:table>
</file>

<file path=xl/tables/table11.xml><?xml version="1.0" encoding="utf-8"?>
<x:table xmlns:x="http://schemas.openxmlformats.org/spreadsheetml/2006/main" id="11" name="URLAuditTable" displayName="URLAuditTable" ref="A4:I100" headerRowCount="1" totalsRowCount="0" totalsRowShown="0">
  <x:autoFilter ref="A4:I100"/>
  <x:tableColumns count="9">
    <x:tableColumn id="1" name="ID"/>
    <x:tableColumn id="2" name="Institution"/>
    <x:tableColumn id="3" name="Program"/>
    <x:tableColumn id="4" name="Audit Result"/>
    <x:tableColumn id="5" name="HTTP Status"/>
    <x:tableColumn id="6" name="Requested URL"/>
    <x:tableColumn id="7" name="Final URL"/>
    <x:tableColumn id="8" name="Page Title"/>
    <x:tableColumn id="9" name="Audit Note"/>
  </x:tableColumns>
  <x:tableStyleInfo name="TableStyleMedium9" showFirstColumn="0" showLastColumn="0" showRowStripes="1" showColumnStripes="0"/>
</x:table>
</file>

<file path=xl/tables/table12.xml><?xml version="1.0" encoding="utf-8"?>
<x:table xmlns:x="http://schemas.openxmlformats.org/spreadsheetml/2006/main" id="12" name="DataDictionaryTable" displayName="DataDictionaryTable" ref="A4:F23" headerRowCount="1" totalsRowCount="0" totalsRowShown="0">
  <x:autoFilter ref="A4:F23"/>
  <x:tableColumns count="6">
    <x:tableColumn id="1" name="Sheet"/>
    <x:tableColumn id="2" name="Field"/>
    <x:tableColumn id="3" name="Allowed Values / Example"/>
    <x:tableColumn id="4" name="Definition"/>
    <x:tableColumn id="5" name="Type"/>
    <x:tableColumn id="6" name="Analysis Note"/>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85a2b4ccf9f4f0c" /></Relationships>
</file>

<file path=xl/worksheets/_rels/sheet3.xml.rels>&#65279;<?xml version="1.0" encoding="utf-8"?><Relationships xmlns="http://schemas.openxmlformats.org/package/2006/relationships"><Relationship Type="http://schemas.openxmlformats.org/officeDocument/2006/relationships/table" Target="/xl/tables/table2.xml" Id="R36a4e674856e4f61" /></Relationships>
</file>

<file path=xl/worksheets/_rels/sheet4.xml.rels>&#65279;<?xml version="1.0" encoding="utf-8"?><Relationships xmlns="http://schemas.openxmlformats.org/package/2006/relationships"><Relationship Type="http://schemas.openxmlformats.org/officeDocument/2006/relationships/table" Target="/xl/tables/table3.xml" Id="Ra4e62be587c547de" /></Relationships>
</file>

<file path=xl/worksheets/_rels/sheet5.xml.rels>&#65279;<?xml version="1.0" encoding="utf-8"?><Relationships xmlns="http://schemas.openxmlformats.org/package/2006/relationships"><Relationship Type="http://schemas.openxmlformats.org/officeDocument/2006/relationships/table" Target="/xl/tables/table4.xml" Id="Raf5d82869dc242da" /></Relationships>
</file>

<file path=xl/worksheets/_rels/sheet6.xml.rels>&#65279;<?xml version="1.0" encoding="utf-8"?><Relationships xmlns="http://schemas.openxmlformats.org/package/2006/relationships"><Relationship Type="http://schemas.openxmlformats.org/officeDocument/2006/relationships/table" Target="/xl/tables/table5.xml" Id="Ra62446715a7a4194" /></Relationships>
</file>

<file path=xl/worksheets/_rels/sheet7.xml.rels>&#65279;<?xml version="1.0" encoding="utf-8"?><Relationships xmlns="http://schemas.openxmlformats.org/package/2006/relationships"><Relationship Type="http://schemas.openxmlformats.org/officeDocument/2006/relationships/table" Target="/xl/tables/table6.xml" Id="Ra9d9da477f05494e" /></Relationships>
</file>

<file path=xl/worksheets/_rels/sheet8.xml.rels>&#65279;<?xml version="1.0" encoding="utf-8"?><Relationships xmlns="http://schemas.openxmlformats.org/package/2006/relationships"><Relationship Type="http://schemas.openxmlformats.org/officeDocument/2006/relationships/table" Target="/xl/tables/table7.xml" Id="R8d67bd8ded6f4b16" /></Relationships>
</file>

<file path=xl/worksheets/_rels/sheet9.xml.rels>&#65279;<?xml version="1.0" encoding="utf-8"?><Relationships xmlns="http://schemas.openxmlformats.org/package/2006/relationships"><Relationship Type="http://schemas.openxmlformats.org/officeDocument/2006/relationships/table" Target="/xl/tables/table8.xml" Id="R0200446aed2e454b" /></Relationships>
</file>

<file path=xl/worksheets/_rels/sheet10.xml.rels>&#65279;<?xml version="1.0" encoding="utf-8"?><Relationships xmlns="http://schemas.openxmlformats.org/package/2006/relationships"><Relationship Type="http://schemas.openxmlformats.org/officeDocument/2006/relationships/table" Target="/xl/tables/table9.xml" Id="R97c9f58959044ceb" /></Relationships>
</file>

<file path=xl/worksheets/_rels/sheet11.xml.rels>&#65279;<?xml version="1.0" encoding="utf-8"?><Relationships xmlns="http://schemas.openxmlformats.org/package/2006/relationships"><Relationship Type="http://schemas.openxmlformats.org/officeDocument/2006/relationships/table" Target="/xl/tables/table10.xml" Id="Rf33d031f614e4fa2" /></Relationships>
</file>

<file path=xl/worksheets/_rels/sheet12.xml.rels>&#65279;<?xml version="1.0" encoding="utf-8"?><Relationships xmlns="http://schemas.openxmlformats.org/package/2006/relationships"><Relationship Type="http://schemas.openxmlformats.org/officeDocument/2006/relationships/table" Target="/xl/tables/table11.xml" Id="R060306bb90674cbc" /></Relationships>
</file>

<file path=xl/worksheets/_rels/sheet14.xml.rels>&#65279;<?xml version="1.0" encoding="utf-8"?><Relationships xmlns="http://schemas.openxmlformats.org/package/2006/relationships"><Relationship Type="http://schemas.openxmlformats.org/officeDocument/2006/relationships/table" Target="/xl/tables/table12.xml" Id="R0a72f8fa40794c8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34" hidden="0" customWidth="1"/>
    <x:col min="3" max="3" width="58" hidden="0" customWidth="1"/>
    <x:col min="4" max="4" width="18" hidden="0" customWidth="1"/>
    <x:col min="5" max="5" width="3" hidden="0" customWidth="1"/>
    <x:col min="6" max="6" width="3" hidden="0" customWidth="1"/>
    <x:col min="7" max="7" width="3" hidden="0" customWidth="1"/>
    <x:col min="8" max="8" width="3" hidden="0" customWidth="1"/>
  </x:cols>
  <x:sheetData>
    <x:row r="1" ht="28" customHeight="1">
      <x:c r="A1" s="3" t="str">
        <x:v>Corrected Sustainability Program Dataset - 96 Retained Programs</x:v>
      </x:c>
      <x:c r="B1" s="3"/>
      <x:c r="C1" s="3"/>
      <x:c r="D1" s="3"/>
      <x:c r="E1" s="3"/>
      <x:c r="F1" s="3"/>
      <x:c r="G1" s="3"/>
      <x:c r="H1" s="3"/>
    </x:row>
    <x:row r="2" ht="36" customHeight="1">
      <x:c r="A2" s="7" t="str">
        <x:v>QS Sustainability, THE Sustainability Impact, AASHE STARS, UN PRME, OpenAlex, and official program-page evidence. Validated 19 July 2026.</x:v>
      </x:c>
      <x:c r="B2" s="7"/>
      <x:c r="C2" s="7"/>
      <x:c r="D2" s="7"/>
      <x:c r="E2" s="7"/>
      <x:c r="F2" s="7"/>
      <x:c r="G2" s="7"/>
      <x:c r="H2" s="7"/>
    </x:row>
    <x:row r="4" ht="36" customHeight="1">
      <x:c r="A4" s="13" t="str">
        <x:v>Metric</x:v>
      </x:c>
      <x:c r="B4" s="13" t="str">
        <x:v>Value</x:v>
      </x:c>
      <x:c r="C4" s="13" t="str">
        <x:v>Interpretation</x:v>
      </x:c>
      <x:c r="D4" s="13" t="str">
        <x:v>Audit rule</x:v>
      </x:c>
    </x:row>
    <x:row r="5">
      <x:c r="A5" s="17" t="str">
        <x:v>Unique candidate institutions</x:v>
      </x:c>
      <x:c r="B5" s="21" t="n">
        <x:f>COUNTA('Candidate Universities'!$B$5:$B$100)</x:f>
        <x:v>96</x:v>
      </x:c>
      <x:c r="C5" s="17" t="str">
        <x:v>96 retained after excluding ID 75 following manual program review</x:v>
      </x:c>
      <x:c r="D5" s="17" t="str">
        <x:v>No duplicate institution counted twice</x:v>
      </x:c>
    </x:row>
    <x:row r="6">
      <x:c r="A6" s="17" t="str">
        <x:v>QS rank &lt;= 50 records</x:v>
      </x:c>
      <x:c r="B6" s="21" t="n">
        <x:f>COUNTA('QS Sustainability Top 50'!$A$5:$A$55)</x:f>
        <x:v>51</x:v>
      </x:c>
      <x:c r="C6" s="17" t="str">
        <x:v>51 rows because rank 50 is tied</x:v>
      </x:c>
      <x:c r="D6" s="17" t="str">
        <x:v>Numeric rank &lt;= 50; include ties</x:v>
      </x:c>
    </x:row>
    <x:row r="7">
      <x:c r="A7" s="17" t="str">
        <x:v>THE rank &lt;= 50 records</x:v>
      </x:c>
      <x:c r="B7" s="21" t="n">
        <x:f>COUNTA('THE Impact Top 50'!$A$5:$A$55)</x:f>
        <x:v>51</x:v>
      </x:c>
      <x:c r="C7" s="17" t="str">
        <x:v>51 rows because rank 49 is tied</x:v>
      </x:c>
      <x:c r="D7" s="17" t="str">
        <x:v>Numeric rank &lt;= 50; include ties</x:v>
      </x:c>
    </x:row>
    <x:row r="8">
      <x:c r="A8" s="17" t="str">
        <x:v>Institutions in both rankings</x:v>
      </x:c>
      <x:c r="B8" s="21" t="n">
        <x:f>COUNTIF('Candidate Universities'!$D$5:$D$100,"Both")</x:f>
        <x:v>5</x:v>
      </x:c>
      <x:c r="C8" s="17" t="str">
        <x:v>Manchester, Western, Glasgow, Exeter, and UNSW</x:v>
      </x:c>
      <x:c r="D8" s="17" t="str">
        <x:v>Verified same institutional identity</x:v>
      </x:c>
    </x:row>
    <x:row r="9">
      <x:c r="A9" s="17" t="str">
        <x:v>QS-only institutions</x:v>
      </x:c>
      <x:c r="B9" s="21" t="n">
        <x:f>COUNTIF('Candidate Universities'!$D$5:$D$100,"QS Sustainability")</x:f>
        <x:v>46</x:v>
      </x:c>
      <x:c r="C9" s="17" t="str">
        <x:v>In QS only</x:v>
      </x:c>
      <x:c r="D9" s="17" t="str">
        <x:v>Candidate source = QS Sustainability</x:v>
      </x:c>
    </x:row>
    <x:row r="10">
      <x:c r="A10" s="17" t="str">
        <x:v>THE-only institutions</x:v>
      </x:c>
      <x:c r="B10" s="21" t="n">
        <x:f>COUNTIF('Candidate Universities'!$D$5:$D$100,"THE Impact")</x:f>
        <x:v>45</x:v>
      </x:c>
      <x:c r="C10" s="17" t="str">
        <x:v>In THE only</x:v>
      </x:c>
      <x:c r="D10" s="17" t="str">
        <x:v>Candidate source = THE Impact</x:v>
      </x:c>
    </x:row>
    <x:row r="11">
      <x:c r="A11" s="17" t="str">
        <x:v>Programs confirmed</x:v>
      </x:c>
      <x:c r="B11" s="21" t="n">
        <x:f>COUNTIF('Program Verification'!$G$5:$G$100,"Confirmed")</x:f>
        <x:v>94</x:v>
      </x:c>
      <x:c r="C11" s="17" t="str">
        <x:v>Current master-level program or explicitly labeled best-fit path</x:v>
      </x:c>
      <x:c r="D11" s="17" t="str">
        <x:v>Official university source</x:v>
      </x:c>
    </x:row>
    <x:row r="12">
      <x:c r="A12" s="17" t="str">
        <x:v>Programs requiring manual review</x:v>
      </x:c>
      <x:c r="B12" s="21" t="n">
        <x:f>COUNTIF('Program Verification'!$G$5:$G$100,"Manual review required")</x:f>
        <x:v>2</x:v>
      </x:c>
      <x:c r="C12" s="17" t="str">
        <x:v>No qualifying standalone master's confirmed</x:v>
      </x:c>
      <x:c r="D12" s="17" t="str">
        <x:v>Manual follow-up before analysis</x:v>
      </x:c>
    </x:row>
    <x:row r="13">
      <x:c r="A13" s="17" t="str">
        <x:v>AASHE records with ratings shown</x:v>
      </x:c>
      <x:c r="B13" s="21" t="n">
        <x:f>COUNTIF('AASHE STARS'!$F$5:$F$100,"&lt;&gt;")</x:f>
        <x:v>15</x:v>
      </x:c>
      <x:c r="C13" s="17" t="str">
        <x:v>Includes one ASU scope-review match</x:v>
      </x:c>
      <x:c r="D13" s="17" t="str">
        <x:v>Strict AASHE institution/campus scope</x:v>
      </x:c>
    </x:row>
    <x:row r="14">
      <x:c r="A14" s="17" t="str">
        <x:v>Verified UN PRME signatories</x:v>
      </x:c>
      <x:c r="B14" s="21" t="n">
        <x:f>B5-COUNTIF('UN PRME'!$D$5:$D$100,"No verified match")</x:f>
        <x:v>48</x:v>
      </x:c>
      <x:c r="C14" s="17" t="str">
        <x:v>Current school-level or institution-level PRME signatory match</x:v>
      </x:c>
      <x:c r="D14" s="17" t="str">
        <x:v>Verified exact/alias match only</x:v>
      </x:c>
    </x:row>
    <x:row r="15">
      <x:c r="A15" s="17" t="str">
        <x:v>Communicating UN PRME signatories</x:v>
      </x:c>
      <x:c r="B15" s="21" t="n">
        <x:f>COUNTIF('UN PRME'!$F$5:$F$100,"Communicating Signatory")</x:f>
        <x:v>42</x:v>
      </x:c>
      <x:c r="C15" s="17" t="str">
        <x:v>Current status published by UN PRME</x:v>
      </x:c>
      <x:c r="D15" s="17" t="str">
        <x:v>UN PRME status text</x:v>
      </x:c>
    </x:row>
    <x:row r="16">
      <x:c r="A16" s="17" t="str">
        <x:v>Recent SIP reports (2022-2026)</x:v>
      </x:c>
      <x:c r="B16" s="21" t="n">
        <x:f>SUM('UN PRME'!$H$5:$H$100)</x:f>
        <x:v>87</x:v>
      </x:c>
      <x:c r="C16" s="17" t="str">
        <x:v>SIP report year 2022-2026; report title/file year preferred over migration upload date</x:v>
      </x:c>
      <x:c r="D16" s="17" t="str">
        <x:v>Do not infer zero reports from a missing match</x:v>
      </x:c>
    </x:row>
    <x:row r="17">
      <x:c r="A17" s="17" t="str">
        <x:v>OpenAlex institution matches collected</x:v>
      </x:c>
      <x:c r="B17" s="21" t="n">
        <x:f>COUNTIF('OpenAlex 2021-2025'!$D$5:$D$100,"Collected")</x:f>
        <x:v>45</x:v>
      </x:c>
      <x:c r="C17" s="17" t="str">
        <x:v>2021-2025 keyword works collected before anonymous API quota was reached</x:v>
      </x:c>
      <x:c r="D17" s="17" t="str">
        <x:v>Missing API rows remain blank, not zero</x:v>
      </x:c>
    </x:row>
    <x:row r="18">
      <x:c r="A18" s="17" t="str">
        <x:v>Program detail rows</x:v>
      </x:c>
      <x:c r="B18" s="21" t="n">
        <x:f>COUNTA('Program Details'!$B$5:$B$100)</x:f>
        <x:v>96</x:v>
      </x:c>
      <x:c r="C18" s="17" t="str">
        <x:v>Official program page plus selected same-domain evidence pages</x:v>
      </x:c>
      <x:c r="D18" s="17" t="str">
        <x:v>Missing fields explicitly marked Not stated or NA</x:v>
      </x:c>
    </x:row>
    <x:row r="19">
      <x:c r="A19" s="17" t="str">
        <x:v>Program URLs passing automated fetch</x:v>
      </x:c>
      <x:c r="B19" s="21" t="n">
        <x:f>COUNTIF('URL Audit'!$D$5:$D$100,"OK")</x:f>
        <x:v>84</x:v>
      </x:c>
      <x:c r="C19" s="17" t="str">
        <x:v>Remaining official pages block bots or failed automated fetch; no 404s remain</x:v>
      </x:c>
      <x:c r="D19" s="17" t="str">
        <x:v>HTTP 2xx/3xx follow-through</x:v>
      </x:c>
    </x:row>
    <x:row r="22" ht="36" customHeight="1">
      <x:c r="A22" s="27" t="str">
        <x:v>Correction</x:v>
      </x:c>
      <x:c r="B22" s="27" t="str">
        <x:v>Previous issue</x:v>
      </x:c>
      <x:c r="C22" s="27" t="str">
        <x:v>Correct treatment</x:v>
      </x:c>
      <x:c r="D22" s="27" t="str">
        <x:v>Status</x:v>
      </x:c>
    </x:row>
    <x:row r="23">
      <x:c r="A23" s="17" t="str">
        <x:v>Ranking family</x:v>
      </x:c>
      <x:c r="B23" s="17" t="str">
        <x:v>General QS/THE world rankings were used</x:v>
      </x:c>
      <x:c r="C23" s="17" t="str">
        <x:v>Use QS Sustainability and THE Sustainability Impact Ratings</x:v>
      </x:c>
      <x:c r="D23" s="29" t="str">
        <x:v>Corrected</x:v>
      </x:c>
    </x:row>
    <x:row r="24">
      <x:c r="A24" s="17" t="str">
        <x:v>Candidate universe</x:v>
      </x:c>
      <x:c r="B24" s="17" t="str">
        <x:v>62 institutions</x:v>
      </x:c>
      <x:c r="C24" s="17" t="str">
        <x:v>97 source candidates, then 96 retained after manual exclusion of ID 75</x:v>
      </x:c>
      <x:c r="D24" s="29" t="str">
        <x:v>Corrected</x:v>
      </x:c>
    </x:row>
    <x:row r="25">
      <x:c r="A25" s="17" t="str">
        <x:v>Manual exclusion</x:v>
      </x:c>
      <x:c r="B25" s="17" t="str">
        <x:v>Al-Ahliyya Amman University was retained</x:v>
      </x:c>
      <x:c r="C25" s="17" t="str">
        <x:v>ID 75 excluded because manual validation found no relevant program</x:v>
      </x:c>
      <x:c r="D25" s="29" t="str">
        <x:v>Corrected</x:v>
      </x:c>
    </x:row>
    <x:row r="26">
      <x:c r="A26" s="17" t="str">
        <x:v>QS cutoff</x:v>
      </x:c>
      <x:c r="B26" s="17" t="str">
        <x:v>Assumed exactly 50 rows</x:v>
      </x:c>
      <x:c r="C26" s="17" t="str">
        <x:v>51 rows: rank 50 has a tie</x:v>
      </x:c>
      <x:c r="D26" s="29" t="str">
        <x:v>Corrected</x:v>
      </x:c>
    </x:row>
    <x:row r="27">
      <x:c r="A27" s="17" t="str">
        <x:v>THE cutoff</x:v>
      </x:c>
      <x:c r="B27" s="17" t="str">
        <x:v>Assumed exactly 50 rows</x:v>
      </x:c>
      <x:c r="C27" s="17" t="str">
        <x:v>51 rows: rank 49 has a tie</x:v>
      </x:c>
      <x:c r="D27" s="29" t="str">
        <x:v>Corrected</x:v>
      </x:c>
    </x:row>
    <x:row r="28">
      <x:c r="A28" s="17" t="str">
        <x:v>McGill program</x:v>
      </x:c>
      <x:c r="B28" s="17" t="str">
        <x:v>Undergraduate Sustainability, Science &amp; Society labeled as MSc</x:v>
      </x:c>
      <x:c r="C28" s="17" t="str">
        <x:v>MSc Geography with sustainability/environment research theme</x:v>
      </x:c>
      <x:c r="D28" s="29" t="str">
        <x:v>Corrected</x:v>
      </x:c>
    </x:row>
    <x:row r="29">
      <x:c r="A29" s="17" t="str">
        <x:v>UBC program</x:v>
      </x:c>
      <x:c r="B29" s="17" t="str">
        <x:v>Paused Sustainable Process Engineering MEL</x:v>
      </x:c>
      <x:c r="C29" s="17" t="str">
        <x:v>Current Clean Energy Engineering MEL</x:v>
      </x:c>
      <x:c r="D29" s="29" t="str">
        <x:v>Corrected</x:v>
      </x:c>
    </x:row>
    <x:row r="30">
      <x:c r="A30" s="17" t="str">
        <x:v>Toronto AASHE</x:v>
      </x:c>
      <x:c r="B30" s="17" t="str">
        <x:v>Mississauga campus Gold inherited by parent</x:v>
      </x:c>
      <x:c r="C30" s="17" t="str">
        <x:v>Campus-only evidence retained; parent receives no rating</x:v>
      </x:c>
      <x:c r="D30" s="29" t="str">
        <x:v>Corrected</x:v>
      </x:c>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7" hidden="0" customWidth="1"/>
    <x:col min="2" max="2" width="35" hidden="0" customWidth="1"/>
    <x:col min="3" max="3" width="18" hidden="0" customWidth="1"/>
    <x:col min="4" max="4" width="20" hidden="0" customWidth="1"/>
    <x:col min="5" max="5" width="10" hidden="0" customWidth="1"/>
    <x:col min="6" max="6" width="11" hidden="0" customWidth="1"/>
    <x:col min="7" max="7" width="10" hidden="0" customWidth="1"/>
    <x:col min="8" max="8" width="14" hidden="0" customWidth="1"/>
    <x:col min="9" max="9" width="46" hidden="0" customWidth="1"/>
    <x:col min="10" max="10" width="46" hidden="0" customWidth="1"/>
  </x:cols>
  <x:sheetData>
    <x:row r="1" ht="28" customHeight="1">
      <x:c r="A1" s="3" t="str">
        <x:v>Candidate Universities</x:v>
      </x:c>
      <x:c r="B1" s="3"/>
      <x:c r="C1" s="3"/>
      <x:c r="D1" s="3"/>
      <x:c r="E1" s="3"/>
      <x:c r="F1" s="3"/>
      <x:c r="G1" s="3"/>
      <x:c r="H1" s="3"/>
      <x:c r="I1" s="3"/>
      <x:c r="J1" s="3"/>
    </x:row>
    <x:row r="2" ht="36" customHeight="1">
      <x:c r="A2" s="7" t="str">
        <x:v>The official cutoffs produced 97 source candidates. This retained universe has 96 institutions after manual exclusion of ID 75; ties are included and five overlaps are counted once.</x:v>
      </x:c>
      <x:c r="B2" s="7"/>
      <x:c r="C2" s="7"/>
      <x:c r="D2" s="7"/>
      <x:c r="E2" s="7"/>
      <x:c r="F2" s="7"/>
      <x:c r="G2" s="7"/>
      <x:c r="H2" s="7"/>
      <x:c r="I2" s="7"/>
      <x:c r="J2" s="7"/>
    </x:row>
    <x:row r="4" ht="36" customHeight="1">
      <x:c r="A4" s="13" t="str">
        <x:v>ID</x:v>
      </x:c>
      <x:c r="B4" s="13" t="str">
        <x:v>Institution</x:v>
      </x:c>
      <x:c r="C4" s="13" t="str">
        <x:v>Country</x:v>
      </x:c>
      <x:c r="D4" s="13" t="str">
        <x:v>Candidate Source</x:v>
      </x:c>
      <x:c r="E4" s="13" t="str">
        <x:v>QS Rank</x:v>
      </x:c>
      <x:c r="F4" s="13" t="str">
        <x:v>QS Score</x:v>
      </x:c>
      <x:c r="G4" s="13" t="str">
        <x:v>THE Rank</x:v>
      </x:c>
      <x:c r="H4" s="13" t="str">
        <x:v>THE Overall Score</x:v>
      </x:c>
      <x:c r="I4" s="13" t="str">
        <x:v>QS Profile URL</x:v>
      </x:c>
      <x:c r="J4" s="13" t="str">
        <x:v>THE Profile URL</x:v>
      </x:c>
    </x:row>
    <x:row r="5">
      <x:c r="A5" s="17" t="n">
        <x:v>1</x:v>
      </x:c>
      <x:c r="B5" s="17" t="str">
        <x:v>Lund University</x:v>
      </x:c>
      <x:c r="C5" s="17" t="str">
        <x:v>Sweden</x:v>
      </x:c>
      <x:c r="D5" s="17" t="str">
        <x:v>QS Sustainability</x:v>
      </x:c>
      <x:c r="E5" s="17" t="str">
        <x:v>1</x:v>
      </x:c>
      <x:c r="F5" s="31" t="n">
        <x:v>100</x:v>
      </x:c>
      <x:c r="G5" s="17" t="str"/>
      <x:c r="H5" s="31"/>
      <x:c r="I5" s="30" t="str">
        <x:v>https://www.topuniversities.com/universities/lund-university</x:v>
      </x:c>
      <x:c r="J5" s="30" t="str"/>
    </x:row>
    <x:row r="6">
      <x:c r="A6" s="17" t="n">
        <x:v>2</x:v>
      </x:c>
      <x:c r="B6" s="17" t="str">
        <x:v>University of Toronto</x:v>
      </x:c>
      <x:c r="C6" s="17" t="str">
        <x:v>Canada</x:v>
      </x:c>
      <x:c r="D6" s="17" t="str">
        <x:v>QS Sustainability</x:v>
      </x:c>
      <x:c r="E6" s="17" t="str">
        <x:v>2</x:v>
      </x:c>
      <x:c r="F6" s="31" t="n">
        <x:v>99.8</x:v>
      </x:c>
      <x:c r="G6" s="17" t="str"/>
      <x:c r="H6" s="31"/>
      <x:c r="I6" s="30" t="str">
        <x:v>https://www.topuniversities.com/universities/university-toronto</x:v>
      </x:c>
      <x:c r="J6" s="30" t="str"/>
    </x:row>
    <x:row r="7">
      <x:c r="A7" s="17" t="n">
        <x:v>3</x:v>
      </x:c>
      <x:c r="B7" s="17" t="str">
        <x:v>UCL</x:v>
      </x:c>
      <x:c r="C7" s="17" t="str">
        <x:v>United Kingdom</x:v>
      </x:c>
      <x:c r="D7" s="17" t="str">
        <x:v>QS Sustainability</x:v>
      </x:c>
      <x:c r="E7" s="17" t="str">
        <x:v>3</x:v>
      </x:c>
      <x:c r="F7" s="31" t="n">
        <x:v>99</x:v>
      </x:c>
      <x:c r="G7" s="17" t="str"/>
      <x:c r="H7" s="31"/>
      <x:c r="I7" s="30" t="str">
        <x:v>https://www.topuniversities.com/universities/ucl</x:v>
      </x:c>
      <x:c r="J7" s="30" t="str"/>
    </x:row>
    <x:row r="8">
      <x:c r="A8" s="17" t="n">
        <x:v>4</x:v>
      </x:c>
      <x:c r="B8" s="17" t="str">
        <x:v>The University of Edinburgh</x:v>
      </x:c>
      <x:c r="C8" s="17" t="str">
        <x:v>United Kingdom</x:v>
      </x:c>
      <x:c r="D8" s="17" t="str">
        <x:v>QS Sustainability</x:v>
      </x:c>
      <x:c r="E8" s="17" t="str">
        <x:v>4</x:v>
      </x:c>
      <x:c r="F8" s="31" t="n">
        <x:v>98.7</x:v>
      </x:c>
      <x:c r="G8" s="17" t="str"/>
      <x:c r="H8" s="31"/>
      <x:c r="I8" s="30" t="str">
        <x:v>https://www.topuniversities.com/universities/university-edinburgh</x:v>
      </x:c>
      <x:c r="J8" s="30" t="str"/>
    </x:row>
    <x:row r="9">
      <x:c r="A9" s="17" t="n">
        <x:v>5</x:v>
      </x:c>
      <x:c r="B9" s="17" t="str">
        <x:v>University of British Columbia</x:v>
      </x:c>
      <x:c r="C9" s="17" t="str">
        <x:v>Canada</x:v>
      </x:c>
      <x:c r="D9" s="17" t="str">
        <x:v>QS Sustainability</x:v>
      </x:c>
      <x:c r="E9" s="17" t="str">
        <x:v>5</x:v>
      </x:c>
      <x:c r="F9" s="31" t="n">
        <x:v>98.6</x:v>
      </x:c>
      <x:c r="G9" s="17" t="str"/>
      <x:c r="H9" s="31"/>
      <x:c r="I9" s="30" t="str">
        <x:v>https://www.topuniversities.com/universities/university-british-columbia</x:v>
      </x:c>
      <x:c r="J9" s="30" t="str"/>
    </x:row>
    <x:row r="10">
      <x:c r="A10" s="17" t="n">
        <x:v>6</x:v>
      </x:c>
      <x:c r="B10" s="17" t="str">
        <x:v>The London School of Economics and Political Science (LSE)</x:v>
      </x:c>
      <x:c r="C10" s="17" t="str">
        <x:v>United Kingdom</x:v>
      </x:c>
      <x:c r="D10" s="17" t="str">
        <x:v>QS Sustainability</x:v>
      </x:c>
      <x:c r="E10" s="17" t="str">
        <x:v>6</x:v>
      </x:c>
      <x:c r="F10" s="31" t="n">
        <x:v>98.5</x:v>
      </x:c>
      <x:c r="G10" s="17" t="str"/>
      <x:c r="H10" s="31"/>
      <x:c r="I10" s="30" t="str">
        <x:v>https://www.topuniversities.com/universities/london-school-economics-political-science-lse</x:v>
      </x:c>
      <x:c r="J10" s="30" t="str"/>
    </x:row>
    <x:row r="11">
      <x:c r="A11" s="17" t="n">
        <x:v>7</x:v>
      </x:c>
      <x:c r="B11" s="17" t="str">
        <x:v>Imperial College London</x:v>
      </x:c>
      <x:c r="C11" s="17" t="str">
        <x:v>United Kingdom</x:v>
      </x:c>
      <x:c r="D11" s="17" t="str">
        <x:v>QS Sustainability</x:v>
      </x:c>
      <x:c r="E11" s="17" t="n">
        <x:f>7</x:f>
        <x:v>7</x:v>
      </x:c>
      <x:c r="F11" s="31" t="n">
        <x:v>98.2</x:v>
      </x:c>
      <x:c r="G11" s="17" t="str"/>
      <x:c r="H11" s="31"/>
      <x:c r="I11" s="30" t="str">
        <x:v>https://www.topuniversities.com/universities/imperial-college-london</x:v>
      </x:c>
      <x:c r="J11" s="30" t="str"/>
    </x:row>
    <x:row r="12">
      <x:c r="A12" s="17" t="n">
        <x:v>8</x:v>
      </x:c>
      <x:c r="B12" s="17" t="str">
        <x:v>The University of New South Wales (UNSW Sydney)</x:v>
      </x:c>
      <x:c r="C12" s="17" t="str">
        <x:v>Australia</x:v>
      </x:c>
      <x:c r="D12" s="17" t="str">
        <x:v>Both</x:v>
      </x:c>
      <x:c r="E12" s="17" t="n">
        <x:f>7</x:f>
        <x:v>7</x:v>
      </x:c>
      <x:c r="F12" s="31" t="n">
        <x:v>98.2</x:v>
      </x:c>
      <x:c r="G12" s="17" t="n">
        <x:f>41</x:f>
        <x:v>41</x:v>
      </x:c>
      <x:c r="H12" s="31" t="n">
        <x:v>93.2</x:v>
      </x:c>
      <x:c r="I12" s="30" t="str">
        <x:v>https://www.topuniversities.com/universities/university-new-south-wales-unsw-sydney</x:v>
      </x:c>
      <x:c r="J12" s="30" t="str">
        <x:v>https://www.timeshighereducation.com/world-university-rankings/unsw-sydney</x:v>
      </x:c>
    </x:row>
    <x:row r="13">
      <x:c r="A13" s="17" t="n">
        <x:v>9</x:v>
      </x:c>
      <x:c r="B13" s="17" t="str">
        <x:v>McGill University</x:v>
      </x:c>
      <x:c r="C13" s="17" t="str">
        <x:v>Canada</x:v>
      </x:c>
      <x:c r="D13" s="17" t="str">
        <x:v>QS Sustainability</x:v>
      </x:c>
      <x:c r="E13" s="17" t="str">
        <x:v>9</x:v>
      </x:c>
      <x:c r="F13" s="31" t="n">
        <x:v>98.1</x:v>
      </x:c>
      <x:c r="G13" s="17" t="str"/>
      <x:c r="H13" s="31"/>
      <x:c r="I13" s="30" t="str">
        <x:v>https://www.topuniversities.com/universities/mcgill-university</x:v>
      </x:c>
      <x:c r="J13" s="30" t="str"/>
    </x:row>
    <x:row r="14">
      <x:c r="A14" s="17" t="n">
        <x:v>10</x:v>
      </x:c>
      <x:c r="B14" s="17" t="str">
        <x:v>The University of Manchester</x:v>
      </x:c>
      <x:c r="C14" s="17" t="str">
        <x:v>United Kingdom</x:v>
      </x:c>
      <x:c r="D14" s="17" t="str">
        <x:v>Both</x:v>
      </x:c>
      <x:c r="E14" s="17" t="str">
        <x:v>10</x:v>
      </x:c>
      <x:c r="F14" s="31" t="n">
        <x:v>98</x:v>
      </x:c>
      <x:c r="G14" s="17" t="str">
        <x:v>1</x:v>
      </x:c>
      <x:c r="H14" s="31" t="n">
        <x:v>98.5</x:v>
      </x:c>
      <x:c r="I14" s="30" t="str">
        <x:v>https://www.topuniversities.com/universities/university-manchester</x:v>
      </x:c>
      <x:c r="J14" s="30" t="str">
        <x:v>https://www.timeshighereducation.com/world-university-rankings/university-manchester</x:v>
      </x:c>
    </x:row>
    <x:row r="15">
      <x:c r="A15" s="17" t="n">
        <x:v>11</x:v>
      </x:c>
      <x:c r="B15" s="17" t="str">
        <x:v>ETH Zurich</x:v>
      </x:c>
      <x:c r="C15" s="17" t="str">
        <x:v>Switzerland</x:v>
      </x:c>
      <x:c r="D15" s="17" t="str">
        <x:v>QS Sustainability</x:v>
      </x:c>
      <x:c r="E15" s="17" t="n">
        <x:f>11</x:f>
        <x:v>11</x:v>
      </x:c>
      <x:c r="F15" s="31" t="n">
        <x:v>97.9</x:v>
      </x:c>
      <x:c r="G15" s="17" t="str"/>
      <x:c r="H15" s="31"/>
      <x:c r="I15" s="30" t="str">
        <x:v>https://www.topuniversities.com/universities/eth-zurich</x:v>
      </x:c>
      <x:c r="J15" s="30" t="str"/>
    </x:row>
    <x:row r="16">
      <x:c r="A16" s="17" t="n">
        <x:v>12</x:v>
      </x:c>
      <x:c r="B16" s="17" t="str">
        <x:v>The University of Melbourne</x:v>
      </x:c>
      <x:c r="C16" s="17" t="str">
        <x:v>Australia</x:v>
      </x:c>
      <x:c r="D16" s="17" t="str">
        <x:v>QS Sustainability</x:v>
      </x:c>
      <x:c r="E16" s="17" t="n">
        <x:f>11</x:f>
        <x:v>11</x:v>
      </x:c>
      <x:c r="F16" s="31" t="n">
        <x:v>97.9</x:v>
      </x:c>
      <x:c r="G16" s="17" t="str"/>
      <x:c r="H16" s="31"/>
      <x:c r="I16" s="30" t="str">
        <x:v>https://www.topuniversities.com/universities/university-melbourne</x:v>
      </x:c>
      <x:c r="J16" s="30" t="str"/>
    </x:row>
    <x:row r="17">
      <x:c r="A17" s="17" t="n">
        <x:v>13</x:v>
      </x:c>
      <x:c r="B17" s="17" t="str">
        <x:v>University of California, Berkeley (UCB)</x:v>
      </x:c>
      <x:c r="C17" s="17" t="str">
        <x:v>United States</x:v>
      </x:c>
      <x:c r="D17" s="17" t="str">
        <x:v>QS Sustainability</x:v>
      </x:c>
      <x:c r="E17" s="17" t="n">
        <x:f>11</x:f>
        <x:v>11</x:v>
      </x:c>
      <x:c r="F17" s="31" t="n">
        <x:v>97.9</x:v>
      </x:c>
      <x:c r="G17" s="17" t="str"/>
      <x:c r="H17" s="31"/>
      <x:c r="I17" s="30" t="str">
        <x:v>https://www.topuniversities.com/universities/university-california-berkeley-ucb</x:v>
      </x:c>
      <x:c r="J17" s="30" t="str"/>
    </x:row>
    <x:row r="18">
      <x:c r="A18" s="17" t="n">
        <x:v>14</x:v>
      </x:c>
      <x:c r="B18" s="17" t="str">
        <x:v>Stanford University</x:v>
      </x:c>
      <x:c r="C18" s="17" t="str">
        <x:v>United States</x:v>
      </x:c>
      <x:c r="D18" s="17" t="str">
        <x:v>QS Sustainability</x:v>
      </x:c>
      <x:c r="E18" s="17" t="str">
        <x:v>13</x:v>
      </x:c>
      <x:c r="F18" s="31" t="n">
        <x:v>97.8</x:v>
      </x:c>
      <x:c r="G18" s="17" t="str"/>
      <x:c r="H18" s="31"/>
      <x:c r="I18" s="30" t="str">
        <x:v>https://www.topuniversities.com/universities/stanford-university</x:v>
      </x:c>
      <x:c r="J18" s="30" t="str"/>
    </x:row>
    <x:row r="19">
      <x:c r="A19" s="17" t="n">
        <x:v>15</x:v>
      </x:c>
      <x:c r="B19" s="17" t="str">
        <x:v>University of Oxford</x:v>
      </x:c>
      <x:c r="C19" s="17" t="str">
        <x:v>United Kingdom</x:v>
      </x:c>
      <x:c r="D19" s="17" t="str">
        <x:v>QS Sustainability</x:v>
      </x:c>
      <x:c r="E19" s="17" t="str">
        <x:v>14</x:v>
      </x:c>
      <x:c r="F19" s="31" t="n">
        <x:v>97.7</x:v>
      </x:c>
      <x:c r="G19" s="17" t="str"/>
      <x:c r="H19" s="31"/>
      <x:c r="I19" s="30" t="str">
        <x:v>https://www.topuniversities.com/universities/university-oxford</x:v>
      </x:c>
      <x:c r="J19" s="30" t="str"/>
    </x:row>
    <x:row r="20">
      <x:c r="A20" s="17" t="n">
        <x:v>16</x:v>
      </x:c>
      <x:c r="B20" s="17" t="str">
        <x:v>The University of Sydney</x:v>
      </x:c>
      <x:c r="C20" s="17" t="str">
        <x:v>Australia</x:v>
      </x:c>
      <x:c r="D20" s="17" t="str">
        <x:v>QS Sustainability</x:v>
      </x:c>
      <x:c r="E20" s="17" t="str">
        <x:v>15</x:v>
      </x:c>
      <x:c r="F20" s="31" t="n">
        <x:v>97.3</x:v>
      </x:c>
      <x:c r="G20" s="17" t="str"/>
      <x:c r="H20" s="31"/>
      <x:c r="I20" s="30" t="str">
        <x:v>https://www.topuniversities.com/universities/university-sydney</x:v>
      </x:c>
      <x:c r="J20" s="30" t="str"/>
    </x:row>
    <x:row r="21">
      <x:c r="A21" s="17" t="n">
        <x:v>17</x:v>
      </x:c>
      <x:c r="B21" s="17" t="str">
        <x:v>Australian National University (ANU)</x:v>
      </x:c>
      <x:c r="C21" s="17" t="str">
        <x:v>Australia</x:v>
      </x:c>
      <x:c r="D21" s="17" t="str">
        <x:v>QS Sustainability</x:v>
      </x:c>
      <x:c r="E21" s="17" t="n">
        <x:f>16</x:f>
        <x:v>16</x:v>
      </x:c>
      <x:c r="F21" s="31" t="n">
        <x:v>97.2</x:v>
      </x:c>
      <x:c r="G21" s="17" t="str"/>
      <x:c r="H21" s="31"/>
      <x:c r="I21" s="30" t="str">
        <x:v>https://www.topuniversities.com/universities/australian-national-university-anu</x:v>
      </x:c>
      <x:c r="J21" s="30" t="str"/>
    </x:row>
    <x:row r="22">
      <x:c r="A22" s="17" t="n">
        <x:v>18</x:v>
      </x:c>
      <x:c r="B22" s="17" t="str">
        <x:v>King's College London</x:v>
      </x:c>
      <x:c r="C22" s="17" t="str">
        <x:v>United Kingdom</x:v>
      </x:c>
      <x:c r="D22" s="17" t="str">
        <x:v>QS Sustainability</x:v>
      </x:c>
      <x:c r="E22" s="17" t="n">
        <x:f>16</x:f>
        <x:v>16</x:v>
      </x:c>
      <x:c r="F22" s="31" t="n">
        <x:v>97.2</x:v>
      </x:c>
      <x:c r="G22" s="17" t="str"/>
      <x:c r="H22" s="31"/>
      <x:c r="I22" s="30" t="str">
        <x:v>https://www.topuniversities.com/universities/kings-college-london</x:v>
      </x:c>
      <x:c r="J22" s="30" t="str"/>
    </x:row>
    <x:row r="23">
      <x:c r="A23" s="17" t="n">
        <x:v>19</x:v>
      </x:c>
      <x:c r="B23" s="17" t="str">
        <x:v>University of Bristol</x:v>
      </x:c>
      <x:c r="C23" s="17" t="str">
        <x:v>United Kingdom</x:v>
      </x:c>
      <x:c r="D23" s="17" t="str">
        <x:v>QS Sustainability</x:v>
      </x:c>
      <x:c r="E23" s="17" t="str">
        <x:v>19</x:v>
      </x:c>
      <x:c r="F23" s="31" t="n">
        <x:v>96.9</x:v>
      </x:c>
      <x:c r="G23" s="17" t="str"/>
      <x:c r="H23" s="31"/>
      <x:c r="I23" s="30" t="str">
        <x:v>https://www.topuniversities.com/universities/university-bristol</x:v>
      </x:c>
      <x:c r="J23" s="30" t="str"/>
    </x:row>
    <x:row r="24">
      <x:c r="A24" s="17" t="n">
        <x:v>20</x:v>
      </x:c>
      <x:c r="B24" s="17" t="str">
        <x:v>New York University (NYU)</x:v>
      </x:c>
      <x:c r="C24" s="17" t="str">
        <x:v>United States</x:v>
      </x:c>
      <x:c r="D24" s="17" t="str">
        <x:v>QS Sustainability</x:v>
      </x:c>
      <x:c r="E24" s="17" t="str">
        <x:v>20</x:v>
      </x:c>
      <x:c r="F24" s="31" t="n">
        <x:v>96.3</x:v>
      </x:c>
      <x:c r="G24" s="17" t="str"/>
      <x:c r="H24" s="31"/>
      <x:c r="I24" s="30" t="str">
        <x:v>https://www.topuniversities.com/universities/new-york-university-nyu</x:v>
      </x:c>
      <x:c r="J24" s="30" t="str"/>
    </x:row>
    <x:row r="25">
      <x:c r="A25" s="17" t="n">
        <x:v>21</x:v>
      </x:c>
      <x:c r="B25" s="17" t="str">
        <x:v>Pennsylvania State University</x:v>
      </x:c>
      <x:c r="C25" s="17" t="str">
        <x:v>United States</x:v>
      </x:c>
      <x:c r="D25" s="17" t="str">
        <x:v>QS Sustainability</x:v>
      </x:c>
      <x:c r="E25" s="17" t="str">
        <x:v>21</x:v>
      </x:c>
      <x:c r="F25" s="31" t="n">
        <x:v>96.1</x:v>
      </x:c>
      <x:c r="G25" s="17" t="str"/>
      <x:c r="H25" s="31"/>
      <x:c r="I25" s="30" t="str">
        <x:v>https://www.topuniversities.com/universities/pennsylvania-state-university</x:v>
      </x:c>
      <x:c r="J25" s="30" t="str"/>
    </x:row>
    <x:row r="26">
      <x:c r="A26" s="17" t="n">
        <x:v>22</x:v>
      </x:c>
      <x:c r="B26" s="17" t="str">
        <x:v>KU Leuven</x:v>
      </x:c>
      <x:c r="C26" s="17" t="str">
        <x:v>Belgium</x:v>
      </x:c>
      <x:c r="D26" s="17" t="str">
        <x:v>QS Sustainability</x:v>
      </x:c>
      <x:c r="E26" s="17" t="n">
        <x:f>22</x:f>
        <x:v>22</x:v>
      </x:c>
      <x:c r="F26" s="31" t="n">
        <x:v>95.9</x:v>
      </x:c>
      <x:c r="G26" s="17" t="str"/>
      <x:c r="H26" s="31"/>
      <x:c r="I26" s="30" t="str">
        <x:v>https://www.topuniversities.com/universities/ku-leuven</x:v>
      </x:c>
      <x:c r="J26" s="30" t="str"/>
    </x:row>
    <x:row r="27">
      <x:c r="A27" s="17" t="n">
        <x:v>23</x:v>
      </x:c>
      <x:c r="B27" s="17" t="str">
        <x:v>University of Helsinki</x:v>
      </x:c>
      <x:c r="C27" s="17" t="str">
        <x:v>Finland</x:v>
      </x:c>
      <x:c r="D27" s="17" t="str">
        <x:v>QS Sustainability</x:v>
      </x:c>
      <x:c r="E27" s="17" t="n">
        <x:f>22</x:f>
        <x:v>22</x:v>
      </x:c>
      <x:c r="F27" s="31" t="n">
        <x:v>95.9</x:v>
      </x:c>
      <x:c r="G27" s="17" t="str"/>
      <x:c r="H27" s="31"/>
      <x:c r="I27" s="30" t="str">
        <x:v>https://www.topuniversities.com/universities/university-helsinki</x:v>
      </x:c>
      <x:c r="J27" s="30" t="str"/>
    </x:row>
    <x:row r="28">
      <x:c r="A28" s="17" t="n">
        <x:v>24</x:v>
      </x:c>
      <x:c r="B28" s="17" t="str">
        <x:v>Durham University</x:v>
      </x:c>
      <x:c r="C28" s="17" t="str">
        <x:v>United Kingdom</x:v>
      </x:c>
      <x:c r="D28" s="17" t="str">
        <x:v>QS Sustainability</x:v>
      </x:c>
      <x:c r="E28" s="17" t="n">
        <x:f>24</x:f>
        <x:v>24</x:v>
      </x:c>
      <x:c r="F28" s="31" t="n">
        <x:v>95.8</x:v>
      </x:c>
      <x:c r="G28" s="17" t="str"/>
      <x:c r="H28" s="31"/>
      <x:c r="I28" s="30" t="str">
        <x:v>https://www.topuniversities.com/universities/durham-university</x:v>
      </x:c>
      <x:c r="J28" s="30" t="str"/>
    </x:row>
    <x:row r="29">
      <x:c r="A29" s="17" t="n">
        <x:v>25</x:v>
      </x:c>
      <x:c r="B29" s="17" t="str">
        <x:v>University of Leeds</x:v>
      </x:c>
      <x:c r="C29" s="17" t="str">
        <x:v>United Kingdom</x:v>
      </x:c>
      <x:c r="D29" s="17" t="str">
        <x:v>QS Sustainability</x:v>
      </x:c>
      <x:c r="E29" s="17" t="n">
        <x:f>24</x:f>
        <x:v>24</x:v>
      </x:c>
      <x:c r="F29" s="31" t="n">
        <x:v>95.8</x:v>
      </x:c>
      <x:c r="G29" s="17" t="str"/>
      <x:c r="H29" s="31"/>
      <x:c r="I29" s="30" t="str">
        <x:v>https://www.topuniversities.com/universities/university-leeds</x:v>
      </x:c>
      <x:c r="J29" s="30" t="str"/>
    </x:row>
    <x:row r="30">
      <x:c r="A30" s="17" t="n">
        <x:v>26</x:v>
      </x:c>
      <x:c r="B30" s="17" t="str">
        <x:v>Western University</x:v>
      </x:c>
      <x:c r="C30" s="17" t="str">
        <x:v>Canada</x:v>
      </x:c>
      <x:c r="D30" s="17" t="str">
        <x:v>Both</x:v>
      </x:c>
      <x:c r="E30" s="17" t="n">
        <x:f>24</x:f>
        <x:v>24</x:v>
      </x:c>
      <x:c r="F30" s="31" t="n">
        <x:v>95.8</x:v>
      </x:c>
      <x:c r="G30" s="17" t="n">
        <x:f>12</x:f>
        <x:v>12</x:v>
      </x:c>
      <x:c r="H30" s="31" t="n">
        <x:v>95.9</x:v>
      </x:c>
      <x:c r="I30" s="30" t="str">
        <x:v>https://www.topuniversities.com/universities/western-university</x:v>
      </x:c>
      <x:c r="J30" s="30" t="str">
        <x:v>https://www.timeshighereducation.com/world-university-rankings/western-university</x:v>
      </x:c>
    </x:row>
    <x:row r="31">
      <x:c r="A31" s="17" t="n">
        <x:v>27</x:v>
      </x:c>
      <x:c r="B31" s="17" t="str">
        <x:v>University of Glasgow</x:v>
      </x:c>
      <x:c r="C31" s="17" t="str">
        <x:v>United Kingdom</x:v>
      </x:c>
      <x:c r="D31" s="17" t="str">
        <x:v>Both</x:v>
      </x:c>
      <x:c r="E31" s="17" t="str">
        <x:v>27</x:v>
      </x:c>
      <x:c r="F31" s="31" t="n">
        <x:v>95.7</x:v>
      </x:c>
      <x:c r="G31" s="17" t="str">
        <x:v>14</x:v>
      </x:c>
      <x:c r="H31" s="31" t="n">
        <x:v>95.8</x:v>
      </x:c>
      <x:c r="I31" s="30" t="str">
        <x:v>https://www.topuniversities.com/universities/university-glasgow</x:v>
      </x:c>
      <x:c r="J31" s="30" t="str">
        <x:v>https://www.timeshighereducation.com/world-university-rankings/university-glasgow</x:v>
      </x:c>
    </x:row>
    <x:row r="32">
      <x:c r="A32" s="17" t="n">
        <x:v>28</x:v>
      </x:c>
      <x:c r="B32" s="17" t="str">
        <x:v>The University of Auckland</x:v>
      </x:c>
      <x:c r="C32" s="17" t="str">
        <x:v>New Zealand</x:v>
      </x:c>
      <x:c r="D32" s="17" t="str">
        <x:v>QS Sustainability</x:v>
      </x:c>
      <x:c r="E32" s="17" t="str">
        <x:v>28</x:v>
      </x:c>
      <x:c r="F32" s="31" t="n">
        <x:v>95.5</x:v>
      </x:c>
      <x:c r="G32" s="17" t="str"/>
      <x:c r="H32" s="31"/>
      <x:c r="I32" s="30" t="str">
        <x:v>https://www.topuniversities.com/universities/university-auckland</x:v>
      </x:c>
      <x:c r="J32" s="30" t="str"/>
    </x:row>
    <x:row r="33">
      <x:c r="A33" s="17" t="n">
        <x:v>29</x:v>
      </x:c>
      <x:c r="B33" s="17" t="str">
        <x:v>Trinity College Dublin, The University of Dublin</x:v>
      </x:c>
      <x:c r="C33" s="17" t="str">
        <x:v>Ireland</x:v>
      </x:c>
      <x:c r="D33" s="17" t="str">
        <x:v>QS Sustainability</x:v>
      </x:c>
      <x:c r="E33" s="17" t="str">
        <x:v>29</x:v>
      </x:c>
      <x:c r="F33" s="31" t="n">
        <x:v>95.4</x:v>
      </x:c>
      <x:c r="G33" s="17" t="str"/>
      <x:c r="H33" s="31"/>
      <x:c r="I33" s="30" t="str">
        <x:v>https://www.topuniversities.com/universities/trinity-college-dublin-university-dublin</x:v>
      </x:c>
      <x:c r="J33" s="30" t="str"/>
    </x:row>
    <x:row r="34">
      <x:c r="A34" s="17" t="n">
        <x:v>30</x:v>
      </x:c>
      <x:c r="B34" s="17" t="str">
        <x:v>University of Pennsylvania</x:v>
      </x:c>
      <x:c r="C34" s="17" t="str">
        <x:v>United States</x:v>
      </x:c>
      <x:c r="D34" s="17" t="str">
        <x:v>QS Sustainability</x:v>
      </x:c>
      <x:c r="E34" s="17" t="n">
        <x:f>30</x:f>
        <x:v>30</x:v>
      </x:c>
      <x:c r="F34" s="31" t="n">
        <x:v>95.3</x:v>
      </x:c>
      <x:c r="G34" s="17" t="str"/>
      <x:c r="H34" s="31"/>
      <x:c r="I34" s="30" t="str">
        <x:v>https://www.topuniversities.com/universities/university-pennsylvania</x:v>
      </x:c>
      <x:c r="J34" s="30" t="str"/>
    </x:row>
    <x:row r="35">
      <x:c r="A35" s="17" t="n">
        <x:v>31</x:v>
      </x:c>
      <x:c r="B35" s="17" t="str">
        <x:v>University of Reading</x:v>
      </x:c>
      <x:c r="C35" s="17" t="str">
        <x:v>United Kingdom</x:v>
      </x:c>
      <x:c r="D35" s="17" t="str">
        <x:v>QS Sustainability</x:v>
      </x:c>
      <x:c r="E35" s="17" t="n">
        <x:f>30</x:f>
        <x:v>30</x:v>
      </x:c>
      <x:c r="F35" s="31" t="n">
        <x:v>95.3</x:v>
      </x:c>
      <x:c r="G35" s="17" t="str"/>
      <x:c r="H35" s="31"/>
      <x:c r="I35" s="30" t="str">
        <x:v>https://www.topuniversities.com/universities/university-reading</x:v>
      </x:c>
      <x:c r="J35" s="30" t="str"/>
    </x:row>
    <x:row r="36">
      <x:c r="A36" s="17" t="n">
        <x:v>32</x:v>
      </x:c>
      <x:c r="B36" s="17" t="str">
        <x:v>Uppsala University</x:v>
      </x:c>
      <x:c r="C36" s="17" t="str">
        <x:v>Sweden</x:v>
      </x:c>
      <x:c r="D36" s="17" t="str">
        <x:v>QS Sustainability</x:v>
      </x:c>
      <x:c r="E36" s="17" t="str">
        <x:v>32</x:v>
      </x:c>
      <x:c r="F36" s="31" t="n">
        <x:v>95.1</x:v>
      </x:c>
      <x:c r="G36" s="17" t="str"/>
      <x:c r="H36" s="31"/>
      <x:c r="I36" s="30" t="str">
        <x:v>https://www.topuniversities.com/universities/uppsala-university</x:v>
      </x:c>
      <x:c r="J36" s="30" t="str"/>
    </x:row>
    <x:row r="37">
      <x:c r="A37" s="17" t="n">
        <x:v>33</x:v>
      </x:c>
      <x:c r="B37" s="17" t="str">
        <x:v>Ghent University</x:v>
      </x:c>
      <x:c r="C37" s="17" t="str">
        <x:v>Belgium</x:v>
      </x:c>
      <x:c r="D37" s="17" t="str">
        <x:v>QS Sustainability</x:v>
      </x:c>
      <x:c r="E37" s="17" t="n">
        <x:f>33</x:f>
        <x:v>33</x:v>
      </x:c>
      <x:c r="F37" s="31" t="n">
        <x:v>94.9</x:v>
      </x:c>
      <x:c r="G37" s="17" t="str"/>
      <x:c r="H37" s="31"/>
      <x:c r="I37" s="30" t="str">
        <x:v>https://www.topuniversities.com/universities/ghent-university</x:v>
      </x:c>
      <x:c r="J37" s="30" t="str"/>
    </x:row>
    <x:row r="38">
      <x:c r="A38" s="17" t="n">
        <x:v>34</x:v>
      </x:c>
      <x:c r="B38" s="17" t="str">
        <x:v>The University of Sheffield</x:v>
      </x:c>
      <x:c r="C38" s="17" t="str">
        <x:v>United Kingdom</x:v>
      </x:c>
      <x:c r="D38" s="17" t="str">
        <x:v>QS Sustainability</x:v>
      </x:c>
      <x:c r="E38" s="17" t="n">
        <x:f>33</x:f>
        <x:v>33</x:v>
      </x:c>
      <x:c r="F38" s="31" t="n">
        <x:v>94.9</x:v>
      </x:c>
      <x:c r="G38" s="17" t="str"/>
      <x:c r="H38" s="31"/>
      <x:c r="I38" s="30" t="str">
        <x:v>https://www.topuniversities.com/universities/university-sheffield</x:v>
      </x:c>
      <x:c r="J38" s="30" t="str"/>
    </x:row>
    <x:row r="39">
      <x:c r="A39" s="17" t="n">
        <x:v>35</x:v>
      </x:c>
      <x:c r="B39" s="17" t="str">
        <x:v>Delft University of Technology</x:v>
      </x:c>
      <x:c r="C39" s="17" t="str">
        <x:v>Netherlands</x:v>
      </x:c>
      <x:c r="D39" s="17" t="str">
        <x:v>QS Sustainability</x:v>
      </x:c>
      <x:c r="E39" s="17" t="n">
        <x:f>35</x:f>
        <x:v>35</x:v>
      </x:c>
      <x:c r="F39" s="31" t="n">
        <x:v>94.8</x:v>
      </x:c>
      <x:c r="G39" s="17" t="str"/>
      <x:c r="H39" s="31"/>
      <x:c r="I39" s="30" t="str">
        <x:v>https://www.topuniversities.com/universities/delft-university-technology</x:v>
      </x:c>
      <x:c r="J39" s="30" t="str"/>
    </x:row>
    <x:row r="40">
      <x:c r="A40" s="17" t="n">
        <x:v>36</x:v>
      </x:c>
      <x:c r="B40" s="17" t="str">
        <x:v>Michigan State University</x:v>
      </x:c>
      <x:c r="C40" s="17" t="str">
        <x:v>United States</x:v>
      </x:c>
      <x:c r="D40" s="17" t="str">
        <x:v>QS Sustainability</x:v>
      </x:c>
      <x:c r="E40" s="17" t="n">
        <x:f>35</x:f>
        <x:v>35</x:v>
      </x:c>
      <x:c r="F40" s="31" t="n">
        <x:v>94.8</x:v>
      </x:c>
      <x:c r="G40" s="17" t="str"/>
      <x:c r="H40" s="31"/>
      <x:c r="I40" s="30" t="str">
        <x:v>https://www.topuniversities.com/universities/michigan-state-university</x:v>
      </x:c>
      <x:c r="J40" s="30" t="str"/>
    </x:row>
    <x:row r="41">
      <x:c r="A41" s="17" t="n">
        <x:v>37</x:v>
      </x:c>
      <x:c r="B41" s="17" t="str">
        <x:v>Monash University</x:v>
      </x:c>
      <x:c r="C41" s="17" t="str">
        <x:v>Australia</x:v>
      </x:c>
      <x:c r="D41" s="17" t="str">
        <x:v>QS Sustainability</x:v>
      </x:c>
      <x:c r="E41" s="17" t="str">
        <x:v>37</x:v>
      </x:c>
      <x:c r="F41" s="31" t="n">
        <x:v>94.6</x:v>
      </x:c>
      <x:c r="G41" s="17" t="str"/>
      <x:c r="H41" s="31"/>
      <x:c r="I41" s="30" t="str">
        <x:v>https://www.topuniversities.com/universities/monash-university</x:v>
      </x:c>
      <x:c r="J41" s="30" t="str"/>
    </x:row>
    <x:row r="42">
      <x:c r="A42" s="17" t="n">
        <x:v>38</x:v>
      </x:c>
      <x:c r="B42" s="17" t="str">
        <x:v>Seoul National University</x:v>
      </x:c>
      <x:c r="C42" s="17" t="str">
        <x:v>South Korea</x:v>
      </x:c>
      <x:c r="D42" s="17" t="str">
        <x:v>QS Sustainability</x:v>
      </x:c>
      <x:c r="E42" s="17" t="n">
        <x:f>37</x:f>
        <x:v>37</x:v>
      </x:c>
      <x:c r="F42" s="31" t="n">
        <x:v>94.5</x:v>
      </x:c>
      <x:c r="G42" s="17" t="str"/>
      <x:c r="H42" s="31"/>
      <x:c r="I42" s="30" t="str">
        <x:v>https://www.topuniversities.com/universities/seoul-national-university</x:v>
      </x:c>
      <x:c r="J42" s="30" t="str"/>
    </x:row>
    <x:row r="43">
      <x:c r="A43" s="17" t="n">
        <x:v>39</x:v>
      </x:c>
      <x:c r="B43" s="17" t="str">
        <x:v>University of Nottingham</x:v>
      </x:c>
      <x:c r="C43" s="17" t="str">
        <x:v>United Kingdom</x:v>
      </x:c>
      <x:c r="D43" s="17" t="str">
        <x:v>QS Sustainability</x:v>
      </x:c>
      <x:c r="E43" s="17" t="n">
        <x:f>37</x:f>
        <x:v>37</x:v>
      </x:c>
      <x:c r="F43" s="31" t="n">
        <x:v>94.5</x:v>
      </x:c>
      <x:c r="G43" s="17" t="str"/>
      <x:c r="H43" s="31"/>
      <x:c r="I43" s="30" t="str">
        <x:v>https://www.topuniversities.com/universities/university-nottingham</x:v>
      </x:c>
      <x:c r="J43" s="30" t="str"/>
    </x:row>
    <x:row r="44">
      <x:c r="A44" s="17" t="n">
        <x:v>40</x:v>
      </x:c>
      <x:c r="B44" s="17" t="str">
        <x:v>University of York</x:v>
      </x:c>
      <x:c r="C44" s="17" t="str">
        <x:v>United Kingdom</x:v>
      </x:c>
      <x:c r="D44" s="17" t="str">
        <x:v>QS Sustainability</x:v>
      </x:c>
      <x:c r="E44" s="17" t="str">
        <x:v>39</x:v>
      </x:c>
      <x:c r="F44" s="31" t="n">
        <x:v>94.2</x:v>
      </x:c>
      <x:c r="G44" s="17" t="str"/>
      <x:c r="H44" s="31"/>
      <x:c r="I44" s="30" t="str">
        <x:v>https://www.topuniversities.com/universities/university-york</x:v>
      </x:c>
      <x:c r="J44" s="30" t="str"/>
    </x:row>
    <x:row r="45">
      <x:c r="A45" s="17" t="n">
        <x:v>41</x:v>
      </x:c>
      <x:c r="B45" s="17" t="str">
        <x:v>Boston University</x:v>
      </x:c>
      <x:c r="C45" s="17" t="str">
        <x:v>United States</x:v>
      </x:c>
      <x:c r="D45" s="17" t="str">
        <x:v>QS Sustainability</x:v>
      </x:c>
      <x:c r="E45" s="17" t="str">
        <x:v>40</x:v>
      </x:c>
      <x:c r="F45" s="31" t="n">
        <x:v>94.1</x:v>
      </x:c>
      <x:c r="G45" s="17" t="str"/>
      <x:c r="H45" s="31"/>
      <x:c r="I45" s="30" t="str">
        <x:v>https://www.topuniversities.com/universities/boston-university</x:v>
      </x:c>
      <x:c r="J45" s="30" t="str"/>
    </x:row>
    <x:row r="46">
      <x:c r="A46" s="17" t="n">
        <x:v>42</x:v>
      </x:c>
      <x:c r="B46" s="17" t="str">
        <x:v>Johns Hopkins University</x:v>
      </x:c>
      <x:c r="C46" s="17" t="str">
        <x:v>United States</x:v>
      </x:c>
      <x:c r="D46" s="17" t="str">
        <x:v>QS Sustainability</x:v>
      </x:c>
      <x:c r="E46" s="17" t="n">
        <x:f>41</x:f>
        <x:v>41</x:v>
      </x:c>
      <x:c r="F46" s="31" t="n">
        <x:v>94</x:v>
      </x:c>
      <x:c r="G46" s="17" t="str"/>
      <x:c r="H46" s="31"/>
      <x:c r="I46" s="30" t="str">
        <x:v>https://www.topuniversities.com/universities/johns-hopkins-university</x:v>
      </x:c>
      <x:c r="J46" s="30" t="str"/>
    </x:row>
    <x:row r="47">
      <x:c r="A47" s="17" t="n">
        <x:v>43</x:v>
      </x:c>
      <x:c r="B47" s="17" t="str">
        <x:v>Massachusetts Institute of Technology (MIT)</x:v>
      </x:c>
      <x:c r="C47" s="17" t="str">
        <x:v>United States</x:v>
      </x:c>
      <x:c r="D47" s="17" t="str">
        <x:v>QS Sustainability</x:v>
      </x:c>
      <x:c r="E47" s="17" t="n">
        <x:f>43</x:f>
        <x:v>43</x:v>
      </x:c>
      <x:c r="F47" s="31" t="n">
        <x:v>93.9</x:v>
      </x:c>
      <x:c r="G47" s="17" t="str"/>
      <x:c r="H47" s="31"/>
      <x:c r="I47" s="30" t="str">
        <x:v>https://www.topuniversities.com/universities/massachusetts-institute-technology-mit</x:v>
      </x:c>
      <x:c r="J47" s="30" t="str"/>
    </x:row>
    <x:row r="48">
      <x:c r="A48" s="17" t="n">
        <x:v>44</x:v>
      </x:c>
      <x:c r="B48" s="17" t="str">
        <x:v>University of Birmingham</x:v>
      </x:c>
      <x:c r="C48" s="17" t="str">
        <x:v>United Kingdom</x:v>
      </x:c>
      <x:c r="D48" s="17" t="str">
        <x:v>QS Sustainability</x:v>
      </x:c>
      <x:c r="E48" s="17" t="n">
        <x:f>43</x:f>
        <x:v>43</x:v>
      </x:c>
      <x:c r="F48" s="31" t="n">
        <x:v>93.9</x:v>
      </x:c>
      <x:c r="G48" s="17" t="str"/>
      <x:c r="H48" s="31"/>
      <x:c r="I48" s="30" t="str">
        <x:v>https://www.topuniversities.com/universities/university-birmingham</x:v>
      </x:c>
      <x:c r="J48" s="30" t="str"/>
    </x:row>
    <x:row r="49">
      <x:c r="A49" s="17" t="n">
        <x:v>45</x:v>
      </x:c>
      <x:c r="B49" s="17" t="str">
        <x:v>Université Paris-Saclay</x:v>
      </x:c>
      <x:c r="C49" s="17" t="str">
        <x:v>France</x:v>
      </x:c>
      <x:c r="D49" s="17" t="str">
        <x:v>QS Sustainability</x:v>
      </x:c>
      <x:c r="E49" s="17" t="str">
        <x:v>45</x:v>
      </x:c>
      <x:c r="F49" s="31" t="n">
        <x:v>93.8</x:v>
      </x:c>
      <x:c r="G49" s="17" t="str"/>
      <x:c r="H49" s="31"/>
      <x:c r="I49" s="30" t="str">
        <x:v>https://www.topuniversities.com/universities/universite-paris-saclay</x:v>
      </x:c>
      <x:c r="J49" s="30" t="str"/>
    </x:row>
    <x:row r="50">
      <x:c r="A50" s="17" t="n">
        <x:v>46</x:v>
      </x:c>
      <x:c r="B50" s="17" t="str">
        <x:v>Universität Hamburg</x:v>
      </x:c>
      <x:c r="C50" s="17" t="str">
        <x:v>Germany</x:v>
      </x:c>
      <x:c r="D50" s="17" t="str">
        <x:v>QS Sustainability</x:v>
      </x:c>
      <x:c r="E50" s="17" t="str">
        <x:v>46</x:v>
      </x:c>
      <x:c r="F50" s="31" t="n">
        <x:v>93.7</x:v>
      </x:c>
      <x:c r="G50" s="17" t="str"/>
      <x:c r="H50" s="31"/>
      <x:c r="I50" s="30" t="str">
        <x:v>https://www.topuniversities.com/universities/universitat-hamburg</x:v>
      </x:c>
      <x:c r="J50" s="30" t="str"/>
    </x:row>
    <x:row r="51">
      <x:c r="A51" s="17" t="n">
        <x:v>47</x:v>
      </x:c>
      <x:c r="B51" s="17" t="str">
        <x:v>University College Dublin</x:v>
      </x:c>
      <x:c r="C51" s="17" t="str">
        <x:v>Ireland</x:v>
      </x:c>
      <x:c r="D51" s="17" t="str">
        <x:v>QS Sustainability</x:v>
      </x:c>
      <x:c r="E51" s="17" t="str">
        <x:v>47</x:v>
      </x:c>
      <x:c r="F51" s="31" t="n">
        <x:v>93.6</x:v>
      </x:c>
      <x:c r="G51" s="17" t="str"/>
      <x:c r="H51" s="31"/>
      <x:c r="I51" s="30" t="str">
        <x:v>https://www.topuniversities.com/universities/university-college-dublin</x:v>
      </x:c>
      <x:c r="J51" s="30" t="str"/>
    </x:row>
    <x:row r="52">
      <x:c r="A52" s="17" t="n">
        <x:v>48</x:v>
      </x:c>
      <x:c r="B52" s="17" t="str">
        <x:v>The University of Tokyo</x:v>
      </x:c>
      <x:c r="C52" s="17" t="str">
        <x:v>Japan</x:v>
      </x:c>
      <x:c r="D52" s="17" t="str">
        <x:v>QS Sustainability</x:v>
      </x:c>
      <x:c r="E52" s="17" t="n">
        <x:f>48</x:f>
        <x:v>48</x:v>
      </x:c>
      <x:c r="F52" s="31" t="n">
        <x:v>93.5</x:v>
      </x:c>
      <x:c r="G52" s="17" t="str"/>
      <x:c r="H52" s="31"/>
      <x:c r="I52" s="30" t="str">
        <x:v>https://www.topuniversities.com/universities/university-tokyo</x:v>
      </x:c>
      <x:c r="J52" s="30" t="str"/>
    </x:row>
    <x:row r="53">
      <x:c r="A53" s="17" t="n">
        <x:v>49</x:v>
      </x:c>
      <x:c r="B53" s="17" t="str">
        <x:v>University of Exeter</x:v>
      </x:c>
      <x:c r="C53" s="17" t="str">
        <x:v>United Kingdom</x:v>
      </x:c>
      <x:c r="D53" s="17" t="str">
        <x:v>Both</x:v>
      </x:c>
      <x:c r="E53" s="17" t="n">
        <x:f>48</x:f>
        <x:v>48</x:v>
      </x:c>
      <x:c r="F53" s="31" t="n">
        <x:v>93.5</x:v>
      </x:c>
      <x:c r="G53" s="17" t="n">
        <x:f>20</x:f>
        <x:v>20</x:v>
      </x:c>
      <x:c r="H53" s="31" t="n">
        <x:v>95.3</x:v>
      </x:c>
      <x:c r="I53" s="30" t="str">
        <x:v>https://www.topuniversities.com/universities/university-exeter</x:v>
      </x:c>
      <x:c r="J53" s="30" t="str">
        <x:v>https://www.timeshighereducation.com/world-university-rankings/university-exeter</x:v>
      </x:c>
    </x:row>
    <x:row r="54">
      <x:c r="A54" s="17" t="n">
        <x:v>50</x:v>
      </x:c>
      <x:c r="B54" s="17" t="str">
        <x:v>The University of Queensland</x:v>
      </x:c>
      <x:c r="C54" s="17" t="str">
        <x:v>Australia</x:v>
      </x:c>
      <x:c r="D54" s="17" t="str">
        <x:v>QS Sustainability</x:v>
      </x:c>
      <x:c r="E54" s="17" t="n">
        <x:f>50</x:f>
        <x:v>50</x:v>
      </x:c>
      <x:c r="F54" s="31" t="n">
        <x:v>93.3</x:v>
      </x:c>
      <x:c r="G54" s="17" t="str"/>
      <x:c r="H54" s="31"/>
      <x:c r="I54" s="30" t="str">
        <x:v>https://www.topuniversities.com/universities/university-queensland</x:v>
      </x:c>
      <x:c r="J54" s="30" t="str"/>
    </x:row>
    <x:row r="55">
      <x:c r="A55" s="17" t="n">
        <x:v>51</x:v>
      </x:c>
      <x:c r="B55" s="17" t="str">
        <x:v>University of Gothenburg</x:v>
      </x:c>
      <x:c r="C55" s="17" t="str">
        <x:v>Sweden</x:v>
      </x:c>
      <x:c r="D55" s="17" t="str">
        <x:v>QS Sustainability</x:v>
      </x:c>
      <x:c r="E55" s="17" t="n">
        <x:f>50</x:f>
        <x:v>50</x:v>
      </x:c>
      <x:c r="F55" s="31" t="n">
        <x:v>93.3</x:v>
      </x:c>
      <x:c r="G55" s="17" t="str"/>
      <x:c r="H55" s="31"/>
      <x:c r="I55" s="30" t="str">
        <x:v>https://www.topuniversities.com/universities/university-gothenburg</x:v>
      </x:c>
      <x:c r="J55" s="30" t="str"/>
    </x:row>
    <x:row r="56">
      <x:c r="A56" s="17" t="n">
        <x:v>52</x:v>
      </x:c>
      <x:c r="B56" s="17" t="str">
        <x:v>Griffith University</x:v>
      </x:c>
      <x:c r="C56" s="17" t="str">
        <x:v>Australia</x:v>
      </x:c>
      <x:c r="D56" s="17" t="str">
        <x:v>THE Impact</x:v>
      </x:c>
      <x:c r="E56" s="17" t="str"/>
      <x:c r="F56" s="31"/>
      <x:c r="G56" s="17" t="str">
        <x:v>2</x:v>
      </x:c>
      <x:c r="H56" s="31" t="n">
        <x:v>97.9</x:v>
      </x:c>
      <x:c r="I56" s="30" t="str"/>
      <x:c r="J56" s="30" t="str">
        <x:v>https://www.timeshighereducation.com/world-university-rankings/griffith-university</x:v>
      </x:c>
    </x:row>
    <x:row r="57">
      <x:c r="A57" s="17" t="n">
        <x:v>53</x:v>
      </x:c>
      <x:c r="B57" s="17" t="str">
        <x:v>Western Sydney University</x:v>
      </x:c>
      <x:c r="C57" s="17" t="str">
        <x:v>Australia</x:v>
      </x:c>
      <x:c r="D57" s="17" t="str">
        <x:v>THE Impact</x:v>
      </x:c>
      <x:c r="E57" s="17" t="str"/>
      <x:c r="F57" s="31"/>
      <x:c r="G57" s="17" t="str">
        <x:v>3</x:v>
      </x:c>
      <x:c r="H57" s="31" t="n">
        <x:v>97.8</x:v>
      </x:c>
      <x:c r="I57" s="30" t="str"/>
      <x:c r="J57" s="30" t="str">
        <x:v>https://www.timeshighereducation.com/world-university-rankings/western-sydney-university</x:v>
      </x:c>
    </x:row>
    <x:row r="58">
      <x:c r="A58" s="17" t="n">
        <x:v>54</x:v>
      </x:c>
      <x:c r="B58" s="17" t="str">
        <x:v>Queen's University</x:v>
      </x:c>
      <x:c r="C58" s="17" t="str">
        <x:v>Canada</x:v>
      </x:c>
      <x:c r="D58" s="17" t="str">
        <x:v>THE Impact</x:v>
      </x:c>
      <x:c r="E58" s="17" t="str"/>
      <x:c r="F58" s="31"/>
      <x:c r="G58" s="17" t="str">
        <x:v>4</x:v>
      </x:c>
      <x:c r="H58" s="31" t="n">
        <x:v>97.5</x:v>
      </x:c>
      <x:c r="I58" s="30" t="str"/>
      <x:c r="J58" s="30" t="str">
        <x:v>https://www.timeshighereducation.com/world-university-rankings/queens-university</x:v>
      </x:c>
    </x:row>
    <x:row r="59">
      <x:c r="A59" s="17" t="n">
        <x:v>55</x:v>
      </x:c>
      <x:c r="B59" s="17" t="str">
        <x:v>Universiti Sains Malaysia</x:v>
      </x:c>
      <x:c r="C59" s="17" t="str">
        <x:v>Malaysia</x:v>
      </x:c>
      <x:c r="D59" s="17" t="str">
        <x:v>THE Impact</x:v>
      </x:c>
      <x:c r="E59" s="17" t="str"/>
      <x:c r="F59" s="31"/>
      <x:c r="G59" s="17" t="str">
        <x:v>5</x:v>
      </x:c>
      <x:c r="H59" s="31" t="n">
        <x:v>97.3</x:v>
      </x:c>
      <x:c r="I59" s="30" t="str"/>
      <x:c r="J59" s="30" t="str">
        <x:v>https://www.timeshighereducation.com/world-university-rankings/universiti-sains-malaysia</x:v>
      </x:c>
    </x:row>
    <x:row r="60">
      <x:c r="A60" s="17" t="n">
        <x:v>56</x:v>
      </x:c>
      <x:c r="B60" s="17" t="str">
        <x:v>Hanyang University</x:v>
      </x:c>
      <x:c r="C60" s="17" t="str">
        <x:v>South Korea</x:v>
      </x:c>
      <x:c r="D60" s="17" t="str">
        <x:v>THE Impact</x:v>
      </x:c>
      <x:c r="E60" s="17" t="str"/>
      <x:c r="F60" s="31"/>
      <x:c r="G60" s="17" t="str">
        <x:v>6</x:v>
      </x:c>
      <x:c r="H60" s="31" t="n">
        <x:v>96.8</x:v>
      </x:c>
      <x:c r="I60" s="30" t="str"/>
      <x:c r="J60" s="30" t="str">
        <x:v>https://www.timeshighereducation.com/world-university-rankings/hanyang-university</x:v>
      </x:c>
    </x:row>
    <x:row r="61">
      <x:c r="A61" s="17" t="n">
        <x:v>57</x:v>
      </x:c>
      <x:c r="B61" s="17" t="str">
        <x:v>Hokkaido University</x:v>
      </x:c>
      <x:c r="C61" s="17" t="str">
        <x:v>Japan</x:v>
      </x:c>
      <x:c r="D61" s="17" t="str">
        <x:v>THE Impact</x:v>
      </x:c>
      <x:c r="E61" s="17" t="str"/>
      <x:c r="F61" s="31"/>
      <x:c r="G61" s="17" t="n">
        <x:f>7</x:f>
        <x:v>7</x:v>
      </x:c>
      <x:c r="H61" s="31" t="n">
        <x:v>96.3</x:v>
      </x:c>
      <x:c r="I61" s="30" t="str"/>
      <x:c r="J61" s="30" t="str">
        <x:v>https://www.timeshighereducation.com/world-university-rankings/hokkaido-university</x:v>
      </x:c>
    </x:row>
    <x:row r="62">
      <x:c r="A62" s="17" t="n">
        <x:v>58</x:v>
      </x:c>
      <x:c r="B62" s="17" t="str">
        <x:v>Universiti Kebangsaan Malaysia</x:v>
      </x:c>
      <x:c r="C62" s="17" t="str">
        <x:v>Malaysia</x:v>
      </x:c>
      <x:c r="D62" s="17" t="str">
        <x:v>THE Impact</x:v>
      </x:c>
      <x:c r="E62" s="17" t="str"/>
      <x:c r="F62" s="31"/>
      <x:c r="G62" s="17" t="n">
        <x:f>7</x:f>
        <x:v>7</x:v>
      </x:c>
      <x:c r="H62" s="31" t="n">
        <x:v>96.3</x:v>
      </x:c>
      <x:c r="I62" s="30" t="str"/>
      <x:c r="J62" s="30" t="str">
        <x:v>https://www.timeshighereducation.com/world-university-rankings/universiti-kebangsaan-malaysia</x:v>
      </x:c>
    </x:row>
    <x:row r="63">
      <x:c r="A63" s="17" t="n">
        <x:v>59</x:v>
      </x:c>
      <x:c r="B63" s="17" t="str">
        <x:v>Institut Agro</x:v>
      </x:c>
      <x:c r="C63" s="17" t="str">
        <x:v>France</x:v>
      </x:c>
      <x:c r="D63" s="17" t="str">
        <x:v>THE Impact</x:v>
      </x:c>
      <x:c r="E63" s="17" t="str"/>
      <x:c r="F63" s="31"/>
      <x:c r="G63" s="17" t="str">
        <x:v>9</x:v>
      </x:c>
      <x:c r="H63" s="31" t="n">
        <x:v>96.1</x:v>
      </x:c>
      <x:c r="I63" s="30" t="str"/>
      <x:c r="J63" s="30" t="str">
        <x:v>https://www.timeshighereducation.com/world-university-rankings/institut-agro</x:v>
      </x:c>
    </x:row>
    <x:row r="64">
      <x:c r="A64" s="17" t="n">
        <x:v>60</x:v>
      </x:c>
      <x:c r="B64" s="17" t="str">
        <x:v>National Taiwan University (NTU)</x:v>
      </x:c>
      <x:c r="C64" s="17" t="str">
        <x:v>Taiwan</x:v>
      </x:c>
      <x:c r="D64" s="17" t="str">
        <x:v>THE Impact</x:v>
      </x:c>
      <x:c r="E64" s="17" t="str"/>
      <x:c r="F64" s="31"/>
      <x:c r="G64" s="17" t="n">
        <x:f>10</x:f>
        <x:v>10</x:v>
      </x:c>
      <x:c r="H64" s="31" t="n">
        <x:v>96</x:v>
      </x:c>
      <x:c r="I64" s="30" t="str"/>
      <x:c r="J64" s="30" t="str">
        <x:v>https://www.timeshighereducation.com/world-university-rankings/national-taiwan-university-ntu</x:v>
      </x:c>
    </x:row>
    <x:row r="65">
      <x:c r="A65" s="17" t="n">
        <x:v>61</x:v>
      </x:c>
      <x:c r="B65" s="17" t="str">
        <x:v>University of Alberta</x:v>
      </x:c>
      <x:c r="C65" s="17" t="str">
        <x:v>Canada</x:v>
      </x:c>
      <x:c r="D65" s="17" t="str">
        <x:v>THE Impact</x:v>
      </x:c>
      <x:c r="E65" s="17" t="str"/>
      <x:c r="F65" s="31"/>
      <x:c r="G65" s="17" t="n">
        <x:f>10</x:f>
        <x:v>10</x:v>
      </x:c>
      <x:c r="H65" s="31" t="n">
        <x:v>96</x:v>
      </x:c>
      <x:c r="I65" s="30" t="str"/>
      <x:c r="J65" s="30" t="str">
        <x:v>https://www.timeshighereducation.com/world-university-rankings/university-alberta</x:v>
      </x:c>
    </x:row>
    <x:row r="66">
      <x:c r="A66" s="17" t="n">
        <x:v>62</x:v>
      </x:c>
      <x:c r="B66" s="17" t="str">
        <x:v>Korea University</x:v>
      </x:c>
      <x:c r="C66" s="17" t="str">
        <x:v>South Korea</x:v>
      </x:c>
      <x:c r="D66" s="17" t="str">
        <x:v>THE Impact</x:v>
      </x:c>
      <x:c r="E66" s="17" t="str"/>
      <x:c r="F66" s="31"/>
      <x:c r="G66" s="17" t="n">
        <x:f>12</x:f>
        <x:v>12</x:v>
      </x:c>
      <x:c r="H66" s="31" t="n">
        <x:v>95.9</x:v>
      </x:c>
      <x:c r="I66" s="30" t="str"/>
      <x:c r="J66" s="30" t="str">
        <x:v>https://www.timeshighereducation.com/world-university-rankings/korea-university</x:v>
      </x:c>
    </x:row>
    <x:row r="67">
      <x:c r="A67" s="17" t="n">
        <x:v>63</x:v>
      </x:c>
      <x:c r="B67" s="17" t="str">
        <x:v>Universitas Airlangga</x:v>
      </x:c>
      <x:c r="C67" s="17" t="str">
        <x:v>Indonesia</x:v>
      </x:c>
      <x:c r="D67" s="17" t="str">
        <x:v>THE Impact</x:v>
      </x:c>
      <x:c r="E67" s="17" t="str"/>
      <x:c r="F67" s="31"/>
      <x:c r="G67" s="17" t="str">
        <x:v>15</x:v>
      </x:c>
      <x:c r="H67" s="31" t="n">
        <x:v>95.7</x:v>
      </x:c>
      <x:c r="I67" s="30" t="str"/>
      <x:c r="J67" s="30" t="str">
        <x:v>https://www.timeshighereducation.com/world-university-rankings/universitas-airlangga</x:v>
      </x:c>
    </x:row>
    <x:row r="68">
      <x:c r="A68" s="17" t="n">
        <x:v>64</x:v>
      </x:c>
      <x:c r="B68" s="17" t="str">
        <x:v>Pusan National University</x:v>
      </x:c>
      <x:c r="C68" s="17" t="str">
        <x:v>South Korea</x:v>
      </x:c>
      <x:c r="D68" s="17" t="str">
        <x:v>THE Impact</x:v>
      </x:c>
      <x:c r="E68" s="17" t="str"/>
      <x:c r="F68" s="31"/>
      <x:c r="G68" s="17" t="n">
        <x:f>16</x:f>
        <x:v>16</x:v>
      </x:c>
      <x:c r="H68" s="31" t="n">
        <x:v>95.6</x:v>
      </x:c>
      <x:c r="I68" s="30" t="str"/>
      <x:c r="J68" s="30" t="str">
        <x:v>https://www.timeshighereducation.com/world-university-rankings/pusan-national-university</x:v>
      </x:c>
    </x:row>
    <x:row r="69">
      <x:c r="A69" s="17" t="n">
        <x:v>65</x:v>
      </x:c>
      <x:c r="B69" s="17" t="str">
        <x:v>University of Tasmania</x:v>
      </x:c>
      <x:c r="C69" s="17" t="str">
        <x:v>Australia</x:v>
      </x:c>
      <x:c r="D69" s="17" t="str">
        <x:v>THE Impact</x:v>
      </x:c>
      <x:c r="E69" s="17" t="str"/>
      <x:c r="F69" s="31"/>
      <x:c r="G69" s="17" t="n">
        <x:f>16</x:f>
        <x:v>16</x:v>
      </x:c>
      <x:c r="H69" s="31" t="n">
        <x:v>95.6</x:v>
      </x:c>
      <x:c r="I69" s="30" t="str"/>
      <x:c r="J69" s="30" t="str">
        <x:v>https://www.timeshighereducation.com/world-university-rankings/university-tasmania</x:v>
      </x:c>
    </x:row>
    <x:row r="70">
      <x:c r="A70" s="17" t="n">
        <x:v>66</x:v>
      </x:c>
      <x:c r="B70" s="17" t="str">
        <x:v>McMaster University</x:v>
      </x:c>
      <x:c r="C70" s="17" t="str">
        <x:v>Canada</x:v>
      </x:c>
      <x:c r="D70" s="17" t="str">
        <x:v>THE Impact</x:v>
      </x:c>
      <x:c r="E70" s="17" t="str"/>
      <x:c r="F70" s="31"/>
      <x:c r="G70" s="17" t="str">
        <x:v>18</x:v>
      </x:c>
      <x:c r="H70" s="31" t="n">
        <x:v>95.5</x:v>
      </x:c>
      <x:c r="I70" s="30" t="str"/>
      <x:c r="J70" s="30" t="str">
        <x:v>https://www.timeshighereducation.com/world-university-rankings/mcmaster-university</x:v>
      </x:c>
    </x:row>
    <x:row r="71">
      <x:c r="A71" s="17" t="n">
        <x:v>67</x:v>
      </x:c>
      <x:c r="B71" s="17" t="str">
        <x:v>Chulalongkorn University</x:v>
      </x:c>
      <x:c r="C71" s="17" t="str">
        <x:v>Thailand</x:v>
      </x:c>
      <x:c r="D71" s="17" t="str">
        <x:v>THE Impact</x:v>
      </x:c>
      <x:c r="E71" s="17" t="str"/>
      <x:c r="F71" s="31"/>
      <x:c r="G71" s="17" t="str">
        <x:v>19</x:v>
      </x:c>
      <x:c r="H71" s="31" t="n">
        <x:v>95.4</x:v>
      </x:c>
      <x:c r="I71" s="30" t="str"/>
      <x:c r="J71" s="30" t="str">
        <x:v>https://www.timeshighereducation.com/world-university-rankings/chulalongkorn-university</x:v>
      </x:c>
    </x:row>
    <x:row r="72">
      <x:c r="A72" s="17" t="n">
        <x:v>68</x:v>
      </x:c>
      <x:c r="B72" s="17" t="str">
        <x:v>Kyungpook National University (KNU)</x:v>
      </x:c>
      <x:c r="C72" s="17" t="str">
        <x:v>South Korea</x:v>
      </x:c>
      <x:c r="D72" s="17" t="str">
        <x:v>THE Impact</x:v>
      </x:c>
      <x:c r="E72" s="17" t="str"/>
      <x:c r="F72" s="31"/>
      <x:c r="G72" s="17" t="n">
        <x:f>20</x:f>
        <x:v>20</x:v>
      </x:c>
      <x:c r="H72" s="31" t="n">
        <x:v>95.3</x:v>
      </x:c>
      <x:c r="I72" s="30" t="str"/>
      <x:c r="J72" s="30" t="str">
        <x:v>https://www.timeshighereducation.com/world-university-rankings/kyungpook-national-university-knu</x:v>
      </x:c>
    </x:row>
    <x:row r="73">
      <x:c r="A73" s="17" t="n">
        <x:v>69</x:v>
      </x:c>
      <x:c r="B73" s="17" t="str">
        <x:v>The Hong Kong University of Science and Technology</x:v>
      </x:c>
      <x:c r="C73" s="17" t="str">
        <x:v>Hong Kong</x:v>
      </x:c>
      <x:c r="D73" s="17" t="str">
        <x:v>THE Impact</x:v>
      </x:c>
      <x:c r="E73" s="17" t="str"/>
      <x:c r="F73" s="31"/>
      <x:c r="G73" s="17" t="n">
        <x:f>20</x:f>
        <x:v>20</x:v>
      </x:c>
      <x:c r="H73" s="31" t="n">
        <x:v>95.3</x:v>
      </x:c>
      <x:c r="I73" s="30" t="str"/>
      <x:c r="J73" s="30" t="str">
        <x:v>https://www.timeshighereducation.com/world-university-rankings/hong-kong-university-science-and-technology</x:v>
      </x:c>
    </x:row>
    <x:row r="74">
      <x:c r="A74" s="17" t="n">
        <x:v>70</x:v>
      </x:c>
      <x:c r="B74" s="17" t="str">
        <x:v>Lovely Professional University</x:v>
      </x:c>
      <x:c r="C74" s="17" t="str">
        <x:v>India</x:v>
      </x:c>
      <x:c r="D74" s="17" t="str">
        <x:v>THE Impact</x:v>
      </x:c>
      <x:c r="E74" s="17" t="str"/>
      <x:c r="F74" s="31"/>
      <x:c r="G74" s="17" t="str">
        <x:v>23</x:v>
      </x:c>
      <x:c r="H74" s="31" t="n">
        <x:v>95.2</x:v>
      </x:c>
      <x:c r="I74" s="30" t="str"/>
      <x:c r="J74" s="30" t="str">
        <x:v>https://www.timeshighereducation.com/world-university-rankings/lovely-professional-university</x:v>
      </x:c>
    </x:row>
    <x:row r="75">
      <x:c r="A75" s="17" t="n">
        <x:v>71</x:v>
      </x:c>
      <x:c r="B75" s="17" t="str">
        <x:v>University of Malaya</x:v>
      </x:c>
      <x:c r="C75" s="17" t="str">
        <x:v>Malaysia</x:v>
      </x:c>
      <x:c r="D75" s="17" t="str">
        <x:v>THE Impact</x:v>
      </x:c>
      <x:c r="E75" s="17" t="str"/>
      <x:c r="F75" s="31"/>
      <x:c r="G75" s="17" t="str">
        <x:v>24</x:v>
      </x:c>
      <x:c r="H75" s="31" t="n">
        <x:v>95</x:v>
      </x:c>
      <x:c r="I75" s="30" t="str"/>
      <x:c r="J75" s="30" t="str">
        <x:v>https://www.timeshighereducation.com/world-university-rankings/university-malaya</x:v>
      </x:c>
    </x:row>
    <x:row r="76">
      <x:c r="A76" s="17" t="n">
        <x:v>72</x:v>
      </x:c>
      <x:c r="B76" s="17" t="str">
        <x:v>Aalborg University</x:v>
      </x:c>
      <x:c r="C76" s="17" t="str">
        <x:v>Denmark</x:v>
      </x:c>
      <x:c r="D76" s="17" t="str">
        <x:v>THE Impact</x:v>
      </x:c>
      <x:c r="E76" s="17" t="str"/>
      <x:c r="F76" s="31"/>
      <x:c r="G76" s="17" t="str">
        <x:v>25</x:v>
      </x:c>
      <x:c r="H76" s="31" t="n">
        <x:v>94.9</x:v>
      </x:c>
      <x:c r="I76" s="30" t="str"/>
      <x:c r="J76" s="30" t="str">
        <x:v>https://www.timeshighereducation.com/world-university-rankings/aalborg-university</x:v>
      </x:c>
    </x:row>
    <x:row r="77">
      <x:c r="A77" s="17" t="n">
        <x:v>73</x:v>
      </x:c>
      <x:c r="B77" s="17" t="str">
        <x:v>Kyung Hee University</x:v>
      </x:c>
      <x:c r="C77" s="17" t="str">
        <x:v>South Korea</x:v>
      </x:c>
      <x:c r="D77" s="17" t="str">
        <x:v>THE Impact</x:v>
      </x:c>
      <x:c r="E77" s="17" t="str"/>
      <x:c r="F77" s="31"/>
      <x:c r="G77" s="17" t="str">
        <x:v>26</x:v>
      </x:c>
      <x:c r="H77" s="31" t="n">
        <x:v>94.7</x:v>
      </x:c>
      <x:c r="I77" s="30" t="str"/>
      <x:c r="J77" s="30" t="str">
        <x:v>https://www.timeshighereducation.com/world-university-rankings/kyung-hee-university</x:v>
      </x:c>
    </x:row>
    <x:row r="78">
      <x:c r="A78" s="17" t="n">
        <x:v>74</x:v>
      </x:c>
      <x:c r="B78" s="17" t="str">
        <x:v>University of Victoria</x:v>
      </x:c>
      <x:c r="C78" s="17" t="str">
        <x:v>Canada</x:v>
      </x:c>
      <x:c r="D78" s="17" t="str">
        <x:v>THE Impact</x:v>
      </x:c>
      <x:c r="E78" s="17" t="str"/>
      <x:c r="F78" s="31"/>
      <x:c r="G78" s="17" t="str">
        <x:v>27</x:v>
      </x:c>
      <x:c r="H78" s="31" t="n">
        <x:v>94.6</x:v>
      </x:c>
      <x:c r="I78" s="30" t="str"/>
      <x:c r="J78" s="30" t="str">
        <x:v>https://www.timeshighereducation.com/world-university-rankings/university-victoria</x:v>
      </x:c>
    </x:row>
    <x:row r="79">
      <x:c r="A79" s="17" t="n">
        <x:v>76</x:v>
      </x:c>
      <x:c r="B79" s="17" t="str">
        <x:v>Central Queensland University</x:v>
      </x:c>
      <x:c r="C79" s="17" t="str">
        <x:v>Australia</x:v>
      </x:c>
      <x:c r="D79" s="17" t="str">
        <x:v>THE Impact</x:v>
      </x:c>
      <x:c r="E79" s="17" t="str"/>
      <x:c r="F79" s="31"/>
      <x:c r="G79" s="17" t="str">
        <x:v>29</x:v>
      </x:c>
      <x:c r="H79" s="31" t="n">
        <x:v>94.3</x:v>
      </x:c>
      <x:c r="I79" s="30" t="str"/>
      <x:c r="J79" s="30" t="str">
        <x:v>https://www.timeshighereducation.com/world-university-rankings/central-queensland-university</x:v>
      </x:c>
    </x:row>
    <x:row r="80">
      <x:c r="A80" s="17" t="n">
        <x:v>77</x:v>
      </x:c>
      <x:c r="B80" s="17" t="str">
        <x:v>University of Newcastle</x:v>
      </x:c>
      <x:c r="C80" s="17" t="str">
        <x:v>Australia</x:v>
      </x:c>
      <x:c r="D80" s="17" t="str">
        <x:v>THE Impact</x:v>
      </x:c>
      <x:c r="E80" s="17" t="str"/>
      <x:c r="F80" s="31"/>
      <x:c r="G80" s="17" t="str">
        <x:v>30</x:v>
      </x:c>
      <x:c r="H80" s="31" t="n">
        <x:v>94.1</x:v>
      </x:c>
      <x:c r="I80" s="30" t="str"/>
      <x:c r="J80" s="30" t="str">
        <x:v>https://www.timeshighereducation.com/world-university-rankings/university-newcastle</x:v>
      </x:c>
    </x:row>
    <x:row r="81">
      <x:c r="A81" s="17" t="n">
        <x:v>78</x:v>
      </x:c>
      <x:c r="B81" s="17" t="str">
        <x:v>Northumbria University</x:v>
      </x:c>
      <x:c r="C81" s="17" t="str">
        <x:v>United Kingdom</x:v>
      </x:c>
      <x:c r="D81" s="17" t="str">
        <x:v>THE Impact</x:v>
      </x:c>
      <x:c r="E81" s="17" t="str"/>
      <x:c r="F81" s="31"/>
      <x:c r="G81" s="17" t="n">
        <x:f>31</x:f>
        <x:v>31</x:v>
      </x:c>
      <x:c r="H81" s="31" t="n">
        <x:v>94</x:v>
      </x:c>
      <x:c r="I81" s="30" t="str"/>
      <x:c r="J81" s="30" t="str">
        <x:v>https://www.timeshighereducation.com/world-university-rankings/northumbria-university</x:v>
      </x:c>
    </x:row>
    <x:row r="82">
      <x:c r="A82" s="17" t="n">
        <x:v>79</x:v>
      </x:c>
      <x:c r="B82" s="17" t="str">
        <x:v>University of Indonesia</x:v>
      </x:c>
      <x:c r="C82" s="17" t="str">
        <x:v>Indonesia</x:v>
      </x:c>
      <x:c r="D82" s="17" t="str">
        <x:v>THE Impact</x:v>
      </x:c>
      <x:c r="E82" s="17" t="str"/>
      <x:c r="F82" s="31"/>
      <x:c r="G82" s="17" t="n">
        <x:f>31</x:f>
        <x:v>31</x:v>
      </x:c>
      <x:c r="H82" s="31" t="n">
        <x:v>94</x:v>
      </x:c>
      <x:c r="I82" s="30" t="str"/>
      <x:c r="J82" s="30" t="str">
        <x:v>https://www.timeshighereducation.com/world-university-rankings/university-indonesia</x:v>
      </x:c>
    </x:row>
    <x:row r="83">
      <x:c r="A83" s="17" t="n">
        <x:v>80</x:v>
      </x:c>
      <x:c r="B83" s="17" t="str">
        <x:v>An-Najah National University</x:v>
      </x:c>
      <x:c r="C83" s="17" t="str">
        <x:v>Palestine</x:v>
      </x:c>
      <x:c r="D83" s="17" t="str">
        <x:v>THE Impact</x:v>
      </x:c>
      <x:c r="E83" s="17" t="str"/>
      <x:c r="F83" s="31"/>
      <x:c r="G83" s="17" t="n">
        <x:f>33</x:f>
        <x:v>33</x:v>
      </x:c>
      <x:c r="H83" s="31" t="n">
        <x:v>93.9</x:v>
      </x:c>
      <x:c r="I83" s="30" t="str"/>
      <x:c r="J83" s="30" t="str">
        <x:v>https://www.timeshighereducation.com/world-university-rankings/najah-national-university</x:v>
      </x:c>
    </x:row>
    <x:row r="84">
      <x:c r="A84" s="17" t="n">
        <x:v>81</x:v>
      </x:c>
      <x:c r="B84" s="17" t="str">
        <x:v>Arizona State University (Tempe)</x:v>
      </x:c>
      <x:c r="C84" s="17" t="str">
        <x:v>United States</x:v>
      </x:c>
      <x:c r="D84" s="17" t="str">
        <x:v>THE Impact</x:v>
      </x:c>
      <x:c r="E84" s="17" t="str"/>
      <x:c r="F84" s="31"/>
      <x:c r="G84" s="17" t="n">
        <x:f>33</x:f>
        <x:v>33</x:v>
      </x:c>
      <x:c r="H84" s="31" t="n">
        <x:v>93.9</x:v>
      </x:c>
      <x:c r="I84" s="30" t="str"/>
      <x:c r="J84" s="30" t="str">
        <x:v>https://www.timeshighereducation.com/world-university-rankings/arizona-state-university-tempe</x:v>
      </x:c>
    </x:row>
    <x:row r="85">
      <x:c r="A85" s="17" t="n">
        <x:v>82</x:v>
      </x:c>
      <x:c r="B85" s="17" t="str">
        <x:v>King Faisal University</x:v>
      </x:c>
      <x:c r="C85" s="17" t="str">
        <x:v>Saudi Arabia</x:v>
      </x:c>
      <x:c r="D85" s="17" t="str">
        <x:v>THE Impact</x:v>
      </x:c>
      <x:c r="E85" s="17" t="str"/>
      <x:c r="F85" s="31"/>
      <x:c r="G85" s="17" t="str">
        <x:v>35</x:v>
      </x:c>
      <x:c r="H85" s="31" t="n">
        <x:v>93.8</x:v>
      </x:c>
      <x:c r="I85" s="30" t="str"/>
      <x:c r="J85" s="30" t="str">
        <x:v>https://www.timeshighereducation.com/world-university-rankings/king-faisal-university</x:v>
      </x:c>
    </x:row>
    <x:row r="86">
      <x:c r="A86" s="17" t="n">
        <x:v>83</x:v>
      </x:c>
      <x:c r="B86" s="17" t="str">
        <x:v>Flinders University</x:v>
      </x:c>
      <x:c r="C86" s="17" t="str">
        <x:v>Australia</x:v>
      </x:c>
      <x:c r="D86" s="17" t="str">
        <x:v>THE Impact</x:v>
      </x:c>
      <x:c r="E86" s="17" t="str"/>
      <x:c r="F86" s="31"/>
      <x:c r="G86" s="17" t="str">
        <x:v>36</x:v>
      </x:c>
      <x:c r="H86" s="31" t="n">
        <x:v>93.6</x:v>
      </x:c>
      <x:c r="I86" s="30" t="str"/>
      <x:c r="J86" s="30" t="str">
        <x:v>https://www.timeshighereducation.com/world-university-rankings/flinders-university</x:v>
      </x:c>
    </x:row>
    <x:row r="87">
      <x:c r="A87" s="17" t="n">
        <x:v>84</x:v>
      </x:c>
      <x:c r="B87" s="17" t="str">
        <x:v>Amrita Vishwa Vidyapeetham</x:v>
      </x:c>
      <x:c r="C87" s="17" t="str">
        <x:v>India</x:v>
      </x:c>
      <x:c r="D87" s="17" t="str">
        <x:v>THE Impact</x:v>
      </x:c>
      <x:c r="E87" s="17" t="str"/>
      <x:c r="F87" s="31"/>
      <x:c r="G87" s="17" t="n">
        <x:f>37</x:f>
        <x:v>37</x:v>
      </x:c>
      <x:c r="H87" s="31" t="n">
        <x:v>93.4</x:v>
      </x:c>
      <x:c r="I87" s="30" t="str"/>
      <x:c r="J87" s="30" t="str">
        <x:v>https://www.timeshighereducation.com/world-university-rankings/amrita-vishwa-vidyapeetham</x:v>
      </x:c>
    </x:row>
    <x:row r="88">
      <x:c r="A88" s="17" t="n">
        <x:v>85</x:v>
      </x:c>
      <x:c r="B88" s="17" t="str">
        <x:v>Queen's University Belfast</x:v>
      </x:c>
      <x:c r="C88" s="17" t="str">
        <x:v>United Kingdom</x:v>
      </x:c>
      <x:c r="D88" s="17" t="str">
        <x:v>THE Impact</x:v>
      </x:c>
      <x:c r="E88" s="17" t="str"/>
      <x:c r="F88" s="31"/>
      <x:c r="G88" s="17" t="n">
        <x:f>37</x:f>
        <x:v>37</x:v>
      </x:c>
      <x:c r="H88" s="31" t="n">
        <x:v>93.4</x:v>
      </x:c>
      <x:c r="I88" s="30" t="str"/>
      <x:c r="J88" s="30" t="str">
        <x:v>https://www.timeshighereducation.com/world-university-rankings/queens-university-belfast</x:v>
      </x:c>
    </x:row>
    <x:row r="89">
      <x:c r="A89" s="17" t="n">
        <x:v>86</x:v>
      </x:c>
      <x:c r="B89" s="17" t="str">
        <x:v>Near East University</x:v>
      </x:c>
      <x:c r="C89" s="17" t="str">
        <x:v>Northern Cyprus</x:v>
      </x:c>
      <x:c r="D89" s="17" t="str">
        <x:v>THE Impact</x:v>
      </x:c>
      <x:c r="E89" s="17" t="str"/>
      <x:c r="F89" s="31"/>
      <x:c r="G89" s="17" t="n">
        <x:f>39</x:f>
        <x:v>39</x:v>
      </x:c>
      <x:c r="H89" s="31" t="n">
        <x:v>93.3</x:v>
      </x:c>
      <x:c r="I89" s="30" t="str"/>
      <x:c r="J89" s="30" t="str">
        <x:v>https://www.timeshighereducation.com/world-university-rankings/near-east-university</x:v>
      </x:c>
    </x:row>
    <x:row r="90">
      <x:c r="A90" s="17" t="n">
        <x:v>87</x:v>
      </x:c>
      <x:c r="B90" s="17" t="str">
        <x:v>University of Johannesburg</x:v>
      </x:c>
      <x:c r="C90" s="17" t="str">
        <x:v>South Africa</x:v>
      </x:c>
      <x:c r="D90" s="17" t="str">
        <x:v>THE Impact</x:v>
      </x:c>
      <x:c r="E90" s="17" t="str"/>
      <x:c r="F90" s="31"/>
      <x:c r="G90" s="17" t="n">
        <x:f>39</x:f>
        <x:v>39</x:v>
      </x:c>
      <x:c r="H90" s="31" t="n">
        <x:v>93.3</x:v>
      </x:c>
      <x:c r="I90" s="30" t="str"/>
      <x:c r="J90" s="30" t="str">
        <x:v>https://www.timeshighereducation.com/world-university-rankings/university-johannesburg</x:v>
      </x:c>
    </x:row>
    <x:row r="91">
      <x:c r="A91" s="17" t="n">
        <x:v>88</x:v>
      </x:c>
      <x:c r="B91" s="17" t="str">
        <x:v>Universitas Gadjah Mada</x:v>
      </x:c>
      <x:c r="C91" s="17" t="str">
        <x:v>Indonesia</x:v>
      </x:c>
      <x:c r="D91" s="17" t="str">
        <x:v>THE Impact</x:v>
      </x:c>
      <x:c r="E91" s="17" t="str"/>
      <x:c r="F91" s="31"/>
      <x:c r="G91" s="17" t="n">
        <x:f>41</x:f>
        <x:v>41</x:v>
      </x:c>
      <x:c r="H91" s="31" t="n">
        <x:v>93.2</x:v>
      </x:c>
      <x:c r="I91" s="30" t="str"/>
      <x:c r="J91" s="30" t="str">
        <x:v>https://www.timeshighereducation.com/world-university-rankings/universitas-gadjah-mada</x:v>
      </x:c>
    </x:row>
    <x:row r="92">
      <x:c r="A92" s="17" t="n">
        <x:v>89</x:v>
      </x:c>
      <x:c r="B92" s="17" t="str">
        <x:v>University of Wollongong</x:v>
      </x:c>
      <x:c r="C92" s="17" t="str">
        <x:v>Australia</x:v>
      </x:c>
      <x:c r="D92" s="17" t="str">
        <x:v>THE Impact</x:v>
      </x:c>
      <x:c r="E92" s="17" t="str"/>
      <x:c r="F92" s="31"/>
      <x:c r="G92" s="17" t="n">
        <x:f>41</x:f>
        <x:v>41</x:v>
      </x:c>
      <x:c r="H92" s="31" t="n">
        <x:v>93.2</x:v>
      </x:c>
      <x:c r="I92" s="30" t="str"/>
      <x:c r="J92" s="30" t="str">
        <x:v>https://www.timeshighereducation.com/world-university-rankings/university-wollongong</x:v>
      </x:c>
    </x:row>
    <x:row r="93">
      <x:c r="A93" s="17" t="n">
        <x:v>90</x:v>
      </x:c>
      <x:c r="B93" s="17" t="str">
        <x:v>Yonsei University (Seoul campus)</x:v>
      </x:c>
      <x:c r="C93" s="17" t="str">
        <x:v>South Korea</x:v>
      </x:c>
      <x:c r="D93" s="17" t="str">
        <x:v>THE Impact</x:v>
      </x:c>
      <x:c r="E93" s="17" t="str"/>
      <x:c r="F93" s="31"/>
      <x:c r="G93" s="17" t="n">
        <x:f>41</x:f>
        <x:v>41</x:v>
      </x:c>
      <x:c r="H93" s="31" t="n">
        <x:v>93.2</x:v>
      </x:c>
      <x:c r="I93" s="30" t="str"/>
      <x:c r="J93" s="30" t="str">
        <x:v>https://www.timeshighereducation.com/world-university-rankings/yonsei-university-seoul-campus</x:v>
      </x:c>
    </x:row>
    <x:row r="94">
      <x:c r="A94" s="17" t="n">
        <x:v>91</x:v>
      </x:c>
      <x:c r="B94" s="17" t="str">
        <x:v>Sunway University</x:v>
      </x:c>
      <x:c r="C94" s="17" t="str">
        <x:v>Malaysia</x:v>
      </x:c>
      <x:c r="D94" s="17" t="str">
        <x:v>THE Impact</x:v>
      </x:c>
      <x:c r="E94" s="17" t="str"/>
      <x:c r="F94" s="31"/>
      <x:c r="G94" s="17" t="str">
        <x:v>45</x:v>
      </x:c>
      <x:c r="H94" s="31" t="n">
        <x:v>93</x:v>
      </x:c>
      <x:c r="I94" s="30" t="str"/>
      <x:c r="J94" s="30" t="str">
        <x:v>https://www.timeshighereducation.com/world-university-rankings/sunway-university</x:v>
      </x:c>
    </x:row>
    <x:row r="95">
      <x:c r="A95" s="17" t="n">
        <x:v>92</x:v>
      </x:c>
      <x:c r="B95" s="17" t="str">
        <x:v>Thammasat University</x:v>
      </x:c>
      <x:c r="C95" s="17" t="str">
        <x:v>Thailand</x:v>
      </x:c>
      <x:c r="D95" s="17" t="str">
        <x:v>THE Impact</x:v>
      </x:c>
      <x:c r="E95" s="17" t="str"/>
      <x:c r="F95" s="31"/>
      <x:c r="G95" s="17" t="str">
        <x:v>46</x:v>
      </x:c>
      <x:c r="H95" s="31" t="n">
        <x:v>92.9</x:v>
      </x:c>
      <x:c r="I95" s="30" t="str"/>
      <x:c r="J95" s="30" t="str">
        <x:v>https://www.timeshighereducation.com/world-university-rankings/thammasat-university</x:v>
      </x:c>
    </x:row>
    <x:row r="96">
      <x:c r="A96" s="17" t="n">
        <x:v>93</x:v>
      </x:c>
      <x:c r="B96" s="17" t="str">
        <x:v>Walailak University</x:v>
      </x:c>
      <x:c r="C96" s="17" t="str">
        <x:v>Thailand</x:v>
      </x:c>
      <x:c r="D96" s="17" t="str">
        <x:v>THE Impact</x:v>
      </x:c>
      <x:c r="E96" s="17" t="str"/>
      <x:c r="F96" s="31"/>
      <x:c r="G96" s="17" t="str">
        <x:v>47</x:v>
      </x:c>
      <x:c r="H96" s="31" t="n">
        <x:v>92.8</x:v>
      </x:c>
      <x:c r="I96" s="30" t="str"/>
      <x:c r="J96" s="30" t="str">
        <x:v>https://www.timeshighereducation.com/world-university-rankings/walailak-university</x:v>
      </x:c>
    </x:row>
    <x:row r="97">
      <x:c r="A97" s="17" t="n">
        <x:v>94</x:v>
      </x:c>
      <x:c r="B97" s="17" t="str">
        <x:v>King Abdullah University of Science and Technology (KAUST)</x:v>
      </x:c>
      <x:c r="C97" s="17" t="str">
        <x:v>Saudi Arabia</x:v>
      </x:c>
      <x:c r="D97" s="17" t="str">
        <x:v>THE Impact</x:v>
      </x:c>
      <x:c r="E97" s="17" t="str"/>
      <x:c r="F97" s="31"/>
      <x:c r="G97" s="17" t="str">
        <x:v>48</x:v>
      </x:c>
      <x:c r="H97" s="31" t="n">
        <x:v>92.6</x:v>
      </x:c>
      <x:c r="I97" s="30" t="str"/>
      <x:c r="J97" s="30" t="str">
        <x:v>https://www.timeshighereducation.com/world-university-rankings/king-abdullah-university-science-and-technology-kaust</x:v>
      </x:c>
    </x:row>
    <x:row r="98">
      <x:c r="A98" s="17" t="n">
        <x:v>95</x:v>
      </x:c>
      <x:c r="B98" s="17" t="str">
        <x:v>Chiang Mai University</x:v>
      </x:c>
      <x:c r="C98" s="17" t="str">
        <x:v>Thailand</x:v>
      </x:c>
      <x:c r="D98" s="17" t="str">
        <x:v>THE Impact</x:v>
      </x:c>
      <x:c r="E98" s="17" t="str"/>
      <x:c r="F98" s="31"/>
      <x:c r="G98" s="17" t="n">
        <x:f>49</x:f>
        <x:v>49</x:v>
      </x:c>
      <x:c r="H98" s="31" t="n">
        <x:v>92.5</x:v>
      </x:c>
      <x:c r="I98" s="30" t="str"/>
      <x:c r="J98" s="30" t="str">
        <x:v>https://www.timeshighereducation.com/world-university-rankings/chiang-mai-university</x:v>
      </x:c>
    </x:row>
    <x:row r="99">
      <x:c r="A99" s="17" t="n">
        <x:v>96</x:v>
      </x:c>
      <x:c r="B99" s="17" t="str">
        <x:v>Jeonbuk National University</x:v>
      </x:c>
      <x:c r="C99" s="17" t="str">
        <x:v>South Korea</x:v>
      </x:c>
      <x:c r="D99" s="17" t="str">
        <x:v>THE Impact</x:v>
      </x:c>
      <x:c r="E99" s="17" t="str"/>
      <x:c r="F99" s="31"/>
      <x:c r="G99" s="17" t="n">
        <x:f>49</x:f>
        <x:v>49</x:v>
      </x:c>
      <x:c r="H99" s="31" t="n">
        <x:v>92.5</x:v>
      </x:c>
      <x:c r="I99" s="30" t="str"/>
      <x:c r="J99" s="30" t="str">
        <x:v>https://www.timeshighereducation.com/world-university-rankings/jeonbuk-national-university</x:v>
      </x:c>
    </x:row>
    <x:row r="100">
      <x:c r="A100" s="17" t="n">
        <x:v>97</x:v>
      </x:c>
      <x:c r="B100" s="17" t="str">
        <x:v>National Yang Ming Chiao Tung University (NYCU Taiwan)</x:v>
      </x:c>
      <x:c r="C100" s="17" t="str">
        <x:v>Taiwan</x:v>
      </x:c>
      <x:c r="D100" s="17" t="str">
        <x:v>THE Impact</x:v>
      </x:c>
      <x:c r="E100" s="17" t="str"/>
      <x:c r="F100" s="31"/>
      <x:c r="G100" s="17" t="n">
        <x:f>49</x:f>
        <x:v>49</x:v>
      </x:c>
      <x:c r="H100" s="31" t="n">
        <x:v>92.5</x:v>
      </x:c>
      <x:c r="I100" s="30" t="str"/>
      <x:c r="J100" s="30" t="str">
        <x:v>https://www.timeshighereducation.com/world-university-rankings/national-yang-ming-chiao-tung-university-nycu-taiwan</x:v>
      </x:c>
    </x:row>
  </x:sheetData>
  <x:mergeCells>
    <x:mergeCell ref="A1:J1"/>
    <x:mergeCell ref="A2:J2"/>
  </x:mergeCells>
  <x:conditionalFormatting sqref="D5:D100">
    <x:cfRule type="containsText" dxfId="0" priority="1" operator="containsText" text="Both"/>
  </x:conditionalFormatting>
  <x:pageMargins left="0.7" right="0.7" top="0.75" bottom="0.75" header="0.3" footer="0.3"/>
  <x:tableParts count="1">
    <x:tablePart xmlns:r="http://schemas.openxmlformats.org/officeDocument/2006/relationships" r:id="R285a2b4ccf9f4f0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7" hidden="0" customWidth="1"/>
    <x:col min="2" max="2" width="34" hidden="0" customWidth="1"/>
    <x:col min="3" max="3" width="16" hidden="0" customWidth="1"/>
    <x:col min="4" max="4" width="18" hidden="0" customWidth="1"/>
    <x:col min="5" max="5" width="48" hidden="0" customWidth="1"/>
    <x:col min="6" max="6" width="16" hidden="0" customWidth="1"/>
    <x:col min="7" max="7" width="22" hidden="0" customWidth="1"/>
    <x:col min="8" max="8" width="52" hidden="0" customWidth="1"/>
    <x:col min="9" max="9" width="14" hidden="0" customWidth="1"/>
    <x:col min="10" max="10" width="23" hidden="0" customWidth="1"/>
    <x:col min="11" max="11" width="11" hidden="0" customWidth="1"/>
    <x:col min="12" max="12" width="56" hidden="0" customWidth="1"/>
  </x:cols>
  <x:sheetData>
    <x:row r="1" ht="28" customHeight="1">
      <x:c r="A1" s="3" t="str">
        <x:v>Program Verification</x:v>
      </x:c>
      <x:c r="B1" s="3"/>
      <x:c r="C1" s="3"/>
      <x:c r="D1" s="3"/>
      <x:c r="E1" s="3"/>
      <x:c r="F1" s="3"/>
      <x:c r="G1" s="3"/>
      <x:c r="H1" s="3"/>
      <x:c r="I1" s="3"/>
      <x:c r="J1" s="3"/>
      <x:c r="K1" s="3"/>
      <x:c r="L1" s="3"/>
    </x:row>
    <x:row r="2" ht="36" customHeight="1">
      <x:c r="A2" s="7" t="str">
        <x:v>One current sustainability/environment-related master's program or explicitly labeled best-fit path per retained institution. Official university URLs are supplied for all 96 rows.</x:v>
      </x:c>
      <x:c r="B2" s="7"/>
      <x:c r="C2" s="7"/>
      <x:c r="D2" s="7"/>
      <x:c r="E2" s="7"/>
      <x:c r="F2" s="7"/>
      <x:c r="G2" s="7"/>
      <x:c r="H2" s="7"/>
      <x:c r="I2" s="7"/>
      <x:c r="J2" s="7"/>
      <x:c r="K2" s="7"/>
      <x:c r="L2" s="7"/>
    </x:row>
    <x:row r="4" ht="36" customHeight="1">
      <x:c r="A4" s="13" t="str">
        <x:v>ID</x:v>
      </x:c>
      <x:c r="B4" s="13" t="str">
        <x:v>Institution</x:v>
      </x:c>
      <x:c r="C4" s="13" t="str">
        <x:v>Country</x:v>
      </x:c>
      <x:c r="D4" s="13" t="str">
        <x:v>Candidate Source</x:v>
      </x:c>
      <x:c r="E4" s="13" t="str">
        <x:v>Program Name</x:v>
      </x:c>
      <x:c r="F4" s="13" t="str">
        <x:v>Match Type</x:v>
      </x:c>
      <x:c r="G4" s="13" t="str">
        <x:v>Verification Status</x:v>
      </x:c>
      <x:c r="H4" s="13" t="str">
        <x:v>Official Program URL</x:v>
      </x:c>
      <x:c r="I4" s="13" t="str">
        <x:v>Verification Date</x:v>
      </x:c>
      <x:c r="J4" s="13" t="str">
        <x:v>URL Audit</x:v>
      </x:c>
      <x:c r="K4" s="13" t="str">
        <x:v>HTTP Status</x:v>
      </x:c>
      <x:c r="L4" s="13" t="str">
        <x:v>Verification Note</x:v>
      </x:c>
    </x:row>
    <x:row r="5">
      <x:c r="A5" s="17" t="n">
        <x:v>1</x:v>
      </x:c>
      <x:c r="B5" s="17" t="str">
        <x:v>Lund University</x:v>
      </x:c>
      <x:c r="C5" s="17" t="str">
        <x:v>Sweden</x:v>
      </x:c>
      <x:c r="D5" s="17" t="str">
        <x:v>QS Sustainability</x:v>
      </x:c>
      <x:c r="E5" s="17" t="str">
        <x:v>MSc Environmental Studies and Sustainability Science (LUMES)</x:v>
      </x:c>
      <x:c r="F5" s="17" t="str">
        <x:v>Direct</x:v>
      </x:c>
      <x:c r="G5" s="17" t="str">
        <x:v>Confirmed</x:v>
      </x:c>
      <x:c r="H5" s="30" t="str">
        <x:v>https://www.lunduniversity.lu.se/study/environmental-studies-and-sustainability-science-master-of-science-programme-SAESS</x:v>
      </x:c>
      <x:c r="I5" s="17" t="str">
        <x:v>2026-07-18</x:v>
      </x:c>
      <x:c r="J5" s="17" t="str">
        <x:v>OK</x:v>
      </x:c>
      <x:c r="K5" s="17" t="n">
        <x:v>200</x:v>
      </x:c>
      <x:c r="L5" s="17" t="str">
        <x:v>Current official degree page.</x:v>
      </x:c>
    </x:row>
    <x:row r="6">
      <x:c r="A6" s="17" t="n">
        <x:v>2</x:v>
      </x:c>
      <x:c r="B6" s="17" t="str">
        <x:v>University of Toronto</x:v>
      </x:c>
      <x:c r="C6" s="17" t="str">
        <x:v>Canada</x:v>
      </x:c>
      <x:c r="D6" s="17" t="str">
        <x:v>QS Sustainability</x:v>
      </x:c>
      <x:c r="E6" s="17" t="str">
        <x:v>Master of Environment &amp; Sustainability</x:v>
      </x:c>
      <x:c r="F6" s="17" t="str">
        <x:v>Direct</x:v>
      </x:c>
      <x:c r="G6" s="17" t="str">
        <x:v>Confirmed</x:v>
      </x:c>
      <x:c r="H6" s="30" t="str">
        <x:v>https://www.environment.utoronto.ca/graduate/mes</x:v>
      </x:c>
      <x:c r="I6" s="17" t="str">
        <x:v>2026-07-18</x:v>
      </x:c>
      <x:c r="J6" s="17" t="str">
        <x:v>OK</x:v>
      </x:c>
      <x:c r="K6" s="17" t="n">
        <x:v>200</x:v>
      </x:c>
      <x:c r="L6" s="17" t="str">
        <x:v>Carried forward and included for URL recheck.</x:v>
      </x:c>
    </x:row>
    <x:row r="7">
      <x:c r="A7" s="17" t="n">
        <x:v>3</x:v>
      </x:c>
      <x:c r="B7" s="17" t="str">
        <x:v>UCL</x:v>
      </x:c>
      <x:c r="C7" s="17" t="str">
        <x:v>United Kingdom</x:v>
      </x:c>
      <x:c r="D7" s="17" t="str">
        <x:v>QS Sustainability</x:v>
      </x:c>
      <x:c r="E7" s="17" t="str">
        <x:v>Sustainable Resources: Economics, Policy and Transitions MSc</x:v>
      </x:c>
      <x:c r="F7" s="17" t="str">
        <x:v>Direct</x:v>
      </x:c>
      <x:c r="G7" s="17" t="str">
        <x:v>Confirmed</x:v>
      </x:c>
      <x:c r="H7" s="30" t="str">
        <x:v>https://www.ucl.ac.uk/prospective-students/graduate/taught-degrees/sustainable-resources-economics-policy-and-transitions-msc</x:v>
      </x:c>
      <x:c r="I7" s="17" t="str">
        <x:v>2026-07-18</x:v>
      </x:c>
      <x:c r="J7" s="17" t="str">
        <x:v>OK</x:v>
      </x:c>
      <x:c r="K7" s="17" t="n">
        <x:v>200</x:v>
      </x:c>
      <x:c r="L7" s="17" t="str">
        <x:v>Carried forward and included for URL recheck.</x:v>
      </x:c>
    </x:row>
    <x:row r="8">
      <x:c r="A8" s="17" t="n">
        <x:v>4</x:v>
      </x:c>
      <x:c r="B8" s="17" t="str">
        <x:v>The University of Edinburgh</x:v>
      </x:c>
      <x:c r="C8" s="17" t="str">
        <x:v>United Kingdom</x:v>
      </x:c>
      <x:c r="D8" s="17" t="str">
        <x:v>QS Sustainability</x:v>
      </x:c>
      <x:c r="E8" s="17" t="str">
        <x:v>MSc Global Strategy and Sustainability</x:v>
      </x:c>
      <x:c r="F8" s="17" t="str">
        <x:v>Direct</x:v>
      </x:c>
      <x:c r="G8" s="17" t="str">
        <x:v>Confirmed</x:v>
      </x:c>
      <x:c r="H8" s="30" t="str">
        <x:v>https://www.business-school.ed.ac.uk/msc/global-strategy-sustainability</x:v>
      </x:c>
      <x:c r="I8" s="17" t="str">
        <x:v>2026-07-18</x:v>
      </x:c>
      <x:c r="J8" s="17" t="str">
        <x:v>OK</x:v>
      </x:c>
      <x:c r="K8" s="17" t="n">
        <x:v>200</x:v>
      </x:c>
      <x:c r="L8" s="17" t="str">
        <x:v>Carried forward and included for URL recheck.</x:v>
      </x:c>
    </x:row>
    <x:row r="9">
      <x:c r="A9" s="17" t="n">
        <x:v>5</x:v>
      </x:c>
      <x:c r="B9" s="17" t="str">
        <x:v>University of British Columbia</x:v>
      </x:c>
      <x:c r="C9" s="17" t="str">
        <x:v>Canada</x:v>
      </x:c>
      <x:c r="D9" s="17" t="str">
        <x:v>QS Sustainability</x:v>
      </x:c>
      <x:c r="E9" s="17" t="str">
        <x:v>Master of Engineering Leadership in Clean Energy Engineering</x:v>
      </x:c>
      <x:c r="F9" s="17" t="str">
        <x:v>Direct</x:v>
      </x:c>
      <x:c r="G9" s="17" t="str">
        <x:v>Confirmed</x:v>
      </x:c>
      <x:c r="H9" s="30" t="str">
        <x:v>https://apscpp.ubc.ca/programs/mel/clean-energy-engineering</x:v>
      </x:c>
      <x:c r="I9" s="17" t="str">
        <x:v>2026-07-18</x:v>
      </x:c>
      <x:c r="J9" s="17" t="str">
        <x:v>OK</x:v>
      </x:c>
      <x:c r="K9" s="17" t="n">
        <x:v>200</x:v>
      </x:c>
      <x:c r="L9" s="17" t="str">
        <x:v>Replaced the paused Sustainable Process Engineering MEL with the current Clean Energy Engineering MEL.</x:v>
      </x:c>
    </x:row>
    <x:row r="10">
      <x:c r="A10" s="17" t="n">
        <x:v>6</x:v>
      </x:c>
      <x:c r="B10" s="17" t="str">
        <x:v>The London School of Economics and Political Science (LSE)</x:v>
      </x:c>
      <x:c r="C10" s="17" t="str">
        <x:v>United Kingdom</x:v>
      </x:c>
      <x:c r="D10" s="17" t="str">
        <x:v>QS Sustainability</x:v>
      </x:c>
      <x:c r="E10" s="17" t="str">
        <x:v>MSc Environmental Policy and Regulation</x:v>
      </x:c>
      <x:c r="F10" s="17" t="str">
        <x:v>Direct</x:v>
      </x:c>
      <x:c r="G10" s="17" t="str">
        <x:v>Confirmed</x:v>
      </x:c>
      <x:c r="H10" s="30" t="str">
        <x:v>https://www.lse.ac.uk/study-at-lse/graduate/msc-environmental-policy-and-regulation</x:v>
      </x:c>
      <x:c r="I10" s="17" t="str">
        <x:v>2026-07-18</x:v>
      </x:c>
      <x:c r="J10" s="17" t="str">
        <x:v>OK</x:v>
      </x:c>
      <x:c r="K10" s="17" t="n">
        <x:v>200</x:v>
      </x:c>
      <x:c r="L10" s="17" t="str">
        <x:v>Current official degree page.</x:v>
      </x:c>
    </x:row>
    <x:row r="11">
      <x:c r="A11" s="17" t="n">
        <x:v>7</x:v>
      </x:c>
      <x:c r="B11" s="17" t="str">
        <x:v>Imperial College London</x:v>
      </x:c>
      <x:c r="C11" s="17" t="str">
        <x:v>United Kingdom</x:v>
      </x:c>
      <x:c r="D11" s="17" t="str">
        <x:v>QS Sustainability</x:v>
      </x:c>
      <x:c r="E11" s="17" t="str">
        <x:v>MSc Climate Change, Management &amp; Finance</x:v>
      </x:c>
      <x:c r="F11" s="17" t="str">
        <x:v>Direct</x:v>
      </x:c>
      <x:c r="G11" s="17" t="str">
        <x:v>Confirmed</x:v>
      </x:c>
      <x:c r="H11" s="30" t="str">
        <x:v>https://www.imperial.ac.uk/business-school/masters/climate-change-management-finance/</x:v>
      </x:c>
      <x:c r="I11" s="17" t="str">
        <x:v>2026-07-18</x:v>
      </x:c>
      <x:c r="J11" s="17" t="str">
        <x:v>OK</x:v>
      </x:c>
      <x:c r="K11" s="17" t="n">
        <x:v>200</x:v>
      </x:c>
      <x:c r="L11" s="17" t="str">
        <x:v>Carried forward and included for URL recheck.</x:v>
      </x:c>
    </x:row>
    <x:row r="12">
      <x:c r="A12" s="17" t="n">
        <x:v>8</x:v>
      </x:c>
      <x:c r="B12" s="17" t="str">
        <x:v>The University of New South Wales (UNSW Sydney)</x:v>
      </x:c>
      <x:c r="C12" s="17" t="str">
        <x:v>Australia</x:v>
      </x:c>
      <x:c r="D12" s="17" t="str">
        <x:v>Both</x:v>
      </x:c>
      <x:c r="E12" s="17" t="str">
        <x:v>Master of Environmental Management</x:v>
      </x:c>
      <x:c r="F12" s="17" t="str">
        <x:v>Direct</x:v>
      </x:c>
      <x:c r="G12" s="17" t="str">
        <x:v>Confirmed</x:v>
      </x:c>
      <x:c r="H12" s="30" t="str">
        <x:v>https://www.unsw.edu.au/study/postgraduate/master-of-environmental-management</x:v>
      </x:c>
      <x:c r="I12" s="17" t="str">
        <x:v>2026-07-18</x:v>
      </x:c>
      <x:c r="J12" s="17" t="str">
        <x:v>OK</x:v>
      </x:c>
      <x:c r="K12" s="17" t="n">
        <x:v>200</x:v>
      </x:c>
      <x:c r="L12" s="17" t="str">
        <x:v>Carried forward and included for URL recheck.</x:v>
      </x:c>
    </x:row>
    <x:row r="13">
      <x:c r="A13" s="17" t="n">
        <x:v>9</x:v>
      </x:c>
      <x:c r="B13" s="17" t="str">
        <x:v>McGill University</x:v>
      </x:c>
      <x:c r="C13" s="17" t="str">
        <x:v>Canada</x:v>
      </x:c>
      <x:c r="D13" s="17" t="str">
        <x:v>QS Sustainability</x:v>
      </x:c>
      <x:c r="E13" s="17" t="str">
        <x:v>MSc Geography - Sustainability Science and Environmental Management research theme</x:v>
      </x:c>
      <x:c r="F13" s="17" t="str">
        <x:v>Research</x:v>
      </x:c>
      <x:c r="G13" s="17" t="str">
        <x:v>Confirmed</x:v>
      </x:c>
      <x:c r="H13" s="30" t="str">
        <x:v>https://www.mcgill.ca/gradapplicants/program/geography-msc</x:v>
      </x:c>
      <x:c r="I13" s="17" t="str">
        <x:v>2026-07-18</x:v>
      </x:c>
      <x:c r="J13" s="17" t="str">
        <x:v>OK</x:v>
      </x:c>
      <x:c r="K13" s="17" t="n">
        <x:v>200</x:v>
      </x:c>
      <x:c r="L13" s="17" t="str">
        <x:v>The previous Sustainability, Science &amp; Society entry was an undergraduate program. The current Geography MSc includes Sustainability Science and Environmental Management as a thematic area.</x:v>
      </x:c>
    </x:row>
    <x:row r="14">
      <x:c r="A14" s="17" t="n">
        <x:v>10</x:v>
      </x:c>
      <x:c r="B14" s="17" t="str">
        <x:v>The University of Manchester</x:v>
      </x:c>
      <x:c r="C14" s="17" t="str">
        <x:v>United Kingdom</x:v>
      </x:c>
      <x:c r="D14" s="17" t="str">
        <x:v>Both</x:v>
      </x:c>
      <x:c r="E14" s="17" t="str">
        <x:v>MSc Environmental Governance</x:v>
      </x:c>
      <x:c r="F14" s="17" t="str">
        <x:v>Direct</x:v>
      </x:c>
      <x:c r="G14" s="17" t="str">
        <x:v>Confirmed</x:v>
      </x:c>
      <x:c r="H14" s="30" t="str">
        <x:v>https://www.manchester.ac.uk/study/masters/courses/list/06967/msc-environmental-governance/</x:v>
      </x:c>
      <x:c r="I14" s="17" t="str">
        <x:v>2026-07-18</x:v>
      </x:c>
      <x:c r="J14" s="17" t="str">
        <x:v>OK</x:v>
      </x:c>
      <x:c r="K14" s="17" t="n">
        <x:v>200</x:v>
      </x:c>
      <x:c r="L14" s="17" t="str">
        <x:v>Updated to the current 2026 course identifier and URL.</x:v>
      </x:c>
    </x:row>
    <x:row r="15">
      <x:c r="A15" s="17" t="n">
        <x:v>11</x:v>
      </x:c>
      <x:c r="B15" s="17" t="str">
        <x:v>ETH Zurich</x:v>
      </x:c>
      <x:c r="C15" s="17" t="str">
        <x:v>Switzerland</x:v>
      </x:c>
      <x:c r="D15" s="17" t="str">
        <x:v>QS Sustainability</x:v>
      </x:c>
      <x:c r="E15" s="17" t="str">
        <x:v>MSc Environmental Sciences</x:v>
      </x:c>
      <x:c r="F15" s="17" t="str">
        <x:v>Direct</x:v>
      </x:c>
      <x:c r="G15" s="17" t="str">
        <x:v>Confirmed</x:v>
      </x:c>
      <x:c r="H15" s="30" t="str">
        <x:v>https://ethz.ch/en/studies/master/degree-programmes/system-oriented-natural-sciences/environmental-sciences.html</x:v>
      </x:c>
      <x:c r="I15" s="17" t="str">
        <x:v>2026-07-18</x:v>
      </x:c>
      <x:c r="J15" s="17" t="str">
        <x:v>OK</x:v>
      </x:c>
      <x:c r="K15" s="17" t="n">
        <x:v>200</x:v>
      </x:c>
      <x:c r="L15" s="17" t="str">
        <x:v>Updated to the current ETH degree-program URL.</x:v>
      </x:c>
    </x:row>
    <x:row r="16">
      <x:c r="A16" s="17" t="n">
        <x:v>12</x:v>
      </x:c>
      <x:c r="B16" s="17" t="str">
        <x:v>The University of Melbourne</x:v>
      </x:c>
      <x:c r="C16" s="17" t="str">
        <x:v>Australia</x:v>
      </x:c>
      <x:c r="D16" s="17" t="str">
        <x:v>QS Sustainability</x:v>
      </x:c>
      <x:c r="E16" s="17" t="str">
        <x:v>Master of Environment</x:v>
      </x:c>
      <x:c r="F16" s="17" t="str">
        <x:v>Direct</x:v>
      </x:c>
      <x:c r="G16" s="17" t="str">
        <x:v>Confirmed</x:v>
      </x:c>
      <x:c r="H16" s="30" t="str">
        <x:v>https://study.unimelb.edu.au/find/courses/graduate/master-of-environment/</x:v>
      </x:c>
      <x:c r="I16" s="17" t="str">
        <x:v>2026-07-18</x:v>
      </x:c>
      <x:c r="J16" s="17" t="str">
        <x:v>Blocked by site (403)</x:v>
      </x:c>
      <x:c r="K16" s="17" t="n">
        <x:v>403</x:v>
      </x:c>
      <x:c r="L16" s="17" t="str">
        <x:v>Carried forward and included for URL recheck.</x:v>
      </x:c>
    </x:row>
    <x:row r="17">
      <x:c r="A17" s="17" t="n">
        <x:v>13</x:v>
      </x:c>
      <x:c r="B17" s="17" t="str">
        <x:v>University of California, Berkeley (UCB)</x:v>
      </x:c>
      <x:c r="C17" s="17" t="str">
        <x:v>United States</x:v>
      </x:c>
      <x:c r="D17" s="17" t="str">
        <x:v>QS Sustainability</x:v>
      </x:c>
      <x:c r="E17" s="17" t="str">
        <x:v>Master of Climate Solutions</x:v>
      </x:c>
      <x:c r="F17" s="17" t="str">
        <x:v>Direct</x:v>
      </x:c>
      <x:c r="G17" s="17" t="str">
        <x:v>Confirmed</x:v>
      </x:c>
      <x:c r="H17" s="30" t="str">
        <x:v>https://climatesolutions.berkeley.edu/</x:v>
      </x:c>
      <x:c r="I17" s="17" t="str">
        <x:v>2026-07-18</x:v>
      </x:c>
      <x:c r="J17" s="17" t="str">
        <x:v>OK</x:v>
      </x:c>
      <x:c r="K17" s="17" t="n">
        <x:v>200</x:v>
      </x:c>
      <x:c r="L17" s="17" t="str">
        <x:v>Carried forward and included for URL recheck.</x:v>
      </x:c>
    </x:row>
    <x:row r="18">
      <x:c r="A18" s="17" t="n">
        <x:v>14</x:v>
      </x:c>
      <x:c r="B18" s="17" t="str">
        <x:v>Stanford University</x:v>
      </x:c>
      <x:c r="C18" s="17" t="str">
        <x:v>United States</x:v>
      </x:c>
      <x:c r="D18" s="17" t="str">
        <x:v>QS Sustainability</x:v>
      </x:c>
      <x:c r="E18" s="17" t="str">
        <x:v>MS Sustainability Science and Practice</x:v>
      </x:c>
      <x:c r="F18" s="17" t="str">
        <x:v>Restricted</x:v>
      </x:c>
      <x:c r="G18" s="17" t="str">
        <x:v>Confirmed</x:v>
      </x:c>
      <x:c r="H18" s="30" t="str">
        <x:v>https://bulletin.stanford.edu/programs/SUSTSCI-MS/general-aoYks</x:v>
      </x:c>
      <x:c r="I18" s="17" t="str">
        <x:v>2026-07-18</x:v>
      </x:c>
      <x:c r="J18" s="17" t="str">
        <x:v>OK</x:v>
      </x:c>
      <x:c r="K18" s="17" t="n">
        <x:v>200</x:v>
      </x:c>
      <x:c r="L18" s="17" t="str">
        <x:v>Current interdisciplinary sustainability master's, but it is a coterminal program for Stanford students.</x:v>
      </x:c>
    </x:row>
    <x:row r="19">
      <x:c r="A19" s="17" t="n">
        <x:v>15</x:v>
      </x:c>
      <x:c r="B19" s="17" t="str">
        <x:v>University of Oxford</x:v>
      </x:c>
      <x:c r="C19" s="17" t="str">
        <x:v>United Kingdom</x:v>
      </x:c>
      <x:c r="D19" s="17" t="str">
        <x:v>QS Sustainability</x:v>
      </x:c>
      <x:c r="E19" s="17" t="str">
        <x:v>MSc in Sustainability, Enterprise and the Environment</x:v>
      </x:c>
      <x:c r="F19" s="17" t="str">
        <x:v>Direct</x:v>
      </x:c>
      <x:c r="G19" s="17" t="str">
        <x:v>Confirmed</x:v>
      </x:c>
      <x:c r="H19" s="30" t="str">
        <x:v>https://www.smithschool.ox.ac.uk/course/msc-sustainability-enterprise-and-environment</x:v>
      </x:c>
      <x:c r="I19" s="17" t="str">
        <x:v>2026-07-18</x:v>
      </x:c>
      <x:c r="J19" s="17" t="str">
        <x:v>OK</x:v>
      </x:c>
      <x:c r="K19" s="17" t="n">
        <x:v>200</x:v>
      </x:c>
      <x:c r="L19" s="17" t="str">
        <x:v>Carried forward and included for URL recheck.</x:v>
      </x:c>
    </x:row>
    <x:row r="20">
      <x:c r="A20" s="17" t="n">
        <x:v>16</x:v>
      </x:c>
      <x:c r="B20" s="17" t="str">
        <x:v>The University of Sydney</x:v>
      </x:c>
      <x:c r="C20" s="17" t="str">
        <x:v>Australia</x:v>
      </x:c>
      <x:c r="D20" s="17" t="str">
        <x:v>QS Sustainability</x:v>
      </x:c>
      <x:c r="E20" s="17" t="str">
        <x:v>Master of Sustainability</x:v>
      </x:c>
      <x:c r="F20" s="17" t="str">
        <x:v>Direct</x:v>
      </x:c>
      <x:c r="G20" s="17" t="str">
        <x:v>Confirmed</x:v>
      </x:c>
      <x:c r="H20" s="30" t="str">
        <x:v>https://www.sydney.edu.au/courses/courses/pc/master-of-sustainability.html</x:v>
      </x:c>
      <x:c r="I20" s="17" t="str">
        <x:v>2026-07-18</x:v>
      </x:c>
      <x:c r="J20" s="17" t="str">
        <x:v>OK</x:v>
      </x:c>
      <x:c r="K20" s="17" t="n">
        <x:v>200</x:v>
      </x:c>
      <x:c r="L20" s="17" t="str">
        <x:v>Carried forward and included for URL recheck.</x:v>
      </x:c>
    </x:row>
    <x:row r="21">
      <x:c r="A21" s="17" t="n">
        <x:v>17</x:v>
      </x:c>
      <x:c r="B21" s="17" t="str">
        <x:v>Australian National University (ANU)</x:v>
      </x:c>
      <x:c r="C21" s="17" t="str">
        <x:v>Australia</x:v>
      </x:c>
      <x:c r="D21" s="17" t="str">
        <x:v>QS Sustainability</x:v>
      </x:c>
      <x:c r="E21" s="17" t="str">
        <x:v>Master of Climate Change</x:v>
      </x:c>
      <x:c r="F21" s="17" t="str">
        <x:v>Direct</x:v>
      </x:c>
      <x:c r="G21" s="17" t="str">
        <x:v>Confirmed</x:v>
      </x:c>
      <x:c r="H21" s="30" t="str">
        <x:v>https://programsandcourses.anu.edu.au/program/MCLCH</x:v>
      </x:c>
      <x:c r="I21" s="17" t="str">
        <x:v>2026-07-18</x:v>
      </x:c>
      <x:c r="J21" s="17" t="str">
        <x:v>OK</x:v>
      </x:c>
      <x:c r="K21" s="17" t="n">
        <x:v>200</x:v>
      </x:c>
      <x:c r="L21" s="17" t="str">
        <x:v>Carried forward and included for URL recheck.</x:v>
      </x:c>
    </x:row>
    <x:row r="22">
      <x:c r="A22" s="17" t="n">
        <x:v>18</x:v>
      </x:c>
      <x:c r="B22" s="17" t="str">
        <x:v>King's College London</x:v>
      </x:c>
      <x:c r="C22" s="17" t="str">
        <x:v>United Kingdom</x:v>
      </x:c>
      <x:c r="D22" s="17" t="str">
        <x:v>QS Sustainability</x:v>
      </x:c>
      <x:c r="E22" s="17" t="str">
        <x:v>Environment, Politics and Development MSc</x:v>
      </x:c>
      <x:c r="F22" s="17" t="str">
        <x:v>Direct</x:v>
      </x:c>
      <x:c r="G22" s="17" t="str">
        <x:v>Confirmed</x:v>
      </x:c>
      <x:c r="H22" s="30" t="str">
        <x:v>https://www.kcl.ac.uk/study/postgraduate-taught/courses/environment-politics-and-development-msc</x:v>
      </x:c>
      <x:c r="I22" s="17" t="str">
        <x:v>2026-07-18</x:v>
      </x:c>
      <x:c r="J22" s="17" t="str">
        <x:v>OK</x:v>
      </x:c>
      <x:c r="K22" s="17" t="n">
        <x:v>200</x:v>
      </x:c>
      <x:c r="L22" s="17" t="str">
        <x:v>Carried forward and included for URL recheck.</x:v>
      </x:c>
    </x:row>
    <x:row r="23">
      <x:c r="A23" s="17" t="n">
        <x:v>19</x:v>
      </x:c>
      <x:c r="B23" s="17" t="str">
        <x:v>University of Bristol</x:v>
      </x:c>
      <x:c r="C23" s="17" t="str">
        <x:v>United Kingdom</x:v>
      </x:c>
      <x:c r="D23" s="17" t="str">
        <x:v>QS Sustainability</x:v>
      </x:c>
      <x:c r="E23" s="17" t="str">
        <x:v>MSc Environmental Policy and Management</x:v>
      </x:c>
      <x:c r="F23" s="17" t="str">
        <x:v>Direct</x:v>
      </x:c>
      <x:c r="G23" s="17" t="str">
        <x:v>Confirmed</x:v>
      </x:c>
      <x:c r="H23" s="30" t="str">
        <x:v>https://www.bristol.ac.uk/study/postgraduate/taught/msc-environmental-policy-and-management/</x:v>
      </x:c>
      <x:c r="I23" s="17" t="str">
        <x:v>2026-07-18</x:v>
      </x:c>
      <x:c r="J23" s="17" t="str">
        <x:v>OK</x:v>
      </x:c>
      <x:c r="K23" s="17" t="n">
        <x:v>200</x:v>
      </x:c>
      <x:c r="L23" s="17" t="str">
        <x:v>Current official degree page.</x:v>
      </x:c>
    </x:row>
    <x:row r="24">
      <x:c r="A24" s="17" t="n">
        <x:v>20</x:v>
      </x:c>
      <x:c r="B24" s="17" t="str">
        <x:v>New York University (NYU)</x:v>
      </x:c>
      <x:c r="C24" s="17" t="str">
        <x:v>United States</x:v>
      </x:c>
      <x:c r="D24" s="17" t="str">
        <x:v>QS Sustainability</x:v>
      </x:c>
      <x:c r="E24" s="17" t="str">
        <x:v>MS in Environmental Policy and Sustainability Management</x:v>
      </x:c>
      <x:c r="F24" s="17" t="str">
        <x:v>Direct</x:v>
      </x:c>
      <x:c r="G24" s="17" t="str">
        <x:v>Confirmed</x:v>
      </x:c>
      <x:c r="H24" s="30" t="str">
        <x:v>https://www.sps.nyu.edu/homepage/academics/masters-degrees/ms-in-environmental-policy-and-sustainability-management.html</x:v>
      </x:c>
      <x:c r="I24" s="17" t="str">
        <x:v>2026-07-18</x:v>
      </x:c>
      <x:c r="J24" s="17" t="str">
        <x:v>OK</x:v>
      </x:c>
      <x:c r="K24" s="17" t="n">
        <x:v>200</x:v>
      </x:c>
      <x:c r="L24" s="17" t="str">
        <x:v>Carried forward and included for URL recheck.</x:v>
      </x:c>
    </x:row>
    <x:row r="25">
      <x:c r="A25" s="17" t="n">
        <x:v>21</x:v>
      </x:c>
      <x:c r="B25" s="17" t="str">
        <x:v>Pennsylvania State University</x:v>
      </x:c>
      <x:c r="C25" s="17" t="str">
        <x:v>United States</x:v>
      </x:c>
      <x:c r="D25" s="17" t="str">
        <x:v>QS Sustainability</x:v>
      </x:c>
      <x:c r="E25" s="17" t="str">
        <x:v>Master of Professional Studies in Renewable Energy and Sustainability Systems</x:v>
      </x:c>
      <x:c r="F25" s="17" t="str">
        <x:v>Direct</x:v>
      </x:c>
      <x:c r="G25" s="17" t="str">
        <x:v>Confirmed</x:v>
      </x:c>
      <x:c r="H25" s="30" t="str">
        <x:v>https://www.ems.psu.edu/academics/find-program-study/renewable-energy-and-sustainability-systems-mps</x:v>
      </x:c>
      <x:c r="I25" s="17" t="str">
        <x:v>2026-07-18</x:v>
      </x:c>
      <x:c r="J25" s="17" t="str">
        <x:v>OK</x:v>
      </x:c>
      <x:c r="K25" s="17" t="n">
        <x:v>200</x:v>
      </x:c>
      <x:c r="L25" s="17" t="str">
        <x:v>Current official degree page.</x:v>
      </x:c>
    </x:row>
    <x:row r="26">
      <x:c r="A26" s="17" t="n">
        <x:v>22</x:v>
      </x:c>
      <x:c r="B26" s="17" t="str">
        <x:v>KU Leuven</x:v>
      </x:c>
      <x:c r="C26" s="17" t="str">
        <x:v>Belgium</x:v>
      </x:c>
      <x:c r="D26" s="17" t="str">
        <x:v>QS Sustainability</x:v>
      </x:c>
      <x:c r="E26" s="17" t="str">
        <x:v>Master of Sustainable Development</x:v>
      </x:c>
      <x:c r="F26" s="17" t="str">
        <x:v>Direct</x:v>
      </x:c>
      <x:c r="G26" s="17" t="str">
        <x:v>Confirmed</x:v>
      </x:c>
      <x:c r="H26" s="30" t="str">
        <x:v>https://www.kuleuven.be/programmes/master-sustainable-development</x:v>
      </x:c>
      <x:c r="I26" s="17" t="str">
        <x:v>2026-07-18</x:v>
      </x:c>
      <x:c r="J26" s="17" t="str">
        <x:v>OK</x:v>
      </x:c>
      <x:c r="K26" s="17" t="n">
        <x:v>200</x:v>
      </x:c>
      <x:c r="L26" s="17" t="str">
        <x:v>Carried forward and included for URL recheck.</x:v>
      </x:c>
    </x:row>
    <x:row r="27">
      <x:c r="A27" s="17" t="n">
        <x:v>23</x:v>
      </x:c>
      <x:c r="B27" s="17" t="str">
        <x:v>University of Helsinki</x:v>
      </x:c>
      <x:c r="C27" s="17" t="str">
        <x:v>Finland</x:v>
      </x:c>
      <x:c r="D27" s="17" t="str">
        <x:v>QS Sustainability</x:v>
      </x:c>
      <x:c r="E27" s="17" t="str">
        <x:v>Master's Programme in Environmental Change and Global Sustainability</x:v>
      </x:c>
      <x:c r="F27" s="17" t="str">
        <x:v>Direct</x:v>
      </x:c>
      <x:c r="G27" s="17" t="str">
        <x:v>Confirmed</x:v>
      </x:c>
      <x:c r="H27" s="30" t="str">
        <x:v>https://www.helsinki.fi/en/degree-programmes/environmental-change-and-global-sustainability-masters-programme</x:v>
      </x:c>
      <x:c r="I27" s="17" t="str">
        <x:v>2026-07-18</x:v>
      </x:c>
      <x:c r="J27" s="17" t="str">
        <x:v>OK</x:v>
      </x:c>
      <x:c r="K27" s="17" t="n">
        <x:v>200</x:v>
      </x:c>
      <x:c r="L27" s="17" t="str">
        <x:v>Current official degree page.</x:v>
      </x:c>
    </x:row>
    <x:row r="28">
      <x:c r="A28" s="17" t="n">
        <x:v>24</x:v>
      </x:c>
      <x:c r="B28" s="17" t="str">
        <x:v>Durham University</x:v>
      </x:c>
      <x:c r="C28" s="17" t="str">
        <x:v>United Kingdom</x:v>
      </x:c>
      <x:c r="D28" s="17" t="str">
        <x:v>QS Sustainability</x:v>
      </x:c>
      <x:c r="E28" s="17" t="str">
        <x:v>MSc Climate Change, Environmental Processes and Sustainable Futures</x:v>
      </x:c>
      <x:c r="F28" s="17" t="str">
        <x:v>Direct</x:v>
      </x:c>
      <x:c r="G28" s="17" t="str">
        <x:v>Confirmed</x:v>
      </x:c>
      <x:c r="H28" s="30" t="str">
        <x:v>https://www.durham.ac.uk/departments/academic/geography/postgraduate-study/taught-masters/</x:v>
      </x:c>
      <x:c r="I28" s="17" t="str">
        <x:v>2026-07-18</x:v>
      </x:c>
      <x:c r="J28" s="17" t="str">
        <x:v>OK</x:v>
      </x:c>
      <x:c r="K28" s="17" t="n">
        <x:v>200</x:v>
      </x:c>
      <x:c r="L28" s="17" t="str">
        <x:v>Official taught-master's listing; the program is new for 2026.</x:v>
      </x:c>
    </x:row>
    <x:row r="29">
      <x:c r="A29" s="17" t="n">
        <x:v>25</x:v>
      </x:c>
      <x:c r="B29" s="17" t="str">
        <x:v>University of Leeds</x:v>
      </x:c>
      <x:c r="C29" s="17" t="str">
        <x:v>United Kingdom</x:v>
      </x:c>
      <x:c r="D29" s="17" t="str">
        <x:v>QS Sustainability</x:v>
      </x:c>
      <x:c r="E29" s="17" t="str">
        <x:v>MSc Sustainability, Environment and Development</x:v>
      </x:c>
      <x:c r="F29" s="17" t="str">
        <x:v>Direct</x:v>
      </x:c>
      <x:c r="G29" s="17" t="str">
        <x:v>Confirmed</x:v>
      </x:c>
      <x:c r="H29" s="30" t="str">
        <x:v>https://courses.leeds.ac.uk/j985/sustainability-environment-and-development-msc</x:v>
      </x:c>
      <x:c r="I29" s="17" t="str">
        <x:v>2026-07-18</x:v>
      </x:c>
      <x:c r="J29" s="17" t="str">
        <x:v>OK</x:v>
      </x:c>
      <x:c r="K29" s="17" t="n">
        <x:v>200</x:v>
      </x:c>
      <x:c r="L29" s="17" t="str">
        <x:v>Official 2026 entry page.</x:v>
      </x:c>
    </x:row>
    <x:row r="30">
      <x:c r="A30" s="17" t="n">
        <x:v>26</x:v>
      </x:c>
      <x:c r="B30" s="17" t="str">
        <x:v>Western University</x:v>
      </x:c>
      <x:c r="C30" s="17" t="str">
        <x:v>Canada</x:v>
      </x:c>
      <x:c r="D30" s="17" t="str">
        <x:v>Both</x:v>
      </x:c>
      <x:c r="E30" s="17" t="str">
        <x:v>Master of Environment and Sustainability</x:v>
      </x:c>
      <x:c r="F30" s="17" t="str">
        <x:v>Direct</x:v>
      </x:c>
      <x:c r="G30" s="17" t="str">
        <x:v>Confirmed</x:v>
      </x:c>
      <x:c r="H30" s="30" t="str">
        <x:v>https://www.uwo.ca/mes/</x:v>
      </x:c>
      <x:c r="I30" s="17" t="str">
        <x:v>2026-07-18</x:v>
      </x:c>
      <x:c r="J30" s="17" t="str">
        <x:v>OK</x:v>
      </x:c>
      <x:c r="K30" s="17" t="n">
        <x:v>200</x:v>
      </x:c>
      <x:c r="L30" s="17" t="str">
        <x:v>Current official degree page.</x:v>
      </x:c>
    </x:row>
    <x:row r="31">
      <x:c r="A31" s="17" t="n">
        <x:v>27</x:v>
      </x:c>
      <x:c r="B31" s="17" t="str">
        <x:v>University of Glasgow</x:v>
      </x:c>
      <x:c r="C31" s="17" t="str">
        <x:v>United Kingdom</x:v>
      </x:c>
      <x:c r="D31" s="17" t="str">
        <x:v>Both</x:v>
      </x:c>
      <x:c r="E31" s="17" t="str">
        <x:v>MSc Environment &amp; Sustainable Development</x:v>
      </x:c>
      <x:c r="F31" s="17" t="str">
        <x:v>Direct</x:v>
      </x:c>
      <x:c r="G31" s="17" t="str">
        <x:v>Confirmed</x:v>
      </x:c>
      <x:c r="H31" s="30" t="str">
        <x:v>https://www.gla.ac.uk/postgraduate/taught/environmentsustainabledevelopment/</x:v>
      </x:c>
      <x:c r="I31" s="17" t="str">
        <x:v>2026-07-18</x:v>
      </x:c>
      <x:c r="J31" s="17" t="str">
        <x:v>OK</x:v>
      </x:c>
      <x:c r="K31" s="17" t="n">
        <x:v>200</x:v>
      </x:c>
      <x:c r="L31" s="17" t="str">
        <x:v>Current official degree page.</x:v>
      </x:c>
    </x:row>
    <x:row r="32">
      <x:c r="A32" s="17" t="n">
        <x:v>28</x:v>
      </x:c>
      <x:c r="B32" s="17" t="str">
        <x:v>The University of Auckland</x:v>
      </x:c>
      <x:c r="C32" s="17" t="str">
        <x:v>New Zealand</x:v>
      </x:c>
      <x:c r="D32" s="17" t="str">
        <x:v>QS Sustainability</x:v>
      </x:c>
      <x:c r="E32" s="17" t="str">
        <x:v>Master of Environmental Science</x:v>
      </x:c>
      <x:c r="F32" s="17" t="str">
        <x:v>Direct</x:v>
      </x:c>
      <x:c r="G32" s="17" t="str">
        <x:v>Confirmed</x:v>
      </x:c>
      <x:c r="H32" s="30" t="str">
        <x:v>https://www.auckland.ac.nz/en/study/study-options/find-a-study-option/master-of-environmental-science-menvsci.html</x:v>
      </x:c>
      <x:c r="I32" s="17" t="str">
        <x:v>2026-07-18</x:v>
      </x:c>
      <x:c r="J32" s="17" t="str">
        <x:v>OK</x:v>
      </x:c>
      <x:c r="K32" s="17" t="n">
        <x:v>200</x:v>
      </x:c>
      <x:c r="L32" s="17" t="str">
        <x:v>Current official degree page.</x:v>
      </x:c>
    </x:row>
    <x:row r="33">
      <x:c r="A33" s="17" t="n">
        <x:v>29</x:v>
      </x:c>
      <x:c r="B33" s="17" t="str">
        <x:v>Trinity College Dublin, The University of Dublin</x:v>
      </x:c>
      <x:c r="C33" s="17" t="str">
        <x:v>Ireland</x:v>
      </x:c>
      <x:c r="D33" s="17" t="str">
        <x:v>QS Sustainability</x:v>
      </x:c>
      <x:c r="E33" s="17" t="str">
        <x:v>MSc Environmental Sciences</x:v>
      </x:c>
      <x:c r="F33" s="17" t="str">
        <x:v>Direct</x:v>
      </x:c>
      <x:c r="G33" s="17" t="str">
        <x:v>Confirmed</x:v>
      </x:c>
      <x:c r="H33" s="30" t="str">
        <x:v>https://www.tcd.ie/courses/postgraduate/courses/environmental-sciences-msc--pgraddip/</x:v>
      </x:c>
      <x:c r="I33" s="17" t="str">
        <x:v>2026-07-18</x:v>
      </x:c>
      <x:c r="J33" s="17" t="str">
        <x:v>OK</x:v>
      </x:c>
      <x:c r="K33" s="17" t="n">
        <x:v>200</x:v>
      </x:c>
      <x:c r="L33" s="17" t="str">
        <x:v>Current official degree page.</x:v>
      </x:c>
    </x:row>
    <x:row r="34">
      <x:c r="A34" s="17" t="n">
        <x:v>30</x:v>
      </x:c>
      <x:c r="B34" s="17" t="str">
        <x:v>University of Pennsylvania</x:v>
      </x:c>
      <x:c r="C34" s="17" t="str">
        <x:v>United States</x:v>
      </x:c>
      <x:c r="D34" s="17" t="str">
        <x:v>QS Sustainability</x:v>
      </x:c>
      <x:c r="E34" s="17" t="str">
        <x:v>Master of Environmental Studies</x:v>
      </x:c>
      <x:c r="F34" s="17" t="str">
        <x:v>Direct</x:v>
      </x:c>
      <x:c r="G34" s="17" t="str">
        <x:v>Confirmed</x:v>
      </x:c>
      <x:c r="H34" s="30" t="str">
        <x:v>https://www.lps.upenn.edu/degree-programs/mes</x:v>
      </x:c>
      <x:c r="I34" s="17" t="str">
        <x:v>2026-07-18</x:v>
      </x:c>
      <x:c r="J34" s="17" t="str">
        <x:v>OK</x:v>
      </x:c>
      <x:c r="K34" s="17" t="n">
        <x:v>200</x:v>
      </x:c>
      <x:c r="L34" s="17" t="str">
        <x:v>Carried forward and included for URL recheck.</x:v>
      </x:c>
    </x:row>
    <x:row r="35">
      <x:c r="A35" s="17" t="n">
        <x:v>31</x:v>
      </x:c>
      <x:c r="B35" s="17" t="str">
        <x:v>University of Reading</x:v>
      </x:c>
      <x:c r="C35" s="17" t="str">
        <x:v>United Kingdom</x:v>
      </x:c>
      <x:c r="D35" s="17" t="str">
        <x:v>QS Sustainability</x:v>
      </x:c>
      <x:c r="E35" s="17" t="str">
        <x:v>MSc Environment, Climate Change and Development</x:v>
      </x:c>
      <x:c r="F35" s="17" t="str">
        <x:v>Direct</x:v>
      </x:c>
      <x:c r="G35" s="17" t="str">
        <x:v>Confirmed</x:v>
      </x:c>
      <x:c r="H35" s="30" t="str">
        <x:v>https://www.reading.ac.uk/ready-to-study/study/2026/international-development-and-applied-economics-pg/msc-climate-change-and-development</x:v>
      </x:c>
      <x:c r="I35" s="17" t="str">
        <x:v>2026-07-18</x:v>
      </x:c>
      <x:c r="J35" s="17" t="str">
        <x:v>OK</x:v>
      </x:c>
      <x:c r="K35" s="17" t="n">
        <x:v>200</x:v>
      </x:c>
      <x:c r="L35" s="17" t="str">
        <x:v>Official 2026 entry page.</x:v>
      </x:c>
    </x:row>
    <x:row r="36">
      <x:c r="A36" s="17" t="n">
        <x:v>32</x:v>
      </x:c>
      <x:c r="B36" s="17" t="str">
        <x:v>Uppsala University</x:v>
      </x:c>
      <x:c r="C36" s="17" t="str">
        <x:v>Sweden</x:v>
      </x:c>
      <x:c r="D36" s="17" t="str">
        <x:v>QS Sustainability</x:v>
      </x:c>
      <x:c r="E36" s="17" t="str">
        <x:v>Master's Programme in Sustainable Development</x:v>
      </x:c>
      <x:c r="F36" s="17" t="str">
        <x:v>Direct</x:v>
      </x:c>
      <x:c r="G36" s="17" t="str">
        <x:v>Confirmed</x:v>
      </x:c>
      <x:c r="H36" s="30" t="str">
        <x:v>https://www.uu.se/en/study/programme/masters-programme-sustainable-development.html</x:v>
      </x:c>
      <x:c r="I36" s="17" t="str">
        <x:v>2026-07-18</x:v>
      </x:c>
      <x:c r="J36" s="17" t="str">
        <x:v>OK</x:v>
      </x:c>
      <x:c r="K36" s="17" t="n">
        <x:v>200</x:v>
      </x:c>
      <x:c r="L36" s="17" t="str">
        <x:v>Current official degree page.</x:v>
      </x:c>
    </x:row>
    <x:row r="37">
      <x:c r="A37" s="17" t="n">
        <x:v>33</x:v>
      </x:c>
      <x:c r="B37" s="17" t="str">
        <x:v>Ghent University</x:v>
      </x:c>
      <x:c r="C37" s="17" t="str">
        <x:v>Belgium</x:v>
      </x:c>
      <x:c r="D37" s="17" t="str">
        <x:v>QS Sustainability</x:v>
      </x:c>
      <x:c r="E37" s="17" t="str">
        <x:v>International MSc in Sustainable and Innovative Natural Resource Management (SINReM)</x:v>
      </x:c>
      <x:c r="F37" s="17" t="str">
        <x:v>Direct</x:v>
      </x:c>
      <x:c r="G37" s="17" t="str">
        <x:v>Confirmed</x:v>
      </x:c>
      <x:c r="H37" s="30" t="str">
        <x:v>https://studiekiezer.ugent.be/infobrochure/en/IMSINR/2026</x:v>
      </x:c>
      <x:c r="I37" s="17" t="str">
        <x:v>2026-07-18</x:v>
      </x:c>
      <x:c r="J37" s="17" t="str">
        <x:v>OK</x:v>
      </x:c>
      <x:c r="K37" s="17" t="n">
        <x:v>200</x:v>
      </x:c>
      <x:c r="L37" s="17" t="str">
        <x:v>Official 2026 program brochure page.</x:v>
      </x:c>
    </x:row>
    <x:row r="38">
      <x:c r="A38" s="17" t="n">
        <x:v>34</x:v>
      </x:c>
      <x:c r="B38" s="17" t="str">
        <x:v>The University of Sheffield</x:v>
      </x:c>
      <x:c r="C38" s="17" t="str">
        <x:v>United Kingdom</x:v>
      </x:c>
      <x:c r="D38" s="17" t="str">
        <x:v>QS Sustainability</x:v>
      </x:c>
      <x:c r="E38" s="17" t="str">
        <x:v>MSc Environmental Change and International Development</x:v>
      </x:c>
      <x:c r="F38" s="17" t="str">
        <x:v>Direct</x:v>
      </x:c>
      <x:c r="G38" s="17" t="str">
        <x:v>Confirmed</x:v>
      </x:c>
      <x:c r="H38" s="30" t="str">
        <x:v>https://www.sheffield.ac.uk/postgraduate/taught/courses/2026/environmental-change-and-international-development-msc</x:v>
      </x:c>
      <x:c r="I38" s="17" t="str">
        <x:v>2026-07-18</x:v>
      </x:c>
      <x:c r="J38" s="17" t="str">
        <x:v>OK</x:v>
      </x:c>
      <x:c r="K38" s="17" t="n">
        <x:v>200</x:v>
      </x:c>
      <x:c r="L38" s="17" t="str">
        <x:v>Official 2026 course URL.</x:v>
      </x:c>
    </x:row>
    <x:row r="39">
      <x:c r="A39" s="17" t="n">
        <x:v>35</x:v>
      </x:c>
      <x:c r="B39" s="17" t="str">
        <x:v>Delft University of Technology</x:v>
      </x:c>
      <x:c r="C39" s="17" t="str">
        <x:v>Netherlands</x:v>
      </x:c>
      <x:c r="D39" s="17" t="str">
        <x:v>QS Sustainability</x:v>
      </x:c>
      <x:c r="E39" s="17" t="str">
        <x:v>MSc Industrial Ecology (joint Leiden University-TU Delft)</x:v>
      </x:c>
      <x:c r="F39" s="17" t="str">
        <x:v>Joint degree</x:v>
      </x:c>
      <x:c r="G39" s="17" t="str">
        <x:v>Confirmed</x:v>
      </x:c>
      <x:c r="H39" s="30" t="str">
        <x:v>https://www.universiteitleiden.nl/en/education/study-programmes/master/industrial-ecology/about-the-programme/programme-structure</x:v>
      </x:c>
      <x:c r="I39" s="17" t="str">
        <x:v>2026-07-18</x:v>
      </x:c>
      <x:c r="J39" s="17" t="str">
        <x:v>OK</x:v>
      </x:c>
      <x:c r="K39" s="17" t="n">
        <x:v>200</x:v>
      </x:c>
      <x:c r="L39" s="17" t="str">
        <x:v>Current joint Leiden University-TU Delft MSc; the official Leiden program page is used because the former TU Delft URL is retired.</x:v>
      </x:c>
    </x:row>
    <x:row r="40">
      <x:c r="A40" s="17" t="n">
        <x:v>36</x:v>
      </x:c>
      <x:c r="B40" s="17" t="str">
        <x:v>Michigan State University</x:v>
      </x:c>
      <x:c r="C40" s="17" t="str">
        <x:v>United States</x:v>
      </x:c>
      <x:c r="D40" s="17" t="str">
        <x:v>QS Sustainability</x:v>
      </x:c>
      <x:c r="E40" s="17" t="str">
        <x:v>MS Community Sustainability</x:v>
      </x:c>
      <x:c r="F40" s="17" t="str">
        <x:v>Direct</x:v>
      </x:c>
      <x:c r="G40" s="17" t="str">
        <x:v>Confirmed</x:v>
      </x:c>
      <x:c r="H40" s="30" t="str">
        <x:v>https://www.canr.msu.edu/csus/graduate/programs/</x:v>
      </x:c>
      <x:c r="I40" s="17" t="str">
        <x:v>2026-07-18</x:v>
      </x:c>
      <x:c r="J40" s="17" t="str">
        <x:v>OK</x:v>
      </x:c>
      <x:c r="K40" s="17" t="n">
        <x:v>200</x:v>
      </x:c>
      <x:c r="L40" s="17" t="str">
        <x:v>Official department graduate-program page.</x:v>
      </x:c>
    </x:row>
    <x:row r="41">
      <x:c r="A41" s="17" t="n">
        <x:v>37</x:v>
      </x:c>
      <x:c r="B41" s="17" t="str">
        <x:v>Monash University</x:v>
      </x:c>
      <x:c r="C41" s="17" t="str">
        <x:v>Australia</x:v>
      </x:c>
      <x:c r="D41" s="17" t="str">
        <x:v>QS Sustainability</x:v>
      </x:c>
      <x:c r="E41" s="17" t="str">
        <x:v>Master of Environment and Sustainability</x:v>
      </x:c>
      <x:c r="F41" s="17" t="str">
        <x:v>Direct</x:v>
      </x:c>
      <x:c r="G41" s="17" t="str">
        <x:v>Confirmed</x:v>
      </x:c>
      <x:c r="H41" s="30" t="str">
        <x:v>https://www.monash.edu/study/courses/find-a-course/environment-and-sustainability-s6002</x:v>
      </x:c>
      <x:c r="I41" s="17" t="str">
        <x:v>2026-07-18</x:v>
      </x:c>
      <x:c r="J41" s="17" t="str">
        <x:v>Blocked by site (403)</x:v>
      </x:c>
      <x:c r="K41" s="17" t="n">
        <x:v>403</x:v>
      </x:c>
      <x:c r="L41" s="17" t="str">
        <x:v>Carried forward and included for URL recheck.</x:v>
      </x:c>
    </x:row>
    <x:row r="42">
      <x:c r="A42" s="17" t="n">
        <x:v>38</x:v>
      </x:c>
      <x:c r="B42" s="17" t="str">
        <x:v>Seoul National University</x:v>
      </x:c>
      <x:c r="C42" s="17" t="str">
        <x:v>South Korea</x:v>
      </x:c>
      <x:c r="D42" s="17" t="str">
        <x:v>QS Sustainability</x:v>
      </x:c>
      <x:c r="E42" s="17" t="str">
        <x:v>Graduate School of Environmental Studies - Environmental Management</x:v>
      </x:c>
      <x:c r="F42" s="17" t="str">
        <x:v>Best-fit</x:v>
      </x:c>
      <x:c r="G42" s="17" t="str">
        <x:v>Confirmed</x:v>
      </x:c>
      <x:c r="H42" s="30" t="str">
        <x:v>https://gses.snu.ac.kr/</x:v>
      </x:c>
      <x:c r="I42" s="17" t="str">
        <x:v>2026-07-18</x:v>
      </x:c>
      <x:c r="J42" s="17" t="str">
        <x:v>OK</x:v>
      </x:c>
      <x:c r="K42" s="17" t="n">
        <x:v>200</x:v>
      </x:c>
      <x:c r="L42" s="17" t="str">
        <x:v>Official graduate-school page; Environmental Management is a field within GSES.</x:v>
      </x:c>
    </x:row>
    <x:row r="43">
      <x:c r="A43" s="17" t="n">
        <x:v>39</x:v>
      </x:c>
      <x:c r="B43" s="17" t="str">
        <x:v>University of Nottingham</x:v>
      </x:c>
      <x:c r="C43" s="17" t="str">
        <x:v>United Kingdom</x:v>
      </x:c>
      <x:c r="D43" s="17" t="str">
        <x:v>QS Sustainability</x:v>
      </x:c>
      <x:c r="E43" s="17" t="str">
        <x:v>MSc Environmental Leadership and Management</x:v>
      </x:c>
      <x:c r="F43" s="17" t="str">
        <x:v>Direct</x:v>
      </x:c>
      <x:c r="G43" s="17" t="str">
        <x:v>Confirmed</x:v>
      </x:c>
      <x:c r="H43" s="30" t="str">
        <x:v>https://www.nottingham.ac.uk/pgstudy/course/taught/environmental-leadership-and-management-msc</x:v>
      </x:c>
      <x:c r="I43" s="17" t="str">
        <x:v>2026-07-18</x:v>
      </x:c>
      <x:c r="J43" s="17" t="str">
        <x:v>OK</x:v>
      </x:c>
      <x:c r="K43" s="17" t="n">
        <x:v>200</x:v>
      </x:c>
      <x:c r="L43" s="17" t="str">
        <x:v>Current official degree page.</x:v>
      </x:c>
    </x:row>
    <x:row r="44">
      <x:c r="A44" s="17" t="n">
        <x:v>40</x:v>
      </x:c>
      <x:c r="B44" s="17" t="str">
        <x:v>University of York</x:v>
      </x:c>
      <x:c r="C44" s="17" t="str">
        <x:v>United Kingdom</x:v>
      </x:c>
      <x:c r="D44" s="17" t="str">
        <x:v>QS Sustainability</x:v>
      </x:c>
      <x:c r="E44" s="17" t="str">
        <x:v>MSc Corporate Sustainability and Environmental Management</x:v>
      </x:c>
      <x:c r="F44" s="17" t="str">
        <x:v>Direct</x:v>
      </x:c>
      <x:c r="G44" s="17" t="str">
        <x:v>Confirmed</x:v>
      </x:c>
      <x:c r="H44" s="30" t="str">
        <x:v>https://www.york.ac.uk/study/postgraduate-taught/courses/msc-corporate-sustainability-environment/</x:v>
      </x:c>
      <x:c r="I44" s="17" t="str">
        <x:v>2026-07-18</x:v>
      </x:c>
      <x:c r="J44" s="17" t="str">
        <x:v>OK</x:v>
      </x:c>
      <x:c r="K44" s="17" t="n">
        <x:v>200</x:v>
      </x:c>
      <x:c r="L44" s="17" t="str">
        <x:v>Current official degree page.</x:v>
      </x:c>
    </x:row>
    <x:row r="45">
      <x:c r="A45" s="17" t="n">
        <x:v>41</x:v>
      </x:c>
      <x:c r="B45" s="17" t="str">
        <x:v>Boston University</x:v>
      </x:c>
      <x:c r="C45" s="17" t="str">
        <x:v>United States</x:v>
      </x:c>
      <x:c r="D45" s="17" t="str">
        <x:v>QS Sustainability</x:v>
      </x:c>
      <x:c r="E45" s="17" t="str">
        <x:v>MS Innovation &amp; Entrepreneurship - Sustainability concentration</x:v>
      </x:c>
      <x:c r="F45" s="17" t="str">
        <x:v>Concentration</x:v>
      </x:c>
      <x:c r="G45" s="17" t="str">
        <x:v>Confirmed</x:v>
      </x:c>
      <x:c r="H45" s="30" t="str">
        <x:v>https://www.bu.edu/met/degrees-certificates/ms-innovation-entrepreneurship-sustainability/</x:v>
      </x:c>
      <x:c r="I45" s="17" t="str">
        <x:v>2026-07-18</x:v>
      </x:c>
      <x:c r="J45" s="17" t="str">
        <x:v>OK</x:v>
      </x:c>
      <x:c r="K45" s="17" t="n">
        <x:v>200</x:v>
      </x:c>
      <x:c r="L45" s="17" t="str">
        <x:v>A current sustainability concentration, not a standalone sustainability degree.</x:v>
      </x:c>
    </x:row>
    <x:row r="46">
      <x:c r="A46" s="17" t="n">
        <x:v>42</x:v>
      </x:c>
      <x:c r="B46" s="17" t="str">
        <x:v>Johns Hopkins University</x:v>
      </x:c>
      <x:c r="C46" s="17" t="str">
        <x:v>United States</x:v>
      </x:c>
      <x:c r="D46" s="17" t="str">
        <x:v>QS Sustainability</x:v>
      </x:c>
      <x:c r="E46" s="17" t="str">
        <x:v>MS in Energy Policy and Climate</x:v>
      </x:c>
      <x:c r="F46" s="17" t="str">
        <x:v>Direct</x:v>
      </x:c>
      <x:c r="G46" s="17" t="str">
        <x:v>Confirmed</x:v>
      </x:c>
      <x:c r="H46" s="30" t="str">
        <x:v>https://advanced.jhu.edu/academics/graduate/ms-energy-policy-climate/</x:v>
      </x:c>
      <x:c r="I46" s="17" t="str">
        <x:v>2026-07-18</x:v>
      </x:c>
      <x:c r="J46" s="17" t="str">
        <x:v>Blocked by site (403)</x:v>
      </x:c>
      <x:c r="K46" s="17" t="n">
        <x:v>403</x:v>
      </x:c>
      <x:c r="L46" s="17" t="str">
        <x:v>Carried forward and included for URL recheck.</x:v>
      </x:c>
    </x:row>
    <x:row r="47">
      <x:c r="A47" s="17" t="n">
        <x:v>43</x:v>
      </x:c>
      <x:c r="B47" s="17" t="str">
        <x:v>Massachusetts Institute of Technology (MIT)</x:v>
      </x:c>
      <x:c r="C47" s="17" t="str">
        <x:v>United States</x:v>
      </x:c>
      <x:c r="D47" s="17" t="str">
        <x:v>QS Sustainability</x:v>
      </x:c>
      <x:c r="E47" s="17" t="str">
        <x:v>Master in City Planning - Environmental Policy and Planning focus</x:v>
      </x:c>
      <x:c r="F47" s="17" t="str">
        <x:v>Concentration</x:v>
      </x:c>
      <x:c r="G47" s="17" t="str">
        <x:v>Confirmed</x:v>
      </x:c>
      <x:c r="H47" s="30" t="str">
        <x:v>https://dusp.mit.edu/masters</x:v>
      </x:c>
      <x:c r="I47" s="17" t="str">
        <x:v>2026-07-18</x:v>
      </x:c>
      <x:c r="J47" s="17" t="str">
        <x:v>OK</x:v>
      </x:c>
      <x:c r="K47" s="17" t="n">
        <x:v>200</x:v>
      </x:c>
      <x:c r="L47" s="17" t="str">
        <x:v>Environmental Policy and Planning is a focus within the Master in City Planning; URL updated to the current DUSP master's page.</x:v>
      </x:c>
    </x:row>
    <x:row r="48">
      <x:c r="A48" s="17" t="n">
        <x:v>44</x:v>
      </x:c>
      <x:c r="B48" s="17" t="str">
        <x:v>University of Birmingham</x:v>
      </x:c>
      <x:c r="C48" s="17" t="str">
        <x:v>United Kingdom</x:v>
      </x:c>
      <x:c r="D48" s="17" t="str">
        <x:v>QS Sustainability</x:v>
      </x:c>
      <x:c r="E48" s="17" t="str">
        <x:v>MSc Environment, Development and Politics</x:v>
      </x:c>
      <x:c r="F48" s="17" t="str">
        <x:v>Direct</x:v>
      </x:c>
      <x:c r="G48" s="17" t="str">
        <x:v>Confirmed</x:v>
      </x:c>
      <x:c r="H48" s="30" t="str">
        <x:v>https://www.birmingham.ac.uk/study/postgraduate/subjects/politics-development-and-international-relations-courses/environment-development-and-politics-msc</x:v>
      </x:c>
      <x:c r="I48" s="17" t="str">
        <x:v>2026-07-18</x:v>
      </x:c>
      <x:c r="J48" s="17" t="str">
        <x:v>OK</x:v>
      </x:c>
      <x:c r="K48" s="17" t="n">
        <x:v>200</x:v>
      </x:c>
      <x:c r="L48" s="17" t="str">
        <x:v>Current official degree page.</x:v>
      </x:c>
    </x:row>
    <x:row r="49">
      <x:c r="A49" s="17" t="n">
        <x:v>45</x:v>
      </x:c>
      <x:c r="B49" s="17" t="str">
        <x:v>Université Paris-Saclay</x:v>
      </x:c>
      <x:c r="C49" s="17" t="str">
        <x:v>France</x:v>
      </x:c>
      <x:c r="D49" s="17" t="str">
        <x:v>QS Sustainability</x:v>
      </x:c>
      <x:c r="E49" s="17" t="str">
        <x:v>M1 Corporate Social Responsibility and Environment</x:v>
      </x:c>
      <x:c r="F49" s="17" t="str">
        <x:v>Direct</x:v>
      </x:c>
      <x:c r="G49" s="17" t="str">
        <x:v>Confirmed</x:v>
      </x:c>
      <x:c r="H49" s="30" t="str">
        <x:v>https://www.universite-paris-saclay.fr/en/education/masters-degree/science-de-la-durabilite/m1-responsabilite-societale-des-entreprises-et-environnement-rsee</x:v>
      </x:c>
      <x:c r="I49" s="17" t="str">
        <x:v>2026-07-18</x:v>
      </x:c>
      <x:c r="J49" s="17" t="str">
        <x:v>OK</x:v>
      </x:c>
      <x:c r="K49" s="17" t="n">
        <x:v>200</x:v>
      </x:c>
      <x:c r="L49" s="17" t="str">
        <x:v>Official Sustainability Science master's pathway page.</x:v>
      </x:c>
    </x:row>
    <x:row r="50">
      <x:c r="A50" s="17" t="n">
        <x:v>46</x:v>
      </x:c>
      <x:c r="B50" s="17" t="str">
        <x:v>Universität Hamburg</x:v>
      </x:c>
      <x:c r="C50" s="17" t="str">
        <x:v>Germany</x:v>
      </x:c>
      <x:c r="D50" s="17" t="str">
        <x:v>QS Sustainability</x:v>
      </x:c>
      <x:c r="E50" s="17" t="str">
        <x:v>MSc Integrated Climate System Sciences</x:v>
      </x:c>
      <x:c r="F50" s="17" t="str">
        <x:v>Direct</x:v>
      </x:c>
      <x:c r="G50" s="17" t="str">
        <x:v>Confirmed</x:v>
      </x:c>
      <x:c r="H50" s="30" t="str">
        <x:v>https://www.geo.uni-hamburg.de/en/studium/master/msc-icss.html</x:v>
      </x:c>
      <x:c r="I50" s="17" t="str">
        <x:v>2026-07-18</x:v>
      </x:c>
      <x:c r="J50" s="17" t="str">
        <x:v>OK</x:v>
      </x:c>
      <x:c r="K50" s="17" t="n">
        <x:v>200</x:v>
      </x:c>
      <x:c r="L50" s="17" t="str">
        <x:v>Current official degree page.</x:v>
      </x:c>
    </x:row>
    <x:row r="51">
      <x:c r="A51" s="17" t="n">
        <x:v>47</x:v>
      </x:c>
      <x:c r="B51" s="17" t="str">
        <x:v>University College Dublin</x:v>
      </x:c>
      <x:c r="C51" s="17" t="str">
        <x:v>Ireland</x:v>
      </x:c>
      <x:c r="D51" s="17" t="str">
        <x:v>QS Sustainability</x:v>
      </x:c>
      <x:c r="E51" s="17" t="str">
        <x:v>MSc Environmental Policy, Strategy &amp; Leadership</x:v>
      </x:c>
      <x:c r="F51" s="17" t="str">
        <x:v>Direct</x:v>
      </x:c>
      <x:c r="G51" s="17" t="str">
        <x:v>Confirmed</x:v>
      </x:c>
      <x:c r="H51" s="30" t="str">
        <x:v>https://www.ucd.ie/envpolicy/study/</x:v>
      </x:c>
      <x:c r="I51" s="17" t="str">
        <x:v>2026-07-18</x:v>
      </x:c>
      <x:c r="J51" s="17" t="str">
        <x:v>OK</x:v>
      </x:c>
      <x:c r="K51" s="17" t="n">
        <x:v>200</x:v>
      </x:c>
      <x:c r="L51" s="17" t="str">
        <x:v>Official UCD Environmental Policy program page.</x:v>
      </x:c>
    </x:row>
    <x:row r="52">
      <x:c r="A52" s="17" t="n">
        <x:v>48</x:v>
      </x:c>
      <x:c r="B52" s="17" t="str">
        <x:v>The University of Tokyo</x:v>
      </x:c>
      <x:c r="C52" s="17" t="str">
        <x:v>Japan</x:v>
      </x:c>
      <x:c r="D52" s="17" t="str">
        <x:v>QS Sustainability</x:v>
      </x:c>
      <x:c r="E52" s="17" t="str">
        <x:v>Graduate Program in Sustainability Science - Global Leadership Initiative</x:v>
      </x:c>
      <x:c r="F52" s="17" t="str">
        <x:v>Direct</x:v>
      </x:c>
      <x:c r="G52" s="17" t="str">
        <x:v>Confirmed</x:v>
      </x:c>
      <x:c r="H52" s="30" t="str">
        <x:v>https://www.sustainability.k.u-tokyo.ac.jp/</x:v>
      </x:c>
      <x:c r="I52" s="17" t="str">
        <x:v>2026-07-18</x:v>
      </x:c>
      <x:c r="J52" s="17" t="str">
        <x:v>OK</x:v>
      </x:c>
      <x:c r="K52" s="17" t="n">
        <x:v>200</x:v>
      </x:c>
      <x:c r="L52" s="17" t="str">
        <x:v>Carried forward and included for URL recheck.</x:v>
      </x:c>
    </x:row>
    <x:row r="53">
      <x:c r="A53" s="17" t="n">
        <x:v>49</x:v>
      </x:c>
      <x:c r="B53" s="17" t="str">
        <x:v>University of Exeter</x:v>
      </x:c>
      <x:c r="C53" s="17" t="str">
        <x:v>United Kingdom</x:v>
      </x:c>
      <x:c r="D53" s="17" t="str">
        <x:v>Both</x:v>
      </x:c>
      <x:c r="E53" s="17" t="str">
        <x:v>MSc Global Sustainability Solutions</x:v>
      </x:c>
      <x:c r="F53" s="17" t="str">
        <x:v>Direct</x:v>
      </x:c>
      <x:c r="G53" s="17" t="str">
        <x:v>Confirmed</x:v>
      </x:c>
      <x:c r="H53" s="30" t="str">
        <x:v>https://www.exeter.ac.uk/masters-degrees/msc-global-sustainability-solutions/</x:v>
      </x:c>
      <x:c r="I53" s="17" t="str">
        <x:v>2026-07-18</x:v>
      </x:c>
      <x:c r="J53" s="17" t="str">
        <x:v>OK</x:v>
      </x:c>
      <x:c r="K53" s="17" t="n">
        <x:v>200</x:v>
      </x:c>
      <x:c r="L53" s="17" t="str">
        <x:v>Current official 2026 entry page.</x:v>
      </x:c>
    </x:row>
    <x:row r="54">
      <x:c r="A54" s="17" t="n">
        <x:v>50</x:v>
      </x:c>
      <x:c r="B54" s="17" t="str">
        <x:v>The University of Queensland</x:v>
      </x:c>
      <x:c r="C54" s="17" t="str">
        <x:v>Australia</x:v>
      </x:c>
      <x:c r="D54" s="17" t="str">
        <x:v>QS Sustainability</x:v>
      </x:c>
      <x:c r="E54" s="17" t="str">
        <x:v>Master of Environmental Management</x:v>
      </x:c>
      <x:c r="F54" s="17" t="str">
        <x:v>Direct</x:v>
      </x:c>
      <x:c r="G54" s="17" t="str">
        <x:v>Confirmed</x:v>
      </x:c>
      <x:c r="H54" s="30" t="str">
        <x:v>https://study.uq.edu.au/study-options/programs/master-environmental-management-5609</x:v>
      </x:c>
      <x:c r="I54" s="17" t="str">
        <x:v>2026-07-18</x:v>
      </x:c>
      <x:c r="J54" s="17" t="str">
        <x:v>OK</x:v>
      </x:c>
      <x:c r="K54" s="17" t="n">
        <x:v>200</x:v>
      </x:c>
      <x:c r="L54" s="17" t="str">
        <x:v>Carried forward and included for URL recheck.</x:v>
      </x:c>
    </x:row>
    <x:row r="55">
      <x:c r="A55" s="17" t="n">
        <x:v>51</x:v>
      </x:c>
      <x:c r="B55" s="17" t="str">
        <x:v>University of Gothenburg</x:v>
      </x:c>
      <x:c r="C55" s="17" t="str">
        <x:v>Sweden</x:v>
      </x:c>
      <x:c r="D55" s="17" t="str">
        <x:v>QS Sustainability</x:v>
      </x:c>
      <x:c r="E55" s="17" t="str">
        <x:v>Master's Programme in Environmental Sciences</x:v>
      </x:c>
      <x:c r="F55" s="17" t="str">
        <x:v>Direct</x:v>
      </x:c>
      <x:c r="G55" s="17" t="str">
        <x:v>Confirmed</x:v>
      </x:c>
      <x:c r="H55" s="30" t="str">
        <x:v>https://www.gu.se/en/study-gothenburg/environmental-sciences-n2mvn</x:v>
      </x:c>
      <x:c r="I55" s="17" t="str">
        <x:v>2026-07-18</x:v>
      </x:c>
      <x:c r="J55" s="17" t="str">
        <x:v>OK</x:v>
      </x:c>
      <x:c r="K55" s="17" t="n">
        <x:v>200</x:v>
      </x:c>
      <x:c r="L55" s="17" t="str">
        <x:v>Current official degree page.</x:v>
      </x:c>
    </x:row>
    <x:row r="56">
      <x:c r="A56" s="17" t="n">
        <x:v>52</x:v>
      </x:c>
      <x:c r="B56" s="17" t="str">
        <x:v>Griffith University</x:v>
      </x:c>
      <x:c r="C56" s="17" t="str">
        <x:v>Australia</x:v>
      </x:c>
      <x:c r="D56" s="17" t="str">
        <x:v>THE Impact</x:v>
      </x:c>
      <x:c r="E56" s="17" t="str">
        <x:v>Master of Global Development - Sustainable Development major</x:v>
      </x:c>
      <x:c r="F56" s="17" t="str">
        <x:v>Major</x:v>
      </x:c>
      <x:c r="G56" s="17" t="str">
        <x:v>Confirmed</x:v>
      </x:c>
      <x:c r="H56" s="30" t="str">
        <x:v>https://www.griffith.edu.au/study/degrees/master-of-global-development-5724</x:v>
      </x:c>
      <x:c r="I56" s="17" t="str">
        <x:v>2026-07-18</x:v>
      </x:c>
      <x:c r="J56" s="17" t="str">
        <x:v>Blocked by site (403)</x:v>
      </x:c>
      <x:c r="K56" s="17" t="n">
        <x:v>403</x:v>
      </x:c>
      <x:c r="L56" s="17" t="str">
        <x:v>Sustainability is a named major within the degree.</x:v>
      </x:c>
    </x:row>
    <x:row r="57">
      <x:c r="A57" s="17" t="n">
        <x:v>53</x:v>
      </x:c>
      <x:c r="B57" s="17" t="str">
        <x:v>Western Sydney University</x:v>
      </x:c>
      <x:c r="C57" s="17" t="str">
        <x:v>Australia</x:v>
      </x:c>
      <x:c r="D57" s="17" t="str">
        <x:v>THE Impact</x:v>
      </x:c>
      <x:c r="E57" s="17" t="str">
        <x:v>Master of Sustainable Tourism, Hospitality and Event Management</x:v>
      </x:c>
      <x:c r="F57" s="17" t="str">
        <x:v>Direct</x:v>
      </x:c>
      <x:c r="G57" s="17" t="str">
        <x:v>Confirmed</x:v>
      </x:c>
      <x:c r="H57" s="30" t="str">
        <x:v>https://www.westernsydney.edu.au/future/study/courses/postgraduate/master-of-sustainable-tourism-hospitality-and-event-management</x:v>
      </x:c>
      <x:c r="I57" s="17" t="str">
        <x:v>2026-07-18</x:v>
      </x:c>
      <x:c r="J57" s="17" t="str">
        <x:v>OK</x:v>
      </x:c>
      <x:c r="K57" s="17" t="n">
        <x:v>200</x:v>
      </x:c>
      <x:c r="L57" s="17" t="str">
        <x:v>Current official degree page; domain-specific sustainability program.</x:v>
      </x:c>
    </x:row>
    <x:row r="58">
      <x:c r="A58" s="17" t="n">
        <x:v>54</x:v>
      </x:c>
      <x:c r="B58" s="17" t="str">
        <x:v>Queen's University</x:v>
      </x:c>
      <x:c r="C58" s="17" t="str">
        <x:v>Canada</x:v>
      </x:c>
      <x:c r="D58" s="17" t="str">
        <x:v>THE Impact</x:v>
      </x:c>
      <x:c r="E58" s="17" t="str">
        <x:v>Master of Environmental Studies</x:v>
      </x:c>
      <x:c r="F58" s="17" t="str">
        <x:v>Direct</x:v>
      </x:c>
      <x:c r="G58" s="17" t="str">
        <x:v>Confirmed</x:v>
      </x:c>
      <x:c r="H58" s="30" t="str">
        <x:v>https://www.queensu.ca/ensc/graduate/programs-overview</x:v>
      </x:c>
      <x:c r="I58" s="17" t="str">
        <x:v>2026-07-18</x:v>
      </x:c>
      <x:c r="J58" s="17" t="str">
        <x:v>OK</x:v>
      </x:c>
      <x:c r="K58" s="17" t="n">
        <x:v>200</x:v>
      </x:c>
      <x:c r="L58" s="17" t="str">
        <x:v>Official graduate-program overview.</x:v>
      </x:c>
    </x:row>
    <x:row r="59">
      <x:c r="A59" s="17" t="n">
        <x:v>55</x:v>
      </x:c>
      <x:c r="B59" s="17" t="str">
        <x:v>Universiti Sains Malaysia</x:v>
      </x:c>
      <x:c r="C59" s="17" t="str">
        <x:v>Malaysia</x:v>
      </x:c>
      <x:c r="D59" s="17" t="str">
        <x:v>THE Impact</x:v>
      </x:c>
      <x:c r="E59" s="17" t="str">
        <x:v>Master in Sustainable Development Practice</x:v>
      </x:c>
      <x:c r="F59" s="17" t="str">
        <x:v>Direct</x:v>
      </x:c>
      <x:c r="G59" s="17" t="str">
        <x:v>Confirmed</x:v>
      </x:c>
      <x:c r="H59" s="30" t="str">
        <x:v>https://cgss.usm.my/programmes/postgraduate/coursework/masters-in-sustainable-development-practice-msdp</x:v>
      </x:c>
      <x:c r="I59" s="17" t="str">
        <x:v>2026-07-18</x:v>
      </x:c>
      <x:c r="J59" s="17" t="str">
        <x:v>OK</x:v>
      </x:c>
      <x:c r="K59" s="17" t="n">
        <x:v>200</x:v>
      </x:c>
      <x:c r="L59" s="17" t="str">
        <x:v>Current official degree page.</x:v>
      </x:c>
    </x:row>
    <x:row r="60">
      <x:c r="A60" s="17" t="n">
        <x:v>56</x:v>
      </x:c>
      <x:c r="B60" s="17" t="str">
        <x:v>Hanyang University</x:v>
      </x:c>
      <x:c r="C60" s="17" t="str">
        <x:v>South Korea</x:v>
      </x:c>
      <x:c r="D60" s="17" t="str">
        <x:v>THE Impact</x:v>
      </x:c>
      <x:c r="E60" s="17" t="str">
        <x:v>Master's majors in Global Climate and Environmental Studies</x:v>
      </x:c>
      <x:c r="F60" s="17" t="str">
        <x:v>Best-fit</x:v>
      </x:c>
      <x:c r="G60" s="17" t="str">
        <x:v>Confirmed</x:v>
      </x:c>
      <x:c r="H60" s="30" t="str">
        <x:v>https://hygce.hanyang.ac.kr/-eng-1</x:v>
      </x:c>
      <x:c r="I60" s="17" t="str">
        <x:v>2026-07-18</x:v>
      </x:c>
      <x:c r="J60" s="17" t="str">
        <x:v>OK</x:v>
      </x:c>
      <x:c r="K60" s="17" t="n">
        <x:v>200</x:v>
      </x:c>
      <x:c r="L60" s="17" t="str">
        <x:v>Official graduate-school page; several environment/climate majors rather than one generic degree.</x:v>
      </x:c>
    </x:row>
    <x:row r="61">
      <x:c r="A61" s="17" t="n">
        <x:v>57</x:v>
      </x:c>
      <x:c r="B61" s="17" t="str">
        <x:v>Hokkaido University</x:v>
      </x:c>
      <x:c r="C61" s="17" t="str">
        <x:v>Japan</x:v>
      </x:c>
      <x:c r="D61" s="17" t="str">
        <x:v>THE Impact</x:v>
      </x:c>
      <x:c r="E61" s="17" t="str">
        <x:v>Master's Program, Graduate School of Environmental Science</x:v>
      </x:c>
      <x:c r="F61" s="17" t="str">
        <x:v>Best-fit</x:v>
      </x:c>
      <x:c r="G61" s="17" t="str">
        <x:v>Confirmed</x:v>
      </x:c>
      <x:c r="H61" s="30" t="str">
        <x:v>https://www.ees.hokudai.ac.jp/?lang=en</x:v>
      </x:c>
      <x:c r="I61" s="17" t="str">
        <x:v>2026-07-18</x:v>
      </x:c>
      <x:c r="J61" s="17" t="str">
        <x:v>OK</x:v>
      </x:c>
      <x:c r="K61" s="17" t="n">
        <x:v>200</x:v>
      </x:c>
      <x:c r="L61" s="17" t="str">
        <x:v>Official graduate school page; select a division before analysis.</x:v>
      </x:c>
    </x:row>
    <x:row r="62">
      <x:c r="A62" s="17" t="n">
        <x:v>58</x:v>
      </x:c>
      <x:c r="B62" s="17" t="str">
        <x:v>Universiti Kebangsaan Malaysia</x:v>
      </x:c>
      <x:c r="C62" s="17" t="str">
        <x:v>Malaysia</x:v>
      </x:c>
      <x:c r="D62" s="17" t="str">
        <x:v>THE Impact</x:v>
      </x:c>
      <x:c r="E62" s="17" t="str">
        <x:v>Master of Science / Master of Arts in Environment and Development</x:v>
      </x:c>
      <x:c r="F62" s="17" t="str">
        <x:v>Research</x:v>
      </x:c>
      <x:c r="G62" s="17" t="str">
        <x:v>Confirmed</x:v>
      </x:c>
      <x:c r="H62" s="30" t="str">
        <x:v>https://www.ukm.my/lestari/program-siswazah/</x:v>
      </x:c>
      <x:c r="I62" s="17" t="str">
        <x:v>2026-07-18</x:v>
      </x:c>
      <x:c r="J62" s="17" t="str">
        <x:v>OK</x:v>
      </x:c>
      <x:c r="K62" s="17" t="n">
        <x:v>200</x:v>
      </x:c>
      <x:c r="L62" s="17" t="str">
        <x:v>Official LESTARI research-master's page.</x:v>
      </x:c>
    </x:row>
    <x:row r="63">
      <x:c r="A63" s="17" t="n">
        <x:v>59</x:v>
      </x:c>
      <x:c r="B63" s="17" t="str">
        <x:v>Institut Agro</x:v>
      </x:c>
      <x:c r="C63" s="17" t="str">
        <x:v>France</x:v>
      </x:c>
      <x:c r="D63" s="17" t="str">
        <x:v>THE Impact</x:v>
      </x:c>
      <x:c r="E63" s="17" t="str">
        <x:v>Master's pathway: Transitions in Environmental and Agrifood Systems Management</x:v>
      </x:c>
      <x:c r="F63" s="17" t="str">
        <x:v>Best-fit</x:v>
      </x:c>
      <x:c r="G63" s="17" t="str">
        <x:v>Confirmed</x:v>
      </x:c>
      <x:c r="H63" s="30" t="str">
        <x:v>https://www.institut-agro.fr/fr/nos-formations</x:v>
      </x:c>
      <x:c r="I63" s="17" t="str">
        <x:v>2026-07-18</x:v>
      </x:c>
      <x:c r="J63" s="17" t="str">
        <x:v>OK</x:v>
      </x:c>
      <x:c r="K63" s="17" t="n">
        <x:v>200</x:v>
      </x:c>
      <x:c r="L63" s="17" t="str">
        <x:v>Official program catalogue; pathway is delivered within the national master's structure.</x:v>
      </x:c>
    </x:row>
    <x:row r="64">
      <x:c r="A64" s="17" t="n">
        <x:v>60</x:v>
      </x:c>
      <x:c r="B64" s="17" t="str">
        <x:v>National Taiwan University (NTU)</x:v>
      </x:c>
      <x:c r="C64" s="17" t="str">
        <x:v>Taiwan</x:v>
      </x:c>
      <x:c r="D64" s="17" t="str">
        <x:v>THE Impact</x:v>
      </x:c>
      <x:c r="E64" s="17" t="str">
        <x:v>Master's Program in Biodiversity</x:v>
      </x:c>
      <x:c r="F64" s="17" t="str">
        <x:v>Direct</x:v>
      </x:c>
      <x:c r="G64" s="17" t="str">
        <x:v>Confirmed</x:v>
      </x:c>
      <x:c r="H64" s="30" t="str">
        <x:v>https://mpb.ntu.edu.tw/about/overview</x:v>
      </x:c>
      <x:c r="I64" s="17" t="str">
        <x:v>2026-07-18</x:v>
      </x:c>
      <x:c r="J64" s="17" t="str">
        <x:v>OK</x:v>
      </x:c>
      <x:c r="K64" s="17" t="n">
        <x:v>200</x:v>
      </x:c>
      <x:c r="L64" s="17" t="str">
        <x:v>English-taught program with a Biodiversity Conservation and Sustainability theme.</x:v>
      </x:c>
    </x:row>
    <x:row r="65">
      <x:c r="A65" s="17" t="n">
        <x:v>61</x:v>
      </x:c>
      <x:c r="B65" s="17" t="str">
        <x:v>University of Alberta</x:v>
      </x:c>
      <x:c r="C65" s="17" t="str">
        <x:v>Canada</x:v>
      </x:c>
      <x:c r="D65" s="17" t="str">
        <x:v>THE Impact</x:v>
      </x:c>
      <x:c r="E65" s="17" t="str">
        <x:v>Master of Sustainability</x:v>
      </x:c>
      <x:c r="F65" s="17" t="str">
        <x:v>Direct</x:v>
      </x:c>
      <x:c r="G65" s="17" t="str">
        <x:v>Confirmed</x:v>
      </x:c>
      <x:c r="H65" s="30" t="str">
        <x:v>https://apps.ualberta.ca/catalogue/course/sust</x:v>
      </x:c>
      <x:c r="I65" s="17" t="str">
        <x:v>2026-07-18</x:v>
      </x:c>
      <x:c r="J65" s="17" t="str">
        <x:v>OK</x:v>
      </x:c>
      <x:c r="K65" s="17" t="n">
        <x:v>200</x:v>
      </x:c>
      <x:c r="L65" s="17" t="str">
        <x:v>Official catalogue confirms the course-based Master of Sustainability and capstone.</x:v>
      </x:c>
    </x:row>
    <x:row r="66">
      <x:c r="A66" s="17" t="n">
        <x:v>62</x:v>
      </x:c>
      <x:c r="B66" s="17" t="str">
        <x:v>Korea University</x:v>
      </x:c>
      <x:c r="C66" s="17" t="str">
        <x:v>South Korea</x:v>
      </x:c>
      <x:c r="D66" s="17" t="str">
        <x:v>THE Impact</x:v>
      </x:c>
      <x:c r="E66" s="17" t="str">
        <x:v>Master's in Climatic Environment</x:v>
      </x:c>
      <x:c r="F66" s="17" t="str">
        <x:v>Best-fit</x:v>
      </x:c>
      <x:c r="G66" s="17" t="str">
        <x:v>Confirmed</x:v>
      </x:c>
      <x:c r="H66" s="30" t="str">
        <x:v>https://gsles.korea.edu/gsles_en/master/subject07.do</x:v>
      </x:c>
      <x:c r="I66" s="17" t="str">
        <x:v>2026-07-18</x:v>
      </x:c>
      <x:c r="J66" s="17" t="str">
        <x:v>OK</x:v>
      </x:c>
      <x:c r="K66" s="17" t="n">
        <x:v>200</x:v>
      </x:c>
      <x:c r="L66" s="17" t="str">
        <x:v>Official graduate-school major page.</x:v>
      </x:c>
    </x:row>
    <x:row r="67">
      <x:c r="A67" s="17" t="n">
        <x:v>63</x:v>
      </x:c>
      <x:c r="B67" s="17" t="str">
        <x:v>Universitas Airlangga</x:v>
      </x:c>
      <x:c r="C67" s="17" t="str">
        <x:v>Indonesia</x:v>
      </x:c>
      <x:c r="D67" s="17" t="str">
        <x:v>THE Impact</x:v>
      </x:c>
      <x:c r="E67" s="17" t="str">
        <x:v>Master of Environmental Health</x:v>
      </x:c>
      <x:c r="F67" s="17" t="str">
        <x:v>Direct</x:v>
      </x:c>
      <x:c r="G67" s="17" t="str">
        <x:v>Confirmed</x:v>
      </x:c>
      <x:c r="H67" s="30" t="str">
        <x:v>https://s2kesling.fkm.unair.ac.id/</x:v>
      </x:c>
      <x:c r="I67" s="17" t="str">
        <x:v>2026-07-18</x:v>
      </x:c>
      <x:c r="J67" s="17" t="str">
        <x:v>Automated fetch failed</x:v>
      </x:c>
      <x:c r="K67" s="17" t="str"/>
      <x:c r="L67" s="17" t="str">
        <x:v>Official program site.</x:v>
      </x:c>
    </x:row>
    <x:row r="68">
      <x:c r="A68" s="17" t="n">
        <x:v>64</x:v>
      </x:c>
      <x:c r="B68" s="17" t="str">
        <x:v>Pusan National University</x:v>
      </x:c>
      <x:c r="C68" s="17" t="str">
        <x:v>South Korea</x:v>
      </x:c>
      <x:c r="D68" s="17" t="str">
        <x:v>THE Impact</x:v>
      </x:c>
      <x:c r="E68" s="17" t="str">
        <x:v>Master's programs, Graduate School of Environment</x:v>
      </x:c>
      <x:c r="F68" s="17" t="str">
        <x:v>Best-fit</x:v>
      </x:c>
      <x:c r="G68" s="17" t="str">
        <x:v>Confirmed</x:v>
      </x:c>
      <x:c r="H68" s="30" t="str">
        <x:v>https://www.pusan.ac.kr/eng/CMS/OrganizationMgr/SpecialGraduateInfo.do?gc_code=280000&amp;gc_parent_code=NONE-009&amp;mCode=MN021</x:v>
      </x:c>
      <x:c r="I68" s="17" t="str">
        <x:v>2026-07-18</x:v>
      </x:c>
      <x:c r="J68" s="17" t="str">
        <x:v>OK</x:v>
      </x:c>
      <x:c r="K68" s="17" t="n">
        <x:v>200</x:v>
      </x:c>
      <x:c r="L68" s="17" t="str">
        <x:v>Official graduate-school page; choose the relevant environmental major.</x:v>
      </x:c>
    </x:row>
    <x:row r="69">
      <x:c r="A69" s="17" t="n">
        <x:v>65</x:v>
      </x:c>
      <x:c r="B69" s="17" t="str">
        <x:v>University of Tasmania</x:v>
      </x:c>
      <x:c r="C69" s="17" t="str">
        <x:v>Australia</x:v>
      </x:c>
      <x:c r="D69" s="17" t="str">
        <x:v>THE Impact</x:v>
      </x:c>
      <x:c r="E69" s="17" t="str">
        <x:v>Master of Environmental Geospatial Science</x:v>
      </x:c>
      <x:c r="F69" s="17" t="str">
        <x:v>Direct</x:v>
      </x:c>
      <x:c r="G69" s="17" t="str">
        <x:v>Confirmed</x:v>
      </x:c>
      <x:c r="H69" s="30" t="str">
        <x:v>https://www.utas.edu.au/courses/cse/courses/p7b-master-of-environmental-geospatial-science</x:v>
      </x:c>
      <x:c r="I69" s="17" t="str">
        <x:v>2026-07-18</x:v>
      </x:c>
      <x:c r="J69" s="17" t="str">
        <x:v>Blocked by site (403)</x:v>
      </x:c>
      <x:c r="K69" s="17" t="n">
        <x:v>403</x:v>
      </x:c>
      <x:c r="L69" s="17" t="str">
        <x:v>Current official degree page.</x:v>
      </x:c>
    </x:row>
    <x:row r="70">
      <x:c r="A70" s="17" t="n">
        <x:v>66</x:v>
      </x:c>
      <x:c r="B70" s="17" t="str">
        <x:v>McMaster University</x:v>
      </x:c>
      <x:c r="C70" s="17" t="str">
        <x:v>Canada</x:v>
      </x:c>
      <x:c r="D70" s="17" t="str">
        <x:v>THE Impact</x:v>
      </x:c>
      <x:c r="E70" s="17" t="str">
        <x:v>No directly qualifying sustainability/environment master's confirmed</x:v>
      </x:c>
      <x:c r="F70" s="17" t="str">
        <x:v>Unresolved</x:v>
      </x:c>
      <x:c r="G70" s="17" t="str">
        <x:v>Manual review required</x:v>
      </x:c>
      <x:c r="H70" s="30" t="str">
        <x:v>https://continuing.mcmaster.ca/programs/business/sustainability/</x:v>
      </x:c>
      <x:c r="I70" s="17" t="str">
        <x:v>2026-07-18</x:v>
      </x:c>
      <x:c r="J70" s="17" t="str">
        <x:v>OK</x:v>
      </x:c>
      <x:c r="K70" s="17" t="n">
        <x:v>200</x:v>
      </x:c>
      <x:c r="L70" s="17" t="str">
        <x:v>The official page found is a continuing-education sustainability certificate/diploma, not a master's degree.</x:v>
      </x:c>
    </x:row>
    <x:row r="71">
      <x:c r="A71" s="17" t="n">
        <x:v>67</x:v>
      </x:c>
      <x:c r="B71" s="17" t="str">
        <x:v>Chulalongkorn University</x:v>
      </x:c>
      <x:c r="C71" s="17" t="str">
        <x:v>Thailand</x:v>
      </x:c>
      <x:c r="D71" s="17" t="str">
        <x:v>THE Impact</x:v>
      </x:c>
      <x:c r="E71" s="17" t="str">
        <x:v>MA Environment, Development and Sustainability</x:v>
      </x:c>
      <x:c r="F71" s="17" t="str">
        <x:v>Direct</x:v>
      </x:c>
      <x:c r="G71" s="17" t="str">
        <x:v>Confirmed</x:v>
      </x:c>
      <x:c r="H71" s="30" t="str">
        <x:v>https://www.eds.grad.chula.ac.th/academics/degree-program/</x:v>
      </x:c>
      <x:c r="I71" s="17" t="str">
        <x:v>2026-07-18</x:v>
      </x:c>
      <x:c r="J71" s="17" t="str">
        <x:v>Automated fetch failed</x:v>
      </x:c>
      <x:c r="K71" s="17" t="str"/>
      <x:c r="L71" s="17" t="str">
        <x:v>Current official degree page.</x:v>
      </x:c>
    </x:row>
    <x:row r="72">
      <x:c r="A72" s="17" t="n">
        <x:v>68</x:v>
      </x:c>
      <x:c r="B72" s="17" t="str">
        <x:v>Kyungpook National University (KNU)</x:v>
      </x:c>
      <x:c r="C72" s="17" t="str">
        <x:v>South Korea</x:v>
      </x:c>
      <x:c r="D72" s="17" t="str">
        <x:v>THE Impact</x:v>
      </x:c>
      <x:c r="E72" s="17" t="str">
        <x:v>Graduate major in Environmental and Energy Engineering</x:v>
      </x:c>
      <x:c r="F72" s="17" t="str">
        <x:v>Best-fit</x:v>
      </x:c>
      <x:c r="G72" s="17" t="str">
        <x:v>Confirmed</x:v>
      </x:c>
      <x:c r="H72" s="30" t="str">
        <x:v>https://en.knu.ac.kr/admission/foreign02_inc.htm</x:v>
      </x:c>
      <x:c r="I72" s="17" t="str">
        <x:v>2026-07-18</x:v>
      </x:c>
      <x:c r="J72" s="17" t="str">
        <x:v>OK</x:v>
      </x:c>
      <x:c r="K72" s="17" t="n">
        <x:v>200</x:v>
      </x:c>
      <x:c r="L72" s="17" t="str">
        <x:v>Official graduate admissions listing; dedicated English program page was not located.</x:v>
      </x:c>
    </x:row>
    <x:row r="73">
      <x:c r="A73" s="17" t="n">
        <x:v>69</x:v>
      </x:c>
      <x:c r="B73" s="17" t="str">
        <x:v>The Hong Kong University of Science and Technology</x:v>
      </x:c>
      <x:c r="C73" s="17" t="str">
        <x:v>Hong Kong</x:v>
      </x:c>
      <x:c r="D73" s="17" t="str">
        <x:v>THE Impact</x:v>
      </x:c>
      <x:c r="E73" s="17" t="str">
        <x:v>MSc in Environmental Engineering and Management</x:v>
      </x:c>
      <x:c r="F73" s="17" t="str">
        <x:v>Direct</x:v>
      </x:c>
      <x:c r="G73" s="17" t="str">
        <x:v>Confirmed</x:v>
      </x:c>
      <x:c r="H73" s="30" t="str">
        <x:v>https://cee.hkust.edu.hk/msc-environmental-engineering-and-management</x:v>
      </x:c>
      <x:c r="I73" s="17" t="str">
        <x:v>2026-07-18</x:v>
      </x:c>
      <x:c r="J73" s="17" t="str">
        <x:v>Automated fetch failed</x:v>
      </x:c>
      <x:c r="K73" s="17" t="str"/>
      <x:c r="L73" s="17" t="str">
        <x:v>Carried forward and included for URL recheck.</x:v>
      </x:c>
    </x:row>
    <x:row r="74">
      <x:c r="A74" s="17" t="n">
        <x:v>70</x:v>
      </x:c>
      <x:c r="B74" s="17" t="str">
        <x:v>Lovely Professional University</x:v>
      </x:c>
      <x:c r="C74" s="17" t="str">
        <x:v>India</x:v>
      </x:c>
      <x:c r="D74" s="17" t="str">
        <x:v>THE Impact</x:v>
      </x:c>
      <x:c r="E74" s="17" t="str">
        <x:v>MSc Environmental Sciences</x:v>
      </x:c>
      <x:c r="F74" s="17" t="str">
        <x:v>Direct</x:v>
      </x:c>
      <x:c r="G74" s="17" t="str">
        <x:v>Confirmed</x:v>
      </x:c>
      <x:c r="H74" s="30" t="str">
        <x:v>https://www.lpu.in/international/programmes/msc-environmental-sciences</x:v>
      </x:c>
      <x:c r="I74" s="17" t="str">
        <x:v>2026-07-18</x:v>
      </x:c>
      <x:c r="J74" s="17" t="str">
        <x:v>OK</x:v>
      </x:c>
      <x:c r="K74" s="17" t="n">
        <x:v>200</x:v>
      </x:c>
      <x:c r="L74" s="17" t="str">
        <x:v>Current official international-program page.</x:v>
      </x:c>
    </x:row>
    <x:row r="75">
      <x:c r="A75" s="17" t="n">
        <x:v>71</x:v>
      </x:c>
      <x:c r="B75" s="17" t="str">
        <x:v>University of Malaya</x:v>
      </x:c>
      <x:c r="C75" s="17" t="str">
        <x:v>Malaysia</x:v>
      </x:c>
      <x:c r="D75" s="17" t="str">
        <x:v>THE Impact</x:v>
      </x:c>
      <x:c r="E75" s="17" t="str">
        <x:v>Master of Sustainability Science</x:v>
      </x:c>
      <x:c r="F75" s="17" t="str">
        <x:v>Direct</x:v>
      </x:c>
      <x:c r="G75" s="17" t="str">
        <x:v>Confirmed</x:v>
      </x:c>
      <x:c r="H75" s="30" t="str">
        <x:v>https://sts.um.edu.my/master-of-sustainability-science.html</x:v>
      </x:c>
      <x:c r="I75" s="17" t="str">
        <x:v>2026-07-18</x:v>
      </x:c>
      <x:c r="J75" s="17" t="str">
        <x:v>OK</x:v>
      </x:c>
      <x:c r="K75" s="17" t="n">
        <x:v>200</x:v>
      </x:c>
      <x:c r="L75" s="17" t="str">
        <x:v>Current official degree page.</x:v>
      </x:c>
    </x:row>
    <x:row r="76">
      <x:c r="A76" s="17" t="n">
        <x:v>72</x:v>
      </x:c>
      <x:c r="B76" s="17" t="str">
        <x:v>Aalborg University</x:v>
      </x:c>
      <x:c r="C76" s="17" t="str">
        <x:v>Denmark</x:v>
      </x:c>
      <x:c r="D76" s="17" t="str">
        <x:v>THE Impact</x:v>
      </x:c>
      <x:c r="E76" s="17" t="str">
        <x:v>MSc Engineering in Sustainable Cities</x:v>
      </x:c>
      <x:c r="F76" s="17" t="str">
        <x:v>Direct</x:v>
      </x:c>
      <x:c r="G76" s="17" t="str">
        <x:v>Confirmed</x:v>
      </x:c>
      <x:c r="H76" s="30" t="str">
        <x:v>https://www.en.aau.dk/education/master/sustainable-cities</x:v>
      </x:c>
      <x:c r="I76" s="17" t="str">
        <x:v>2026-07-18</x:v>
      </x:c>
      <x:c r="J76" s="17" t="str">
        <x:v>OK</x:v>
      </x:c>
      <x:c r="K76" s="17" t="n">
        <x:v>200</x:v>
      </x:c>
      <x:c r="L76" s="17" t="str">
        <x:v>Current official degree page.</x:v>
      </x:c>
    </x:row>
    <x:row r="77">
      <x:c r="A77" s="17" t="n">
        <x:v>73</x:v>
      </x:c>
      <x:c r="B77" s="17" t="str">
        <x:v>Kyung Hee University</x:v>
      </x:c>
      <x:c r="C77" s="17" t="str">
        <x:v>South Korea</x:v>
      </x:c>
      <x:c r="D77" s="17" t="str">
        <x:v>THE Impact</x:v>
      </x:c>
      <x:c r="E77" s="17" t="str">
        <x:v>Graduate pathway in Environmental Science and Engineering</x:v>
      </x:c>
      <x:c r="F77" s="17" t="str">
        <x:v>Best-fit</x:v>
      </x:c>
      <x:c r="G77" s="17" t="str">
        <x:v>Confirmed</x:v>
      </x:c>
      <x:c r="H77" s="30" t="str">
        <x:v>https://eng.khu.ac.kr/eng_eng/user/contents/view.do?menuNo=17200012</x:v>
      </x:c>
      <x:c r="I77" s="17" t="str">
        <x:v>2026-07-18</x:v>
      </x:c>
      <x:c r="J77" s="17" t="str">
        <x:v>OK</x:v>
      </x:c>
      <x:c r="K77" s="17" t="n">
        <x:v>200</x:v>
      </x:c>
      <x:c r="L77" s="17" t="str">
        <x:v>Official department page; not a standalone sustainability master's page.</x:v>
      </x:c>
    </x:row>
    <x:row r="78">
      <x:c r="A78" s="17" t="n">
        <x:v>74</x:v>
      </x:c>
      <x:c r="B78" s="17" t="str">
        <x:v>University of Victoria</x:v>
      </x:c>
      <x:c r="C78" s="17" t="str">
        <x:v>Canada</x:v>
      </x:c>
      <x:c r="D78" s="17" t="str">
        <x:v>THE Impact</x:v>
      </x:c>
      <x:c r="E78" s="17" t="str">
        <x:v>MA/MSc Environmental Studies</x:v>
      </x:c>
      <x:c r="F78" s="17" t="str">
        <x:v>Research</x:v>
      </x:c>
      <x:c r="G78" s="17" t="str">
        <x:v>Confirmed</x:v>
      </x:c>
      <x:c r="H78" s="30" t="str">
        <x:v>https://www.uvic.ca/socialsciences/environmental/programs/graduate/index.php</x:v>
      </x:c>
      <x:c r="I78" s="17" t="str">
        <x:v>2026-07-18</x:v>
      </x:c>
      <x:c r="J78" s="17" t="str">
        <x:v>OK</x:v>
      </x:c>
      <x:c r="K78" s="17" t="n">
        <x:v>200</x:v>
      </x:c>
      <x:c r="L78" s="17" t="str">
        <x:v>Official research-master's page.</x:v>
      </x:c>
    </x:row>
    <x:row r="79">
      <x:c r="A79" s="17" t="n">
        <x:v>76</x:v>
      </x:c>
      <x:c r="B79" s="17" t="str">
        <x:v>Central Queensland University</x:v>
      </x:c>
      <x:c r="C79" s="17" t="str">
        <x:v>Australia</x:v>
      </x:c>
      <x:c r="D79" s="17" t="str">
        <x:v>THE Impact</x:v>
      </x:c>
      <x:c r="E79" s="17" t="str">
        <x:v>Master of Sustainable Development</x:v>
      </x:c>
      <x:c r="F79" s="17" t="str">
        <x:v>Direct</x:v>
      </x:c>
      <x:c r="G79" s="17" t="str">
        <x:v>Confirmed</x:v>
      </x:c>
      <x:c r="H79" s="30" t="str">
        <x:v>https://handbook.cqu.edu.au/he/courses/view/CM82/HT1/2025</x:v>
      </x:c>
      <x:c r="I79" s="17" t="str">
        <x:v>2026-07-18</x:v>
      </x:c>
      <x:c r="J79" s="17" t="str">
        <x:v>OK</x:v>
      </x:c>
      <x:c r="K79" s="17" t="n">
        <x:v>200</x:v>
      </x:c>
      <x:c r="L79" s="17" t="str">
        <x:v>Official handbook page; the page shows current course information and 2026 fees.</x:v>
      </x:c>
    </x:row>
    <x:row r="80">
      <x:c r="A80" s="17" t="n">
        <x:v>77</x:v>
      </x:c>
      <x:c r="B80" s="17" t="str">
        <x:v>University of Newcastle</x:v>
      </x:c>
      <x:c r="C80" s="17" t="str">
        <x:v>Australia</x:v>
      </x:c>
      <x:c r="D80" s="17" t="str">
        <x:v>THE Impact</x:v>
      </x:c>
      <x:c r="E80" s="17" t="str">
        <x:v>Master of Environmental Management and Sustainability</x:v>
      </x:c>
      <x:c r="F80" s="17" t="str">
        <x:v>Direct</x:v>
      </x:c>
      <x:c r="G80" s="17" t="str">
        <x:v>Confirmed</x:v>
      </x:c>
      <x:c r="H80" s="30" t="str">
        <x:v>https://www.newcastle.edu.au/degrees/master-environmental-management-sustainability</x:v>
      </x:c>
      <x:c r="I80" s="17" t="str">
        <x:v>2026-07-18</x:v>
      </x:c>
      <x:c r="J80" s="17" t="str">
        <x:v>Blocked by site (403)</x:v>
      </x:c>
      <x:c r="K80" s="17" t="n">
        <x:v>403</x:v>
      </x:c>
      <x:c r="L80" s="17" t="str">
        <x:v>Current official degree page.</x:v>
      </x:c>
    </x:row>
    <x:row r="81">
      <x:c r="A81" s="17" t="n">
        <x:v>78</x:v>
      </x:c>
      <x:c r="B81" s="17" t="str">
        <x:v>Northumbria University</x:v>
      </x:c>
      <x:c r="C81" s="17" t="str">
        <x:v>United Kingdom</x:v>
      </x:c>
      <x:c r="D81" s="17" t="str">
        <x:v>THE Impact</x:v>
      </x:c>
      <x:c r="E81" s="17" t="str">
        <x:v>MSc Disaster Management and Sustainable Development</x:v>
      </x:c>
      <x:c r="F81" s="17" t="str">
        <x:v>Direct</x:v>
      </x:c>
      <x:c r="G81" s="17" t="str">
        <x:v>Confirmed</x:v>
      </x:c>
      <x:c r="H81" s="30" t="str">
        <x:v>https://www.northumbria.ac.uk/study-at-northumbria/courses/disaster-management-and-sustainable-development-with-advanced-practice-msc-ft-dtsdds6/</x:v>
      </x:c>
      <x:c r="I81" s="17" t="str">
        <x:v>2026-07-18</x:v>
      </x:c>
      <x:c r="J81" s="17" t="str">
        <x:v>OK</x:v>
      </x:c>
      <x:c r="K81" s="17" t="n">
        <x:v>200</x:v>
      </x:c>
      <x:c r="L81" s="17" t="str">
        <x:v>Current official 2026 program page.</x:v>
      </x:c>
    </x:row>
    <x:row r="82">
      <x:c r="A82" s="17" t="n">
        <x:v>79</x:v>
      </x:c>
      <x:c r="B82" s="17" t="str">
        <x:v>University of Indonesia</x:v>
      </x:c>
      <x:c r="C82" s="17" t="str">
        <x:v>Indonesia</x:v>
      </x:c>
      <x:c r="D82" s="17" t="str">
        <x:v>THE Impact</x:v>
      </x:c>
      <x:c r="E82" s="17" t="str">
        <x:v>Master of Environmental Science</x:v>
      </x:c>
      <x:c r="F82" s="17" t="str">
        <x:v>Direct</x:v>
      </x:c>
      <x:c r="G82" s="17" t="str">
        <x:v>Confirmed</x:v>
      </x:c>
      <x:c r="H82" s="30" t="str">
        <x:v>https://sil.ui.ac.id/en/master-of-environmental-science/</x:v>
      </x:c>
      <x:c r="I82" s="17" t="str">
        <x:v>2026-07-18</x:v>
      </x:c>
      <x:c r="J82" s="17" t="str">
        <x:v>OK</x:v>
      </x:c>
      <x:c r="K82" s="17" t="n">
        <x:v>200</x:v>
      </x:c>
      <x:c r="L82" s="17" t="str">
        <x:v>Current official degree page.</x:v>
      </x:c>
    </x:row>
    <x:row r="83">
      <x:c r="A83" s="17" t="n">
        <x:v>80</x:v>
      </x:c>
      <x:c r="B83" s="17" t="str">
        <x:v>An-Najah National University</x:v>
      </x:c>
      <x:c r="C83" s="17" t="str">
        <x:v>Palestine</x:v>
      </x:c>
      <x:c r="D83" s="17" t="str">
        <x:v>THE Impact</x:v>
      </x:c>
      <x:c r="E83" s="17" t="str">
        <x:v>MSc Environmental Sciences</x:v>
      </x:c>
      <x:c r="F83" s="17" t="str">
        <x:v>Direct</x:v>
      </x:c>
      <x:c r="G83" s="17" t="str">
        <x:v>Confirmed</x:v>
      </x:c>
      <x:c r="H83" s="30" t="str">
        <x:v>https://www.najah.edu/en/academic/postgraduate-programs/program/environmental-sciences/info-card/</x:v>
      </x:c>
      <x:c r="I83" s="17" t="str">
        <x:v>2026-07-18</x:v>
      </x:c>
      <x:c r="J83" s="17" t="str">
        <x:v>OK</x:v>
      </x:c>
      <x:c r="K83" s="17" t="n">
        <x:v>200</x:v>
      </x:c>
      <x:c r="L83" s="17" t="str">
        <x:v>Current official degree page.</x:v>
      </x:c>
    </x:row>
    <x:row r="84">
      <x:c r="A84" s="17" t="n">
        <x:v>81</x:v>
      </x:c>
      <x:c r="B84" s="17" t="str">
        <x:v>Arizona State University (Tempe)</x:v>
      </x:c>
      <x:c r="C84" s="17" t="str">
        <x:v>United States</x:v>
      </x:c>
      <x:c r="D84" s="17" t="str">
        <x:v>THE Impact</x:v>
      </x:c>
      <x:c r="E84" s="17" t="str">
        <x:v>Master of Sustainability Solutions</x:v>
      </x:c>
      <x:c r="F84" s="17" t="str">
        <x:v>Direct</x:v>
      </x:c>
      <x:c r="G84" s="17" t="str">
        <x:v>Confirmed</x:v>
      </x:c>
      <x:c r="H84" s="30" t="str">
        <x:v>https://degrees.apps.asu.edu/masters-phd/major/ASU00/SUSUSOMSUS/sustainability-solutions-msus?init=false&amp;nopassive=true</x:v>
      </x:c>
      <x:c r="I84" s="17" t="str">
        <x:v>2026-07-18</x:v>
      </x:c>
      <x:c r="J84" s="17" t="str">
        <x:v>OK</x:v>
      </x:c>
      <x:c r="K84" s="17" t="n">
        <x:v>200</x:v>
      </x:c>
      <x:c r="L84" s="17" t="str">
        <x:v>Official degree-search page for the Tempe program.</x:v>
      </x:c>
    </x:row>
    <x:row r="85">
      <x:c r="A85" s="17" t="n">
        <x:v>82</x:v>
      </x:c>
      <x:c r="B85" s="17" t="str">
        <x:v>King Faisal University</x:v>
      </x:c>
      <x:c r="C85" s="17" t="str">
        <x:v>Saudi Arabia</x:v>
      </x:c>
      <x:c r="D85" s="17" t="str">
        <x:v>THE Impact</x:v>
      </x:c>
      <x:c r="E85" s="17" t="str">
        <x:v>MSc Agricultural Systems Engineering - Environmental Systems discipline</x:v>
      </x:c>
      <x:c r="F85" s="17" t="str">
        <x:v>Specialization</x:v>
      </x:c>
      <x:c r="G85" s="17" t="str">
        <x:v>Confirmed</x:v>
      </x:c>
      <x:c r="H85" s="30" t="str">
        <x:v>https://www.kfu.edu.sa/ar/Deans/HigherStudies/Documents/custompages/studyplans/MSc_Agriculture_Engineering_Information.pdf</x:v>
      </x:c>
      <x:c r="I85" s="17" t="str">
        <x:v>2026-07-18</x:v>
      </x:c>
      <x:c r="J85" s="17" t="str">
        <x:v>Automated fetch failed</x:v>
      </x:c>
      <x:c r="K85" s="17" t="str"/>
      <x:c r="L85" s="17" t="str">
        <x:v>Official study plan; sustainability/environment is a discipline within a broader engineering master's.</x:v>
      </x:c>
    </x:row>
    <x:row r="86">
      <x:c r="A86" s="17" t="n">
        <x:v>83</x:v>
      </x:c>
      <x:c r="B86" s="17" t="str">
        <x:v>Flinders University</x:v>
      </x:c>
      <x:c r="C86" s="17" t="str">
        <x:v>Australia</x:v>
      </x:c>
      <x:c r="D86" s="17" t="str">
        <x:v>THE Impact</x:v>
      </x:c>
      <x:c r="E86" s="17" t="str">
        <x:v>Master of Environmental Management and Sustainability</x:v>
      </x:c>
      <x:c r="F86" s="17" t="str">
        <x:v>Direct</x:v>
      </x:c>
      <x:c r="G86" s="17" t="str">
        <x:v>Confirmed</x:v>
      </x:c>
      <x:c r="H86" s="30" t="str">
        <x:v>https://www.flinders.edu.au/study/courses/postgraduate-environmental-management-sustainability</x:v>
      </x:c>
      <x:c r="I86" s="17" t="str">
        <x:v>2026-07-18</x:v>
      </x:c>
      <x:c r="J86" s="17" t="str">
        <x:v>OK</x:v>
      </x:c>
      <x:c r="K86" s="17" t="n">
        <x:v>200</x:v>
      </x:c>
      <x:c r="L86" s="17" t="str">
        <x:v>Current official degree page.</x:v>
      </x:c>
    </x:row>
    <x:row r="87">
      <x:c r="A87" s="17" t="n">
        <x:v>84</x:v>
      </x:c>
      <x:c r="B87" s="17" t="str">
        <x:v>Amrita Vishwa Vidyapeetham</x:v>
      </x:c>
      <x:c r="C87" s="17" t="str">
        <x:v>India</x:v>
      </x:c>
      <x:c r="D87" s="17" t="str">
        <x:v>THE Impact</x:v>
      </x:c>
      <x:c r="E87" s="17" t="str">
        <x:v>No standalone sustainability/environment master's confirmed</x:v>
      </x:c>
      <x:c r="F87" s="17" t="str">
        <x:v>Unresolved</x:v>
      </x:c>
      <x:c r="G87" s="17" t="str">
        <x:v>Manual review required</x:v>
      </x:c>
      <x:c r="H87" s="30" t="str">
        <x:v>https://www.amrita.edu/course/environmental-science-and-sustainability-6/</x:v>
      </x:c>
      <x:c r="I87" s="17" t="str">
        <x:v>2026-07-18</x:v>
      </x:c>
      <x:c r="J87" s="17" t="str">
        <x:v>OK</x:v>
      </x:c>
      <x:c r="K87" s="17" t="n">
        <x:v>200</x:v>
      </x:c>
      <x:c r="L87" s="17" t="str">
        <x:v>The official page found is a course within other programs, not a standalone master's degree.</x:v>
      </x:c>
    </x:row>
    <x:row r="88">
      <x:c r="A88" s="17" t="n">
        <x:v>85</x:v>
      </x:c>
      <x:c r="B88" s="17" t="str">
        <x:v>Queen's University Belfast</x:v>
      </x:c>
      <x:c r="C88" s="17" t="str">
        <x:v>United Kingdom</x:v>
      </x:c>
      <x:c r="D88" s="17" t="str">
        <x:v>THE Impact</x:v>
      </x:c>
      <x:c r="E88" s="17" t="str">
        <x:v>MSc Leadership for Sustainable Development</x:v>
      </x:c>
      <x:c r="F88" s="17" t="str">
        <x:v>Direct</x:v>
      </x:c>
      <x:c r="G88" s="17" t="str">
        <x:v>Confirmed</x:v>
      </x:c>
      <x:c r="H88" s="30" t="str">
        <x:v>https://www.qub.ac.uk/courses/postgraduate-taught/leadership-sustainable-development-msc/</x:v>
      </x:c>
      <x:c r="I88" s="17" t="str">
        <x:v>2026-07-18</x:v>
      </x:c>
      <x:c r="J88" s="17" t="str">
        <x:v>OK</x:v>
      </x:c>
      <x:c r="K88" s="17" t="n">
        <x:v>200</x:v>
      </x:c>
      <x:c r="L88" s="17" t="str">
        <x:v>Current official degree page.</x:v>
      </x:c>
    </x:row>
    <x:row r="89">
      <x:c r="A89" s="17" t="n">
        <x:v>86</x:v>
      </x:c>
      <x:c r="B89" s="17" t="str">
        <x:v>Near East University</x:v>
      </x:c>
      <x:c r="C89" s="17" t="str">
        <x:v>Northern Cyprus</x:v>
      </x:c>
      <x:c r="D89" s="17" t="str">
        <x:v>THE Impact</x:v>
      </x:c>
      <x:c r="E89" s="17" t="str">
        <x:v>Master's in Environmental Education</x:v>
      </x:c>
      <x:c r="F89" s="17" t="str">
        <x:v>Best-fit</x:v>
      </x:c>
      <x:c r="G89" s="17" t="str">
        <x:v>Confirmed</x:v>
      </x:c>
      <x:c r="H89" s="30" t="str">
        <x:v>https://sustainability.neu.edu.tr/education/sustainability-programmes/</x:v>
      </x:c>
      <x:c r="I89" s="17" t="str">
        <x:v>2026-07-18</x:v>
      </x:c>
      <x:c r="J89" s="17" t="str">
        <x:v>Blocked by site (403)</x:v>
      </x:c>
      <x:c r="K89" s="17" t="n">
        <x:v>403</x:v>
      </x:c>
      <x:c r="L89" s="17" t="str">
        <x:v>Official sustainability-program listing; verify language and current admissions manually.</x:v>
      </x:c>
    </x:row>
    <x:row r="90">
      <x:c r="A90" s="17" t="n">
        <x:v>87</x:v>
      </x:c>
      <x:c r="B90" s="17" t="str">
        <x:v>University of Johannesburg</x:v>
      </x:c>
      <x:c r="C90" s="17" t="str">
        <x:v>South Africa</x:v>
      </x:c>
      <x:c r="D90" s="17" t="str">
        <x:v>THE Impact</x:v>
      </x:c>
      <x:c r="E90" s="17" t="str">
        <x:v>Master's in Sustainability Management</x:v>
      </x:c>
      <x:c r="F90" s="17" t="str">
        <x:v>Direct</x:v>
      </x:c>
      <x:c r="G90" s="17" t="str">
        <x:v>Confirmed</x:v>
      </x:c>
      <x:c r="H90" s="30" t="str">
        <x:v>https://www.uj.ac.za/university-courses/masters-in-sustainability-management/</x:v>
      </x:c>
      <x:c r="I90" s="17" t="str">
        <x:v>2026-07-18</x:v>
      </x:c>
      <x:c r="J90" s="17" t="str">
        <x:v>Blocked by site (403)</x:v>
      </x:c>
      <x:c r="K90" s="17" t="n">
        <x:v>403</x:v>
      </x:c>
      <x:c r="L90" s="17" t="str">
        <x:v>Official 2026 program page.</x:v>
      </x:c>
    </x:row>
    <x:row r="91">
      <x:c r="A91" s="17" t="n">
        <x:v>88</x:v>
      </x:c>
      <x:c r="B91" s="17" t="str">
        <x:v>Universitas Gadjah Mada</x:v>
      </x:c>
      <x:c r="C91" s="17" t="str">
        <x:v>Indonesia</x:v>
      </x:c>
      <x:c r="D91" s="17" t="str">
        <x:v>THE Impact</x:v>
      </x:c>
      <x:c r="E91" s="17" t="str">
        <x:v>Master in Environmental Science</x:v>
      </x:c>
      <x:c r="F91" s="17" t="str">
        <x:v>Direct</x:v>
      </x:c>
      <x:c r="G91" s="17" t="str">
        <x:v>Confirmed</x:v>
      </x:c>
      <x:c r="H91" s="30" t="str">
        <x:v>https://admissions.ugm.ac.id/v26/program-studi/magister-ilmu-lingkungan-master-in-environmental-science/</x:v>
      </x:c>
      <x:c r="I91" s="17" t="str">
        <x:v>2026-07-18</x:v>
      </x:c>
      <x:c r="J91" s="17" t="str">
        <x:v>OK</x:v>
      </x:c>
      <x:c r="K91" s="17" t="n">
        <x:v>200</x:v>
      </x:c>
      <x:c r="L91" s="17" t="str">
        <x:v>Current official admissions page.</x:v>
      </x:c>
    </x:row>
    <x:row r="92">
      <x:c r="A92" s="17" t="n">
        <x:v>89</x:v>
      </x:c>
      <x:c r="B92" s="17" t="str">
        <x:v>University of Wollongong</x:v>
      </x:c>
      <x:c r="C92" s="17" t="str">
        <x:v>Australia</x:v>
      </x:c>
      <x:c r="D92" s="17" t="str">
        <x:v>THE Impact</x:v>
      </x:c>
      <x:c r="E92" s="17" t="str">
        <x:v>Master of Earth and Environmental Sciences</x:v>
      </x:c>
      <x:c r="F92" s="17" t="str">
        <x:v>Direct</x:v>
      </x:c>
      <x:c r="G92" s="17" t="str">
        <x:v>Confirmed</x:v>
      </x:c>
      <x:c r="H92" s="30" t="str">
        <x:v>https://www.uow.edu.au/study/courses/master-of-earth-and-environmental-sciences/</x:v>
      </x:c>
      <x:c r="I92" s="17" t="str">
        <x:v>2026-07-18</x:v>
      </x:c>
      <x:c r="J92" s="17" t="str">
        <x:v>OK</x:v>
      </x:c>
      <x:c r="K92" s="17" t="n">
        <x:v>200</x:v>
      </x:c>
      <x:c r="L92" s="17" t="str">
        <x:v>Current official degree page.</x:v>
      </x:c>
    </x:row>
    <x:row r="93">
      <x:c r="A93" s="17" t="n">
        <x:v>90</x:v>
      </x:c>
      <x:c r="B93" s="17" t="str">
        <x:v>Yonsei University (Seoul campus)</x:v>
      </x:c>
      <x:c r="C93" s="17" t="str">
        <x:v>South Korea</x:v>
      </x:c>
      <x:c r="D93" s="17" t="str">
        <x:v>THE Impact</x:v>
      </x:c>
      <x:c r="E93" s="17" t="str">
        <x:v>Master of Global Civic Studies - Global Citizenship and Sustainable Development</x:v>
      </x:c>
      <x:c r="F93" s="17" t="str">
        <x:v>Major</x:v>
      </x:c>
      <x:c r="G93" s="17" t="str">
        <x:v>Confirmed</x:v>
      </x:c>
      <x:c r="H93" s="30" t="str">
        <x:v>https://lawschool.yonsei.ac.kr/gsis/intro/status.do</x:v>
      </x:c>
      <x:c r="I93" s="17" t="str">
        <x:v>2026-07-18</x:v>
      </x:c>
      <x:c r="J93" s="17" t="str">
        <x:v>OK</x:v>
      </x:c>
      <x:c r="K93" s="17" t="n">
        <x:v>200</x:v>
      </x:c>
      <x:c r="L93" s="17" t="str">
        <x:v>Current GSIS degree/major is Global Citizenship and Sustainable Development; the previous program name and URL were retired.</x:v>
      </x:c>
    </x:row>
    <x:row r="94">
      <x:c r="A94" s="17" t="n">
        <x:v>91</x:v>
      </x:c>
      <x:c r="B94" s="17" t="str">
        <x:v>Sunway University</x:v>
      </x:c>
      <x:c r="C94" s="17" t="str">
        <x:v>Malaysia</x:v>
      </x:c>
      <x:c r="D94" s="17" t="str">
        <x:v>THE Impact</x:v>
      </x:c>
      <x:c r="E94" s="17" t="str">
        <x:v>Master in Sustainable Development Management</x:v>
      </x:c>
      <x:c r="F94" s="17" t="str">
        <x:v>Direct</x:v>
      </x:c>
      <x:c r="G94" s="17" t="str">
        <x:v>Confirmed</x:v>
      </x:c>
      <x:c r="H94" s="30" t="str">
        <x:v>https://sunwayuniversity.edu.my/jsc/courses/master-sustainable-development-management-0</x:v>
      </x:c>
      <x:c r="I94" s="17" t="str">
        <x:v>2026-07-18</x:v>
      </x:c>
      <x:c r="J94" s="17" t="str">
        <x:v>OK</x:v>
      </x:c>
      <x:c r="K94" s="17" t="n">
        <x:v>200</x:v>
      </x:c>
      <x:c r="L94" s="17" t="str">
        <x:v>Current official degree page.</x:v>
      </x:c>
    </x:row>
    <x:row r="95">
      <x:c r="A95" s="17" t="n">
        <x:v>92</x:v>
      </x:c>
      <x:c r="B95" s="17" t="str">
        <x:v>Thammasat University</x:v>
      </x:c>
      <x:c r="C95" s="17" t="str">
        <x:v>Thailand</x:v>
      </x:c>
      <x:c r="D95" s="17" t="str">
        <x:v>THE Impact</x:v>
      </x:c>
      <x:c r="E95" s="17" t="str">
        <x:v>MA Social Innovation and Sustainability</x:v>
      </x:c>
      <x:c r="F95" s="17" t="str">
        <x:v>Direct</x:v>
      </x:c>
      <x:c r="G95" s="17" t="str">
        <x:v>Confirmed</x:v>
      </x:c>
      <x:c r="H95" s="30" t="str">
        <x:v>https://sgs.tu.ac.th/ma-program/</x:v>
      </x:c>
      <x:c r="I95" s="17" t="str">
        <x:v>2026-07-18</x:v>
      </x:c>
      <x:c r="J95" s="17" t="str">
        <x:v>OK</x:v>
      </x:c>
      <x:c r="K95" s="17" t="n">
        <x:v>200</x:v>
      </x:c>
      <x:c r="L95" s="17" t="str">
        <x:v>Current official degree page and 2026 curriculum.</x:v>
      </x:c>
    </x:row>
    <x:row r="96">
      <x:c r="A96" s="17" t="n">
        <x:v>93</x:v>
      </x:c>
      <x:c r="B96" s="17" t="str">
        <x:v>Walailak University</x:v>
      </x:c>
      <x:c r="C96" s="17" t="str">
        <x:v>Thailand</x:v>
      </x:c>
      <x:c r="D96" s="17" t="str">
        <x:v>THE Impact</x:v>
      </x:c>
      <x:c r="E96" s="17" t="str">
        <x:v>MSc Environmental, Safety Technology and Health</x:v>
      </x:c>
      <x:c r="F96" s="17" t="str">
        <x:v>Best-fit</x:v>
      </x:c>
      <x:c r="G96" s="17" t="str">
        <x:v>Confirmed</x:v>
      </x:c>
      <x:c r="H96" s="30" t="str">
        <x:v>https://www.wu.ac.th/en/news/21010/School-College</x:v>
      </x:c>
      <x:c r="I96" s="17" t="str">
        <x:v>2026-07-18</x:v>
      </x:c>
      <x:c r="J96" s="17" t="str">
        <x:v>OK</x:v>
      </x:c>
      <x:c r="K96" s="17" t="n">
        <x:v>200</x:v>
      </x:c>
      <x:c r="L96" s="17" t="str">
        <x:v>Official university listing for the international master's; a dedicated current program page was not located.</x:v>
      </x:c>
    </x:row>
    <x:row r="97">
      <x:c r="A97" s="17" t="n">
        <x:v>94</x:v>
      </x:c>
      <x:c r="B97" s="17" t="str">
        <x:v>King Abdullah University of Science and Technology (KAUST)</x:v>
      </x:c>
      <x:c r="C97" s="17" t="str">
        <x:v>Saudi Arabia</x:v>
      </x:c>
      <x:c r="D97" s="17" t="str">
        <x:v>THE Impact</x:v>
      </x:c>
      <x:c r="E97" s="17" t="str">
        <x:v>MS Environmental Science and Engineering</x:v>
      </x:c>
      <x:c r="F97" s="17" t="str">
        <x:v>Direct</x:v>
      </x:c>
      <x:c r="G97" s="17" t="str">
        <x:v>Confirmed</x:v>
      </x:c>
      <x:c r="H97" s="30" t="str">
        <x:v>https://bese.kaust.edu.sa/study/academic-programs/ense</x:v>
      </x:c>
      <x:c r="I97" s="17" t="str">
        <x:v>2026-07-18</x:v>
      </x:c>
      <x:c r="J97" s="17" t="str">
        <x:v>OK</x:v>
      </x:c>
      <x:c r="K97" s="17" t="n">
        <x:v>200</x:v>
      </x:c>
      <x:c r="L97" s="17" t="str">
        <x:v>Current official degree page.</x:v>
      </x:c>
    </x:row>
    <x:row r="98">
      <x:c r="A98" s="17" t="n">
        <x:v>95</x:v>
      </x:c>
      <x:c r="B98" s="17" t="str">
        <x:v>Chiang Mai University</x:v>
      </x:c>
      <x:c r="C98" s="17" t="str">
        <x:v>Thailand</x:v>
      </x:c>
      <x:c r="D98" s="17" t="str">
        <x:v>THE Impact</x:v>
      </x:c>
      <x:c r="E98" s="17" t="str">
        <x:v>MSc Environmental Science</x:v>
      </x:c>
      <x:c r="F98" s="17" t="str">
        <x:v>Direct</x:v>
      </x:c>
      <x:c r="G98" s="17" t="str">
        <x:v>Confirmed</x:v>
      </x:c>
      <x:c r="H98" s="30" t="str">
        <x:v>https://www.science.cmu.ac.th/english/master.php</x:v>
      </x:c>
      <x:c r="I98" s="17" t="str">
        <x:v>2026-07-18</x:v>
      </x:c>
      <x:c r="J98" s="17" t="str">
        <x:v>OK</x:v>
      </x:c>
      <x:c r="K98" s="17" t="n">
        <x:v>200</x:v>
      </x:c>
      <x:c r="L98" s="17" t="str">
        <x:v>Official Faculty of Science master's-program listing.</x:v>
      </x:c>
    </x:row>
    <x:row r="99">
      <x:c r="A99" s="17" t="n">
        <x:v>96</x:v>
      </x:c>
      <x:c r="B99" s="17" t="str">
        <x:v>Jeonbuk National University</x:v>
      </x:c>
      <x:c r="C99" s="17" t="str">
        <x:v>South Korea</x:v>
      </x:c>
      <x:c r="D99" s="17" t="str">
        <x:v>THE Impact</x:v>
      </x:c>
      <x:c r="E99" s="17" t="str">
        <x:v>Master of Engineering in Environmental Engineering</x:v>
      </x:c>
      <x:c r="F99" s="17" t="str">
        <x:v>Direct</x:v>
      </x:c>
      <x:c r="G99" s="17" t="str">
        <x:v>Confirmed</x:v>
      </x:c>
      <x:c r="H99" s="30" t="str">
        <x:v>https://gse.jbnu.ac.kr/gse/1394/subview.do</x:v>
      </x:c>
      <x:c r="I99" s="17" t="str">
        <x:v>2026-07-18</x:v>
      </x:c>
      <x:c r="J99" s="17" t="str">
        <x:v>OK</x:v>
      </x:c>
      <x:c r="K99" s="17" t="n">
        <x:v>200</x:v>
      </x:c>
      <x:c r="L99" s="17" t="str">
        <x:v>Official graduate program page.</x:v>
      </x:c>
    </x:row>
    <x:row r="100">
      <x:c r="A100" s="17" t="n">
        <x:v>97</x:v>
      </x:c>
      <x:c r="B100" s="17" t="str">
        <x:v>National Yang Ming Chiao Tung University (NYCU Taiwan)</x:v>
      </x:c>
      <x:c r="C100" s="17" t="str">
        <x:v>Taiwan</x:v>
      </x:c>
      <x:c r="D100" s="17" t="str">
        <x:v>THE Impact</x:v>
      </x:c>
      <x:c r="E100" s="17" t="str">
        <x:v>Master Program in Environmental Engineering</x:v>
      </x:c>
      <x:c r="F100" s="17" t="str">
        <x:v>Best-fit</x:v>
      </x:c>
      <x:c r="G100" s="17" t="str">
        <x:v>Confirmed</x:v>
      </x:c>
      <x:c r="H100" s="30" t="str">
        <x:v>https://sdgs.nycu.edu.tw/archives/27449/</x:v>
      </x:c>
      <x:c r="I100" s="17" t="str">
        <x:v>2026-07-18</x:v>
      </x:c>
      <x:c r="J100" s="17" t="str">
        <x:v>OK</x:v>
      </x:c>
      <x:c r="K100" s="17" t="n">
        <x:v>200</x:v>
      </x:c>
      <x:c r="L100" s="17" t="str">
        <x:v>Official NYCU SDG evidence page links the master's program; dedicated English program page was not located.</x:v>
      </x:c>
    </x:row>
  </x:sheetData>
  <x:mergeCells>
    <x:mergeCell ref="A1:L1"/>
    <x:mergeCell ref="A2:L2"/>
  </x:mergeCells>
  <x:conditionalFormatting sqref="G5:G100">
    <x:cfRule type="containsText" dxfId="1" priority="1" operator="containsText" text="Manual review"/>
  </x:conditionalFormatting>
  <x:conditionalFormatting sqref="J5:J100">
    <x:cfRule type="containsText" dxfId="2" priority="2" operator="containsText" text="OK"/>
    <x:cfRule type="containsText" dxfId="3" priority="3" operator="containsText" text="Blocked"/>
  </x:conditionalFormatting>
  <x:pageMargins left="0.7" right="0.7" top="0.75" bottom="0.75" header="0.3" footer="0.3"/>
  <x:tableParts count="1">
    <x:tablePart xmlns:r="http://schemas.openxmlformats.org/officeDocument/2006/relationships" r:id="R36a4e674856e4f6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9" hidden="0" customWidth="1"/>
    <x:col min="2" max="2" width="11" hidden="0" customWidth="1"/>
    <x:col min="3" max="3" width="36" hidden="0" customWidth="1"/>
    <x:col min="4" max="4" width="27" hidden="0" customWidth="1"/>
    <x:col min="5" max="5" width="18" hidden="0" customWidth="1"/>
    <x:col min="6" max="6" width="12" hidden="0" customWidth="1"/>
    <x:col min="7" max="7" width="17" hidden="0" customWidth="1"/>
    <x:col min="8" max="8" width="17" hidden="0" customWidth="1"/>
    <x:col min="9" max="9" width="17" hidden="0" customWidth="1"/>
    <x:col min="10" max="10" width="11" hidden="0" customWidth="1"/>
    <x:col min="11" max="11" width="16" hidden="0" customWidth="1"/>
    <x:col min="12" max="12" width="16" hidden="0" customWidth="1"/>
    <x:col min="13" max="13" width="21" hidden="0" customWidth="1"/>
    <x:col min="14" max="14" width="15" hidden="0" customWidth="1"/>
    <x:col min="15" max="15" width="48" hidden="0" customWidth="1"/>
  </x:cols>
  <x:sheetData>
    <x:row r="1" ht="28" customHeight="1">
      <x:c r="A1" s="3" t="str">
        <x:v>QS Sustainability Rankings 2026 - Rank &lt;= 50</x:v>
      </x:c>
      <x:c r="B1" s="3"/>
      <x:c r="C1" s="3"/>
      <x:c r="D1" s="3"/>
      <x:c r="E1" s="3"/>
      <x:c r="F1" s="3"/>
      <x:c r="G1" s="3"/>
      <x:c r="H1" s="3"/>
      <x:c r="I1" s="3"/>
      <x:c r="J1" s="3"/>
      <x:c r="K1" s="3"/>
      <x:c r="L1" s="3"/>
      <x:c r="M1" s="3"/>
      <x:c r="N1" s="3"/>
      <x:c r="O1" s="3"/>
    </x:row>
    <x:row r="2" ht="36" customHeight="1">
      <x:c r="A2" s="7" t="str">
        <x:v>Core rank and overall score are complete for 51 records (rank 50 is tied). Optional component columns contain only fields exposed in the rendered official cards; blanks were not imputed.</x:v>
      </x:c>
      <x:c r="B2" s="7"/>
      <x:c r="C2" s="7"/>
      <x:c r="D2" s="7"/>
      <x:c r="E2" s="7"/>
      <x:c r="F2" s="7"/>
      <x:c r="G2" s="7"/>
      <x:c r="H2" s="7"/>
      <x:c r="I2" s="7"/>
      <x:c r="J2" s="7"/>
      <x:c r="K2" s="7"/>
      <x:c r="L2" s="7"/>
      <x:c r="M2" s="7"/>
      <x:c r="N2" s="7"/>
      <x:c r="O2" s="7"/>
    </x:row>
    <x:row r="4" ht="36" customHeight="1">
      <x:c r="A4" s="13" t="str">
        <x:v>Rank</x:v>
      </x:c>
      <x:c r="B4" s="13" t="str">
        <x:v>Rank Number</x:v>
      </x:c>
      <x:c r="C4" s="13" t="str">
        <x:v>University</x:v>
      </x:c>
      <x:c r="D4" s="13" t="str">
        <x:v>Location</x:v>
      </x:c>
      <x:c r="E4" s="13" t="str">
        <x:v>Country</x:v>
      </x:c>
      <x:c r="F4" s="13" t="str">
        <x:v>Overall Score</x:v>
      </x:c>
      <x:c r="G4" s="13" t="str">
        <x:v>Environmental Sustainability</x:v>
      </x:c>
      <x:c r="H4" s="13" t="str">
        <x:v>Environmental Education</x:v>
      </x:c>
      <x:c r="I4" s="13" t="str">
        <x:v>Environmental Research</x:v>
      </x:c>
      <x:c r="J4" s="13" t="str">
        <x:v>Equality</x:v>
      </x:c>
      <x:c r="K4" s="13" t="str">
        <x:v>Knowledge Exchange</x:v>
      </x:c>
      <x:c r="L4" s="13" t="str">
        <x:v>Impact of Education</x:v>
      </x:c>
      <x:c r="M4" s="13" t="str">
        <x:v>Employability &amp; Opportunities</x:v>
      </x:c>
      <x:c r="N4" s="13" t="str">
        <x:v>Good Governance</x:v>
      </x:c>
      <x:c r="O4" s="13" t="str">
        <x:v>QS Profile URL</x:v>
      </x:c>
    </x:row>
    <x:row r="5">
      <x:c r="A5" s="17" t="str">
        <x:v>1</x:v>
      </x:c>
      <x:c r="B5" s="17" t="n">
        <x:v>1</x:v>
      </x:c>
      <x:c r="C5" s="17" t="str">
        <x:v>Lund University</x:v>
      </x:c>
      <x:c r="D5" s="17" t="str">
        <x:v>Lund, Sweden</x:v>
      </x:c>
      <x:c r="E5" s="17" t="str">
        <x:v>Sweden</x:v>
      </x:c>
      <x:c r="F5" s="31" t="n">
        <x:v>100</x:v>
      </x:c>
      <x:c r="G5" s="31" t="n">
        <x:v>99.8</x:v>
      </x:c>
      <x:c r="H5" s="31" t="n">
        <x:v>98.7</x:v>
      </x:c>
      <x:c r="I5" s="31" t="n">
        <x:v>99.8</x:v>
      </x:c>
      <x:c r="J5" s="31"/>
      <x:c r="K5" s="31"/>
      <x:c r="L5" s="31"/>
      <x:c r="M5" s="31"/>
      <x:c r="N5" s="31"/>
      <x:c r="O5" s="30" t="str">
        <x:v>https://www.topuniversities.com/universities/lund-university</x:v>
      </x:c>
    </x:row>
    <x:row r="6">
      <x:c r="A6" s="17" t="str">
        <x:v>2</x:v>
      </x:c>
      <x:c r="B6" s="17" t="n">
        <x:v>2</x:v>
      </x:c>
      <x:c r="C6" s="17" t="str">
        <x:v>University of Toronto</x:v>
      </x:c>
      <x:c r="D6" s="17" t="str">
        <x:v>Toronto, Canada</x:v>
      </x:c>
      <x:c r="E6" s="17" t="str">
        <x:v>Canada</x:v>
      </x:c>
      <x:c r="F6" s="31" t="n">
        <x:v>99.8</x:v>
      </x:c>
      <x:c r="G6" s="31" t="n">
        <x:v>95.1</x:v>
      </x:c>
      <x:c r="H6" s="31" t="n">
        <x:v>99.9</x:v>
      </x:c>
      <x:c r="I6" s="31" t="n">
        <x:v>98.8</x:v>
      </x:c>
      <x:c r="J6" s="31"/>
      <x:c r="K6" s="31"/>
      <x:c r="L6" s="31"/>
      <x:c r="M6" s="31"/>
      <x:c r="N6" s="31"/>
      <x:c r="O6" s="30" t="str">
        <x:v>https://www.topuniversities.com/universities/university-toronto</x:v>
      </x:c>
    </x:row>
    <x:row r="7">
      <x:c r="A7" s="17" t="str">
        <x:v>3</x:v>
      </x:c>
      <x:c r="B7" s="17" t="n">
        <x:v>3</x:v>
      </x:c>
      <x:c r="C7" s="17" t="str">
        <x:v>UCL</x:v>
      </x:c>
      <x:c r="D7" s="17" t="str">
        <x:v>London, United Kingdom</x:v>
      </x:c>
      <x:c r="E7" s="17" t="str">
        <x:v>United Kingdom</x:v>
      </x:c>
      <x:c r="F7" s="31" t="n">
        <x:v>99</x:v>
      </x:c>
      <x:c r="G7" s="31" t="n">
        <x:v>95.8</x:v>
      </x:c>
      <x:c r="H7" s="31" t="n">
        <x:v>95.5</x:v>
      </x:c>
      <x:c r="I7" s="31" t="n">
        <x:v>98.1</x:v>
      </x:c>
      <x:c r="J7" s="31"/>
      <x:c r="K7" s="31"/>
      <x:c r="L7" s="31"/>
      <x:c r="M7" s="31"/>
      <x:c r="N7" s="31"/>
      <x:c r="O7" s="30" t="str">
        <x:v>https://www.topuniversities.com/universities/ucl</x:v>
      </x:c>
    </x:row>
    <x:row r="8">
      <x:c r="A8" s="17" t="str">
        <x:v>4</x:v>
      </x:c>
      <x:c r="B8" s="17" t="n">
        <x:v>4</x:v>
      </x:c>
      <x:c r="C8" s="17" t="str">
        <x:v>The University of Edinburgh</x:v>
      </x:c>
      <x:c r="D8" s="17" t="str">
        <x:v>Edinburgh, United Kingdom</x:v>
      </x:c>
      <x:c r="E8" s="17" t="str">
        <x:v>United Kingdom</x:v>
      </x:c>
      <x:c r="F8" s="31" t="n">
        <x:v>98.7</x:v>
      </x:c>
      <x:c r="G8" s="31" t="n">
        <x:v>90.5</x:v>
      </x:c>
      <x:c r="H8" s="31" t="n">
        <x:v>98.7</x:v>
      </x:c>
      <x:c r="I8" s="31" t="n">
        <x:v>97.8</x:v>
      </x:c>
      <x:c r="J8" s="31"/>
      <x:c r="K8" s="31"/>
      <x:c r="L8" s="31"/>
      <x:c r="M8" s="31"/>
      <x:c r="N8" s="31"/>
      <x:c r="O8" s="30" t="str">
        <x:v>https://www.topuniversities.com/universities/university-edinburgh</x:v>
      </x:c>
    </x:row>
    <x:row r="9">
      <x:c r="A9" s="17" t="str">
        <x:v>5</x:v>
      </x:c>
      <x:c r="B9" s="17" t="n">
        <x:v>5</x:v>
      </x:c>
      <x:c r="C9" s="17" t="str">
        <x:v>University of British Columbia</x:v>
      </x:c>
      <x:c r="D9" s="17" t="str">
        <x:v>Vancouver, Canada</x:v>
      </x:c>
      <x:c r="E9" s="17" t="str">
        <x:v>Canada</x:v>
      </x:c>
      <x:c r="F9" s="31" t="n">
        <x:v>98.6</x:v>
      </x:c>
      <x:c r="G9" s="31" t="n">
        <x:v>88.1</x:v>
      </x:c>
      <x:c r="H9" s="31" t="n">
        <x:v>99.5</x:v>
      </x:c>
      <x:c r="I9" s="31" t="n">
        <x:v>98.8</x:v>
      </x:c>
      <x:c r="J9" s="31"/>
      <x:c r="K9" s="31"/>
      <x:c r="L9" s="31"/>
      <x:c r="M9" s="31"/>
      <x:c r="N9" s="31"/>
      <x:c r="O9" s="30" t="str">
        <x:v>https://www.topuniversities.com/universities/university-british-columbia</x:v>
      </x:c>
    </x:row>
    <x:row r="10">
      <x:c r="A10" s="17" t="str">
        <x:v>6</x:v>
      </x:c>
      <x:c r="B10" s="17" t="n">
        <x:v>6</x:v>
      </x:c>
      <x:c r="C10" s="17" t="str">
        <x:v>The London School of Economics and Political Science (LSE)</x:v>
      </x:c>
      <x:c r="D10" s="17" t="str">
        <x:v>London, United Kingdom</x:v>
      </x:c>
      <x:c r="E10" s="17" t="str">
        <x:v>United Kingdom</x:v>
      </x:c>
      <x:c r="F10" s="31" t="n">
        <x:v>98.5</x:v>
      </x:c>
      <x:c r="G10" s="31" t="n">
        <x:v>95.2</x:v>
      </x:c>
      <x:c r="H10" s="31" t="n">
        <x:v>96.1</x:v>
      </x:c>
      <x:c r="I10" s="31" t="n">
        <x:v>95.7</x:v>
      </x:c>
      <x:c r="J10" s="31"/>
      <x:c r="K10" s="31"/>
      <x:c r="L10" s="31"/>
      <x:c r="M10" s="31"/>
      <x:c r="N10" s="31"/>
      <x:c r="O10" s="30" t="str">
        <x:v>https://www.topuniversities.com/universities/london-school-economics-political-science-lse</x:v>
      </x:c>
    </x:row>
    <x:row r="11">
      <x:c r="A11" s="17" t="n">
        <x:f>7</x:f>
        <x:v>7</x:v>
      </x:c>
      <x:c r="B11" s="17" t="n">
        <x:v>7</x:v>
      </x:c>
      <x:c r="C11" s="17" t="str">
        <x:v>Imperial College London</x:v>
      </x:c>
      <x:c r="D11" s="17" t="str">
        <x:v>London, United Kingdom</x:v>
      </x:c>
      <x:c r="E11" s="17" t="str">
        <x:v>United Kingdom</x:v>
      </x:c>
      <x:c r="F11" s="31" t="n">
        <x:v>98.2</x:v>
      </x:c>
      <x:c r="G11" s="31" t="n">
        <x:v>92.6</x:v>
      </x:c>
      <x:c r="H11" s="31" t="n">
        <x:v>99.8</x:v>
      </x:c>
      <x:c r="I11" s="31" t="n">
        <x:v>98</x:v>
      </x:c>
      <x:c r="J11" s="31"/>
      <x:c r="K11" s="31"/>
      <x:c r="L11" s="31"/>
      <x:c r="M11" s="31"/>
      <x:c r="N11" s="31"/>
      <x:c r="O11" s="30" t="str">
        <x:v>https://www.topuniversities.com/universities/imperial-college-london</x:v>
      </x:c>
    </x:row>
    <x:row r="12">
      <x:c r="A12" s="17" t="n">
        <x:f>7</x:f>
        <x:v>7</x:v>
      </x:c>
      <x:c r="B12" s="17" t="n">
        <x:v>7</x:v>
      </x:c>
      <x:c r="C12" s="17" t="str">
        <x:v>The University of New South Wales (UNSW Sydney)</x:v>
      </x:c>
      <x:c r="D12" s="17" t="str">
        <x:v>Sydney, Australia</x:v>
      </x:c>
      <x:c r="E12" s="17" t="str">
        <x:v>Australia</x:v>
      </x:c>
      <x:c r="F12" s="31" t="n">
        <x:v>98.2</x:v>
      </x:c>
      <x:c r="G12" s="31" t="n">
        <x:v>89.9</x:v>
      </x:c>
      <x:c r="H12" s="31" t="n">
        <x:v>99</x:v>
      </x:c>
      <x:c r="I12" s="31" t="n">
        <x:v>92.3</x:v>
      </x:c>
      <x:c r="J12" s="31"/>
      <x:c r="K12" s="31"/>
      <x:c r="L12" s="31"/>
      <x:c r="M12" s="31"/>
      <x:c r="N12" s="31"/>
      <x:c r="O12" s="30" t="str">
        <x:v>https://www.topuniversities.com/universities/university-new-south-wales-unsw-sydney</x:v>
      </x:c>
    </x:row>
    <x:row r="13">
      <x:c r="A13" s="17" t="str">
        <x:v>9</x:v>
      </x:c>
      <x:c r="B13" s="17" t="n">
        <x:v>9</x:v>
      </x:c>
      <x:c r="C13" s="17" t="str">
        <x:v>McGill University</x:v>
      </x:c>
      <x:c r="D13" s="17" t="str">
        <x:v>Montreal, Canada</x:v>
      </x:c>
      <x:c r="E13" s="17" t="str">
        <x:v>Canada</x:v>
      </x:c>
      <x:c r="F13" s="31" t="n">
        <x:v>98.1</x:v>
      </x:c>
      <x:c r="G13" s="31" t="n">
        <x:v>91.6</x:v>
      </x:c>
      <x:c r="H13" s="31" t="n">
        <x:v>99.7</x:v>
      </x:c>
      <x:c r="I13" s="31" t="n">
        <x:v>98.7</x:v>
      </x:c>
      <x:c r="J13" s="31"/>
      <x:c r="K13" s="31"/>
      <x:c r="L13" s="31"/>
      <x:c r="M13" s="31"/>
      <x:c r="N13" s="31"/>
      <x:c r="O13" s="30" t="str">
        <x:v>https://www.topuniversities.com/universities/mcgill-university</x:v>
      </x:c>
    </x:row>
    <x:row r="14">
      <x:c r="A14" s="17" t="str">
        <x:v>10</x:v>
      </x:c>
      <x:c r="B14" s="17" t="n">
        <x:v>10</x:v>
      </x:c>
      <x:c r="C14" s="17" t="str">
        <x:v>The University of Manchester</x:v>
      </x:c>
      <x:c r="D14" s="17" t="str">
        <x:v>Manchester, United Kingdom</x:v>
      </x:c>
      <x:c r="E14" s="17" t="str">
        <x:v>United Kingdom</x:v>
      </x:c>
      <x:c r="F14" s="31" t="n">
        <x:v>98</x:v>
      </x:c>
      <x:c r="G14" s="31" t="n">
        <x:v>85.6</x:v>
      </x:c>
      <x:c r="H14" s="31" t="n">
        <x:v>99.4</x:v>
      </x:c>
      <x:c r="I14" s="31" t="n">
        <x:v>98</x:v>
      </x:c>
      <x:c r="J14" s="31"/>
      <x:c r="K14" s="31"/>
      <x:c r="L14" s="31"/>
      <x:c r="M14" s="31"/>
      <x:c r="N14" s="31"/>
      <x:c r="O14" s="30" t="str">
        <x:v>https://www.topuniversities.com/universities/university-manchester</x:v>
      </x:c>
    </x:row>
    <x:row r="15">
      <x:c r="A15" s="17" t="n">
        <x:f>11</x:f>
        <x:v>11</x:v>
      </x:c>
      <x:c r="B15" s="17" t="n">
        <x:v>11</x:v>
      </x:c>
      <x:c r="C15" s="17" t="str">
        <x:v>ETH Zurich</x:v>
      </x:c>
      <x:c r="D15" s="17" t="str">
        <x:v>Zürich, Switzerland</x:v>
      </x:c>
      <x:c r="E15" s="17" t="str">
        <x:v>Switzerland</x:v>
      </x:c>
      <x:c r="F15" s="31" t="n">
        <x:v>97.9</x:v>
      </x:c>
      <x:c r="G15" s="31" t="n">
        <x:v>92.1</x:v>
      </x:c>
      <x:c r="H15" s="31" t="n">
        <x:v>99.8</x:v>
      </x:c>
      <x:c r="I15" s="31" t="n">
        <x:v>99.5</x:v>
      </x:c>
      <x:c r="J15" s="31"/>
      <x:c r="K15" s="31"/>
      <x:c r="L15" s="31"/>
      <x:c r="M15" s="31"/>
      <x:c r="N15" s="31"/>
      <x:c r="O15" s="30" t="str">
        <x:v>https://www.topuniversities.com/universities/eth-zurich</x:v>
      </x:c>
    </x:row>
    <x:row r="16">
      <x:c r="A16" s="17" t="n">
        <x:f>11</x:f>
        <x:v>11</x:v>
      </x:c>
      <x:c r="B16" s="17" t="n">
        <x:v>11</x:v>
      </x:c>
      <x:c r="C16" s="17" t="str">
        <x:v>The University of Melbourne</x:v>
      </x:c>
      <x:c r="D16" s="17" t="str">
        <x:v>Melbourne, Australia</x:v>
      </x:c>
      <x:c r="E16" s="17" t="str">
        <x:v>Australia</x:v>
      </x:c>
      <x:c r="F16" s="31" t="n">
        <x:v>97.9</x:v>
      </x:c>
      <x:c r="G16" s="31" t="n">
        <x:v>89</x:v>
      </x:c>
      <x:c r="H16" s="31" t="n">
        <x:v>98.3</x:v>
      </x:c>
      <x:c r="I16" s="31" t="n">
        <x:v>92.2</x:v>
      </x:c>
      <x:c r="J16" s="31"/>
      <x:c r="K16" s="31"/>
      <x:c r="L16" s="31"/>
      <x:c r="M16" s="31"/>
      <x:c r="N16" s="31"/>
      <x:c r="O16" s="30" t="str">
        <x:v>https://www.topuniversities.com/universities/university-melbourne</x:v>
      </x:c>
    </x:row>
    <x:row r="17">
      <x:c r="A17" s="17" t="n">
        <x:f>11</x:f>
        <x:v>11</x:v>
      </x:c>
      <x:c r="B17" s="17" t="n">
        <x:v>11</x:v>
      </x:c>
      <x:c r="C17" s="17" t="str">
        <x:v>University of California, Berkeley (UCB)</x:v>
      </x:c>
      <x:c r="D17" s="17" t="str">
        <x:v>Berkeley, United States</x:v>
      </x:c>
      <x:c r="E17" s="17" t="str">
        <x:v>United States</x:v>
      </x:c>
      <x:c r="F17" s="31" t="n">
        <x:v>97.9</x:v>
      </x:c>
      <x:c r="G17" s="31" t="n">
        <x:v>94.5</x:v>
      </x:c>
      <x:c r="H17" s="31" t="n">
        <x:v>100</x:v>
      </x:c>
      <x:c r="I17" s="31" t="n">
        <x:v>98.4</x:v>
      </x:c>
      <x:c r="J17" s="31"/>
      <x:c r="K17" s="31"/>
      <x:c r="L17" s="31"/>
      <x:c r="M17" s="31"/>
      <x:c r="N17" s="31"/>
      <x:c r="O17" s="30" t="str">
        <x:v>https://www.topuniversities.com/universities/university-california-berkeley-ucb</x:v>
      </x:c>
    </x:row>
    <x:row r="18">
      <x:c r="A18" s="17" t="str">
        <x:v>13</x:v>
      </x:c>
      <x:c r="B18" s="17" t="n">
        <x:v>13</x:v>
      </x:c>
      <x:c r="C18" s="17" t="str">
        <x:v>Stanford University</x:v>
      </x:c>
      <x:c r="D18" s="17" t="str">
        <x:v>Stanford, United States</x:v>
      </x:c>
      <x:c r="E18" s="17" t="str">
        <x:v>United States</x:v>
      </x:c>
      <x:c r="F18" s="31" t="n">
        <x:v>97.8</x:v>
      </x:c>
      <x:c r="G18" s="31" t="n">
        <x:v>93.3</x:v>
      </x:c>
      <x:c r="H18" s="31" t="n">
        <x:v>100</x:v>
      </x:c>
      <x:c r="I18" s="31" t="n">
        <x:v>98.5</x:v>
      </x:c>
      <x:c r="J18" s="31"/>
      <x:c r="K18" s="31"/>
      <x:c r="L18" s="31"/>
      <x:c r="M18" s="31"/>
      <x:c r="N18" s="31"/>
      <x:c r="O18" s="30" t="str">
        <x:v>https://www.topuniversities.com/universities/stanford-university</x:v>
      </x:c>
    </x:row>
    <x:row r="19">
      <x:c r="A19" s="17" t="str">
        <x:v>14</x:v>
      </x:c>
      <x:c r="B19" s="17" t="n">
        <x:v>14</x:v>
      </x:c>
      <x:c r="C19" s="17" t="str">
        <x:v>University of Oxford</x:v>
      </x:c>
      <x:c r="D19" s="17" t="str">
        <x:v>Oxford, United Kingdom</x:v>
      </x:c>
      <x:c r="E19" s="17" t="str">
        <x:v>United Kingdom</x:v>
      </x:c>
      <x:c r="F19" s="31" t="n">
        <x:v>97.7</x:v>
      </x:c>
      <x:c r="G19" s="31" t="n">
        <x:v>97.7</x:v>
      </x:c>
      <x:c r="H19" s="31" t="n">
        <x:v>100</x:v>
      </x:c>
      <x:c r="I19" s="31" t="n">
        <x:v>98.1</x:v>
      </x:c>
      <x:c r="J19" s="31"/>
      <x:c r="K19" s="31"/>
      <x:c r="L19" s="31"/>
      <x:c r="M19" s="31"/>
      <x:c r="N19" s="31"/>
      <x:c r="O19" s="30" t="str">
        <x:v>https://www.topuniversities.com/universities/university-oxford</x:v>
      </x:c>
    </x:row>
    <x:row r="20">
      <x:c r="A20" s="17" t="str">
        <x:v>15</x:v>
      </x:c>
      <x:c r="B20" s="17" t="n">
        <x:v>15</x:v>
      </x:c>
      <x:c r="C20" s="17" t="str">
        <x:v>The University of Sydney</x:v>
      </x:c>
      <x:c r="D20" s="17" t="str">
        <x:v>Sydney, Australia</x:v>
      </x:c>
      <x:c r="E20" s="17" t="str">
        <x:v>Australia</x:v>
      </x:c>
      <x:c r="F20" s="31" t="n">
        <x:v>97.3</x:v>
      </x:c>
      <x:c r="G20" s="31" t="n">
        <x:v>86</x:v>
      </x:c>
      <x:c r="H20" s="31" t="n">
        <x:v>99.5</x:v>
      </x:c>
      <x:c r="I20" s="31" t="n">
        <x:v>92.2</x:v>
      </x:c>
      <x:c r="J20" s="31"/>
      <x:c r="K20" s="31"/>
      <x:c r="L20" s="31"/>
      <x:c r="M20" s="31"/>
      <x:c r="N20" s="31"/>
      <x:c r="O20" s="30" t="str">
        <x:v>https://www.topuniversities.com/universities/university-sydney</x:v>
      </x:c>
    </x:row>
    <x:row r="21">
      <x:c r="A21" s="17" t="n">
        <x:f>16</x:f>
        <x:v>16</x:v>
      </x:c>
      <x:c r="B21" s="17" t="n">
        <x:v>16</x:v>
      </x:c>
      <x:c r="C21" s="17" t="str">
        <x:v>Australian National University (ANU)</x:v>
      </x:c>
      <x:c r="D21" s="17" t="str">
        <x:v>Canberra, Australia</x:v>
      </x:c>
      <x:c r="E21" s="17" t="str">
        <x:v>Australia</x:v>
      </x:c>
      <x:c r="F21" s="31" t="n">
        <x:v>97.2</x:v>
      </x:c>
      <x:c r="G21" s="31" t="n">
        <x:v>89.7</x:v>
      </x:c>
      <x:c r="H21" s="31" t="n">
        <x:v>94.8</x:v>
      </x:c>
      <x:c r="I21" s="31" t="n">
        <x:v>92.1</x:v>
      </x:c>
      <x:c r="J21" s="31"/>
      <x:c r="K21" s="31"/>
      <x:c r="L21" s="31"/>
      <x:c r="M21" s="31"/>
      <x:c r="N21" s="31"/>
      <x:c r="O21" s="30" t="str">
        <x:v>https://www.topuniversities.com/universities/australian-national-university-anu</x:v>
      </x:c>
    </x:row>
    <x:row r="22">
      <x:c r="A22" s="17" t="n">
        <x:f>16</x:f>
        <x:v>16</x:v>
      </x:c>
      <x:c r="B22" s="17" t="n">
        <x:v>16</x:v>
      </x:c>
      <x:c r="C22" s="17" t="str">
        <x:v>King's College London</x:v>
      </x:c>
      <x:c r="D22" s="17" t="str">
        <x:v>London, United Kingdom</x:v>
      </x:c>
      <x:c r="E22" s="17" t="str">
        <x:v>United Kingdom</x:v>
      </x:c>
      <x:c r="F22" s="31" t="n">
        <x:v>97.2</x:v>
      </x:c>
      <x:c r="G22" s="31" t="n">
        <x:v>89.7</x:v>
      </x:c>
      <x:c r="H22" s="31" t="n">
        <x:v>94.4</x:v>
      </x:c>
      <x:c r="I22" s="31" t="n">
        <x:v>96.9</x:v>
      </x:c>
      <x:c r="J22" s="31"/>
      <x:c r="K22" s="31"/>
      <x:c r="L22" s="31"/>
      <x:c r="M22" s="31"/>
      <x:c r="N22" s="31"/>
      <x:c r="O22" s="30" t="str">
        <x:v>https://www.topuniversities.com/universities/kings-college-london</x:v>
      </x:c>
    </x:row>
    <x:row r="23">
      <x:c r="A23" s="17" t="str">
        <x:v>19</x:v>
      </x:c>
      <x:c r="B23" s="17" t="n">
        <x:v>19</x:v>
      </x:c>
      <x:c r="C23" s="17" t="str">
        <x:v>University of Bristol</x:v>
      </x:c>
      <x:c r="D23" s="17" t="str">
        <x:v>Bristol, United Kingdom</x:v>
      </x:c>
      <x:c r="E23" s="17" t="str">
        <x:v>United Kingdom</x:v>
      </x:c>
      <x:c r="F23" s="31" t="n">
        <x:v>96.9</x:v>
      </x:c>
      <x:c r="G23" s="31" t="n">
        <x:v>79</x:v>
      </x:c>
      <x:c r="H23" s="31" t="n">
        <x:v>96.7</x:v>
      </x:c>
      <x:c r="I23" s="31" t="n">
        <x:v>97.6</x:v>
      </x:c>
      <x:c r="J23" s="31"/>
      <x:c r="K23" s="31"/>
      <x:c r="L23" s="31"/>
      <x:c r="M23" s="31"/>
      <x:c r="N23" s="31"/>
      <x:c r="O23" s="30" t="str">
        <x:v>https://www.topuniversities.com/universities/university-bristol</x:v>
      </x:c>
    </x:row>
    <x:row r="24">
      <x:c r="A24" s="17" t="str">
        <x:v>20</x:v>
      </x:c>
      <x:c r="B24" s="17" t="n">
        <x:v>20</x:v>
      </x:c>
      <x:c r="C24" s="17" t="str">
        <x:v>New York University (NYU)</x:v>
      </x:c>
      <x:c r="D24" s="17" t="str">
        <x:v>New York City, United States</x:v>
      </x:c>
      <x:c r="E24" s="17" t="str">
        <x:v>United States</x:v>
      </x:c>
      <x:c r="F24" s="31" t="n">
        <x:v>96.3</x:v>
      </x:c>
      <x:c r="G24" s="31" t="n">
        <x:v>97.5</x:v>
      </x:c>
      <x:c r="H24" s="31" t="n">
        <x:v>94.5</x:v>
      </x:c>
      <x:c r="I24" s="31" t="n">
        <x:v>96.5</x:v>
      </x:c>
      <x:c r="J24" s="31"/>
      <x:c r="K24" s="31"/>
      <x:c r="L24" s="31"/>
      <x:c r="M24" s="31"/>
      <x:c r="N24" s="31"/>
      <x:c r="O24" s="30" t="str">
        <x:v>https://www.topuniversities.com/universities/new-york-university-nyu</x:v>
      </x:c>
    </x:row>
    <x:row r="25">
      <x:c r="A25" s="17" t="str">
        <x:v>21</x:v>
      </x:c>
      <x:c r="B25" s="17" t="n">
        <x:v>21</x:v>
      </x:c>
      <x:c r="C25" s="17" t="str">
        <x:v>Pennsylvania State University</x:v>
      </x:c>
      <x:c r="D25" s="17" t="str">
        <x:v>University Park, United States</x:v>
      </x:c>
      <x:c r="E25" s="17" t="str">
        <x:v>United States</x:v>
      </x:c>
      <x:c r="F25" s="31" t="n">
        <x:v>96.1</x:v>
      </x:c>
      <x:c r="G25" s="31" t="n">
        <x:v>85.1</x:v>
      </x:c>
      <x:c r="H25" s="31" t="n">
        <x:v>95.3</x:v>
      </x:c>
      <x:c r="I25" s="31" t="n">
        <x:v>98.2</x:v>
      </x:c>
      <x:c r="J25" s="31"/>
      <x:c r="K25" s="31"/>
      <x:c r="L25" s="31"/>
      <x:c r="M25" s="31"/>
      <x:c r="N25" s="31"/>
      <x:c r="O25" s="30" t="str">
        <x:v>https://www.topuniversities.com/universities/pennsylvania-state-university</x:v>
      </x:c>
    </x:row>
    <x:row r="26">
      <x:c r="A26" s="17" t="n">
        <x:f>22</x:f>
        <x:v>22</x:v>
      </x:c>
      <x:c r="B26" s="17" t="n">
        <x:v>22</x:v>
      </x:c>
      <x:c r="C26" s="17" t="str">
        <x:v>KU Leuven</x:v>
      </x:c>
      <x:c r="D26" s="17" t="str">
        <x:v>Leuven, Belgium</x:v>
      </x:c>
      <x:c r="E26" s="17" t="str">
        <x:v>Belgium</x:v>
      </x:c>
      <x:c r="F26" s="31" t="n">
        <x:v>95.9</x:v>
      </x:c>
      <x:c r="G26" s="31" t="n">
        <x:v>87</x:v>
      </x:c>
      <x:c r="H26" s="31" t="n">
        <x:v>87.9</x:v>
      </x:c>
      <x:c r="I26" s="31" t="n">
        <x:v>99.2</x:v>
      </x:c>
      <x:c r="J26" s="31"/>
      <x:c r="K26" s="31"/>
      <x:c r="L26" s="31"/>
      <x:c r="M26" s="31"/>
      <x:c r="N26" s="31"/>
      <x:c r="O26" s="30" t="str">
        <x:v>https://www.topuniversities.com/universities/ku-leuven</x:v>
      </x:c>
    </x:row>
    <x:row r="27">
      <x:c r="A27" s="17" t="n">
        <x:f>22</x:f>
        <x:v>22</x:v>
      </x:c>
      <x:c r="B27" s="17" t="n">
        <x:v>22</x:v>
      </x:c>
      <x:c r="C27" s="17" t="str">
        <x:v>University of Helsinki</x:v>
      </x:c>
      <x:c r="D27" s="17" t="str">
        <x:v>Helsinki, Finland</x:v>
      </x:c>
      <x:c r="E27" s="17" t="str">
        <x:v>Finland</x:v>
      </x:c>
      <x:c r="F27" s="31" t="n">
        <x:v>95.9</x:v>
      </x:c>
      <x:c r="G27" s="31" t="n">
        <x:v>87.9</x:v>
      </x:c>
      <x:c r="H27" s="31" t="n">
        <x:v>91.4</x:v>
      </x:c>
      <x:c r="I27" s="31" t="n">
        <x:v>99.6</x:v>
      </x:c>
      <x:c r="J27" s="31"/>
      <x:c r="K27" s="31"/>
      <x:c r="L27" s="31"/>
      <x:c r="M27" s="31"/>
      <x:c r="N27" s="31"/>
      <x:c r="O27" s="30" t="str">
        <x:v>https://www.topuniversities.com/universities/university-helsinki</x:v>
      </x:c>
    </x:row>
    <x:row r="28">
      <x:c r="A28" s="17" t="n">
        <x:f>24</x:f>
        <x:v>24</x:v>
      </x:c>
      <x:c r="B28" s="17" t="n">
        <x:v>24</x:v>
      </x:c>
      <x:c r="C28" s="17" t="str">
        <x:v>Durham University</x:v>
      </x:c>
      <x:c r="D28" s="17" t="str">
        <x:v>Durham, United Kingdom</x:v>
      </x:c>
      <x:c r="E28" s="17" t="str">
        <x:v>United Kingdom</x:v>
      </x:c>
      <x:c r="F28" s="31" t="n">
        <x:v>95.8</x:v>
      </x:c>
      <x:c r="G28" s="31" t="n">
        <x:v>82.2</x:v>
      </x:c>
      <x:c r="H28" s="31" t="n">
        <x:v>94.9</x:v>
      </x:c>
      <x:c r="I28" s="31" t="n">
        <x:v>96.7</x:v>
      </x:c>
      <x:c r="J28" s="31"/>
      <x:c r="K28" s="31"/>
      <x:c r="L28" s="31"/>
      <x:c r="M28" s="31"/>
      <x:c r="N28" s="31"/>
      <x:c r="O28" s="30" t="str">
        <x:v>https://www.topuniversities.com/universities/durham-university</x:v>
      </x:c>
    </x:row>
    <x:row r="29">
      <x:c r="A29" s="17" t="n">
        <x:f>24</x:f>
        <x:v>24</x:v>
      </x:c>
      <x:c r="B29" s="17" t="n">
        <x:v>24</x:v>
      </x:c>
      <x:c r="C29" s="17" t="str">
        <x:v>University of Leeds</x:v>
      </x:c>
      <x:c r="D29" s="17" t="str">
        <x:v>Leeds, United Kingdom</x:v>
      </x:c>
      <x:c r="E29" s="17" t="str">
        <x:v>United Kingdom</x:v>
      </x:c>
      <x:c r="F29" s="31" t="n">
        <x:v>95.8</x:v>
      </x:c>
      <x:c r="G29" s="31" t="n">
        <x:v>78.2</x:v>
      </x:c>
      <x:c r="H29" s="31" t="n">
        <x:v>95.4</x:v>
      </x:c>
      <x:c r="I29" s="31" t="n">
        <x:v>98</x:v>
      </x:c>
      <x:c r="J29" s="31"/>
      <x:c r="K29" s="31"/>
      <x:c r="L29" s="31"/>
      <x:c r="M29" s="31"/>
      <x:c r="N29" s="31"/>
      <x:c r="O29" s="30" t="str">
        <x:v>https://www.topuniversities.com/universities/university-leeds</x:v>
      </x:c>
    </x:row>
    <x:row r="30">
      <x:c r="A30" s="17" t="n">
        <x:f>24</x:f>
        <x:v>24</x:v>
      </x:c>
      <x:c r="B30" s="17" t="n">
        <x:v>24</x:v>
      </x:c>
      <x:c r="C30" s="17" t="str">
        <x:v>Western University</x:v>
      </x:c>
      <x:c r="D30" s="17" t="str">
        <x:v>London, Canada</x:v>
      </x:c>
      <x:c r="E30" s="17" t="str">
        <x:v>Canada</x:v>
      </x:c>
      <x:c r="F30" s="31" t="n">
        <x:v>95.8</x:v>
      </x:c>
      <x:c r="G30" s="31" t="n">
        <x:v>83.5</x:v>
      </x:c>
      <x:c r="H30" s="31" t="n">
        <x:v>96.2</x:v>
      </x:c>
      <x:c r="I30" s="31" t="n">
        <x:v>97.8</x:v>
      </x:c>
      <x:c r="J30" s="31"/>
      <x:c r="K30" s="31"/>
      <x:c r="L30" s="31"/>
      <x:c r="M30" s="31"/>
      <x:c r="N30" s="31"/>
      <x:c r="O30" s="30" t="str">
        <x:v>https://www.topuniversities.com/universities/western-university</x:v>
      </x:c>
    </x:row>
    <x:row r="31">
      <x:c r="A31" s="17" t="str">
        <x:v>27</x:v>
      </x:c>
      <x:c r="B31" s="17" t="n">
        <x:v>27</x:v>
      </x:c>
      <x:c r="C31" s="17" t="str">
        <x:v>University of Glasgow</x:v>
      </x:c>
      <x:c r="D31" s="17" t="str">
        <x:v>Glasgow, United Kingdom</x:v>
      </x:c>
      <x:c r="E31" s="17" t="str">
        <x:v>United Kingdom</x:v>
      </x:c>
      <x:c r="F31" s="31" t="n">
        <x:v>95.7</x:v>
      </x:c>
      <x:c r="G31" s="31" t="n">
        <x:v>77.4</x:v>
      </x:c>
      <x:c r="H31" s="31" t="n">
        <x:v>96</x:v>
      </x:c>
      <x:c r="I31" s="31" t="n">
        <x:v>97.4</x:v>
      </x:c>
      <x:c r="J31" s="31"/>
      <x:c r="K31" s="31"/>
      <x:c r="L31" s="31"/>
      <x:c r="M31" s="31"/>
      <x:c r="N31" s="31"/>
      <x:c r="O31" s="30" t="str">
        <x:v>https://www.topuniversities.com/universities/university-glasgow</x:v>
      </x:c>
    </x:row>
    <x:row r="32">
      <x:c r="A32" s="17" t="str">
        <x:v>28</x:v>
      </x:c>
      <x:c r="B32" s="17" t="n">
        <x:v>28</x:v>
      </x:c>
      <x:c r="C32" s="17" t="str">
        <x:v>The University of Auckland</x:v>
      </x:c>
      <x:c r="D32" s="17" t="str">
        <x:v>Auckland, New Zealand</x:v>
      </x:c>
      <x:c r="E32" s="17" t="str">
        <x:v>New Zealand</x:v>
      </x:c>
      <x:c r="F32" s="31" t="n">
        <x:v>95.5</x:v>
      </x:c>
      <x:c r="G32" s="31" t="n">
        <x:v>76.4</x:v>
      </x:c>
      <x:c r="H32" s="31" t="n">
        <x:v>99</x:v>
      </x:c>
      <x:c r="I32" s="31" t="n">
        <x:v>98.1</x:v>
      </x:c>
      <x:c r="J32" s="31"/>
      <x:c r="K32" s="31"/>
      <x:c r="L32" s="31"/>
      <x:c r="M32" s="31"/>
      <x:c r="N32" s="31"/>
      <x:c r="O32" s="30" t="str">
        <x:v>https://www.topuniversities.com/universities/university-auckland</x:v>
      </x:c>
    </x:row>
    <x:row r="33">
      <x:c r="A33" s="17" t="str">
        <x:v>29</x:v>
      </x:c>
      <x:c r="B33" s="17" t="n">
        <x:v>29</x:v>
      </x:c>
      <x:c r="C33" s="17" t="str">
        <x:v>Trinity College Dublin, The University of Dublin</x:v>
      </x:c>
      <x:c r="D33" s="17" t="str">
        <x:v>Dublin, Ireland</x:v>
      </x:c>
      <x:c r="E33" s="17" t="str">
        <x:v>Ireland</x:v>
      </x:c>
      <x:c r="F33" s="31" t="n">
        <x:v>95.4</x:v>
      </x:c>
      <x:c r="G33" s="31" t="n">
        <x:v>77.3</x:v>
      </x:c>
      <x:c r="H33" s="31" t="n">
        <x:v>97.4</x:v>
      </x:c>
      <x:c r="I33" s="31" t="n">
        <x:v>97.5</x:v>
      </x:c>
      <x:c r="J33" s="31"/>
      <x:c r="K33" s="31"/>
      <x:c r="L33" s="31"/>
      <x:c r="M33" s="31"/>
      <x:c r="N33" s="31"/>
      <x:c r="O33" s="30" t="str">
        <x:v>https://www.topuniversities.com/universities/trinity-college-dublin-university-dublin</x:v>
      </x:c>
    </x:row>
    <x:row r="34">
      <x:c r="A34" s="17" t="n">
        <x:f>30</x:f>
        <x:v>30</x:v>
      </x:c>
      <x:c r="B34" s="17" t="n">
        <x:v>30</x:v>
      </x:c>
      <x:c r="C34" s="17" t="str">
        <x:v>University of Pennsylvania</x:v>
      </x:c>
      <x:c r="D34" s="17" t="str">
        <x:v>Philadelphia, United States</x:v>
      </x:c>
      <x:c r="E34" s="17" t="str">
        <x:v>United States</x:v>
      </x:c>
      <x:c r="F34" s="31" t="n">
        <x:v>95.3</x:v>
      </x:c>
      <x:c r="G34" s="31" t="n">
        <x:v>93.6</x:v>
      </x:c>
      <x:c r="H34" s="31" t="n">
        <x:v>99</x:v>
      </x:c>
      <x:c r="I34" s="31" t="n">
        <x:v>81</x:v>
      </x:c>
      <x:c r="J34" s="31"/>
      <x:c r="K34" s="31"/>
      <x:c r="L34" s="31"/>
      <x:c r="M34" s="31"/>
      <x:c r="N34" s="31"/>
      <x:c r="O34" s="30" t="str">
        <x:v>https://www.topuniversities.com/universities/university-pennsylvania</x:v>
      </x:c>
    </x:row>
    <x:row r="35">
      <x:c r="A35" s="17" t="n">
        <x:f>30</x:f>
        <x:v>30</x:v>
      </x:c>
      <x:c r="B35" s="17" t="n">
        <x:v>30</x:v>
      </x:c>
      <x:c r="C35" s="17" t="str">
        <x:v>University of Reading</x:v>
      </x:c>
      <x:c r="D35" s="17" t="str">
        <x:v>Reading, United Kingdom</x:v>
      </x:c>
      <x:c r="E35" s="17" t="str">
        <x:v>United Kingdom</x:v>
      </x:c>
      <x:c r="F35" s="31" t="n">
        <x:v>95.3</x:v>
      </x:c>
      <x:c r="G35" s="31" t="n">
        <x:v>82.4</x:v>
      </x:c>
      <x:c r="H35" s="31" t="n">
        <x:v>97.5</x:v>
      </x:c>
      <x:c r="I35" s="31" t="n">
        <x:v>97.5</x:v>
      </x:c>
      <x:c r="J35" s="31" t="n">
        <x:v>96.4</x:v>
      </x:c>
      <x:c r="K35" s="31" t="n">
        <x:v>97.8</x:v>
      </x:c>
      <x:c r="L35" s="31" t="n">
        <x:v>88.6</x:v>
      </x:c>
      <x:c r="M35" s="31" t="n">
        <x:v>90.1</x:v>
      </x:c>
      <x:c r="N35" s="31" t="n">
        <x:v>99.3</x:v>
      </x:c>
      <x:c r="O35" s="30" t="str">
        <x:v>https://www.topuniversities.com/universities/university-reading</x:v>
      </x:c>
    </x:row>
    <x:row r="36">
      <x:c r="A36" s="17" t="str">
        <x:v>32</x:v>
      </x:c>
      <x:c r="B36" s="17" t="n">
        <x:v>32</x:v>
      </x:c>
      <x:c r="C36" s="17" t="str">
        <x:v>Uppsala University</x:v>
      </x:c>
      <x:c r="D36" s="17" t="str">
        <x:v>Uppsala, Sweden</x:v>
      </x:c>
      <x:c r="E36" s="17" t="str">
        <x:v>Sweden</x:v>
      </x:c>
      <x:c r="F36" s="31" t="n">
        <x:v>95.1</x:v>
      </x:c>
      <x:c r="G36" s="31" t="n">
        <x:v>75.5</x:v>
      </x:c>
      <x:c r="H36" s="31" t="n">
        <x:v>99.1</x:v>
      </x:c>
      <x:c r="I36" s="31" t="n">
        <x:v>99.5</x:v>
      </x:c>
      <x:c r="J36" s="31" t="n">
        <x:v>95.3</x:v>
      </x:c>
      <x:c r="K36" s="31" t="n">
        <x:v>97.7</x:v>
      </x:c>
      <x:c r="L36" s="31" t="n">
        <x:v>97</x:v>
      </x:c>
      <x:c r="M36" s="31" t="n">
        <x:v>90</x:v>
      </x:c>
      <x:c r="N36" s="31" t="n">
        <x:v>99.4</x:v>
      </x:c>
      <x:c r="O36" s="30" t="str">
        <x:v>https://www.topuniversities.com/universities/uppsala-university</x:v>
      </x:c>
    </x:row>
    <x:row r="37">
      <x:c r="A37" s="17" t="n">
        <x:f>33</x:f>
        <x:v>33</x:v>
      </x:c>
      <x:c r="B37" s="17" t="n">
        <x:v>33</x:v>
      </x:c>
      <x:c r="C37" s="17" t="str">
        <x:v>Ghent University</x:v>
      </x:c>
      <x:c r="D37" s="17" t="str">
        <x:v>Ghent, Belgium</x:v>
      </x:c>
      <x:c r="E37" s="17" t="str">
        <x:v>Belgium</x:v>
      </x:c>
      <x:c r="F37" s="31" t="n">
        <x:v>94.9</x:v>
      </x:c>
      <x:c r="G37" s="31" t="n">
        <x:v>80.5</x:v>
      </x:c>
      <x:c r="H37" s="31" t="n">
        <x:v>96.9</x:v>
      </x:c>
      <x:c r="I37" s="31" t="n">
        <x:v>99.5</x:v>
      </x:c>
      <x:c r="J37" s="31" t="n">
        <x:v>94.6</x:v>
      </x:c>
      <x:c r="K37" s="31" t="n">
        <x:v>99.5</x:v>
      </x:c>
      <x:c r="L37" s="31" t="n">
        <x:v>98.4</x:v>
      </x:c>
      <x:c r="M37" s="31" t="n">
        <x:v>90.7</x:v>
      </x:c>
      <x:c r="N37" s="31" t="n">
        <x:v>88.1</x:v>
      </x:c>
      <x:c r="O37" s="30" t="str">
        <x:v>https://www.topuniversities.com/universities/ghent-university</x:v>
      </x:c>
    </x:row>
    <x:row r="38">
      <x:c r="A38" s="17" t="n">
        <x:f>33</x:f>
        <x:v>33</x:v>
      </x:c>
      <x:c r="B38" s="17" t="n">
        <x:v>33</x:v>
      </x:c>
      <x:c r="C38" s="17" t="str">
        <x:v>The University of Sheffield</x:v>
      </x:c>
      <x:c r="D38" s="17" t="str">
        <x:v>Sheffield,, United Kingdom</x:v>
      </x:c>
      <x:c r="E38" s="17" t="str">
        <x:v>United Kingdom</x:v>
      </x:c>
      <x:c r="F38" s="31" t="n">
        <x:v>94.9</x:v>
      </x:c>
      <x:c r="G38" s="31" t="n">
        <x:v>71.8</x:v>
      </x:c>
      <x:c r="H38" s="31" t="n">
        <x:v>94.1</x:v>
      </x:c>
      <x:c r="I38" s="31" t="n">
        <x:v>97.6</x:v>
      </x:c>
      <x:c r="J38" s="31" t="n">
        <x:v>99.5</x:v>
      </x:c>
      <x:c r="K38" s="31" t="n">
        <x:v>99</x:v>
      </x:c>
      <x:c r="L38" s="31" t="n">
        <x:v>92.9</x:v>
      </x:c>
      <x:c r="M38" s="31" t="n">
        <x:v>97.1</x:v>
      </x:c>
      <x:c r="N38" s="31" t="n">
        <x:v>99.7</x:v>
      </x:c>
      <x:c r="O38" s="30" t="str">
        <x:v>https://www.topuniversities.com/universities/university-sheffield</x:v>
      </x:c>
    </x:row>
    <x:row r="39">
      <x:c r="A39" s="17" t="n">
        <x:f>35</x:f>
        <x:v>35</x:v>
      </x:c>
      <x:c r="B39" s="17" t="n">
        <x:v>35</x:v>
      </x:c>
      <x:c r="C39" s="17" t="str">
        <x:v>Delft University of Technology</x:v>
      </x:c>
      <x:c r="D39" s="17" t="str">
        <x:v>Delft, Netherlands</x:v>
      </x:c>
      <x:c r="E39" s="17" t="str">
        <x:v>Netherlands</x:v>
      </x:c>
      <x:c r="F39" s="31" t="n">
        <x:v>94.8</x:v>
      </x:c>
      <x:c r="G39" s="31" t="n">
        <x:v>83.9</x:v>
      </x:c>
      <x:c r="H39" s="31" t="n">
        <x:v>96.9</x:v>
      </x:c>
      <x:c r="I39" s="31" t="n">
        <x:v>99</x:v>
      </x:c>
      <x:c r="J39" s="31" t="n">
        <x:v>89.4</x:v>
      </x:c>
      <x:c r="K39" s="31" t="n">
        <x:v>96.8</x:v>
      </x:c>
      <x:c r="L39" s="31" t="n">
        <x:v>93.8</x:v>
      </x:c>
      <x:c r="M39" s="31" t="n">
        <x:v>99.4</x:v>
      </x:c>
      <x:c r="N39" s="31" t="n">
        <x:v>89</x:v>
      </x:c>
      <x:c r="O39" s="30" t="str">
        <x:v>https://www.topuniversities.com/universities/delft-university-technology</x:v>
      </x:c>
    </x:row>
    <x:row r="40">
      <x:c r="A40" s="17" t="n">
        <x:f>35</x:f>
        <x:v>35</x:v>
      </x:c>
      <x:c r="B40" s="17" t="n">
        <x:v>35</x:v>
      </x:c>
      <x:c r="C40" s="17" t="str">
        <x:v>Michigan State University</x:v>
      </x:c>
      <x:c r="D40" s="17" t="str">
        <x:v>East Lansing, United States</x:v>
      </x:c>
      <x:c r="E40" s="17" t="str">
        <x:v>United States</x:v>
      </x:c>
      <x:c r="F40" s="31" t="n">
        <x:v>94.8</x:v>
      </x:c>
      <x:c r="G40" s="31" t="n">
        <x:v>75.8</x:v>
      </x:c>
      <x:c r="H40" s="31" t="n">
        <x:v>96</x:v>
      </x:c>
      <x:c r="I40" s="31" t="n">
        <x:v>97.9</x:v>
      </x:c>
      <x:c r="J40" s="31" t="n">
        <x:v>98.1</x:v>
      </x:c>
      <x:c r="K40" s="31" t="n">
        <x:v>99.5</x:v>
      </x:c>
      <x:c r="L40" s="31" t="n">
        <x:v>86.1</x:v>
      </x:c>
      <x:c r="M40" s="31" t="n">
        <x:v>97.2</x:v>
      </x:c>
      <x:c r="N40" s="31" t="n">
        <x:v>96.9</x:v>
      </x:c>
      <x:c r="O40" s="30" t="str">
        <x:v>https://www.topuniversities.com/universities/michigan-state-university</x:v>
      </x:c>
    </x:row>
    <x:row r="41">
      <x:c r="A41" s="17" t="str">
        <x:v>37</x:v>
      </x:c>
      <x:c r="B41" s="17" t="n">
        <x:v>37</x:v>
      </x:c>
      <x:c r="C41" s="17" t="str">
        <x:v>Monash University</x:v>
      </x:c>
      <x:c r="D41" s="17" t="str">
        <x:v>Melbourne, Australia</x:v>
      </x:c>
      <x:c r="E41" s="17" t="str">
        <x:v>Australia</x:v>
      </x:c>
      <x:c r="F41" s="31" t="n">
        <x:v>94.6</x:v>
      </x:c>
      <x:c r="G41" s="31" t="n">
        <x:v>77.2</x:v>
      </x:c>
      <x:c r="H41" s="31" t="n">
        <x:v>93.9</x:v>
      </x:c>
      <x:c r="I41" s="31" t="n">
        <x:v>92.3</x:v>
      </x:c>
      <x:c r="J41" s="31" t="n">
        <x:v>94.3</x:v>
      </x:c>
      <x:c r="K41" s="31" t="n">
        <x:v>98.1</x:v>
      </x:c>
      <x:c r="L41" s="31" t="n">
        <x:v>97.8</x:v>
      </x:c>
      <x:c r="M41" s="31" t="n">
        <x:v>98.9</x:v>
      </x:c>
      <x:c r="N41" s="31" t="n">
        <x:v>98.9</x:v>
      </x:c>
      <x:c r="O41" s="30" t="str">
        <x:v>https://www.topuniversities.com/universities/monash-university</x:v>
      </x:c>
    </x:row>
    <x:row r="42">
      <x:c r="A42" s="17" t="n">
        <x:f>37</x:f>
        <x:v>37</x:v>
      </x:c>
      <x:c r="B42" s="17" t="n">
        <x:v>37</x:v>
      </x:c>
      <x:c r="C42" s="17" t="str">
        <x:v>Seoul National University</x:v>
      </x:c>
      <x:c r="D42" s="17" t="str">
        <x:v>Seoul, South Korea</x:v>
      </x:c>
      <x:c r="E42" s="17" t="str">
        <x:v>South Korea</x:v>
      </x:c>
      <x:c r="F42" s="31" t="n">
        <x:v>94.5</x:v>
      </x:c>
      <x:c r="G42" s="31" t="n">
        <x:v>90.9</x:v>
      </x:c>
      <x:c r="H42" s="31" t="n">
        <x:v>98.4</x:v>
      </x:c>
      <x:c r="I42" s="31" t="n">
        <x:v>98.5</x:v>
      </x:c>
      <x:c r="J42" s="31" t="n">
        <x:v>75.5</x:v>
      </x:c>
      <x:c r="K42" s="31" t="n">
        <x:v>93.9</x:v>
      </x:c>
      <x:c r="L42" s="31" t="n">
        <x:v>93.6</x:v>
      </x:c>
      <x:c r="M42" s="31" t="n">
        <x:v>99.4</x:v>
      </x:c>
      <x:c r="N42" s="31" t="n">
        <x:v>94.5</x:v>
      </x:c>
      <x:c r="O42" s="30" t="str">
        <x:v>https://www.topuniversities.com/universities/seoul-national-university</x:v>
      </x:c>
    </x:row>
    <x:row r="43">
      <x:c r="A43" s="17" t="n">
        <x:f>37</x:f>
        <x:v>37</x:v>
      </x:c>
      <x:c r="B43" s="17" t="n">
        <x:v>37</x:v>
      </x:c>
      <x:c r="C43" s="17" t="str">
        <x:v>University of Nottingham</x:v>
      </x:c>
      <x:c r="D43" s="17" t="str">
        <x:v>Nottingham, United Kingdom</x:v>
      </x:c>
      <x:c r="E43" s="17" t="str">
        <x:v>United Kingdom</x:v>
      </x:c>
      <x:c r="F43" s="31" t="n">
        <x:v>94.5</x:v>
      </x:c>
      <x:c r="G43" s="31" t="n">
        <x:v>70.2</x:v>
      </x:c>
      <x:c r="H43" s="31" t="n">
        <x:v>93.2</x:v>
      </x:c>
      <x:c r="I43" s="31" t="n">
        <x:v>97.4</x:v>
      </x:c>
      <x:c r="J43" s="31" t="n">
        <x:v>99.4</x:v>
      </x:c>
      <x:c r="K43" s="31" t="n">
        <x:v>98.7</x:v>
      </x:c>
      <x:c r="L43" s="31" t="n">
        <x:v>93.1</x:v>
      </x:c>
      <x:c r="M43" s="31" t="n">
        <x:v>98.4</x:v>
      </x:c>
      <x:c r="N43" s="31" t="n">
        <x:v>99.5</x:v>
      </x:c>
      <x:c r="O43" s="30" t="str">
        <x:v>https://www.topuniversities.com/universities/university-nottingham</x:v>
      </x:c>
    </x:row>
    <x:row r="44">
      <x:c r="A44" s="17" t="str">
        <x:v>39</x:v>
      </x:c>
      <x:c r="B44" s="17" t="n">
        <x:v>39</x:v>
      </x:c>
      <x:c r="C44" s="17" t="str">
        <x:v>University of York</x:v>
      </x:c>
      <x:c r="D44" s="17" t="str">
        <x:v>York, United Kingdom</x:v>
      </x:c>
      <x:c r="E44" s="17" t="str">
        <x:v>United Kingdom</x:v>
      </x:c>
      <x:c r="F44" s="31" t="n">
        <x:v>94.2</x:v>
      </x:c>
      <x:c r="G44" s="31" t="n">
        <x:v>73.1</x:v>
      </x:c>
      <x:c r="H44" s="31" t="n">
        <x:v>93.7</x:v>
      </x:c>
      <x:c r="I44" s="31" t="n">
        <x:v>97.5</x:v>
      </x:c>
      <x:c r="J44" s="31" t="n">
        <x:v>96.8</x:v>
      </x:c>
      <x:c r="K44" s="31" t="n">
        <x:v>99.9</x:v>
      </x:c>
      <x:c r="L44" s="31" t="n">
        <x:v>93.1</x:v>
      </x:c>
      <x:c r="M44" s="31" t="n">
        <x:v>92.7</x:v>
      </x:c>
      <x:c r="N44" s="31" t="n">
        <x:v>100</x:v>
      </x:c>
      <x:c r="O44" s="30" t="str">
        <x:v>https://www.topuniversities.com/universities/university-york</x:v>
      </x:c>
    </x:row>
    <x:row r="45">
      <x:c r="A45" s="17" t="str">
        <x:v>40</x:v>
      </x:c>
      <x:c r="B45" s="17" t="n">
        <x:v>40</x:v>
      </x:c>
      <x:c r="C45" s="17" t="str">
        <x:v>Boston University</x:v>
      </x:c>
      <x:c r="D45" s="17" t="str">
        <x:v>Boston, United States</x:v>
      </x:c>
      <x:c r="E45" s="17" t="str">
        <x:v>United States</x:v>
      </x:c>
      <x:c r="F45" s="31" t="n">
        <x:v>94.1</x:v>
      </x:c>
      <x:c r="G45" s="31" t="n">
        <x:v>85.6</x:v>
      </x:c>
      <x:c r="H45" s="31" t="n">
        <x:v>97</x:v>
      </x:c>
      <x:c r="I45" s="31" t="n">
        <x:v>97.8</x:v>
      </x:c>
      <x:c r="J45" s="31" t="n">
        <x:v>95.5</x:v>
      </x:c>
      <x:c r="K45" s="31" t="n">
        <x:v>96.7</x:v>
      </x:c>
      <x:c r="L45" s="31" t="n">
        <x:v>86.1</x:v>
      </x:c>
      <x:c r="M45" s="31" t="n">
        <x:v>98.7</x:v>
      </x:c>
      <x:c r="N45" s="31" t="n">
        <x:v>79</x:v>
      </x:c>
      <x:c r="O45" s="30" t="str">
        <x:v>https://www.topuniversities.com/universities/boston-university</x:v>
      </x:c>
    </x:row>
    <x:row r="46">
      <x:c r="A46" s="17" t="n">
        <x:f>41</x:f>
        <x:v>41</x:v>
      </x:c>
      <x:c r="B46" s="17" t="n">
        <x:v>41</x:v>
      </x:c>
      <x:c r="C46" s="17" t="str">
        <x:v>Johns Hopkins University</x:v>
      </x:c>
      <x:c r="D46" s="17" t="str">
        <x:v>Baltimore, United States</x:v>
      </x:c>
      <x:c r="E46" s="17" t="str">
        <x:v>United States</x:v>
      </x:c>
      <x:c r="F46" s="31" t="n">
        <x:v>94</x:v>
      </x:c>
      <x:c r="G46" s="31" t="n">
        <x:v>74.8</x:v>
      </x:c>
      <x:c r="H46" s="31" t="n">
        <x:v>97.6</x:v>
      </x:c>
      <x:c r="I46" s="31" t="n">
        <x:v>97</x:v>
      </x:c>
      <x:c r="J46" s="31" t="n">
        <x:v>95.3</x:v>
      </x:c>
      <x:c r="K46" s="31" t="n">
        <x:v>99.5</x:v>
      </x:c>
      <x:c r="L46" s="31" t="n">
        <x:v>88.1</x:v>
      </x:c>
      <x:c r="M46" s="31" t="n">
        <x:v>98.3</x:v>
      </x:c>
      <x:c r="N46" s="31" t="n">
        <x:v>89.5</x:v>
      </x:c>
      <x:c r="O46" s="30" t="str">
        <x:v>https://www.topuniversities.com/universities/johns-hopkins-university</x:v>
      </x:c>
    </x:row>
    <x:row r="47">
      <x:c r="A47" s="17" t="n">
        <x:f>43</x:f>
        <x:v>43</x:v>
      </x:c>
      <x:c r="B47" s="17" t="n">
        <x:v>43</x:v>
      </x:c>
      <x:c r="C47" s="17" t="str">
        <x:v>Massachusetts Institute of Technology (MIT)</x:v>
      </x:c>
      <x:c r="D47" s="17" t="str">
        <x:v>Cambridge, United States</x:v>
      </x:c>
      <x:c r="E47" s="17" t="str">
        <x:v>United States</x:v>
      </x:c>
      <x:c r="F47" s="31" t="n">
        <x:v>93.9</x:v>
      </x:c>
      <x:c r="G47" s="31" t="n">
        <x:v>85.1</x:v>
      </x:c>
      <x:c r="H47" s="31" t="n">
        <x:v>100</x:v>
      </x:c>
      <x:c r="I47" s="31" t="n">
        <x:v>98.4</x:v>
      </x:c>
      <x:c r="J47" s="31" t="n">
        <x:v>90.2</x:v>
      </x:c>
      <x:c r="K47" s="31" t="n">
        <x:v>97.7</x:v>
      </x:c>
      <x:c r="L47" s="31" t="n">
        <x:v>88</x:v>
      </x:c>
      <x:c r="M47" s="31" t="n">
        <x:v>99.1</x:v>
      </x:c>
      <x:c r="N47" s="31" t="n">
        <x:v>74.8</x:v>
      </x:c>
      <x:c r="O47" s="30" t="str">
        <x:v>https://www.topuniversities.com/universities/massachusetts-institute-technology-mit</x:v>
      </x:c>
    </x:row>
    <x:row r="48">
      <x:c r="A48" s="17" t="n">
        <x:f>43</x:f>
        <x:v>43</x:v>
      </x:c>
      <x:c r="B48" s="17" t="n">
        <x:v>43</x:v>
      </x:c>
      <x:c r="C48" s="17" t="str">
        <x:v>University of Birmingham</x:v>
      </x:c>
      <x:c r="D48" s="17" t="str">
        <x:v>Birmingham, United Kingdom</x:v>
      </x:c>
      <x:c r="E48" s="17" t="str">
        <x:v>United Kingdom</x:v>
      </x:c>
      <x:c r="F48" s="31" t="n">
        <x:v>93.9</x:v>
      </x:c>
      <x:c r="G48" s="31" t="n">
        <x:v>74.1</x:v>
      </x:c>
      <x:c r="H48" s="31" t="n">
        <x:v>85.4</x:v>
      </x:c>
      <x:c r="I48" s="31" t="n">
        <x:v>97.8</x:v>
      </x:c>
      <x:c r="J48" s="31" t="n">
        <x:v>96.6</x:v>
      </x:c>
      <x:c r="K48" s="31" t="n">
        <x:v>99.5</x:v>
      </x:c>
      <x:c r="L48" s="31" t="n">
        <x:v>97.3</x:v>
      </x:c>
      <x:c r="M48" s="31" t="n">
        <x:v>98.3</x:v>
      </x:c>
      <x:c r="N48" s="31" t="n">
        <x:v>99.6</x:v>
      </x:c>
      <x:c r="O48" s="30" t="str">
        <x:v>https://www.topuniversities.com/universities/university-birmingham</x:v>
      </x:c>
    </x:row>
    <x:row r="49">
      <x:c r="A49" s="17" t="str">
        <x:v>45</x:v>
      </x:c>
      <x:c r="B49" s="17" t="n">
        <x:v>45</x:v>
      </x:c>
      <x:c r="C49" s="17" t="str">
        <x:v>Université Paris-Saclay</x:v>
      </x:c>
      <x:c r="D49" s="17" t="str">
        <x:v>Paris, France</x:v>
      </x:c>
      <x:c r="E49" s="17" t="str">
        <x:v>France</x:v>
      </x:c>
      <x:c r="F49" s="31" t="n">
        <x:v>93.8</x:v>
      </x:c>
      <x:c r="G49" s="31" t="n">
        <x:v>74.3</x:v>
      </x:c>
      <x:c r="H49" s="31" t="n">
        <x:v>94.4</x:v>
      </x:c>
      <x:c r="I49" s="31" t="n">
        <x:v>98.3</x:v>
      </x:c>
      <x:c r="J49" s="31" t="n">
        <x:v>96.2</x:v>
      </x:c>
      <x:c r="K49" s="31" t="n">
        <x:v>95.3</x:v>
      </x:c>
      <x:c r="L49" s="31" t="n">
        <x:v>95.1</x:v>
      </x:c>
      <x:c r="M49" s="31" t="n">
        <x:v>94.9</x:v>
      </x:c>
      <x:c r="N49" s="31" t="n">
        <x:v>95.6</x:v>
      </x:c>
      <x:c r="O49" s="30" t="str">
        <x:v>https://www.topuniversities.com/universities/universite-paris-saclay</x:v>
      </x:c>
    </x:row>
    <x:row r="50">
      <x:c r="A50" s="17" t="str">
        <x:v>46</x:v>
      </x:c>
      <x:c r="B50" s="17" t="n">
        <x:v>46</x:v>
      </x:c>
      <x:c r="C50" s="17" t="str">
        <x:v>Universität Hamburg</x:v>
      </x:c>
      <x:c r="D50" s="17" t="str">
        <x:v>Hamburg, Germany</x:v>
      </x:c>
      <x:c r="E50" s="17" t="str">
        <x:v>Germany</x:v>
      </x:c>
      <x:c r="F50" s="31" t="n">
        <x:v>93.7</x:v>
      </x:c>
      <x:c r="G50" s="31" t="n">
        <x:v>86.1</x:v>
      </x:c>
      <x:c r="H50" s="31" t="n">
        <x:v>87</x:v>
      </x:c>
      <x:c r="I50" s="31" t="n">
        <x:v>96.5</x:v>
      </x:c>
      <x:c r="J50" s="31" t="n">
        <x:v>95.7</x:v>
      </x:c>
      <x:c r="K50" s="31" t="n">
        <x:v>93.1</x:v>
      </x:c>
      <x:c r="L50" s="31" t="n">
        <x:v>94.5</x:v>
      </x:c>
      <x:c r="M50" s="31" t="n">
        <x:v>94.8</x:v>
      </x:c>
      <x:c r="N50" s="31" t="n">
        <x:v>95.2</x:v>
      </x:c>
      <x:c r="O50" s="30" t="str">
        <x:v>https://www.topuniversities.com/universities/universitat-hamburg</x:v>
      </x:c>
    </x:row>
    <x:row r="51">
      <x:c r="A51" s="17" t="str">
        <x:v>47</x:v>
      </x:c>
      <x:c r="B51" s="17" t="n">
        <x:v>47</x:v>
      </x:c>
      <x:c r="C51" s="17" t="str">
        <x:v>University College Dublin</x:v>
      </x:c>
      <x:c r="D51" s="17" t="str">
        <x:v>Dublin, Ireland</x:v>
      </x:c>
      <x:c r="E51" s="17" t="str">
        <x:v>Ireland</x:v>
      </x:c>
      <x:c r="F51" s="31" t="n">
        <x:v>93.6</x:v>
      </x:c>
      <x:c r="G51" s="31" t="n">
        <x:v>79.8</x:v>
      </x:c>
      <x:c r="H51" s="31" t="n">
        <x:v>87.1</x:v>
      </x:c>
      <x:c r="I51" s="31" t="n">
        <x:v>98.1</x:v>
      </x:c>
      <x:c r="J51" s="31" t="n">
        <x:v>99.5</x:v>
      </x:c>
      <x:c r="K51" s="31" t="n">
        <x:v>96.9</x:v>
      </x:c>
      <x:c r="L51" s="31" t="n">
        <x:v>81.2</x:v>
      </x:c>
      <x:c r="M51" s="31" t="n">
        <x:v>96.1</x:v>
      </x:c>
      <x:c r="N51" s="31" t="n">
        <x:v>99.1</x:v>
      </x:c>
      <x:c r="O51" s="30" t="str">
        <x:v>https://www.topuniversities.com/universities/university-college-dublin</x:v>
      </x:c>
    </x:row>
    <x:row r="52">
      <x:c r="A52" s="17" t="n">
        <x:f>48</x:f>
        <x:v>48</x:v>
      </x:c>
      <x:c r="B52" s="17" t="n">
        <x:v>48</x:v>
      </x:c>
      <x:c r="C52" s="17" t="str">
        <x:v>The University of Tokyo</x:v>
      </x:c>
      <x:c r="D52" s="17" t="str">
        <x:v>Tokyo, Japan</x:v>
      </x:c>
      <x:c r="E52" s="17" t="str">
        <x:v>Japan</x:v>
      </x:c>
      <x:c r="F52" s="31" t="n">
        <x:v>93.5</x:v>
      </x:c>
      <x:c r="G52" s="31" t="n">
        <x:v>93.1</x:v>
      </x:c>
      <x:c r="H52" s="31" t="n">
        <x:v>100</x:v>
      </x:c>
      <x:c r="I52" s="31" t="n">
        <x:v>97.6</x:v>
      </x:c>
      <x:c r="J52" s="31" t="n">
        <x:v>73</x:v>
      </x:c>
      <x:c r="K52" s="31" t="n">
        <x:v>98.6</x:v>
      </x:c>
      <x:c r="L52" s="31" t="n">
        <x:v>87.3</x:v>
      </x:c>
      <x:c r="M52" s="31" t="n">
        <x:v>99.1</x:v>
      </x:c>
      <x:c r="N52" s="31" t="n">
        <x:v>80.8</x:v>
      </x:c>
      <x:c r="O52" s="30" t="str">
        <x:v>https://www.topuniversities.com/universities/university-tokyo</x:v>
      </x:c>
    </x:row>
    <x:row r="53">
      <x:c r="A53" s="17" t="n">
        <x:f>48</x:f>
        <x:v>48</x:v>
      </x:c>
      <x:c r="B53" s="17" t="n">
        <x:v>48</x:v>
      </x:c>
      <x:c r="C53" s="17" t="str">
        <x:v>University of Exeter</x:v>
      </x:c>
      <x:c r="D53" s="17" t="str">
        <x:v>Exeter, United Kingdom</x:v>
      </x:c>
      <x:c r="E53" s="17" t="str">
        <x:v>United Kingdom</x:v>
      </x:c>
      <x:c r="F53" s="31" t="n">
        <x:v>93.5</x:v>
      </x:c>
      <x:c r="G53" s="31" t="n">
        <x:v>72.8</x:v>
      </x:c>
      <x:c r="H53" s="31" t="n">
        <x:v>95.5</x:v>
      </x:c>
      <x:c r="I53" s="31" t="n">
        <x:v>98</x:v>
      </x:c>
      <x:c r="J53" s="31" t="n">
        <x:v>97.2</x:v>
      </x:c>
      <x:c r="K53" s="31" t="n">
        <x:v>99</x:v>
      </x:c>
      <x:c r="L53" s="31" t="n">
        <x:v>89.7</x:v>
      </x:c>
      <x:c r="M53" s="31" t="n">
        <x:v>96.3</x:v>
      </x:c>
      <x:c r="N53" s="31" t="n">
        <x:v>88.1</x:v>
      </x:c>
      <x:c r="O53" s="30" t="str">
        <x:v>https://www.topuniversities.com/universities/university-exeter</x:v>
      </x:c>
    </x:row>
    <x:row r="54">
      <x:c r="A54" s="17" t="n">
        <x:f>50</x:f>
        <x:v>50</x:v>
      </x:c>
      <x:c r="B54" s="17" t="n">
        <x:v>50</x:v>
      </x:c>
      <x:c r="C54" s="17" t="str">
        <x:v>The University of Queensland</x:v>
      </x:c>
      <x:c r="D54" s="17" t="str">
        <x:v>Brisbane City, Australia</x:v>
      </x:c>
      <x:c r="E54" s="17" t="str">
        <x:v>Australia</x:v>
      </x:c>
      <x:c r="F54" s="31" t="n">
        <x:v>93.3</x:v>
      </x:c>
      <x:c r="G54" s="31" t="n">
        <x:v>65</x:v>
      </x:c>
      <x:c r="H54" s="31" t="n">
        <x:v>98.3</x:v>
      </x:c>
      <x:c r="I54" s="31" t="n">
        <x:v>92.4</x:v>
      </x:c>
      <x:c r="J54" s="31" t="n">
        <x:v>97</x:v>
      </x:c>
      <x:c r="K54" s="31" t="n">
        <x:v>97.7</x:v>
      </x:c>
      <x:c r="L54" s="31" t="n">
        <x:v>96.7</x:v>
      </x:c>
      <x:c r="M54" s="31" t="n">
        <x:v>98.7</x:v>
      </x:c>
      <x:c r="N54" s="31" t="n">
        <x:v>93.6</x:v>
      </x:c>
      <x:c r="O54" s="30" t="str">
        <x:v>https://www.topuniversities.com/universities/university-queensland</x:v>
      </x:c>
    </x:row>
    <x:row r="55">
      <x:c r="A55" s="17" t="n">
        <x:f>50</x:f>
        <x:v>50</x:v>
      </x:c>
      <x:c r="B55" s="17" t="n">
        <x:v>50</x:v>
      </x:c>
      <x:c r="C55" s="17" t="str">
        <x:v>University of Gothenburg</x:v>
      </x:c>
      <x:c r="D55" s="17" t="str">
        <x:v>Gothenburg, Sweden</x:v>
      </x:c>
      <x:c r="E55" s="17" t="str">
        <x:v>Sweden</x:v>
      </x:c>
      <x:c r="F55" s="31" t="n">
        <x:v>93.3</x:v>
      </x:c>
      <x:c r="G55" s="31" t="n">
        <x:v>86.3</x:v>
      </x:c>
      <x:c r="H55" s="31" t="n">
        <x:v>85.6</x:v>
      </x:c>
      <x:c r="I55" s="31" t="n">
        <x:v>98.9</x:v>
      </x:c>
      <x:c r="J55" s="31" t="n">
        <x:v>98.1</x:v>
      </x:c>
      <x:c r="K55" s="31" t="n">
        <x:v>98.8</x:v>
      </x:c>
      <x:c r="L55" s="31" t="n">
        <x:v>94.7</x:v>
      </x:c>
      <x:c r="M55" s="31" t="n">
        <x:v>80.9</x:v>
      </x:c>
      <x:c r="N55" s="31" t="n">
        <x:v>93.9</x:v>
      </x:c>
      <x:c r="O55" s="30" t="str">
        <x:v>https://www.topuniversities.com/universities/university-gothenburg</x:v>
      </x:c>
    </x:row>
  </x:sheetData>
  <x:mergeCells>
    <x:mergeCell ref="A1:O1"/>
    <x:mergeCell ref="A2:O2"/>
  </x:mergeCells>
  <x:pageMargins left="0.7" right="0.7" top="0.75" bottom="0.75" header="0.3" footer="0.3"/>
  <x:tableParts count="1">
    <x:tablePart xmlns:r="http://schemas.openxmlformats.org/officeDocument/2006/relationships" r:id="Ra4e62be587c547d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1" hidden="0" customWidth="1"/>
    <x:col min="3" max="3" width="38" hidden="0" customWidth="1"/>
    <x:col min="4" max="4" width="20" hidden="0" customWidth="1"/>
    <x:col min="5" max="5" width="13" hidden="0" customWidth="1"/>
    <x:col min="6" max="6" width="13" hidden="0" customWidth="1"/>
    <x:col min="7" max="7" width="68" hidden="0" customWidth="1"/>
    <x:col min="8" max="8" width="52" hidden="0" customWidth="1"/>
  </x:cols>
  <x:sheetData>
    <x:row r="1" ht="28" customHeight="1">
      <x:c r="A1" s="3" t="str">
        <x:v>THE Sustainability Impact Ratings 2026 - Rank &lt;= 50</x:v>
      </x:c>
      <x:c r="B1" s="3"/>
      <x:c r="C1" s="3"/>
      <x:c r="D1" s="3"/>
      <x:c r="E1" s="3"/>
      <x:c r="F1" s="3"/>
      <x:c r="G1" s="3"/>
      <x:c r="H1" s="3"/>
    </x:row>
    <x:row r="2" ht="36" customHeight="1">
      <x:c r="A2" s="7" t="str">
        <x:v>Official THE sustainability ranking (formerly THE Impact Rankings). There are 51 records because published rank 49 is tied.</x:v>
      </x:c>
      <x:c r="B2" s="7"/>
      <x:c r="C2" s="7"/>
      <x:c r="D2" s="7"/>
      <x:c r="E2" s="7"/>
      <x:c r="F2" s="7"/>
      <x:c r="G2" s="7"/>
      <x:c r="H2" s="7"/>
    </x:row>
    <x:row r="4" ht="36" customHeight="1">
      <x:c r="A4" s="13" t="str">
        <x:v>Rank</x:v>
      </x:c>
      <x:c r="B4" s="13" t="str">
        <x:v>Rank Number</x:v>
      </x:c>
      <x:c r="C4" s="13" t="str">
        <x:v>University</x:v>
      </x:c>
      <x:c r="D4" s="13" t="str">
        <x:v>Country</x:v>
      </x:c>
      <x:c r="E4" s="13" t="str">
        <x:v>Overall Score</x:v>
      </x:c>
      <x:c r="F4" s="13" t="str">
        <x:v>SDG 17 Score</x:v>
      </x:c>
      <x:c r="G4" s="13" t="str">
        <x:v>Top SDG Scores (published text)</x:v>
      </x:c>
      <x:c r="H4" s="13" t="str">
        <x:v>THE Profile URL</x:v>
      </x:c>
    </x:row>
    <x:row r="5">
      <x:c r="A5" s="17" t="str">
        <x:v>1</x:v>
      </x:c>
      <x:c r="B5" s="17" t="n">
        <x:v>1</x:v>
      </x:c>
      <x:c r="C5" s="17" t="str">
        <x:v>University of Manchester</x:v>
      </x:c>
      <x:c r="D5" s="17" t="str">
        <x:v>United Kingdom</x:v>
      </x:c>
      <x:c r="E5" s="31" t="n">
        <x:v>98.5</x:v>
      </x:c>
      <x:c r="F5" s="31" t="n">
        <x:v>93.8</x:v>
      </x:c>
      <x:c r="G5" s="17" t="str">
        <x:v>15 LIFE ON LAND 96.9 14 LIFE BELOW WATER 95.6 12 RESPONSIBLE CONSUMPTION AND PRODUCTION 93.2</x:v>
      </x:c>
      <x:c r="H5" s="30" t="str">
        <x:v>https://www.timeshighereducation.com/world-university-rankings/university-manchester</x:v>
      </x:c>
    </x:row>
    <x:row r="6">
      <x:c r="A6" s="17" t="str">
        <x:v>2</x:v>
      </x:c>
      <x:c r="B6" s="17" t="n">
        <x:v>2</x:v>
      </x:c>
      <x:c r="C6" s="17" t="str">
        <x:v>Griffith University</x:v>
      </x:c>
      <x:c r="D6" s="17" t="str">
        <x:v>Australia</x:v>
      </x:c>
      <x:c r="E6" s="31" t="n">
        <x:v>97.9</x:v>
      </x:c>
      <x:c r="F6" s="31" t="n">
        <x:v>95.6</x:v>
      </x:c>
      <x:c r="G6" s="17" t="str">
        <x:v>14 LIFE BELOW WATER 95.6 6 CLEAN WATER AND SANITATION 92.4 15 LIFE ON LAND 94.7</x:v>
      </x:c>
      <x:c r="H6" s="30" t="str">
        <x:v>https://www.timeshighereducation.com/world-university-rankings/griffith-university</x:v>
      </x:c>
    </x:row>
    <x:row r="7">
      <x:c r="A7" s="17" t="str">
        <x:v>3</x:v>
      </x:c>
      <x:c r="B7" s="17" t="n">
        <x:v>3</x:v>
      </x:c>
      <x:c r="C7" s="17" t="str">
        <x:v>Western Sydney University</x:v>
      </x:c>
      <x:c r="D7" s="17" t="str">
        <x:v>Australia</x:v>
      </x:c>
      <x:c r="E7" s="31" t="n">
        <x:v>97.8</x:v>
      </x:c>
      <x:c r="F7" s="31" t="n">
        <x:v>94.3</x:v>
      </x:c>
      <x:c r="G7" s="17" t="str">
        <x:v>15 LIFE ON LAND 95.9 12 RESPONSIBLE CONSUMPTION AND PRODUCTION 92.0 10 REDUCING INEQUALITIES 92.3</x:v>
      </x:c>
      <x:c r="H7" s="30" t="str">
        <x:v>https://www.timeshighereducation.com/world-university-rankings/western-sydney-university</x:v>
      </x:c>
    </x:row>
    <x:row r="8">
      <x:c r="A8" s="17" t="str">
        <x:v>4</x:v>
      </x:c>
      <x:c r="B8" s="17" t="n">
        <x:v>4</x:v>
      </x:c>
      <x:c r="C8" s="17" t="str">
        <x:v>Queen’s University</x:v>
      </x:c>
      <x:c r="D8" s="17" t="str">
        <x:v>Canada</x:v>
      </x:c>
      <x:c r="E8" s="31" t="n">
        <x:v>97.5</x:v>
      </x:c>
      <x:c r="F8" s="31" t="n">
        <x:v>93.5</x:v>
      </x:c>
      <x:c r="G8" s="17" t="str">
        <x:v>2 ZERO HUNGER 92.2 11 SUSTAINABLE CITIES AND COMMUNITIES 93.6 16 PEACE, JUSTICE AND STRONG INSTITUTIONS 87.5</x:v>
      </x:c>
      <x:c r="H8" s="30" t="str">
        <x:v>https://www.timeshighereducation.com/world-university-rankings/queens-university</x:v>
      </x:c>
    </x:row>
    <x:row r="9">
      <x:c r="A9" s="17" t="str">
        <x:v>5</x:v>
      </x:c>
      <x:c r="B9" s="17" t="n">
        <x:v>5</x:v>
      </x:c>
      <x:c r="C9" s="17" t="str">
        <x:v>Universiti Sains Malaysia</x:v>
      </x:c>
      <x:c r="D9" s="17" t="str">
        <x:v>Malaysia</x:v>
      </x:c>
      <x:c r="E9" s="31" t="n">
        <x:v>97.3</x:v>
      </x:c>
      <x:c r="F9" s="31" t="n">
        <x:v>99.6</x:v>
      </x:c>
      <x:c r="G9" s="17" t="str">
        <x:v>1 NO POVERTY 92.5 14 LIFE BELOW WATER 91.1 15 LIFE ON LAND 91.7</x:v>
      </x:c>
      <x:c r="H9" s="30" t="str">
        <x:v>https://www.timeshighereducation.com/world-university-rankings/universiti-sains-malaysia</x:v>
      </x:c>
    </x:row>
    <x:row r="10">
      <x:c r="A10" s="17" t="str">
        <x:v>6</x:v>
      </x:c>
      <x:c r="B10" s="17" t="n">
        <x:v>6</x:v>
      </x:c>
      <x:c r="C10" s="17" t="str">
        <x:v>Hanyang University</x:v>
      </x:c>
      <x:c r="D10" s="17" t="str">
        <x:v>South Korea</x:v>
      </x:c>
      <x:c r="E10" s="31" t="n">
        <x:v>96.8</x:v>
      </x:c>
      <x:c r="F10" s="31" t="n">
        <x:v>95.2</x:v>
      </x:c>
      <x:c r="G10" s="17" t="str">
        <x:v>9 INDUSTRY, INNOVATION, AND INFRASTRUCTURE 99.9 14 LIFE BELOW WATER 91.6 8 DECENT WORK AND ECONOMIC GROWTH 85.8</x:v>
      </x:c>
      <x:c r="H10" s="30" t="str">
        <x:v>https://www.timeshighereducation.com/world-university-rankings/hanyang-university</x:v>
      </x:c>
    </x:row>
    <x:row r="11">
      <x:c r="A11" s="17" t="n">
        <x:f>7</x:f>
        <x:v>7</x:v>
      </x:c>
      <x:c r="B11" s="17" t="n">
        <x:v>7</x:v>
      </x:c>
      <x:c r="C11" s="17" t="str">
        <x:v>Hokkaido University</x:v>
      </x:c>
      <x:c r="D11" s="17" t="str">
        <x:v>Japan</x:v>
      </x:c>
      <x:c r="E11" s="31" t="n">
        <x:v>96.3</x:v>
      </x:c>
      <x:c r="F11" s="31" t="n">
        <x:v>94.1</x:v>
      </x:c>
      <x:c r="G11" s="17" t="str">
        <x:v>2 ZERO HUNGER 91.4 9 INDUSTRY, INNOVATION, AND INFRASTRUCTURE 98.0 15 LIFE ON LAND 92.3</x:v>
      </x:c>
      <x:c r="H11" s="30" t="str">
        <x:v>https://www.timeshighereducation.com/world-university-rankings/hokkaido-university</x:v>
      </x:c>
    </x:row>
    <x:row r="12">
      <x:c r="A12" s="17" t="n">
        <x:f>7</x:f>
        <x:v>7</x:v>
      </x:c>
      <x:c r="B12" s="17" t="n">
        <x:v>7</x:v>
      </x:c>
      <x:c r="C12" s="17" t="str">
        <x:v>Universiti Kebangsaan Malaysia</x:v>
      </x:c>
      <x:c r="D12" s="17" t="str">
        <x:v>Malaysia</x:v>
      </x:c>
      <x:c r="E12" s="31" t="n">
        <x:v>96.3</x:v>
      </x:c>
      <x:c r="F12" s="31" t="n">
        <x:v>96.5</x:v>
      </x:c>
      <x:c r="G12" s="17" t="str">
        <x:v>16 PEACE, JUSTICE AND STRONG INSTITUTIONS 90.8 11 SUSTAINABLE CITIES AND COMMUNITIES 92.8 1 NO POVERTY 90.6</x:v>
      </x:c>
      <x:c r="H12" s="30" t="str">
        <x:v>https://www.timeshighereducation.com/world-university-rankings/universiti-kebangsaan-malaysia</x:v>
      </x:c>
    </x:row>
    <x:row r="13">
      <x:c r="A13" s="17" t="str">
        <x:v>9</x:v>
      </x:c>
      <x:c r="B13" s="17" t="n">
        <x:v>9</x:v>
      </x:c>
      <x:c r="C13" s="17" t="str">
        <x:v>Institut Agro</x:v>
      </x:c>
      <x:c r="D13" s="17" t="str">
        <x:v>France</x:v>
      </x:c>
      <x:c r="E13" s="31" t="n">
        <x:v>96.1</x:v>
      </x:c>
      <x:c r="F13" s="31" t="n">
        <x:v>98.9</x:v>
      </x:c>
      <x:c r="G13" s="17" t="str">
        <x:v>15 LIFE ON LAND 95.2 2 ZERO HUNGER 89.8 14 LIFE BELOW WATER 90.7</x:v>
      </x:c>
      <x:c r="H13" s="30" t="str">
        <x:v>https://www.timeshighereducation.com/world-university-rankings/institut-agro</x:v>
      </x:c>
    </x:row>
    <x:row r="14">
      <x:c r="A14" s="17" t="n">
        <x:f>10</x:f>
        <x:v>10</x:v>
      </x:c>
      <x:c r="B14" s="17" t="n">
        <x:v>10</x:v>
      </x:c>
      <x:c r="C14" s="17" t="str">
        <x:v>National Taiwan University (NTU)</x:v>
      </x:c>
      <x:c r="D14" s="17" t="str">
        <x:v>Taiwan</x:v>
      </x:c>
      <x:c r="E14" s="31" t="n">
        <x:v>96</x:v>
      </x:c>
      <x:c r="F14" s="31"/>
      <x:c r="G14" s="17" t="str">
        <x:v>9 INDUSTRY, INNOVATION, AND INFRASTRUCTURE 99.9 2 ZERO HUNGER 91.1 3 GOOD HEALTH AND WELL-BEING 91.8</x:v>
      </x:c>
      <x:c r="H14" s="30" t="str">
        <x:v>https://www.timeshighereducation.com/world-university-rankings/national-taiwan-university-ntu</x:v>
      </x:c>
    </x:row>
    <x:row r="15">
      <x:c r="A15" s="17" t="n">
        <x:f>10</x:f>
        <x:v>10</x:v>
      </x:c>
      <x:c r="B15" s="17" t="n">
        <x:v>10</x:v>
      </x:c>
      <x:c r="C15" s="17" t="str">
        <x:v>University of Alberta</x:v>
      </x:c>
      <x:c r="D15" s="17" t="str">
        <x:v>Canada</x:v>
      </x:c>
      <x:c r="E15" s="31" t="n">
        <x:v>96</x:v>
      </x:c>
      <x:c r="F15" s="31" t="n">
        <x:v>92.9</x:v>
      </x:c>
      <x:c r="G15" s="17" t="str">
        <x:v>9 INDUSTRY, INNOVATION, AND INFRASTRUCTURE 100.0 14 LIFE BELOW WATER 93.0 2 ZERO HUNGER 86.7</x:v>
      </x:c>
      <x:c r="H15" s="30" t="str">
        <x:v>https://www.timeshighereducation.com/world-university-rankings/university-alberta</x:v>
      </x:c>
    </x:row>
    <x:row r="16">
      <x:c r="A16" s="17" t="n">
        <x:f>12</x:f>
        <x:v>12</x:v>
      </x:c>
      <x:c r="B16" s="17" t="n">
        <x:v>12</x:v>
      </x:c>
      <x:c r="C16" s="17" t="str">
        <x:v>Korea University</x:v>
      </x:c>
      <x:c r="D16" s="17" t="str">
        <x:v>South Korea</x:v>
      </x:c>
      <x:c r="E16" s="31" t="n">
        <x:v>95.9</x:v>
      </x:c>
      <x:c r="F16" s="31"/>
      <x:c r="G16" s="17" t="str">
        <x:v>8 DECENT WORK AND ECONOMIC GROWTH 91.8 9 INDUSTRY, INNOVATION, AND INFRASTRUCTURE 99.7 12 RESPONSIBLE CONSUMPTION AND PRODUCTION 92.4</x:v>
      </x:c>
      <x:c r="H16" s="30" t="str">
        <x:v>https://www.timeshighereducation.com/world-university-rankings/korea-university</x:v>
      </x:c>
    </x:row>
    <x:row r="17">
      <x:c r="A17" s="17" t="n">
        <x:f>12</x:f>
        <x:v>12</x:v>
      </x:c>
      <x:c r="B17" s="17" t="n">
        <x:v>12</x:v>
      </x:c>
      <x:c r="C17" s="17" t="str">
        <x:v>Western University</x:v>
      </x:c>
      <x:c r="D17" s="17" t="str">
        <x:v>Canada</x:v>
      </x:c>
      <x:c r="E17" s="31" t="n">
        <x:v>95.9</x:v>
      </x:c>
      <x:c r="F17" s="31" t="n">
        <x:v>92</x:v>
      </x:c>
      <x:c r="G17" s="17" t="str">
        <x:v>2 ZERO HUNGER 90.8 9 INDUSTRY, INNOVATION, AND INFRASTRUCTURE 97.5 14 LIFE BELOW WATER 91.8</x:v>
      </x:c>
      <x:c r="H17" s="30" t="str">
        <x:v>https://www.timeshighereducation.com/world-university-rankings/western-university</x:v>
      </x:c>
    </x:row>
    <x:row r="18">
      <x:c r="A18" s="17" t="str">
        <x:v>14</x:v>
      </x:c>
      <x:c r="B18" s="17" t="n">
        <x:v>14</x:v>
      </x:c>
      <x:c r="C18" s="17" t="str">
        <x:v>University of Glasgow</x:v>
      </x:c>
      <x:c r="D18" s="17" t="str">
        <x:v>United Kingdom</x:v>
      </x:c>
      <x:c r="E18" s="31" t="n">
        <x:v>95.8</x:v>
      </x:c>
      <x:c r="F18" s="31" t="n">
        <x:v>95.1</x:v>
      </x:c>
      <x:c r="G18" s="17" t="str">
        <x:v>12 RESPONSIBLE CONSUMPTION AND PRODUCTION 90.6 6 CLEAN WATER AND SANITATION 89.7 16 PEACE, JUSTICE AND STRONG INSTITUTIONS 83.4</x:v>
      </x:c>
      <x:c r="H18" s="30" t="str">
        <x:v>https://www.timeshighereducation.com/world-university-rankings/university-glasgow</x:v>
      </x:c>
    </x:row>
    <x:row r="19">
      <x:c r="A19" s="17" t="str">
        <x:v>15</x:v>
      </x:c>
      <x:c r="B19" s="17" t="n">
        <x:v>15</x:v>
      </x:c>
      <x:c r="C19" s="17" t="str">
        <x:v>Universitas Airlangga</x:v>
      </x:c>
      <x:c r="D19" s="17" t="str">
        <x:v>Indonesia</x:v>
      </x:c>
      <x:c r="E19" s="31" t="n">
        <x:v>95.7</x:v>
      </x:c>
      <x:c r="F19" s="31" t="n">
        <x:v>89.7</x:v>
      </x:c>
      <x:c r="G19" s="17" t="str">
        <x:v>1 NO POVERTY 89.7 6 CLEAN WATER AND SANITATION 89.5 3 GOOD HEALTH AND WELL-BEING 88.5</x:v>
      </x:c>
      <x:c r="H19" s="30" t="str">
        <x:v>https://www.timeshighereducation.com/world-university-rankings/universitas-airlangga</x:v>
      </x:c>
    </x:row>
    <x:row r="20">
      <x:c r="A20" s="17" t="n">
        <x:f>16</x:f>
        <x:v>16</x:v>
      </x:c>
      <x:c r="B20" s="17" t="n">
        <x:v>16</x:v>
      </x:c>
      <x:c r="C20" s="17" t="str">
        <x:v>Pusan National University</x:v>
      </x:c>
      <x:c r="D20" s="17" t="str">
        <x:v>South Korea</x:v>
      </x:c>
      <x:c r="E20" s="31" t="n">
        <x:v>95.6</x:v>
      </x:c>
      <x:c r="F20" s="31" t="n">
        <x:v>91.7</x:v>
      </x:c>
      <x:c r="G20" s="17" t="str">
        <x:v>9 INDUSTRY, INNOVATION, AND INFRASTRUCTURE 97.5 8 DECENT WORK AND ECONOMIC GROWTH 89.2 12 RESPONSIBLE CONSUMPTION AND PRODUCTION 86.2</x:v>
      </x:c>
      <x:c r="H20" s="30" t="str">
        <x:v>https://www.timeshighereducation.com/world-university-rankings/pusan-national-university</x:v>
      </x:c>
    </x:row>
    <x:row r="21">
      <x:c r="A21" s="17" t="n">
        <x:f>16</x:f>
        <x:v>16</x:v>
      </x:c>
      <x:c r="B21" s="17" t="n">
        <x:v>16</x:v>
      </x:c>
      <x:c r="C21" s="17" t="str">
        <x:v>University of Tasmania</x:v>
      </x:c>
      <x:c r="D21" s="17" t="str">
        <x:v>Australia</x:v>
      </x:c>
      <x:c r="E21" s="31" t="n">
        <x:v>95.6</x:v>
      </x:c>
      <x:c r="F21" s="31" t="n">
        <x:v>92.1</x:v>
      </x:c>
      <x:c r="G21" s="17" t="str">
        <x:v>13 CLIMATE ACTION 91.6 14 LIFE BELOW WATER 88.1 6 CLEAN WATER AND SANITATION 86.0</x:v>
      </x:c>
      <x:c r="H21" s="30" t="str">
        <x:v>https://www.timeshighereducation.com/world-university-rankings/university-tasmania</x:v>
      </x:c>
    </x:row>
    <x:row r="22">
      <x:c r="A22" s="17" t="str">
        <x:v>18</x:v>
      </x:c>
      <x:c r="B22" s="17" t="n">
        <x:v>18</x:v>
      </x:c>
      <x:c r="C22" s="17" t="str">
        <x:v>McMaster University</x:v>
      </x:c>
      <x:c r="D22" s="17" t="str">
        <x:v>Canada</x:v>
      </x:c>
      <x:c r="E22" s="31" t="n">
        <x:v>95.5</x:v>
      </x:c>
      <x:c r="F22" s="31" t="n">
        <x:v>93</x:v>
      </x:c>
      <x:c r="G22" s="17" t="str">
        <x:v>9 INDUSTRY, INNOVATION, AND INFRASTRUCTURE 97.7 3 GOOD HEALTH AND WELL-BEING 90.5 6 CLEAN WATER AND SANITATION 88.2</x:v>
      </x:c>
      <x:c r="H22" s="30" t="str">
        <x:v>https://www.timeshighereducation.com/world-university-rankings/mcmaster-university</x:v>
      </x:c>
    </x:row>
    <x:row r="23">
      <x:c r="A23" s="17" t="str">
        <x:v>19</x:v>
      </x:c>
      <x:c r="B23" s="17" t="n">
        <x:v>19</x:v>
      </x:c>
      <x:c r="C23" s="17" t="str">
        <x:v>Chulalongkorn University</x:v>
      </x:c>
      <x:c r="D23" s="17" t="str">
        <x:v>Thailand</x:v>
      </x:c>
      <x:c r="E23" s="31" t="n">
        <x:v>95.4</x:v>
      </x:c>
      <x:c r="F23" s="31" t="n">
        <x:v>94.1</x:v>
      </x:c>
      <x:c r="G23" s="17" t="str">
        <x:v>9 INDUSTRY, INNOVATION, AND INFRASTRUCTURE 99.8 3 GOOD HEALTH AND WELL-BEING 90.0 14 LIFE BELOW WATER 90.6</x:v>
      </x:c>
      <x:c r="H23" s="30" t="str">
        <x:v>https://www.timeshighereducation.com/world-university-rankings/chulalongkorn-university</x:v>
      </x:c>
    </x:row>
    <x:row r="24">
      <x:c r="A24" s="17" t="n">
        <x:f>20</x:f>
        <x:v>20</x:v>
      </x:c>
      <x:c r="B24" s="17" t="n">
        <x:v>20</x:v>
      </x:c>
      <x:c r="C24" s="17" t="str">
        <x:v>Kyungpook National University (KNU)</x:v>
      </x:c>
      <x:c r="D24" s="17" t="str">
        <x:v>South Korea</x:v>
      </x:c>
      <x:c r="E24" s="31" t="n">
        <x:v>95.3</x:v>
      </x:c>
      <x:c r="F24" s="31"/>
      <x:c r="G24" s="17" t="str">
        <x:v>8 DECENT WORK AND ECONOMIC GROWTH 91.4 9 INDUSTRY, INNOVATION, AND INFRASTRUCTURE 99.5 15 LIFE ON LAND 90.5</x:v>
      </x:c>
      <x:c r="H24" s="30" t="str">
        <x:v>https://www.timeshighereducation.com/world-university-rankings/kyungpook-national-university-knu</x:v>
      </x:c>
    </x:row>
    <x:row r="25">
      <x:c r="A25" s="17" t="n">
        <x:f>20</x:f>
        <x:v>20</x:v>
      </x:c>
      <x:c r="B25" s="17" t="n">
        <x:v>20</x:v>
      </x:c>
      <x:c r="C25" s="17" t="str">
        <x:v>The Hong Kong University of Science and Technology</x:v>
      </x:c>
      <x:c r="D25" s="17" t="str">
        <x:v>Hong Kong</x:v>
      </x:c>
      <x:c r="E25" s="31" t="n">
        <x:v>95.3</x:v>
      </x:c>
      <x:c r="F25" s="31"/>
      <x:c r="G25" s="17" t="str">
        <x:v>9 INDUSTRY, INNOVATION, AND INFRASTRUCTURE 99.9 15 LIFE ON LAND 92.3 11 SUSTAINABLE CITIES AND COMMUNITIES 89.2</x:v>
      </x:c>
      <x:c r="H25" s="30" t="str">
        <x:v>https://www.timeshighereducation.com/world-university-rankings/hong-kong-university-science-and-technology</x:v>
      </x:c>
    </x:row>
    <x:row r="26">
      <x:c r="A26" s="17" t="n">
        <x:f>20</x:f>
        <x:v>20</x:v>
      </x:c>
      <x:c r="B26" s="17" t="n">
        <x:v>20</x:v>
      </x:c>
      <x:c r="C26" s="17" t="str">
        <x:v>University of Exeter</x:v>
      </x:c>
      <x:c r="D26" s="17" t="str">
        <x:v>United Kingdom</x:v>
      </x:c>
      <x:c r="E26" s="31" t="n">
        <x:v>95.3</x:v>
      </x:c>
      <x:c r="F26" s="31" t="n">
        <x:v>92.7</x:v>
      </x:c>
      <x:c r="G26" s="17" t="str">
        <x:v>12 RESPONSIBLE CONSUMPTION AND PRODUCTION 92.6 14 LIFE BELOW WATER 94.6 15 LIFE ON LAND 95.3</x:v>
      </x:c>
      <x:c r="H26" s="30" t="str">
        <x:v>https://www.timeshighereducation.com/world-university-rankings/university-exeter</x:v>
      </x:c>
    </x:row>
    <x:row r="27">
      <x:c r="A27" s="17" t="str">
        <x:v>23</x:v>
      </x:c>
      <x:c r="B27" s="17" t="n">
        <x:v>23</x:v>
      </x:c>
      <x:c r="C27" s="17" t="str">
        <x:v>Lovely Professional University</x:v>
      </x:c>
      <x:c r="D27" s="17" t="str">
        <x:v>India</x:v>
      </x:c>
      <x:c r="E27" s="31" t="n">
        <x:v>95.2</x:v>
      </x:c>
      <x:c r="F27" s="31" t="n">
        <x:v>90.1</x:v>
      </x:c>
      <x:c r="G27" s="17" t="str">
        <x:v>7 AFFORDABLE AND CLEAN ENERGY 86.0 6 CLEAN WATER AND SANITATION 92.5 2 ZERO HUNGER 90.1</x:v>
      </x:c>
      <x:c r="H27" s="30" t="str">
        <x:v>https://www.timeshighereducation.com/world-university-rankings/lovely-professional-university</x:v>
      </x:c>
    </x:row>
    <x:row r="28">
      <x:c r="A28" s="17" t="str">
        <x:v>24</x:v>
      </x:c>
      <x:c r="B28" s="17" t="n">
        <x:v>24</x:v>
      </x:c>
      <x:c r="C28" s="17" t="str">
        <x:v>University of Malaya</x:v>
      </x:c>
      <x:c r="D28" s="17" t="str">
        <x:v>Malaysia</x:v>
      </x:c>
      <x:c r="E28" s="31" t="n">
        <x:v>95</x:v>
      </x:c>
      <x:c r="F28" s="31" t="n">
        <x:v>91.9</x:v>
      </x:c>
      <x:c r="G28" s="17" t="str">
        <x:v>16 PEACE, JUSTICE AND STRONG INSTITUTIONS 86.5 1 NO POVERTY 88.2 6 CLEAN WATER AND SANITATION 84.6</x:v>
      </x:c>
      <x:c r="H28" s="30" t="str">
        <x:v>https://www.timeshighereducation.com/world-university-rankings/university-malaya</x:v>
      </x:c>
    </x:row>
    <x:row r="29">
      <x:c r="A29" s="17" t="str">
        <x:v>25</x:v>
      </x:c>
      <x:c r="B29" s="17" t="n">
        <x:v>25</x:v>
      </x:c>
      <x:c r="C29" s="17" t="str">
        <x:v>Aalborg University</x:v>
      </x:c>
      <x:c r="D29" s="17" t="str">
        <x:v>Denmark</x:v>
      </x:c>
      <x:c r="E29" s="31" t="n">
        <x:v>94.9</x:v>
      </x:c>
      <x:c r="F29" s="31" t="n">
        <x:v>89.7</x:v>
      </x:c>
      <x:c r="G29" s="17" t="str">
        <x:v>9 INDUSTRY, INNOVATION, AND INFRASTRUCTURE 95.8 12 RESPONSIBLE CONSUMPTION AND PRODUCTION 88.5 4 QUALITY EDUCATION 88.5</x:v>
      </x:c>
      <x:c r="H29" s="30" t="str">
        <x:v>https://www.timeshighereducation.com/world-university-rankings/aalborg-university</x:v>
      </x:c>
    </x:row>
    <x:row r="30">
      <x:c r="A30" s="17" t="str">
        <x:v>26</x:v>
      </x:c>
      <x:c r="B30" s="17" t="n">
        <x:v>26</x:v>
      </x:c>
      <x:c r="C30" s="17" t="str">
        <x:v>Kyung Hee University</x:v>
      </x:c>
      <x:c r="D30" s="17" t="str">
        <x:v>South Korea</x:v>
      </x:c>
      <x:c r="E30" s="31" t="n">
        <x:v>94.7</x:v>
      </x:c>
      <x:c r="F30" s="31"/>
      <x:c r="G30" s="17" t="str">
        <x:v>9 INDUSTRY, INNOVATION, AND INFRASTRUCTURE 99.7 16 PEACE, JUSTICE AND STRONG INSTITUTIONS 89.5 2 ZERO HUNGER 90.7</x:v>
      </x:c>
      <x:c r="H30" s="30" t="str">
        <x:v>https://www.timeshighereducation.com/world-university-rankings/kyung-hee-university</x:v>
      </x:c>
    </x:row>
    <x:row r="31">
      <x:c r="A31" s="17" t="str">
        <x:v>27</x:v>
      </x:c>
      <x:c r="B31" s="17" t="n">
        <x:v>27</x:v>
      </x:c>
      <x:c r="C31" s="17" t="str">
        <x:v>University of Victoria</x:v>
      </x:c>
      <x:c r="D31" s="17" t="str">
        <x:v>Canada</x:v>
      </x:c>
      <x:c r="E31" s="31" t="n">
        <x:v>94.6</x:v>
      </x:c>
      <x:c r="F31" s="31"/>
      <x:c r="G31" s="17" t="str">
        <x:v>15 LIFE ON LAND 94.7 11 SUSTAINABLE CITIES AND COMMUNITIES 89.0 14 LIFE BELOW WATER 88.1</x:v>
      </x:c>
      <x:c r="H31" s="30" t="str">
        <x:v>https://www.timeshighereducation.com/world-university-rankings/university-victoria</x:v>
      </x:c>
    </x:row>
    <x:row r="32">
      <x:c r="A32" s="17" t="str">
        <x:v>28</x:v>
      </x:c>
      <x:c r="B32" s="17" t="n">
        <x:v>28</x:v>
      </x:c>
      <x:c r="C32" s="17" t="str">
        <x:v>Al-Ahliyya Amman University</x:v>
      </x:c>
      <x:c r="D32" s="17" t="str">
        <x:v>Jordan</x:v>
      </x:c>
      <x:c r="E32" s="31" t="n">
        <x:v>94.4</x:v>
      </x:c>
      <x:c r="F32" s="31" t="n">
        <x:v>95.2</x:v>
      </x:c>
      <x:c r="G32" s="17" t="str">
        <x:v>4 QUALITY EDUCATION 91.7 16 PEACE, JUSTICE AND STRONG INSTITUTIONS 86.1 12 RESPONSIBLE CONSUMPTION AND PRODUCTION 88.2</x:v>
      </x:c>
      <x:c r="H32" s="30" t="str">
        <x:v>https://www.timeshighereducation.com/world-university-rankings/al-ahliyya-amman-university</x:v>
      </x:c>
    </x:row>
    <x:row r="33">
      <x:c r="A33" s="17" t="str">
        <x:v>29</x:v>
      </x:c>
      <x:c r="B33" s="17" t="n">
        <x:v>29</x:v>
      </x:c>
      <x:c r="C33" s="17" t="str">
        <x:v>Central Queensland University</x:v>
      </x:c>
      <x:c r="D33" s="17" t="str">
        <x:v>Australia</x:v>
      </x:c>
      <x:c r="E33" s="31" t="n">
        <x:v>94.3</x:v>
      </x:c>
      <x:c r="F33" s="31" t="n">
        <x:v>96.8</x:v>
      </x:c>
      <x:c r="G33" s="17" t="str">
        <x:v>14 LIFE BELOW WATER 88.9 3 GOOD HEALTH AND WELL-BEING 85.4 6 CLEAN WATER AND SANITATION 85.2</x:v>
      </x:c>
      <x:c r="H33" s="30" t="str">
        <x:v>https://www.timeshighereducation.com/world-university-rankings/central-queensland-university</x:v>
      </x:c>
    </x:row>
    <x:row r="34">
      <x:c r="A34" s="17" t="str">
        <x:v>30</x:v>
      </x:c>
      <x:c r="B34" s="17" t="n">
        <x:v>30</x:v>
      </x:c>
      <x:c r="C34" s="17" t="str">
        <x:v>University of Newcastle</x:v>
      </x:c>
      <x:c r="D34" s="17" t="str">
        <x:v>Australia</x:v>
      </x:c>
      <x:c r="E34" s="31" t="n">
        <x:v>94.1</x:v>
      </x:c>
      <x:c r="F34" s="31"/>
      <x:c r="G34" s="17" t="str">
        <x:v>14 LIFE BELOW WATER 95.2 13 CLIMATE ACTION 88.3 15 LIFE ON LAND 92.4</x:v>
      </x:c>
      <x:c r="H34" s="30" t="str">
        <x:v>https://www.timeshighereducation.com/world-university-rankings/university-newcastle</x:v>
      </x:c>
    </x:row>
    <x:row r="35">
      <x:c r="A35" s="17" t="n">
        <x:f>31</x:f>
        <x:v>31</x:v>
      </x:c>
      <x:c r="B35" s="17" t="n">
        <x:v>31</x:v>
      </x:c>
      <x:c r="C35" s="17" t="str">
        <x:v>Northumbria University</x:v>
      </x:c>
      <x:c r="D35" s="17" t="str">
        <x:v>United Kingdom</x:v>
      </x:c>
      <x:c r="E35" s="31" t="n">
        <x:v>94</x:v>
      </x:c>
      <x:c r="F35" s="31" t="n">
        <x:v>90.2</x:v>
      </x:c>
      <x:c r="G35" s="17" t="str">
        <x:v>12 RESPONSIBLE CONSUMPTION AND PRODUCTION 92.4 15 LIFE ON LAND 95.3 16 PEACE, JUSTICE AND STRONG INSTITUTIONS 84.8</x:v>
      </x:c>
      <x:c r="H35" s="30" t="str">
        <x:v>https://www.timeshighereducation.com/world-university-rankings/northumbria-university</x:v>
      </x:c>
    </x:row>
    <x:row r="36">
      <x:c r="A36" s="17" t="n">
        <x:f>31</x:f>
        <x:v>31</x:v>
      </x:c>
      <x:c r="B36" s="17" t="n">
        <x:v>31</x:v>
      </x:c>
      <x:c r="C36" s="17" t="str">
        <x:v>University of Indonesia</x:v>
      </x:c>
      <x:c r="D36" s="17" t="str">
        <x:v>Indonesia</x:v>
      </x:c>
      <x:c r="E36" s="31" t="n">
        <x:v>94</x:v>
      </x:c>
      <x:c r="F36" s="31"/>
      <x:c r="G36" s="17" t="str">
        <x:v>9 INDUSTRY, INNOVATION, AND INFRASTRUCTURE 98.5 1 NO POVERTY 88.3 3 GOOD HEALTH AND WELL-BEING 84.8</x:v>
      </x:c>
      <x:c r="H36" s="30" t="str">
        <x:v>https://www.timeshighereducation.com/world-university-rankings/university-indonesia</x:v>
      </x:c>
    </x:row>
    <x:row r="37">
      <x:c r="A37" s="17" t="n">
        <x:f>33</x:f>
        <x:v>33</x:v>
      </x:c>
      <x:c r="B37" s="17" t="n">
        <x:v>33</x:v>
      </x:c>
      <x:c r="C37" s="17" t="str">
        <x:v>An-Najah National University</x:v>
      </x:c>
      <x:c r="D37" s="17" t="str">
        <x:v>Palestine</x:v>
      </x:c>
      <x:c r="E37" s="31" t="n">
        <x:v>93.9</x:v>
      </x:c>
      <x:c r="F37" s="31" t="n">
        <x:v>95.7</x:v>
      </x:c>
      <x:c r="G37" s="17" t="str">
        <x:v>7 AFFORDABLE AND CLEAN ENERGY 84.1 12 RESPONSIBLE CONSUMPTION AND PRODUCTION 88.5 16 PEACE, JUSTICE AND STRONG INSTITUTIONS 85.3</x:v>
      </x:c>
      <x:c r="H37" s="30" t="str">
        <x:v>https://www.timeshighereducation.com/world-university-rankings/najah-national-university</x:v>
      </x:c>
    </x:row>
    <x:row r="38">
      <x:c r="A38" s="17" t="n">
        <x:f>33</x:f>
        <x:v>33</x:v>
      </x:c>
      <x:c r="B38" s="17" t="n">
        <x:v>33</x:v>
      </x:c>
      <x:c r="C38" s="17" t="str">
        <x:v>Arizona State University (Tempe)</x:v>
      </x:c>
      <x:c r="D38" s="17" t="str">
        <x:v>United States</x:v>
      </x:c>
      <x:c r="E38" s="31" t="n">
        <x:v>93.9</x:v>
      </x:c>
      <x:c r="F38" s="31"/>
      <x:c r="G38" s="17" t="str">
        <x:v>13 CLIMATE ACTION 86.9 12 RESPONSIBLE CONSUMPTION AND PRODUCTION 86.2 15 LIFE ON LAND 89.0</x:v>
      </x:c>
      <x:c r="H38" s="30" t="str">
        <x:v>https://www.timeshighereducation.com/world-university-rankings/arizona-state-university-tempe</x:v>
      </x:c>
    </x:row>
    <x:row r="39">
      <x:c r="A39" s="17" t="str">
        <x:v>35</x:v>
      </x:c>
      <x:c r="B39" s="17" t="n">
        <x:v>35</x:v>
      </x:c>
      <x:c r="C39" s="17" t="str">
        <x:v>King Faisal University</x:v>
      </x:c>
      <x:c r="D39" s="17" t="str">
        <x:v>Saudi Arabia</x:v>
      </x:c>
      <x:c r="E39" s="31" t="n">
        <x:v>93.8</x:v>
      </x:c>
      <x:c r="F39" s="31"/>
      <x:c r="G39" s="17" t="str">
        <x:v>9 INDUSTRY, INNOVATION, AND INFRASTRUCTURE 95.3 1 NO POVERTY 87.8 2 ZERO HUNGER 85.0</x:v>
      </x:c>
      <x:c r="H39" s="30" t="str">
        <x:v>https://www.timeshighereducation.com/world-university-rankings/king-faisal-university</x:v>
      </x:c>
    </x:row>
    <x:row r="40">
      <x:c r="A40" s="17" t="str">
        <x:v>36</x:v>
      </x:c>
      <x:c r="B40" s="17" t="n">
        <x:v>36</x:v>
      </x:c>
      <x:c r="C40" s="17" t="str">
        <x:v>Flinders University</x:v>
      </x:c>
      <x:c r="D40" s="17" t="str">
        <x:v>Australia</x:v>
      </x:c>
      <x:c r="E40" s="31" t="n">
        <x:v>93.6</x:v>
      </x:c>
      <x:c r="F40" s="31"/>
      <x:c r="G40" s="17" t="str">
        <x:v>3 GOOD HEALTH AND WELL-BEING 93.1 5 GENDER EQUALITY 81.1 10 REDUCING INEQUALITIES 89.8</x:v>
      </x:c>
      <x:c r="H40" s="30" t="str">
        <x:v>https://www.timeshighereducation.com/world-university-rankings/flinders-university</x:v>
      </x:c>
    </x:row>
    <x:row r="41">
      <x:c r="A41" s="17" t="n">
        <x:f>37</x:f>
        <x:v>37</x:v>
      </x:c>
      <x:c r="B41" s="17" t="n">
        <x:v>37</x:v>
      </x:c>
      <x:c r="C41" s="17" t="str">
        <x:v>Amrita Vishwa Vidyapeetham</x:v>
      </x:c>
      <x:c r="D41" s="17" t="str">
        <x:v>India</x:v>
      </x:c>
      <x:c r="E41" s="31" t="n">
        <x:v>93.4</x:v>
      </x:c>
      <x:c r="F41" s="31"/>
      <x:c r="G41" s="17" t="str">
        <x:v>9 INDUSTRY, INNOVATION, AND INFRASTRUCTURE 98.1 6 CLEAN WATER AND SANITATION 87.6 1 NO POVERTY 86.2</x:v>
      </x:c>
      <x:c r="H41" s="30" t="str">
        <x:v>https://www.timeshighereducation.com/world-university-rankings/amrita-vishwa-vidyapeetham</x:v>
      </x:c>
    </x:row>
    <x:row r="42">
      <x:c r="A42" s="17" t="n">
        <x:f>37</x:f>
        <x:v>37</x:v>
      </x:c>
      <x:c r="B42" s="17" t="n">
        <x:v>37</x:v>
      </x:c>
      <x:c r="C42" s="17" t="str">
        <x:v>Queen’s University Belfast</x:v>
      </x:c>
      <x:c r="D42" s="17" t="str">
        <x:v>United Kingdom</x:v>
      </x:c>
      <x:c r="E42" s="31" t="n">
        <x:v>93.4</x:v>
      </x:c>
      <x:c r="F42" s="31" t="n">
        <x:v>95.5</x:v>
      </x:c>
      <x:c r="G42" s="17" t="str">
        <x:v>14 LIFE BELOW WATER 93.4 15 LIFE ON LAND 93.4 10 REDUCING INEQUALITIES 82.2</x:v>
      </x:c>
      <x:c r="H42" s="30" t="str">
        <x:v>https://www.timeshighereducation.com/world-university-rankings/queens-university-belfast</x:v>
      </x:c>
    </x:row>
    <x:row r="43">
      <x:c r="A43" s="17" t="n">
        <x:f>39</x:f>
        <x:v>39</x:v>
      </x:c>
      <x:c r="B43" s="17" t="n">
        <x:v>39</x:v>
      </x:c>
      <x:c r="C43" s="17" t="str">
        <x:v>Near East University</x:v>
      </x:c>
      <x:c r="D43" s="17" t="str">
        <x:v>Northern Cyprus</x:v>
      </x:c>
      <x:c r="E43" s="31" t="n">
        <x:v>93.3</x:v>
      </x:c>
      <x:c r="F43" s="31" t="n">
        <x:v>98.8</x:v>
      </x:c>
      <x:c r="G43" s="17" t="str">
        <x:v>11 SUSTAINABLE CITIES AND COMMUNITIES 91.7 4 QUALITY EDUCATION 87.7 3 GOOD HEALTH AND WELL-BEING 84.7</x:v>
      </x:c>
      <x:c r="H43" s="30" t="str">
        <x:v>https://www.timeshighereducation.com/world-university-rankings/near-east-university</x:v>
      </x:c>
    </x:row>
    <x:row r="44">
      <x:c r="A44" s="17" t="n">
        <x:f>39</x:f>
        <x:v>39</x:v>
      </x:c>
      <x:c r="B44" s="17" t="n">
        <x:v>39</x:v>
      </x:c>
      <x:c r="C44" s="17" t="str">
        <x:v>University of Johannesburg</x:v>
      </x:c>
      <x:c r="D44" s="17" t="str">
        <x:v>South Africa</x:v>
      </x:c>
      <x:c r="E44" s="31" t="n">
        <x:v>93.3</x:v>
      </x:c>
      <x:c r="F44" s="31"/>
      <x:c r="G44" s="17" t="str">
        <x:v>8 DECENT WORK AND ECONOMIC GROWTH 86.4 1 NO POVERTY 88.1 12 RESPONSIBLE CONSUMPTION AND PRODUCTION 84.2</x:v>
      </x:c>
      <x:c r="H44" s="30" t="str">
        <x:v>https://www.timeshighereducation.com/world-university-rankings/university-johannesburg</x:v>
      </x:c>
    </x:row>
    <x:row r="45">
      <x:c r="A45" s="17" t="n">
        <x:f>41</x:f>
        <x:v>41</x:v>
      </x:c>
      <x:c r="B45" s="17" t="n">
        <x:v>41</x:v>
      </x:c>
      <x:c r="C45" s="17" t="str">
        <x:v>Universitas Gadjah Mada</x:v>
      </x:c>
      <x:c r="D45" s="17" t="str">
        <x:v>Indonesia</x:v>
      </x:c>
      <x:c r="E45" s="31" t="n">
        <x:v>93.2</x:v>
      </x:c>
      <x:c r="F45" s="31" t="n">
        <x:v>90.7</x:v>
      </x:c>
      <x:c r="G45" s="17" t="str">
        <x:v>9 INDUSTRY, INNOVATION, AND INFRASTRUCTURE 96.4 1 NO POVERTY 89.4 2 ZERO HUNGER 86.4</x:v>
      </x:c>
      <x:c r="H45" s="30" t="str">
        <x:v>https://www.timeshighereducation.com/world-university-rankings/universitas-gadjah-mada</x:v>
      </x:c>
    </x:row>
    <x:row r="46">
      <x:c r="A46" s="17" t="n">
        <x:f>41</x:f>
        <x:v>41</x:v>
      </x:c>
      <x:c r="B46" s="17" t="n">
        <x:v>41</x:v>
      </x:c>
      <x:c r="C46" s="17" t="str">
        <x:v>University of Wollongong</x:v>
      </x:c>
      <x:c r="D46" s="17" t="str">
        <x:v>Australia</x:v>
      </x:c>
      <x:c r="E46" s="31" t="n">
        <x:v>93.2</x:v>
      </x:c>
      <x:c r="F46" s="31" t="n">
        <x:v>91.7</x:v>
      </x:c>
      <x:c r="G46" s="17" t="str">
        <x:v>9 INDUSTRY, INNOVATION, AND INFRASTRUCTURE 97.3 10 REDUCING INEQUALITIES 84.9 12 RESPONSIBLE CONSUMPTION AND PRODUCTION 82.4</x:v>
      </x:c>
      <x:c r="H46" s="30" t="str">
        <x:v>https://www.timeshighereducation.com/world-university-rankings/university-wollongong</x:v>
      </x:c>
    </x:row>
    <x:row r="47">
      <x:c r="A47" s="17" t="n">
        <x:f>41</x:f>
        <x:v>41</x:v>
      </x:c>
      <x:c r="B47" s="17" t="n">
        <x:v>41</x:v>
      </x:c>
      <x:c r="C47" s="17" t="str">
        <x:v>UNSW Sydney</x:v>
      </x:c>
      <x:c r="D47" s="17" t="str">
        <x:v>Australia</x:v>
      </x:c>
      <x:c r="E47" s="31" t="n">
        <x:v>93.2</x:v>
      </x:c>
      <x:c r="F47" s="31"/>
      <x:c r="G47" s="17" t="str">
        <x:v>12 RESPONSIBLE CONSUMPTION AND PRODUCTION 91.9 6 CLEAN WATER AND SANITATION 91.8 13 CLIMATE ACTION 88.4</x:v>
      </x:c>
      <x:c r="H47" s="30" t="str">
        <x:v>https://www.timeshighereducation.com/world-university-rankings/unsw-sydney</x:v>
      </x:c>
    </x:row>
    <x:row r="48">
      <x:c r="A48" s="17" t="n">
        <x:f>41</x:f>
        <x:v>41</x:v>
      </x:c>
      <x:c r="B48" s="17" t="n">
        <x:v>41</x:v>
      </x:c>
      <x:c r="C48" s="17" t="str">
        <x:v>Yonsei University (Seoul campus)</x:v>
      </x:c>
      <x:c r="D48" s="17" t="str">
        <x:v>South Korea</x:v>
      </x:c>
      <x:c r="E48" s="31" t="n">
        <x:v>93.2</x:v>
      </x:c>
      <x:c r="F48" s="31"/>
      <x:c r="G48" s="17" t="str">
        <x:v>9 INDUSTRY, INNOVATION, AND INFRASTRUCTURE 100.0 8 DECENT WORK AND ECONOMIC GROWTH 85.2 16 PEACE, JUSTICE AND STRONG INSTITUTIONS 82.2</x:v>
      </x:c>
      <x:c r="H48" s="30" t="str">
        <x:v>https://www.timeshighereducation.com/world-university-rankings/yonsei-university-seoul-campus</x:v>
      </x:c>
    </x:row>
    <x:row r="49">
      <x:c r="A49" s="17" t="str">
        <x:v>45</x:v>
      </x:c>
      <x:c r="B49" s="17" t="n">
        <x:v>45</x:v>
      </x:c>
      <x:c r="C49" s="17" t="str">
        <x:v>Sunway University</x:v>
      </x:c>
      <x:c r="D49" s="17" t="str">
        <x:v>Malaysia</x:v>
      </x:c>
      <x:c r="E49" s="31" t="n">
        <x:v>93</x:v>
      </x:c>
      <x:c r="F49" s="31" t="n">
        <x:v>98.1</x:v>
      </x:c>
      <x:c r="G49" s="17" t="str">
        <x:v>11 SUSTAINABLE CITIES AND COMMUNITIES 92.5 8 DECENT WORK AND ECONOMIC GROWTH 85.8 12 RESPONSIBLE CONSUMPTION AND PRODUCTION 86.7</x:v>
      </x:c>
      <x:c r="H49" s="30" t="str">
        <x:v>https://www.timeshighereducation.com/world-university-rankings/sunway-university</x:v>
      </x:c>
    </x:row>
    <x:row r="50">
      <x:c r="A50" s="17" t="str">
        <x:v>46</x:v>
      </x:c>
      <x:c r="B50" s="17" t="n">
        <x:v>46</x:v>
      </x:c>
      <x:c r="C50" s="17" t="str">
        <x:v>Thammasat University</x:v>
      </x:c>
      <x:c r="D50" s="17" t="str">
        <x:v>Thailand</x:v>
      </x:c>
      <x:c r="E50" s="31" t="n">
        <x:v>92.9</x:v>
      </x:c>
      <x:c r="F50" s="31" t="n">
        <x:v>92</x:v>
      </x:c>
      <x:c r="G50" s="17" t="str">
        <x:v>16 PEACE, JUSTICE AND STRONG INSTITUTIONS 90.9 11 SUSTAINABLE CITIES AND COMMUNITIES 85.1 5 GENDER EQUALITY 75.3</x:v>
      </x:c>
      <x:c r="H50" s="30" t="str">
        <x:v>https://www.timeshighereducation.com/world-university-rankings/thammasat-university</x:v>
      </x:c>
    </x:row>
    <x:row r="51">
      <x:c r="A51" s="17" t="str">
        <x:v>47</x:v>
      </x:c>
      <x:c r="B51" s="17" t="n">
        <x:v>47</x:v>
      </x:c>
      <x:c r="C51" s="17" t="str">
        <x:v>Walailak University</x:v>
      </x:c>
      <x:c r="D51" s="17" t="str">
        <x:v>Thailand</x:v>
      </x:c>
      <x:c r="E51" s="31" t="n">
        <x:v>92.8</x:v>
      </x:c>
      <x:c r="F51" s="31"/>
      <x:c r="G51" s="17" t="str">
        <x:v>5 GENDER EQUALITY 82.1 11 SUSTAINABLE CITIES AND COMMUNITIES 89.3 2 ZERO HUNGER 85.3</x:v>
      </x:c>
      <x:c r="H51" s="30" t="str">
        <x:v>https://www.timeshighereducation.com/world-university-rankings/walailak-university</x:v>
      </x:c>
    </x:row>
    <x:row r="52">
      <x:c r="A52" s="17" t="str">
        <x:v>48</x:v>
      </x:c>
      <x:c r="B52" s="17" t="n">
        <x:v>48</x:v>
      </x:c>
      <x:c r="C52" s="17" t="str">
        <x:v>King Abdullah University of Science and Technology (KAUST)</x:v>
      </x:c>
      <x:c r="D52" s="17" t="str">
        <x:v>Saudi Arabia</x:v>
      </x:c>
      <x:c r="E52" s="31" t="n">
        <x:v>92.6</x:v>
      </x:c>
      <x:c r="F52" s="31" t="n">
        <x:v>91.4</x:v>
      </x:c>
      <x:c r="G52" s="17" t="str">
        <x:v>6 CLEAN WATER AND SANITATION 88.1 14 LIFE BELOW WATER 85.2 11 SUSTAINABLE CITIES AND COMMUNITIES 82.7</x:v>
      </x:c>
      <x:c r="H52" s="30" t="str">
        <x:v>https://www.timeshighereducation.com/world-university-rankings/king-abdullah-university-science-and-technology-kaust</x:v>
      </x:c>
    </x:row>
    <x:row r="53">
      <x:c r="A53" s="17" t="n">
        <x:f>49</x:f>
        <x:v>49</x:v>
      </x:c>
      <x:c r="B53" s="17" t="n">
        <x:v>49</x:v>
      </x:c>
      <x:c r="C53" s="17" t="str">
        <x:v>Chiang Mai University</x:v>
      </x:c>
      <x:c r="D53" s="17" t="str">
        <x:v>Thailand</x:v>
      </x:c>
      <x:c r="E53" s="31" t="n">
        <x:v>92.5</x:v>
      </x:c>
      <x:c r="F53" s="31" t="n">
        <x:v>94.7</x:v>
      </x:c>
      <x:c r="G53" s="17" t="str">
        <x:v>9 INDUSTRY, INNOVATION, AND INFRASTRUCTURE 92.7 5 GENDER EQUALITY 76.9 4 QUALITY EDUCATION 82.9</x:v>
      </x:c>
      <x:c r="H53" s="30" t="str">
        <x:v>https://www.timeshighereducation.com/world-university-rankings/chiang-mai-university</x:v>
      </x:c>
    </x:row>
    <x:row r="54">
      <x:c r="A54" s="17" t="n">
        <x:f>49</x:f>
        <x:v>49</x:v>
      </x:c>
      <x:c r="B54" s="17" t="n">
        <x:v>49</x:v>
      </x:c>
      <x:c r="C54" s="17" t="str">
        <x:v>Jeonbuk National University</x:v>
      </x:c>
      <x:c r="D54" s="17" t="str">
        <x:v>South Korea</x:v>
      </x:c>
      <x:c r="E54" s="31" t="n">
        <x:v>92.5</x:v>
      </x:c>
      <x:c r="F54" s="31" t="n">
        <x:v>93.2</x:v>
      </x:c>
      <x:c r="G54" s="17" t="str">
        <x:v>2 ZERO HUNGER 87.7 9 INDUSTRY, INNOVATION, AND INFRASTRUCTURE 95.0 8 DECENT WORK AND ECONOMIC GROWTH 87.1</x:v>
      </x:c>
      <x:c r="H54" s="30" t="str">
        <x:v>https://www.timeshighereducation.com/world-university-rankings/jeonbuk-national-university</x:v>
      </x:c>
    </x:row>
    <x:row r="55">
      <x:c r="A55" s="17" t="n">
        <x:f>49</x:f>
        <x:v>49</x:v>
      </x:c>
      <x:c r="B55" s="17" t="n">
        <x:v>49</x:v>
      </x:c>
      <x:c r="C55" s="17" t="str">
        <x:v>National Yang Ming Chiao Tung University (NYCU Taiwan)</x:v>
      </x:c>
      <x:c r="D55" s="17" t="str">
        <x:v>Taiwan</x:v>
      </x:c>
      <x:c r="E55" s="31" t="n">
        <x:v>92.5</x:v>
      </x:c>
      <x:c r="F55" s="31"/>
      <x:c r="G55" s="17" t="str">
        <x:v>9 INDUSTRY, INNOVATION, AND INFRASTRUCTURE 99.3 3 GOOD HEALTH AND WELL-BEING 87.6 11 SUSTAINABLE CITIES AND COMMUNITIES 84.0</x:v>
      </x:c>
      <x:c r="H55" s="30" t="str">
        <x:v>https://www.timeshighereducation.com/world-university-rankings/national-yang-ming-chiao-tung-university-nycu-taiwan</x:v>
      </x:c>
    </x:row>
  </x:sheetData>
  <x:mergeCells>
    <x:mergeCell ref="A1:H1"/>
    <x:mergeCell ref="A2:H2"/>
  </x:mergeCells>
  <x:pageMargins left="0.7" right="0.7" top="0.75" bottom="0.75" header="0.3" footer="0.3"/>
  <x:tableParts count="1">
    <x:tablePart xmlns:r="http://schemas.openxmlformats.org/officeDocument/2006/relationships" r:id="Raf5d82869dc242d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7" hidden="0" customWidth="1"/>
    <x:col min="2" max="2" width="38" hidden="0" customWidth="1"/>
    <x:col min="3" max="3" width="18" hidden="0" customWidth="1"/>
    <x:col min="4" max="4" width="10" hidden="0" customWidth="1"/>
    <x:col min="5" max="5" width="11" hidden="0" customWidth="1"/>
    <x:col min="6" max="6" width="10" hidden="0" customWidth="1"/>
    <x:col min="7" max="7" width="11" hidden="0" customWidth="1"/>
    <x:col min="8" max="8" width="38" hidden="0" customWidth="1"/>
    <x:col min="9" max="9" width="38" hidden="0" customWidth="1"/>
    <x:col min="10" max="10" width="48" hidden="0" customWidth="1"/>
  </x:cols>
  <x:sheetData>
    <x:row r="1" ht="28" customHeight="1">
      <x:c r="A1" s="3" t="str">
        <x:v>QS-THE Overlap Analysis</x:v>
      </x:c>
      <x:c r="B1" s="3"/>
      <x:c r="C1" s="3"/>
      <x:c r="D1" s="3"/>
      <x:c r="E1" s="3"/>
      <x:c r="F1" s="3"/>
      <x:c r="G1" s="3"/>
      <x:c r="H1" s="3"/>
      <x:c r="I1" s="3"/>
      <x:c r="J1" s="3"/>
    </x:row>
    <x:row r="2" ht="36" customHeight="1">
      <x:c r="A2" s="7" t="str">
        <x:v>Five institutions appear within both sustainability-specific top-50 cutoffs. Aliases were checked before merging.</x:v>
      </x:c>
      <x:c r="B2" s="7"/>
      <x:c r="C2" s="7"/>
      <x:c r="D2" s="7"/>
      <x:c r="E2" s="7"/>
      <x:c r="F2" s="7"/>
      <x:c r="G2" s="7"/>
      <x:c r="H2" s="7"/>
      <x:c r="I2" s="7"/>
      <x:c r="J2" s="7"/>
    </x:row>
    <x:row r="4" ht="36" customHeight="1">
      <x:c r="A4" s="37" t="str">
        <x:v>ID</x:v>
      </x:c>
      <x:c r="B4" s="37" t="str">
        <x:v>Canonical Institution</x:v>
      </x:c>
      <x:c r="C4" s="37" t="str">
        <x:v>Country</x:v>
      </x:c>
      <x:c r="D4" s="37" t="str">
        <x:v>QS Rank</x:v>
      </x:c>
      <x:c r="E4" s="37" t="str">
        <x:v>QS Score</x:v>
      </x:c>
      <x:c r="F4" s="37" t="str">
        <x:v>THE Rank</x:v>
      </x:c>
      <x:c r="G4" s="37" t="str">
        <x:v>THE Score</x:v>
      </x:c>
      <x:c r="H4" s="37" t="str">
        <x:v>QS Name</x:v>
      </x:c>
      <x:c r="I4" s="37" t="str">
        <x:v>THE Name / Alias</x:v>
      </x:c>
      <x:c r="J4" s="37" t="str">
        <x:v>Identity Note</x:v>
      </x:c>
    </x:row>
    <x:row r="5">
      <x:c r="A5" s="17" t="n">
        <x:v>8</x:v>
      </x:c>
      <x:c r="B5" s="17" t="str">
        <x:v>The University of New South Wales (UNSW Sydney)</x:v>
      </x:c>
      <x:c r="C5" s="17" t="str">
        <x:v>Australia</x:v>
      </x:c>
      <x:c r="D5" s="17" t="n">
        <x:f>7</x:f>
        <x:v>7</x:v>
      </x:c>
      <x:c r="E5" s="17" t="n">
        <x:v>98.2</x:v>
      </x:c>
      <x:c r="F5" s="17" t="n">
        <x:f>41</x:f>
        <x:v>41</x:v>
      </x:c>
      <x:c r="G5" s="17" t="n">
        <x:v>93.2</x:v>
      </x:c>
      <x:c r="H5" s="17" t="str">
        <x:v>The University of New South Wales (UNSW Sydney)</x:v>
      </x:c>
      <x:c r="I5" s="17" t="str">
        <x:v>UNSW Sydney</x:v>
      </x:c>
      <x:c r="J5" s="17" t="str">
        <x:v>Same institution; merged once in the candidate universe.</x:v>
      </x:c>
    </x:row>
    <x:row r="6">
      <x:c r="A6" s="17" t="n">
        <x:v>10</x:v>
      </x:c>
      <x:c r="B6" s="17" t="str">
        <x:v>The University of Manchester</x:v>
      </x:c>
      <x:c r="C6" s="17" t="str">
        <x:v>United Kingdom</x:v>
      </x:c>
      <x:c r="D6" s="17" t="str">
        <x:v>10</x:v>
      </x:c>
      <x:c r="E6" s="17" t="n">
        <x:v>98</x:v>
      </x:c>
      <x:c r="F6" s="17" t="str">
        <x:v>1</x:v>
      </x:c>
      <x:c r="G6" s="17" t="n">
        <x:v>98.5</x:v>
      </x:c>
      <x:c r="H6" s="17" t="str">
        <x:v>The University of Manchester</x:v>
      </x:c>
      <x:c r="I6" s="17" t="str">
        <x:v>University of Manchester</x:v>
      </x:c>
      <x:c r="J6" s="17" t="str">
        <x:v>Same institution; merged once in the candidate universe.</x:v>
      </x:c>
    </x:row>
    <x:row r="7">
      <x:c r="A7" s="17" t="n">
        <x:v>26</x:v>
      </x:c>
      <x:c r="B7" s="17" t="str">
        <x:v>Western University</x:v>
      </x:c>
      <x:c r="C7" s="17" t="str">
        <x:v>Canada</x:v>
      </x:c>
      <x:c r="D7" s="17" t="n">
        <x:f>24</x:f>
        <x:v>24</x:v>
      </x:c>
      <x:c r="E7" s="17" t="n">
        <x:v>95.8</x:v>
      </x:c>
      <x:c r="F7" s="17" t="n">
        <x:f>12</x:f>
        <x:v>12</x:v>
      </x:c>
      <x:c r="G7" s="17" t="n">
        <x:v>95.9</x:v>
      </x:c>
      <x:c r="H7" s="17" t="str">
        <x:v>Western University</x:v>
      </x:c>
      <x:c r="I7" s="17" t="str">
        <x:v>Western University</x:v>
      </x:c>
      <x:c r="J7" s="17" t="str">
        <x:v>Same institution; merged once in the candidate universe.</x:v>
      </x:c>
    </x:row>
    <x:row r="8">
      <x:c r="A8" s="17" t="n">
        <x:v>27</x:v>
      </x:c>
      <x:c r="B8" s="17" t="str">
        <x:v>University of Glasgow</x:v>
      </x:c>
      <x:c r="C8" s="17" t="str">
        <x:v>United Kingdom</x:v>
      </x:c>
      <x:c r="D8" s="17" t="str">
        <x:v>27</x:v>
      </x:c>
      <x:c r="E8" s="17" t="n">
        <x:v>95.7</x:v>
      </x:c>
      <x:c r="F8" s="17" t="str">
        <x:v>14</x:v>
      </x:c>
      <x:c r="G8" s="17" t="n">
        <x:v>95.8</x:v>
      </x:c>
      <x:c r="H8" s="17" t="str">
        <x:v>University of Glasgow</x:v>
      </x:c>
      <x:c r="I8" s="17" t="str">
        <x:v>University of Glasgow</x:v>
      </x:c>
      <x:c r="J8" s="17" t="str">
        <x:v>Same institution; merged once in the candidate universe.</x:v>
      </x:c>
    </x:row>
    <x:row r="9">
      <x:c r="A9" s="17" t="n">
        <x:v>49</x:v>
      </x:c>
      <x:c r="B9" s="17" t="str">
        <x:v>University of Exeter</x:v>
      </x:c>
      <x:c r="C9" s="17" t="str">
        <x:v>United Kingdom</x:v>
      </x:c>
      <x:c r="D9" s="17" t="n">
        <x:f>48</x:f>
        <x:v>48</x:v>
      </x:c>
      <x:c r="E9" s="17" t="n">
        <x:v>93.5</x:v>
      </x:c>
      <x:c r="F9" s="17" t="n">
        <x:f>20</x:f>
        <x:v>20</x:v>
      </x:c>
      <x:c r="G9" s="17" t="n">
        <x:v>95.3</x:v>
      </x:c>
      <x:c r="H9" s="17" t="str">
        <x:v>University of Exeter</x:v>
      </x:c>
      <x:c r="I9" s="17" t="str">
        <x:v>University of Exeter</x:v>
      </x:c>
      <x:c r="J9" s="17" t="str">
        <x:v>Same institution; merged once in the candidate universe.</x:v>
      </x:c>
    </x:row>
  </x:sheetData>
  <x:mergeCells>
    <x:mergeCell ref="A1:J1"/>
    <x:mergeCell ref="A2:J2"/>
  </x:mergeCells>
  <x:pageMargins left="0.7" right="0.7" top="0.75" bottom="0.75" header="0.3" footer="0.3"/>
  <x:tableParts count="1">
    <x:tablePart xmlns:r="http://schemas.openxmlformats.org/officeDocument/2006/relationships" r:id="Ra62446715a7a419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7" hidden="0" customWidth="1"/>
    <x:col min="2" max="2" width="36" hidden="0" customWidth="1"/>
    <x:col min="3" max="3" width="24" hidden="0" customWidth="1"/>
    <x:col min="4" max="4" width="34" hidden="0" customWidth="1"/>
    <x:col min="5" max="5" width="12" hidden="0" customWidth="1"/>
    <x:col min="6" max="6" width="10" hidden="0" customWidth="1"/>
    <x:col min="7" max="7" width="17" hidden="0" customWidth="1"/>
    <x:col min="8" max="8" width="50" hidden="0" customWidth="1"/>
    <x:col min="9" max="9" width="50" hidden="0" customWidth="1"/>
    <x:col min="10" max="10" width="50" hidden="0" customWidth="1"/>
    <x:col min="11" max="11" width="70" hidden="0" customWidth="1"/>
  </x:cols>
  <x:sheetData>
    <x:row r="1" ht="28" customHeight="1">
      <x:c r="A1" s="3" t="str">
        <x:v>AASHE STARS - Strict Institutional Scope</x:v>
      </x:c>
      <x:c r="B1" s="3"/>
      <x:c r="C1" s="3"/>
      <x:c r="D1" s="3"/>
      <x:c r="E1" s="3"/>
      <x:c r="F1" s="3"/>
      <x:c r="G1" s="3"/>
      <x:c r="H1" s="3"/>
      <x:c r="I1" s="3"/>
      <x:c r="J1" s="3"/>
      <x:c r="K1" s="3"/>
    </x:row>
    <x:row r="2" ht="36" customHeight="1">
      <x:c r="A2" s="7" t="str">
        <x:v>Matched against 416 current records on the official participants and reports page. Ratings are not inherited across parent institutions, systems, or campuses.</x:v>
      </x:c>
      <x:c r="B2" s="7"/>
      <x:c r="C2" s="7"/>
      <x:c r="D2" s="7"/>
      <x:c r="E2" s="7"/>
      <x:c r="F2" s="7"/>
      <x:c r="G2" s="7"/>
      <x:c r="H2" s="7"/>
      <x:c r="I2" s="7"/>
      <x:c r="J2" s="7"/>
      <x:c r="K2" s="7"/>
    </x:row>
    <x:row r="4" ht="36" customHeight="1">
      <x:c r="A4" s="13" t="str">
        <x:v>ID</x:v>
      </x:c>
      <x:c r="B4" s="13" t="str">
        <x:v>Candidate Institution</x:v>
      </x:c>
      <x:c r="C4" s="13" t="str">
        <x:v>AASHE Match Status</x:v>
      </x:c>
      <x:c r="D4" s="13" t="str">
        <x:v>Matched AASHE Institution</x:v>
      </x:c>
      <x:c r="E4" s="13" t="str">
        <x:v>Rating</x:v>
      </x:c>
      <x:c r="F4" s="13" t="str">
        <x:v>Score</x:v>
      </x:c>
      <x:c r="G4" s="13" t="str">
        <x:v>Valid Through</x:v>
      </x:c>
      <x:c r="H4" s="13" t="str">
        <x:v>AASHE Profile URL</x:v>
      </x:c>
      <x:c r="I4" s="13" t="str">
        <x:v>Latest Report URL</x:v>
      </x:c>
      <x:c r="J4" s="13" t="str">
        <x:v>Source URL</x:v>
      </x:c>
      <x:c r="K4" s="13" t="str">
        <x:v>Scope Note</x:v>
      </x:c>
    </x:row>
    <x:row r="5">
      <x:c r="A5" s="17" t="n">
        <x:v>1</x:v>
      </x:c>
      <x:c r="B5" s="17" t="str">
        <x:v>Lund University</x:v>
      </x:c>
      <x:c r="C5" s="17" t="str">
        <x:v>No current exact record</x:v>
      </x:c>
      <x:c r="D5" s="17" t="str"/>
      <x:c r="E5" s="17" t="str"/>
      <x:c r="F5" s="17"/>
      <x:c r="G5" s="17" t="str"/>
      <x:c r="H5" s="30" t="str"/>
      <x:c r="I5" s="30" t="str"/>
      <x:c r="J5" s="30" t="str">
        <x:v>https://reports.aashe.org/institutions/participants-and-reports/</x:v>
      </x:c>
      <x:c r="K5" s="17" t="str">
        <x:v>No exact institution-level match was found in the current AASHE participants and reports table.</x:v>
      </x:c>
    </x:row>
    <x:row r="6">
      <x:c r="A6" s="17" t="n">
        <x:v>2</x:v>
      </x:c>
      <x:c r="B6" s="17" t="str">
        <x:v>University of Toronto</x:v>
      </x:c>
      <x:c r="C6" s="17" t="str">
        <x:v>Campus-only record found</x:v>
      </x:c>
      <x:c r="D6" s="17" t="str">
        <x:v>University of Toronto Mississauga</x:v>
      </x:c>
      <x:c r="E6" s="17" t="str"/>
      <x:c r="F6" s="17"/>
      <x:c r="G6" s="17" t="str"/>
      <x:c r="H6" s="30" t="str">
        <x:v>https://reports.aashe.org/institutions/university-of-toronto-at-mississauga-on/report/</x:v>
      </x:c>
      <x:c r="I6" s="30" t="str">
        <x:v>https://reports.aashe.org/institutions/university-of-toronto-at-mississauga-on/report/2024-03-01/</x:v>
      </x:c>
      <x:c r="J6" s="30" t="str">
        <x:v>https://reports.aashe.org/institutions/participants-and-reports/</x:v>
      </x:c>
      <x:c r="K6" s="17" t="str">
        <x:v>University of Toronto Mississauga has a current Gold rating, but it is a separate campus record and is not inherited by University of Toronto.</x:v>
      </x:c>
    </x:row>
    <x:row r="7">
      <x:c r="A7" s="17" t="n">
        <x:v>3</x:v>
      </x:c>
      <x:c r="B7" s="17" t="str">
        <x:v>UCL</x:v>
      </x:c>
      <x:c r="C7" s="17" t="str">
        <x:v>No current exact record</x:v>
      </x:c>
      <x:c r="D7" s="17" t="str"/>
      <x:c r="E7" s="17" t="str"/>
      <x:c r="F7" s="17"/>
      <x:c r="G7" s="17" t="str"/>
      <x:c r="H7" s="30" t="str"/>
      <x:c r="I7" s="30" t="str"/>
      <x:c r="J7" s="30" t="str">
        <x:v>https://reports.aashe.org/institutions/participants-and-reports/</x:v>
      </x:c>
      <x:c r="K7" s="17" t="str">
        <x:v>No exact institution-level match was found in the current AASHE participants and reports table.</x:v>
      </x:c>
    </x:row>
    <x:row r="8">
      <x:c r="A8" s="17" t="n">
        <x:v>4</x:v>
      </x:c>
      <x:c r="B8" s="17" t="str">
        <x:v>The University of Edinburgh</x:v>
      </x:c>
      <x:c r="C8" s="17" t="str">
        <x:v>No current exact record</x:v>
      </x:c>
      <x:c r="D8" s="17" t="str"/>
      <x:c r="E8" s="17" t="str"/>
      <x:c r="F8" s="17"/>
      <x:c r="G8" s="17" t="str"/>
      <x:c r="H8" s="30" t="str"/>
      <x:c r="I8" s="30" t="str"/>
      <x:c r="J8" s="30" t="str">
        <x:v>https://reports.aashe.org/institutions/participants-and-reports/</x:v>
      </x:c>
      <x:c r="K8" s="17" t="str">
        <x:v>No exact institution-level match was found in the current AASHE participants and reports table.</x:v>
      </x:c>
    </x:row>
    <x:row r="9">
      <x:c r="A9" s="17" t="n">
        <x:v>5</x:v>
      </x:c>
      <x:c r="B9" s="17" t="str">
        <x:v>University of British Columbia</x:v>
      </x:c>
      <x:c r="C9" s="17" t="str">
        <x:v>No current exact record</x:v>
      </x:c>
      <x:c r="D9" s="17" t="str"/>
      <x:c r="E9" s="17" t="str"/>
      <x:c r="F9" s="17"/>
      <x:c r="G9" s="17" t="str"/>
      <x:c r="H9" s="30" t="str"/>
      <x:c r="I9" s="30" t="str"/>
      <x:c r="J9" s="30" t="str">
        <x:v>https://reports.aashe.org/institutions/participants-and-reports/</x:v>
      </x:c>
      <x:c r="K9" s="17" t="str">
        <x:v>No exact institution-level match was found in the current AASHE participants and reports table.</x:v>
      </x:c>
    </x:row>
    <x:row r="10">
      <x:c r="A10" s="17" t="n">
        <x:v>6</x:v>
      </x:c>
      <x:c r="B10" s="17" t="str">
        <x:v>The London School of Economics and Political Science (LSE)</x:v>
      </x:c>
      <x:c r="C10" s="17" t="str">
        <x:v>No current exact record</x:v>
      </x:c>
      <x:c r="D10" s="17" t="str"/>
      <x:c r="E10" s="17" t="str"/>
      <x:c r="F10" s="17"/>
      <x:c r="G10" s="17" t="str"/>
      <x:c r="H10" s="30" t="str"/>
      <x:c r="I10" s="30" t="str"/>
      <x:c r="J10" s="30" t="str">
        <x:v>https://reports.aashe.org/institutions/participants-and-reports/</x:v>
      </x:c>
      <x:c r="K10" s="17" t="str">
        <x:v>No exact institution-level match was found in the current AASHE participants and reports table.</x:v>
      </x:c>
    </x:row>
    <x:row r="11">
      <x:c r="A11" s="17" t="n">
        <x:v>7</x:v>
      </x:c>
      <x:c r="B11" s="17" t="str">
        <x:v>Imperial College London</x:v>
      </x:c>
      <x:c r="C11" s="17" t="str">
        <x:v>No current exact record</x:v>
      </x:c>
      <x:c r="D11" s="17" t="str"/>
      <x:c r="E11" s="17" t="str"/>
      <x:c r="F11" s="17"/>
      <x:c r="G11" s="17" t="str"/>
      <x:c r="H11" s="30" t="str"/>
      <x:c r="I11" s="30" t="str"/>
      <x:c r="J11" s="30" t="str">
        <x:v>https://reports.aashe.org/institutions/participants-and-reports/</x:v>
      </x:c>
      <x:c r="K11" s="17" t="str">
        <x:v>No exact institution-level match was found in the current AASHE participants and reports table.</x:v>
      </x:c>
    </x:row>
    <x:row r="12">
      <x:c r="A12" s="17" t="n">
        <x:v>8</x:v>
      </x:c>
      <x:c r="B12" s="17" t="str">
        <x:v>The University of New South Wales (UNSW Sydney)</x:v>
      </x:c>
      <x:c r="C12" s="17" t="str">
        <x:v>No current exact record</x:v>
      </x:c>
      <x:c r="D12" s="17" t="str"/>
      <x:c r="E12" s="17" t="str"/>
      <x:c r="F12" s="17"/>
      <x:c r="G12" s="17" t="str"/>
      <x:c r="H12" s="30" t="str"/>
      <x:c r="I12" s="30" t="str"/>
      <x:c r="J12" s="30" t="str">
        <x:v>https://reports.aashe.org/institutions/participants-and-reports/</x:v>
      </x:c>
      <x:c r="K12" s="17" t="str">
        <x:v>No exact institution-level match was found in the current AASHE participants and reports table.</x:v>
      </x:c>
    </x:row>
    <x:row r="13">
      <x:c r="A13" s="17" t="n">
        <x:v>9</x:v>
      </x:c>
      <x:c r="B13" s="17" t="str">
        <x:v>McGill University</x:v>
      </x:c>
      <x:c r="C13" s="17" t="str">
        <x:v>Exact name</x:v>
      </x:c>
      <x:c r="D13" s="17" t="str">
        <x:v>McGill University</x:v>
      </x:c>
      <x:c r="E13" s="17" t="str">
        <x:v>Platinum</x:v>
      </x:c>
      <x:c r="F13" s="17" t="n">
        <x:v>100</x:v>
      </x:c>
      <x:c r="G13" s="17" t="str">
        <x:v>March 13, 2027</x:v>
      </x:c>
      <x:c r="H13" s="30" t="str">
        <x:v>https://reports.aashe.org/institutions/mcgill-university-qc/report/</x:v>
      </x:c>
      <x:c r="I13" s="30" t="str">
        <x:v>https://reports.aashe.org/institutions/mcgill-university-qc/report/2024-01-17/</x:v>
      </x:c>
      <x:c r="J13" s="30" t="str">
        <x:v>https://reports.aashe.org/institutions/participants-and-reports/</x:v>
      </x:c>
      <x:c r="K13" s="17" t="str">
        <x:v>Exact normalized institutional name match.</x:v>
      </x:c>
    </x:row>
    <x:row r="14">
      <x:c r="A14" s="17" t="n">
        <x:v>10</x:v>
      </x:c>
      <x:c r="B14" s="17" t="str">
        <x:v>The University of Manchester</x:v>
      </x:c>
      <x:c r="C14" s="17" t="str">
        <x:v>No current exact record</x:v>
      </x:c>
      <x:c r="D14" s="17" t="str"/>
      <x:c r="E14" s="17" t="str"/>
      <x:c r="F14" s="17"/>
      <x:c r="G14" s="17" t="str"/>
      <x:c r="H14" s="30" t="str"/>
      <x:c r="I14" s="30" t="str"/>
      <x:c r="J14" s="30" t="str">
        <x:v>https://reports.aashe.org/institutions/participants-and-reports/</x:v>
      </x:c>
      <x:c r="K14" s="17" t="str">
        <x:v>No exact institution-level match was found in the current AASHE participants and reports table.</x:v>
      </x:c>
    </x:row>
    <x:row r="15">
      <x:c r="A15" s="17" t="n">
        <x:v>11</x:v>
      </x:c>
      <x:c r="B15" s="17" t="str">
        <x:v>ETH Zurich</x:v>
      </x:c>
      <x:c r="C15" s="17" t="str">
        <x:v>No current exact record</x:v>
      </x:c>
      <x:c r="D15" s="17" t="str"/>
      <x:c r="E15" s="17" t="str"/>
      <x:c r="F15" s="17"/>
      <x:c r="G15" s="17" t="str"/>
      <x:c r="H15" s="30" t="str"/>
      <x:c r="I15" s="30" t="str"/>
      <x:c r="J15" s="30" t="str">
        <x:v>https://reports.aashe.org/institutions/participants-and-reports/</x:v>
      </x:c>
      <x:c r="K15" s="17" t="str">
        <x:v>No exact institution-level match was found in the current AASHE participants and reports table.</x:v>
      </x:c>
    </x:row>
    <x:row r="16">
      <x:c r="A16" s="17" t="n">
        <x:v>12</x:v>
      </x:c>
      <x:c r="B16" s="17" t="str">
        <x:v>The University of Melbourne</x:v>
      </x:c>
      <x:c r="C16" s="17" t="str">
        <x:v>No current exact record</x:v>
      </x:c>
      <x:c r="D16" s="17" t="str"/>
      <x:c r="E16" s="17" t="str"/>
      <x:c r="F16" s="17"/>
      <x:c r="G16" s="17" t="str"/>
      <x:c r="H16" s="30" t="str"/>
      <x:c r="I16" s="30" t="str"/>
      <x:c r="J16" s="30" t="str">
        <x:v>https://reports.aashe.org/institutions/participants-and-reports/</x:v>
      </x:c>
      <x:c r="K16" s="17" t="str">
        <x:v>No exact institution-level match was found in the current AASHE participants and reports table.</x:v>
      </x:c>
    </x:row>
    <x:row r="17">
      <x:c r="A17" s="17" t="n">
        <x:v>13</x:v>
      </x:c>
      <x:c r="B17" s="17" t="str">
        <x:v>University of California, Berkeley (UCB)</x:v>
      </x:c>
      <x:c r="C17" s="17" t="str">
        <x:v>Verified alias</x:v>
      </x:c>
      <x:c r="D17" s="17" t="str">
        <x:v>University of California, Berkeley</x:v>
      </x:c>
      <x:c r="E17" s="17" t="str">
        <x:v>Platinum</x:v>
      </x:c>
      <x:c r="F17" s="17" t="n">
        <x:v>100</x:v>
      </x:c>
      <x:c r="G17" s="17" t="str">
        <x:v>April 20, 2028</x:v>
      </x:c>
      <x:c r="H17" s="30" t="str">
        <x:v>https://reports.aashe.org/institutions/university-of-california-berkeley-ca/report/</x:v>
      </x:c>
      <x:c r="I17" s="30" t="str">
        <x:v>https://reports.aashe.org/institutions/university-of-california-berkeley-ca/report/2025-02-19/</x:v>
      </x:c>
      <x:c r="J17" s="30" t="str">
        <x:v>https://reports.aashe.org/institutions/participants-and-reports/</x:v>
      </x:c>
      <x:c r="K17" s="17" t="str">
        <x:v>Alias checked as the same institution.</x:v>
      </x:c>
    </x:row>
    <x:row r="18">
      <x:c r="A18" s="17" t="n">
        <x:v>14</x:v>
      </x:c>
      <x:c r="B18" s="17" t="str">
        <x:v>Stanford University</x:v>
      </x:c>
      <x:c r="C18" s="17" t="str">
        <x:v>Exact name</x:v>
      </x:c>
      <x:c r="D18" s="17" t="str">
        <x:v>Stanford University</x:v>
      </x:c>
      <x:c r="E18" s="17" t="str">
        <x:v>Platinum</x:v>
      </x:c>
      <x:c r="F18" s="17" t="n">
        <x:v>100</x:v>
      </x:c>
      <x:c r="G18" s="17" t="str">
        <x:v>Feb. 16, 2029</x:v>
      </x:c>
      <x:c r="H18" s="30" t="str">
        <x:v>https://reports.aashe.org/institutions/stanford-university-ca/report/</x:v>
      </x:c>
      <x:c r="I18" s="30" t="str">
        <x:v>https://reports.aashe.org/institutions/stanford-university-ca/report/2025-12-11/</x:v>
      </x:c>
      <x:c r="J18" s="30" t="str">
        <x:v>https://reports.aashe.org/institutions/participants-and-reports/</x:v>
      </x:c>
      <x:c r="K18" s="17" t="str">
        <x:v>Exact normalized institutional name match.</x:v>
      </x:c>
    </x:row>
    <x:row r="19">
      <x:c r="A19" s="17" t="n">
        <x:v>15</x:v>
      </x:c>
      <x:c r="B19" s="17" t="str">
        <x:v>University of Oxford</x:v>
      </x:c>
      <x:c r="C19" s="17" t="str">
        <x:v>No current exact record</x:v>
      </x:c>
      <x:c r="D19" s="17" t="str"/>
      <x:c r="E19" s="17" t="str"/>
      <x:c r="F19" s="17"/>
      <x:c r="G19" s="17" t="str"/>
      <x:c r="H19" s="30" t="str"/>
      <x:c r="I19" s="30" t="str"/>
      <x:c r="J19" s="30" t="str">
        <x:v>https://reports.aashe.org/institutions/participants-and-reports/</x:v>
      </x:c>
      <x:c r="K19" s="17" t="str">
        <x:v>No exact institution-level match was found in the current AASHE participants and reports table.</x:v>
      </x:c>
    </x:row>
    <x:row r="20">
      <x:c r="A20" s="17" t="n">
        <x:v>16</x:v>
      </x:c>
      <x:c r="B20" s="17" t="str">
        <x:v>The University of Sydney</x:v>
      </x:c>
      <x:c r="C20" s="17" t="str">
        <x:v>No current exact record</x:v>
      </x:c>
      <x:c r="D20" s="17" t="str"/>
      <x:c r="E20" s="17" t="str"/>
      <x:c r="F20" s="17"/>
      <x:c r="G20" s="17" t="str"/>
      <x:c r="H20" s="30" t="str"/>
      <x:c r="I20" s="30" t="str"/>
      <x:c r="J20" s="30" t="str">
        <x:v>https://reports.aashe.org/institutions/participants-and-reports/</x:v>
      </x:c>
      <x:c r="K20" s="17" t="str">
        <x:v>No exact institution-level match was found in the current AASHE participants and reports table.</x:v>
      </x:c>
    </x:row>
    <x:row r="21">
      <x:c r="A21" s="17" t="n">
        <x:v>17</x:v>
      </x:c>
      <x:c r="B21" s="17" t="str">
        <x:v>Australian National University (ANU)</x:v>
      </x:c>
      <x:c r="C21" s="17" t="str">
        <x:v>No current exact record</x:v>
      </x:c>
      <x:c r="D21" s="17" t="str"/>
      <x:c r="E21" s="17" t="str"/>
      <x:c r="F21" s="17"/>
      <x:c r="G21" s="17" t="str"/>
      <x:c r="H21" s="30" t="str"/>
      <x:c r="I21" s="30" t="str"/>
      <x:c r="J21" s="30" t="str">
        <x:v>https://reports.aashe.org/institutions/participants-and-reports/</x:v>
      </x:c>
      <x:c r="K21" s="17" t="str">
        <x:v>No exact institution-level match was found in the current AASHE participants and reports table.</x:v>
      </x:c>
    </x:row>
    <x:row r="22">
      <x:c r="A22" s="17" t="n">
        <x:v>18</x:v>
      </x:c>
      <x:c r="B22" s="17" t="str">
        <x:v>King's College London</x:v>
      </x:c>
      <x:c r="C22" s="17" t="str">
        <x:v>No current exact record</x:v>
      </x:c>
      <x:c r="D22" s="17" t="str"/>
      <x:c r="E22" s="17" t="str"/>
      <x:c r="F22" s="17"/>
      <x:c r="G22" s="17" t="str"/>
      <x:c r="H22" s="30" t="str"/>
      <x:c r="I22" s="30" t="str"/>
      <x:c r="J22" s="30" t="str">
        <x:v>https://reports.aashe.org/institutions/participants-and-reports/</x:v>
      </x:c>
      <x:c r="K22" s="17" t="str">
        <x:v>No exact institution-level match was found in the current AASHE participants and reports table.</x:v>
      </x:c>
    </x:row>
    <x:row r="23">
      <x:c r="A23" s="17" t="n">
        <x:v>19</x:v>
      </x:c>
      <x:c r="B23" s="17" t="str">
        <x:v>University of Bristol</x:v>
      </x:c>
      <x:c r="C23" s="17" t="str">
        <x:v>No current exact record</x:v>
      </x:c>
      <x:c r="D23" s="17" t="str"/>
      <x:c r="E23" s="17" t="str"/>
      <x:c r="F23" s="17"/>
      <x:c r="G23" s="17" t="str"/>
      <x:c r="H23" s="30" t="str"/>
      <x:c r="I23" s="30" t="str"/>
      <x:c r="J23" s="30" t="str">
        <x:v>https://reports.aashe.org/institutions/participants-and-reports/</x:v>
      </x:c>
      <x:c r="K23" s="17" t="str">
        <x:v>No exact institution-level match was found in the current AASHE participants and reports table.</x:v>
      </x:c>
    </x:row>
    <x:row r="24">
      <x:c r="A24" s="17" t="n">
        <x:v>20</x:v>
      </x:c>
      <x:c r="B24" s="17" t="str">
        <x:v>New York University (NYU)</x:v>
      </x:c>
      <x:c r="C24" s="17" t="str">
        <x:v>Exact name</x:v>
      </x:c>
      <x:c r="D24" s="17" t="str">
        <x:v>New York University</x:v>
      </x:c>
      <x:c r="E24" s="17" t="str">
        <x:v>Gold</x:v>
      </x:c>
      <x:c r="F24" s="17" t="n">
        <x:v>85</x:v>
      </x:c>
      <x:c r="G24" s="17" t="str">
        <x:v>March 17, 2028</x:v>
      </x:c>
      <x:c r="H24" s="30" t="str">
        <x:v>https://reports.aashe.org/institutions/new-york-university-ny/report/</x:v>
      </x:c>
      <x:c r="I24" s="30" t="str">
        <x:v>https://reports.aashe.org/institutions/new-york-university-ny/report/2025-02-14/</x:v>
      </x:c>
      <x:c r="J24" s="30" t="str">
        <x:v>https://reports.aashe.org/institutions/participants-and-reports/</x:v>
      </x:c>
      <x:c r="K24" s="17" t="str">
        <x:v>Exact normalized institutional name match.</x:v>
      </x:c>
    </x:row>
    <x:row r="25">
      <x:c r="A25" s="17" t="n">
        <x:v>21</x:v>
      </x:c>
      <x:c r="B25" s="17" t="str">
        <x:v>Pennsylvania State University</x:v>
      </x:c>
      <x:c r="C25" s="17" t="str">
        <x:v>Exact name</x:v>
      </x:c>
      <x:c r="D25" s="17" t="str">
        <x:v>Pennsylvania State University</x:v>
      </x:c>
      <x:c r="E25" s="17" t="str">
        <x:v>Gold</x:v>
      </x:c>
      <x:c r="F25" s="17" t="n">
        <x:v>85</x:v>
      </x:c>
      <x:c r="G25" s="17" t="str">
        <x:v>Jan. 10, 2027</x:v>
      </x:c>
      <x:c r="H25" s="30" t="str">
        <x:v>https://reports.aashe.org/institutions/pennsylvania-state-university-pa/report/</x:v>
      </x:c>
      <x:c r="I25" s="30" t="str">
        <x:v>https://reports.aashe.org/institutions/pennsylvania-state-university-pa/report/2023-12-12/</x:v>
      </x:c>
      <x:c r="J25" s="30" t="str">
        <x:v>https://reports.aashe.org/institutions/participants-and-reports/</x:v>
      </x:c>
      <x:c r="K25" s="17" t="str">
        <x:v>Exact normalized institutional name match.</x:v>
      </x:c>
    </x:row>
    <x:row r="26">
      <x:c r="A26" s="17" t="n">
        <x:v>22</x:v>
      </x:c>
      <x:c r="B26" s="17" t="str">
        <x:v>KU Leuven</x:v>
      </x:c>
      <x:c r="C26" s="17" t="str">
        <x:v>No current exact record</x:v>
      </x:c>
      <x:c r="D26" s="17" t="str"/>
      <x:c r="E26" s="17" t="str"/>
      <x:c r="F26" s="17"/>
      <x:c r="G26" s="17" t="str"/>
      <x:c r="H26" s="30" t="str"/>
      <x:c r="I26" s="30" t="str"/>
      <x:c r="J26" s="30" t="str">
        <x:v>https://reports.aashe.org/institutions/participants-and-reports/</x:v>
      </x:c>
      <x:c r="K26" s="17" t="str">
        <x:v>No exact institution-level match was found in the current AASHE participants and reports table.</x:v>
      </x:c>
    </x:row>
    <x:row r="27">
      <x:c r="A27" s="17" t="n">
        <x:v>23</x:v>
      </x:c>
      <x:c r="B27" s="17" t="str">
        <x:v>University of Helsinki</x:v>
      </x:c>
      <x:c r="C27" s="17" t="str">
        <x:v>No current exact record</x:v>
      </x:c>
      <x:c r="D27" s="17" t="str"/>
      <x:c r="E27" s="17" t="str"/>
      <x:c r="F27" s="17"/>
      <x:c r="G27" s="17" t="str"/>
      <x:c r="H27" s="30" t="str"/>
      <x:c r="I27" s="30" t="str"/>
      <x:c r="J27" s="30" t="str">
        <x:v>https://reports.aashe.org/institutions/participants-and-reports/</x:v>
      </x:c>
      <x:c r="K27" s="17" t="str">
        <x:v>No exact institution-level match was found in the current AASHE participants and reports table.</x:v>
      </x:c>
    </x:row>
    <x:row r="28">
      <x:c r="A28" s="17" t="n">
        <x:v>24</x:v>
      </x:c>
      <x:c r="B28" s="17" t="str">
        <x:v>Durham University</x:v>
      </x:c>
      <x:c r="C28" s="17" t="str">
        <x:v>No current exact record</x:v>
      </x:c>
      <x:c r="D28" s="17" t="str"/>
      <x:c r="E28" s="17" t="str"/>
      <x:c r="F28" s="17"/>
      <x:c r="G28" s="17" t="str"/>
      <x:c r="H28" s="30" t="str"/>
      <x:c r="I28" s="30" t="str"/>
      <x:c r="J28" s="30" t="str">
        <x:v>https://reports.aashe.org/institutions/participants-and-reports/</x:v>
      </x:c>
      <x:c r="K28" s="17" t="str">
        <x:v>No exact institution-level match was found in the current AASHE participants and reports table.</x:v>
      </x:c>
    </x:row>
    <x:row r="29">
      <x:c r="A29" s="17" t="n">
        <x:v>25</x:v>
      </x:c>
      <x:c r="B29" s="17" t="str">
        <x:v>University of Leeds</x:v>
      </x:c>
      <x:c r="C29" s="17" t="str">
        <x:v>No current exact record</x:v>
      </x:c>
      <x:c r="D29" s="17" t="str"/>
      <x:c r="E29" s="17" t="str"/>
      <x:c r="F29" s="17"/>
      <x:c r="G29" s="17" t="str"/>
      <x:c r="H29" s="30" t="str"/>
      <x:c r="I29" s="30" t="str"/>
      <x:c r="J29" s="30" t="str">
        <x:v>https://reports.aashe.org/institutions/participants-and-reports/</x:v>
      </x:c>
      <x:c r="K29" s="17" t="str">
        <x:v>No exact institution-level match was found in the current AASHE participants and reports table.</x:v>
      </x:c>
    </x:row>
    <x:row r="30">
      <x:c r="A30" s="17" t="n">
        <x:v>26</x:v>
      </x:c>
      <x:c r="B30" s="17" t="str">
        <x:v>Western University</x:v>
      </x:c>
      <x:c r="C30" s="17" t="str">
        <x:v>Exact name</x:v>
      </x:c>
      <x:c r="D30" s="17" t="str">
        <x:v>Western University</x:v>
      </x:c>
      <x:c r="E30" s="17" t="str">
        <x:v>Gold</x:v>
      </x:c>
      <x:c r="F30" s="17" t="n">
        <x:v>85</x:v>
      </x:c>
      <x:c r="G30" s="17" t="str">
        <x:v>Feb. 28, 2028</x:v>
      </x:c>
      <x:c r="H30" s="30" t="str">
        <x:v>https://reports.aashe.org/institutions/university-of-western-ontario-on/report/</x:v>
      </x:c>
      <x:c r="I30" s="30" t="str">
        <x:v>https://reports.aashe.org/institutions/university-of-western-ontario-on/report/2025-01-16/</x:v>
      </x:c>
      <x:c r="J30" s="30" t="str">
        <x:v>https://reports.aashe.org/institutions/participants-and-reports/</x:v>
      </x:c>
      <x:c r="K30" s="17" t="str">
        <x:v>Exact normalized institutional name match.</x:v>
      </x:c>
    </x:row>
    <x:row r="31">
      <x:c r="A31" s="17" t="n">
        <x:v>27</x:v>
      </x:c>
      <x:c r="B31" s="17" t="str">
        <x:v>University of Glasgow</x:v>
      </x:c>
      <x:c r="C31" s="17" t="str">
        <x:v>No current exact record</x:v>
      </x:c>
      <x:c r="D31" s="17" t="str"/>
      <x:c r="E31" s="17" t="str"/>
      <x:c r="F31" s="17"/>
      <x:c r="G31" s="17" t="str"/>
      <x:c r="H31" s="30" t="str"/>
      <x:c r="I31" s="30" t="str"/>
      <x:c r="J31" s="30" t="str">
        <x:v>https://reports.aashe.org/institutions/participants-and-reports/</x:v>
      </x:c>
      <x:c r="K31" s="17" t="str">
        <x:v>No exact institution-level match was found in the current AASHE participants and reports table.</x:v>
      </x:c>
    </x:row>
    <x:row r="32">
      <x:c r="A32" s="17" t="n">
        <x:v>28</x:v>
      </x:c>
      <x:c r="B32" s="17" t="str">
        <x:v>The University of Auckland</x:v>
      </x:c>
      <x:c r="C32" s="17" t="str">
        <x:v>No current exact record</x:v>
      </x:c>
      <x:c r="D32" s="17" t="str"/>
      <x:c r="E32" s="17" t="str"/>
      <x:c r="F32" s="17"/>
      <x:c r="G32" s="17" t="str"/>
      <x:c r="H32" s="30" t="str"/>
      <x:c r="I32" s="30" t="str"/>
      <x:c r="J32" s="30" t="str">
        <x:v>https://reports.aashe.org/institutions/participants-and-reports/</x:v>
      </x:c>
      <x:c r="K32" s="17" t="str">
        <x:v>No exact institution-level match was found in the current AASHE participants and reports table.</x:v>
      </x:c>
    </x:row>
    <x:row r="33">
      <x:c r="A33" s="17" t="n">
        <x:v>29</x:v>
      </x:c>
      <x:c r="B33" s="17" t="str">
        <x:v>Trinity College Dublin, The University of Dublin</x:v>
      </x:c>
      <x:c r="C33" s="17" t="str">
        <x:v>No current exact record</x:v>
      </x:c>
      <x:c r="D33" s="17" t="str"/>
      <x:c r="E33" s="17" t="str"/>
      <x:c r="F33" s="17"/>
      <x:c r="G33" s="17" t="str"/>
      <x:c r="H33" s="30" t="str"/>
      <x:c r="I33" s="30" t="str"/>
      <x:c r="J33" s="30" t="str">
        <x:v>https://reports.aashe.org/institutions/participants-and-reports/</x:v>
      </x:c>
      <x:c r="K33" s="17" t="str">
        <x:v>No exact institution-level match was found in the current AASHE participants and reports table.</x:v>
      </x:c>
    </x:row>
    <x:row r="34">
      <x:c r="A34" s="17" t="n">
        <x:v>30</x:v>
      </x:c>
      <x:c r="B34" s="17" t="str">
        <x:v>University of Pennsylvania</x:v>
      </x:c>
      <x:c r="C34" s="17" t="str">
        <x:v>Exact name</x:v>
      </x:c>
      <x:c r="D34" s="17" t="str">
        <x:v>University of Pennsylvania</x:v>
      </x:c>
      <x:c r="E34" s="17" t="str">
        <x:v>Gold</x:v>
      </x:c>
      <x:c r="F34" s="17" t="n">
        <x:v>85</x:v>
      </x:c>
      <x:c r="G34" s="17" t="str">
        <x:v>March 6, 2028</x:v>
      </x:c>
      <x:c r="H34" s="30" t="str">
        <x:v>https://reports.aashe.org/institutions/university-of-pennsylvania-pa/report/</x:v>
      </x:c>
      <x:c r="I34" s="30" t="str">
        <x:v>https://reports.aashe.org/institutions/university-of-pennsylvania-pa/report/2025-02-18/</x:v>
      </x:c>
      <x:c r="J34" s="30" t="str">
        <x:v>https://reports.aashe.org/institutions/participants-and-reports/</x:v>
      </x:c>
      <x:c r="K34" s="17" t="str">
        <x:v>Exact normalized institutional name match.</x:v>
      </x:c>
    </x:row>
    <x:row r="35">
      <x:c r="A35" s="17" t="n">
        <x:v>31</x:v>
      </x:c>
      <x:c r="B35" s="17" t="str">
        <x:v>University of Reading</x:v>
      </x:c>
      <x:c r="C35" s="17" t="str">
        <x:v>No current exact record</x:v>
      </x:c>
      <x:c r="D35" s="17" t="str"/>
      <x:c r="E35" s="17" t="str"/>
      <x:c r="F35" s="17"/>
      <x:c r="G35" s="17" t="str"/>
      <x:c r="H35" s="30" t="str"/>
      <x:c r="I35" s="30" t="str"/>
      <x:c r="J35" s="30" t="str">
        <x:v>https://reports.aashe.org/institutions/participants-and-reports/</x:v>
      </x:c>
      <x:c r="K35" s="17" t="str">
        <x:v>No exact institution-level match was found in the current AASHE participants and reports table.</x:v>
      </x:c>
    </x:row>
    <x:row r="36">
      <x:c r="A36" s="17" t="n">
        <x:v>32</x:v>
      </x:c>
      <x:c r="B36" s="17" t="str">
        <x:v>Uppsala University</x:v>
      </x:c>
      <x:c r="C36" s="17" t="str">
        <x:v>No current exact record</x:v>
      </x:c>
      <x:c r="D36" s="17" t="str"/>
      <x:c r="E36" s="17" t="str"/>
      <x:c r="F36" s="17"/>
      <x:c r="G36" s="17" t="str"/>
      <x:c r="H36" s="30" t="str"/>
      <x:c r="I36" s="30" t="str"/>
      <x:c r="J36" s="30" t="str">
        <x:v>https://reports.aashe.org/institutions/participants-and-reports/</x:v>
      </x:c>
      <x:c r="K36" s="17" t="str">
        <x:v>No exact institution-level match was found in the current AASHE participants and reports table.</x:v>
      </x:c>
    </x:row>
    <x:row r="37">
      <x:c r="A37" s="17" t="n">
        <x:v>33</x:v>
      </x:c>
      <x:c r="B37" s="17" t="str">
        <x:v>Ghent University</x:v>
      </x:c>
      <x:c r="C37" s="17" t="str">
        <x:v>No current exact record</x:v>
      </x:c>
      <x:c r="D37" s="17" t="str"/>
      <x:c r="E37" s="17" t="str"/>
      <x:c r="F37" s="17"/>
      <x:c r="G37" s="17" t="str"/>
      <x:c r="H37" s="30" t="str"/>
      <x:c r="I37" s="30" t="str"/>
      <x:c r="J37" s="30" t="str">
        <x:v>https://reports.aashe.org/institutions/participants-and-reports/</x:v>
      </x:c>
      <x:c r="K37" s="17" t="str">
        <x:v>No exact institution-level match was found in the current AASHE participants and reports table.</x:v>
      </x:c>
    </x:row>
    <x:row r="38">
      <x:c r="A38" s="17" t="n">
        <x:v>34</x:v>
      </x:c>
      <x:c r="B38" s="17" t="str">
        <x:v>The University of Sheffield</x:v>
      </x:c>
      <x:c r="C38" s="17" t="str">
        <x:v>No current exact record</x:v>
      </x:c>
      <x:c r="D38" s="17" t="str"/>
      <x:c r="E38" s="17" t="str"/>
      <x:c r="F38" s="17"/>
      <x:c r="G38" s="17" t="str"/>
      <x:c r="H38" s="30" t="str"/>
      <x:c r="I38" s="30" t="str"/>
      <x:c r="J38" s="30" t="str">
        <x:v>https://reports.aashe.org/institutions/participants-and-reports/</x:v>
      </x:c>
      <x:c r="K38" s="17" t="str">
        <x:v>No exact institution-level match was found in the current AASHE participants and reports table.</x:v>
      </x:c>
    </x:row>
    <x:row r="39">
      <x:c r="A39" s="17" t="n">
        <x:v>35</x:v>
      </x:c>
      <x:c r="B39" s="17" t="str">
        <x:v>Delft University of Technology</x:v>
      </x:c>
      <x:c r="C39" s="17" t="str">
        <x:v>No current exact record</x:v>
      </x:c>
      <x:c r="D39" s="17" t="str"/>
      <x:c r="E39" s="17" t="str"/>
      <x:c r="F39" s="17"/>
      <x:c r="G39" s="17" t="str"/>
      <x:c r="H39" s="30" t="str"/>
      <x:c r="I39" s="30" t="str"/>
      <x:c r="J39" s="30" t="str">
        <x:v>https://reports.aashe.org/institutions/participants-and-reports/</x:v>
      </x:c>
      <x:c r="K39" s="17" t="str">
        <x:v>No exact institution-level match was found in the current AASHE participants and reports table.</x:v>
      </x:c>
    </x:row>
    <x:row r="40">
      <x:c r="A40" s="17" t="n">
        <x:v>36</x:v>
      </x:c>
      <x:c r="B40" s="17" t="str">
        <x:v>Michigan State University</x:v>
      </x:c>
      <x:c r="C40" s="17" t="str">
        <x:v>No current exact record</x:v>
      </x:c>
      <x:c r="D40" s="17" t="str"/>
      <x:c r="E40" s="17" t="str"/>
      <x:c r="F40" s="17"/>
      <x:c r="G40" s="17" t="str"/>
      <x:c r="H40" s="30" t="str"/>
      <x:c r="I40" s="30" t="str"/>
      <x:c r="J40" s="30" t="str">
        <x:v>https://reports.aashe.org/institutions/participants-and-reports/</x:v>
      </x:c>
      <x:c r="K40" s="17" t="str">
        <x:v>No exact institution-level match was found in the current AASHE participants and reports table.</x:v>
      </x:c>
    </x:row>
    <x:row r="41">
      <x:c r="A41" s="17" t="n">
        <x:v>37</x:v>
      </x:c>
      <x:c r="B41" s="17" t="str">
        <x:v>Monash University</x:v>
      </x:c>
      <x:c r="C41" s="17" t="str">
        <x:v>No current exact record</x:v>
      </x:c>
      <x:c r="D41" s="17" t="str"/>
      <x:c r="E41" s="17" t="str"/>
      <x:c r="F41" s="17"/>
      <x:c r="G41" s="17" t="str"/>
      <x:c r="H41" s="30" t="str"/>
      <x:c r="I41" s="30" t="str"/>
      <x:c r="J41" s="30" t="str">
        <x:v>https://reports.aashe.org/institutions/participants-and-reports/</x:v>
      </x:c>
      <x:c r="K41" s="17" t="str">
        <x:v>No exact institution-level match was found in the current AASHE participants and reports table.</x:v>
      </x:c>
    </x:row>
    <x:row r="42">
      <x:c r="A42" s="17" t="n">
        <x:v>38</x:v>
      </x:c>
      <x:c r="B42" s="17" t="str">
        <x:v>Seoul National University</x:v>
      </x:c>
      <x:c r="C42" s="17" t="str">
        <x:v>No current exact record</x:v>
      </x:c>
      <x:c r="D42" s="17" t="str"/>
      <x:c r="E42" s="17" t="str"/>
      <x:c r="F42" s="17"/>
      <x:c r="G42" s="17" t="str"/>
      <x:c r="H42" s="30" t="str"/>
      <x:c r="I42" s="30" t="str"/>
      <x:c r="J42" s="30" t="str">
        <x:v>https://reports.aashe.org/institutions/participants-and-reports/</x:v>
      </x:c>
      <x:c r="K42" s="17" t="str">
        <x:v>No exact institution-level match was found in the current AASHE participants and reports table.</x:v>
      </x:c>
    </x:row>
    <x:row r="43">
      <x:c r="A43" s="17" t="n">
        <x:v>39</x:v>
      </x:c>
      <x:c r="B43" s="17" t="str">
        <x:v>University of Nottingham</x:v>
      </x:c>
      <x:c r="C43" s="17" t="str">
        <x:v>No current exact record</x:v>
      </x:c>
      <x:c r="D43" s="17" t="str"/>
      <x:c r="E43" s="17" t="str"/>
      <x:c r="F43" s="17"/>
      <x:c r="G43" s="17" t="str"/>
      <x:c r="H43" s="30" t="str"/>
      <x:c r="I43" s="30" t="str"/>
      <x:c r="J43" s="30" t="str">
        <x:v>https://reports.aashe.org/institutions/participants-and-reports/</x:v>
      </x:c>
      <x:c r="K43" s="17" t="str">
        <x:v>No exact institution-level match was found in the current AASHE participants and reports table.</x:v>
      </x:c>
    </x:row>
    <x:row r="44">
      <x:c r="A44" s="17" t="n">
        <x:v>40</x:v>
      </x:c>
      <x:c r="B44" s="17" t="str">
        <x:v>University of York</x:v>
      </x:c>
      <x:c r="C44" s="17" t="str">
        <x:v>No current exact record</x:v>
      </x:c>
      <x:c r="D44" s="17" t="str"/>
      <x:c r="E44" s="17" t="str"/>
      <x:c r="F44" s="17"/>
      <x:c r="G44" s="17" t="str"/>
      <x:c r="H44" s="30" t="str"/>
      <x:c r="I44" s="30" t="str"/>
      <x:c r="J44" s="30" t="str">
        <x:v>https://reports.aashe.org/institutions/participants-and-reports/</x:v>
      </x:c>
      <x:c r="K44" s="17" t="str">
        <x:v>No exact institution-level match was found in the current AASHE participants and reports table.</x:v>
      </x:c>
    </x:row>
    <x:row r="45">
      <x:c r="A45" s="17" t="n">
        <x:v>41</x:v>
      </x:c>
      <x:c r="B45" s="17" t="str">
        <x:v>Boston University</x:v>
      </x:c>
      <x:c r="C45" s="17" t="str">
        <x:v>Exact name</x:v>
      </x:c>
      <x:c r="D45" s="17" t="str">
        <x:v>Boston University</x:v>
      </x:c>
      <x:c r="E45" s="17" t="str">
        <x:v>Gold</x:v>
      </x:c>
      <x:c r="F45" s="17" t="n">
        <x:v>85</x:v>
      </x:c>
      <x:c r="G45" s="17" t="str">
        <x:v>Dec. 17, 2028</x:v>
      </x:c>
      <x:c r="H45" s="30" t="str">
        <x:v>https://reports.aashe.org/institutions/boston-university-ma/report/</x:v>
      </x:c>
      <x:c r="I45" s="30" t="str">
        <x:v>https://reports.aashe.org/institutions/boston-university-ma/report/2025-11-06/</x:v>
      </x:c>
      <x:c r="J45" s="30" t="str">
        <x:v>https://reports.aashe.org/institutions/participants-and-reports/</x:v>
      </x:c>
      <x:c r="K45" s="17" t="str">
        <x:v>Exact normalized institutional name match.</x:v>
      </x:c>
    </x:row>
    <x:row r="46">
      <x:c r="A46" s="17" t="n">
        <x:v>42</x:v>
      </x:c>
      <x:c r="B46" s="17" t="str">
        <x:v>Johns Hopkins University</x:v>
      </x:c>
      <x:c r="C46" s="17" t="str">
        <x:v>No current exact record</x:v>
      </x:c>
      <x:c r="D46" s="17" t="str"/>
      <x:c r="E46" s="17" t="str"/>
      <x:c r="F46" s="17"/>
      <x:c r="G46" s="17" t="str"/>
      <x:c r="H46" s="30" t="str"/>
      <x:c r="I46" s="30" t="str"/>
      <x:c r="J46" s="30" t="str">
        <x:v>https://reports.aashe.org/institutions/participants-and-reports/</x:v>
      </x:c>
      <x:c r="K46" s="17" t="str">
        <x:v>No exact institution-level match was found in the current AASHE participants and reports table.</x:v>
      </x:c>
    </x:row>
    <x:row r="47">
      <x:c r="A47" s="17" t="n">
        <x:v>43</x:v>
      </x:c>
      <x:c r="B47" s="17" t="str">
        <x:v>Massachusetts Institute of Technology (MIT)</x:v>
      </x:c>
      <x:c r="C47" s="17" t="str">
        <x:v>Verified alias</x:v>
      </x:c>
      <x:c r="D47" s="17" t="str">
        <x:v>Massachusetts Institute of Technology</x:v>
      </x:c>
      <x:c r="E47" s="17" t="str">
        <x:v>Gold</x:v>
      </x:c>
      <x:c r="F47" s="17" t="n">
        <x:v>85</x:v>
      </x:c>
      <x:c r="G47" s="17" t="str">
        <x:v>Oct. 15, 2028</x:v>
      </x:c>
      <x:c r="H47" s="30" t="str">
        <x:v>https://reports.aashe.org/institutions/massachusetts-institute-of-technology-ma/report/</x:v>
      </x:c>
      <x:c r="I47" s="30" t="str">
        <x:v>https://reports.aashe.org/institutions/massachusetts-institute-of-technology-ma/report/2025-07-23/</x:v>
      </x:c>
      <x:c r="J47" s="30" t="str">
        <x:v>https://reports.aashe.org/institutions/participants-and-reports/</x:v>
      </x:c>
      <x:c r="K47" s="17" t="str">
        <x:v>Alias checked as the same institution.</x:v>
      </x:c>
    </x:row>
    <x:row r="48">
      <x:c r="A48" s="17" t="n">
        <x:v>44</x:v>
      </x:c>
      <x:c r="B48" s="17" t="str">
        <x:v>University of Birmingham</x:v>
      </x:c>
      <x:c r="C48" s="17" t="str">
        <x:v>No current exact record</x:v>
      </x:c>
      <x:c r="D48" s="17" t="str"/>
      <x:c r="E48" s="17" t="str"/>
      <x:c r="F48" s="17"/>
      <x:c r="G48" s="17" t="str"/>
      <x:c r="H48" s="30" t="str"/>
      <x:c r="I48" s="30" t="str"/>
      <x:c r="J48" s="30" t="str">
        <x:v>https://reports.aashe.org/institutions/participants-and-reports/</x:v>
      </x:c>
      <x:c r="K48" s="17" t="str">
        <x:v>No exact institution-level match was found in the current AASHE participants and reports table.</x:v>
      </x:c>
    </x:row>
    <x:row r="49">
      <x:c r="A49" s="17" t="n">
        <x:v>45</x:v>
      </x:c>
      <x:c r="B49" s="17" t="str">
        <x:v>Université Paris-Saclay</x:v>
      </x:c>
      <x:c r="C49" s="17" t="str">
        <x:v>No current exact record</x:v>
      </x:c>
      <x:c r="D49" s="17" t="str"/>
      <x:c r="E49" s="17" t="str"/>
      <x:c r="F49" s="17"/>
      <x:c r="G49" s="17" t="str"/>
      <x:c r="H49" s="30" t="str"/>
      <x:c r="I49" s="30" t="str"/>
      <x:c r="J49" s="30" t="str">
        <x:v>https://reports.aashe.org/institutions/participants-and-reports/</x:v>
      </x:c>
      <x:c r="K49" s="17" t="str">
        <x:v>No exact institution-level match was found in the current AASHE participants and reports table.</x:v>
      </x:c>
    </x:row>
    <x:row r="50">
      <x:c r="A50" s="17" t="n">
        <x:v>46</x:v>
      </x:c>
      <x:c r="B50" s="17" t="str">
        <x:v>Universität Hamburg</x:v>
      </x:c>
      <x:c r="C50" s="17" t="str">
        <x:v>No current exact record</x:v>
      </x:c>
      <x:c r="D50" s="17" t="str"/>
      <x:c r="E50" s="17" t="str"/>
      <x:c r="F50" s="17"/>
      <x:c r="G50" s="17" t="str"/>
      <x:c r="H50" s="30" t="str"/>
      <x:c r="I50" s="30" t="str"/>
      <x:c r="J50" s="30" t="str">
        <x:v>https://reports.aashe.org/institutions/participants-and-reports/</x:v>
      </x:c>
      <x:c r="K50" s="17" t="str">
        <x:v>No exact institution-level match was found in the current AASHE participants and reports table.</x:v>
      </x:c>
    </x:row>
    <x:row r="51">
      <x:c r="A51" s="17" t="n">
        <x:v>47</x:v>
      </x:c>
      <x:c r="B51" s="17" t="str">
        <x:v>University College Dublin</x:v>
      </x:c>
      <x:c r="C51" s="17" t="str">
        <x:v>No current exact record</x:v>
      </x:c>
      <x:c r="D51" s="17" t="str"/>
      <x:c r="E51" s="17" t="str"/>
      <x:c r="F51" s="17"/>
      <x:c r="G51" s="17" t="str"/>
      <x:c r="H51" s="30" t="str"/>
      <x:c r="I51" s="30" t="str"/>
      <x:c r="J51" s="30" t="str">
        <x:v>https://reports.aashe.org/institutions/participants-and-reports/</x:v>
      </x:c>
      <x:c r="K51" s="17" t="str">
        <x:v>No exact institution-level match was found in the current AASHE participants and reports table.</x:v>
      </x:c>
    </x:row>
    <x:row r="52">
      <x:c r="A52" s="17" t="n">
        <x:v>48</x:v>
      </x:c>
      <x:c r="B52" s="17" t="str">
        <x:v>The University of Tokyo</x:v>
      </x:c>
      <x:c r="C52" s="17" t="str">
        <x:v>No current exact record</x:v>
      </x:c>
      <x:c r="D52" s="17" t="str"/>
      <x:c r="E52" s="17" t="str"/>
      <x:c r="F52" s="17"/>
      <x:c r="G52" s="17" t="str"/>
      <x:c r="H52" s="30" t="str"/>
      <x:c r="I52" s="30" t="str"/>
      <x:c r="J52" s="30" t="str">
        <x:v>https://reports.aashe.org/institutions/participants-and-reports/</x:v>
      </x:c>
      <x:c r="K52" s="17" t="str">
        <x:v>No exact institution-level match was found in the current AASHE participants and reports table.</x:v>
      </x:c>
    </x:row>
    <x:row r="53">
      <x:c r="A53" s="17" t="n">
        <x:v>49</x:v>
      </x:c>
      <x:c r="B53" s="17" t="str">
        <x:v>University of Exeter</x:v>
      </x:c>
      <x:c r="C53" s="17" t="str">
        <x:v>No current exact record</x:v>
      </x:c>
      <x:c r="D53" s="17" t="str"/>
      <x:c r="E53" s="17" t="str"/>
      <x:c r="F53" s="17"/>
      <x:c r="G53" s="17" t="str"/>
      <x:c r="H53" s="30" t="str"/>
      <x:c r="I53" s="30" t="str"/>
      <x:c r="J53" s="30" t="str">
        <x:v>https://reports.aashe.org/institutions/participants-and-reports/</x:v>
      </x:c>
      <x:c r="K53" s="17" t="str">
        <x:v>No exact institution-level match was found in the current AASHE participants and reports table.</x:v>
      </x:c>
    </x:row>
    <x:row r="54">
      <x:c r="A54" s="17" t="n">
        <x:v>50</x:v>
      </x:c>
      <x:c r="B54" s="17" t="str">
        <x:v>The University of Queensland</x:v>
      </x:c>
      <x:c r="C54" s="17" t="str">
        <x:v>No current exact record</x:v>
      </x:c>
      <x:c r="D54" s="17" t="str"/>
      <x:c r="E54" s="17" t="str"/>
      <x:c r="F54" s="17"/>
      <x:c r="G54" s="17" t="str"/>
      <x:c r="H54" s="30" t="str"/>
      <x:c r="I54" s="30" t="str"/>
      <x:c r="J54" s="30" t="str">
        <x:v>https://reports.aashe.org/institutions/participants-and-reports/</x:v>
      </x:c>
      <x:c r="K54" s="17" t="str">
        <x:v>No exact institution-level match was found in the current AASHE participants and reports table.</x:v>
      </x:c>
    </x:row>
    <x:row r="55">
      <x:c r="A55" s="17" t="n">
        <x:v>51</x:v>
      </x:c>
      <x:c r="B55" s="17" t="str">
        <x:v>University of Gothenburg</x:v>
      </x:c>
      <x:c r="C55" s="17" t="str">
        <x:v>No current exact record</x:v>
      </x:c>
      <x:c r="D55" s="17" t="str"/>
      <x:c r="E55" s="17" t="str"/>
      <x:c r="F55" s="17"/>
      <x:c r="G55" s="17" t="str"/>
      <x:c r="H55" s="30" t="str"/>
      <x:c r="I55" s="30" t="str"/>
      <x:c r="J55" s="30" t="str">
        <x:v>https://reports.aashe.org/institutions/participants-and-reports/</x:v>
      </x:c>
      <x:c r="K55" s="17" t="str">
        <x:v>No exact institution-level match was found in the current AASHE participants and reports table.</x:v>
      </x:c>
    </x:row>
    <x:row r="56">
      <x:c r="A56" s="17" t="n">
        <x:v>52</x:v>
      </x:c>
      <x:c r="B56" s="17" t="str">
        <x:v>Griffith University</x:v>
      </x:c>
      <x:c r="C56" s="17" t="str">
        <x:v>No current exact record</x:v>
      </x:c>
      <x:c r="D56" s="17" t="str"/>
      <x:c r="E56" s="17" t="str"/>
      <x:c r="F56" s="17"/>
      <x:c r="G56" s="17" t="str"/>
      <x:c r="H56" s="30" t="str"/>
      <x:c r="I56" s="30" t="str"/>
      <x:c r="J56" s="30" t="str">
        <x:v>https://reports.aashe.org/institutions/participants-and-reports/</x:v>
      </x:c>
      <x:c r="K56" s="17" t="str">
        <x:v>No exact institution-level match was found in the current AASHE participants and reports table.</x:v>
      </x:c>
    </x:row>
    <x:row r="57">
      <x:c r="A57" s="17" t="n">
        <x:v>53</x:v>
      </x:c>
      <x:c r="B57" s="17" t="str">
        <x:v>Western Sydney University</x:v>
      </x:c>
      <x:c r="C57" s="17" t="str">
        <x:v>No current exact record</x:v>
      </x:c>
      <x:c r="D57" s="17" t="str"/>
      <x:c r="E57" s="17" t="str"/>
      <x:c r="F57" s="17"/>
      <x:c r="G57" s="17" t="str"/>
      <x:c r="H57" s="30" t="str"/>
      <x:c r="I57" s="30" t="str"/>
      <x:c r="J57" s="30" t="str">
        <x:v>https://reports.aashe.org/institutions/participants-and-reports/</x:v>
      </x:c>
      <x:c r="K57" s="17" t="str">
        <x:v>No exact institution-level match was found in the current AASHE participants and reports table.</x:v>
      </x:c>
    </x:row>
    <x:row r="58">
      <x:c r="A58" s="17" t="n">
        <x:v>54</x:v>
      </x:c>
      <x:c r="B58" s="17" t="str">
        <x:v>Queen's University</x:v>
      </x:c>
      <x:c r="C58" s="17" t="str">
        <x:v>No current exact record</x:v>
      </x:c>
      <x:c r="D58" s="17" t="str"/>
      <x:c r="E58" s="17" t="str"/>
      <x:c r="F58" s="17"/>
      <x:c r="G58" s="17" t="str"/>
      <x:c r="H58" s="30" t="str"/>
      <x:c r="I58" s="30" t="str"/>
      <x:c r="J58" s="30" t="str">
        <x:v>https://reports.aashe.org/institutions/participants-and-reports/</x:v>
      </x:c>
      <x:c r="K58" s="17" t="str">
        <x:v>No exact institution-level match was found in the current AASHE participants and reports table.</x:v>
      </x:c>
    </x:row>
    <x:row r="59">
      <x:c r="A59" s="17" t="n">
        <x:v>55</x:v>
      </x:c>
      <x:c r="B59" s="17" t="str">
        <x:v>Universiti Sains Malaysia</x:v>
      </x:c>
      <x:c r="C59" s="17" t="str">
        <x:v>No current exact record</x:v>
      </x:c>
      <x:c r="D59" s="17" t="str"/>
      <x:c r="E59" s="17" t="str"/>
      <x:c r="F59" s="17"/>
      <x:c r="G59" s="17" t="str"/>
      <x:c r="H59" s="30" t="str"/>
      <x:c r="I59" s="30" t="str"/>
      <x:c r="J59" s="30" t="str">
        <x:v>https://reports.aashe.org/institutions/participants-and-reports/</x:v>
      </x:c>
      <x:c r="K59" s="17" t="str">
        <x:v>No exact institution-level match was found in the current AASHE participants and reports table.</x:v>
      </x:c>
    </x:row>
    <x:row r="60">
      <x:c r="A60" s="17" t="n">
        <x:v>56</x:v>
      </x:c>
      <x:c r="B60" s="17" t="str">
        <x:v>Hanyang University</x:v>
      </x:c>
      <x:c r="C60" s="17" t="str">
        <x:v>No current exact record</x:v>
      </x:c>
      <x:c r="D60" s="17" t="str"/>
      <x:c r="E60" s="17" t="str"/>
      <x:c r="F60" s="17"/>
      <x:c r="G60" s="17" t="str"/>
      <x:c r="H60" s="30" t="str"/>
      <x:c r="I60" s="30" t="str"/>
      <x:c r="J60" s="30" t="str">
        <x:v>https://reports.aashe.org/institutions/participants-and-reports/</x:v>
      </x:c>
      <x:c r="K60" s="17" t="str">
        <x:v>No exact institution-level match was found in the current AASHE participants and reports table.</x:v>
      </x:c>
    </x:row>
    <x:row r="61">
      <x:c r="A61" s="17" t="n">
        <x:v>57</x:v>
      </x:c>
      <x:c r="B61" s="17" t="str">
        <x:v>Hokkaido University</x:v>
      </x:c>
      <x:c r="C61" s="17" t="str">
        <x:v>No current exact record</x:v>
      </x:c>
      <x:c r="D61" s="17" t="str"/>
      <x:c r="E61" s="17" t="str"/>
      <x:c r="F61" s="17"/>
      <x:c r="G61" s="17" t="str"/>
      <x:c r="H61" s="30" t="str"/>
      <x:c r="I61" s="30" t="str"/>
      <x:c r="J61" s="30" t="str">
        <x:v>https://reports.aashe.org/institutions/participants-and-reports/</x:v>
      </x:c>
      <x:c r="K61" s="17" t="str">
        <x:v>No exact institution-level match was found in the current AASHE participants and reports table.</x:v>
      </x:c>
    </x:row>
    <x:row r="62">
      <x:c r="A62" s="17" t="n">
        <x:v>58</x:v>
      </x:c>
      <x:c r="B62" s="17" t="str">
        <x:v>Universiti Kebangsaan Malaysia</x:v>
      </x:c>
      <x:c r="C62" s="17" t="str">
        <x:v>No current exact record</x:v>
      </x:c>
      <x:c r="D62" s="17" t="str"/>
      <x:c r="E62" s="17" t="str"/>
      <x:c r="F62" s="17"/>
      <x:c r="G62" s="17" t="str"/>
      <x:c r="H62" s="30" t="str"/>
      <x:c r="I62" s="30" t="str"/>
      <x:c r="J62" s="30" t="str">
        <x:v>https://reports.aashe.org/institutions/participants-and-reports/</x:v>
      </x:c>
      <x:c r="K62" s="17" t="str">
        <x:v>No exact institution-level match was found in the current AASHE participants and reports table.</x:v>
      </x:c>
    </x:row>
    <x:row r="63">
      <x:c r="A63" s="17" t="n">
        <x:v>59</x:v>
      </x:c>
      <x:c r="B63" s="17" t="str">
        <x:v>Institut Agro</x:v>
      </x:c>
      <x:c r="C63" s="17" t="str">
        <x:v>No current exact record</x:v>
      </x:c>
      <x:c r="D63" s="17" t="str"/>
      <x:c r="E63" s="17" t="str"/>
      <x:c r="F63" s="17"/>
      <x:c r="G63" s="17" t="str"/>
      <x:c r="H63" s="30" t="str"/>
      <x:c r="I63" s="30" t="str"/>
      <x:c r="J63" s="30" t="str">
        <x:v>https://reports.aashe.org/institutions/participants-and-reports/</x:v>
      </x:c>
      <x:c r="K63" s="17" t="str">
        <x:v>No exact institution-level match was found in the current AASHE participants and reports table.</x:v>
      </x:c>
    </x:row>
    <x:row r="64">
      <x:c r="A64" s="17" t="n">
        <x:v>60</x:v>
      </x:c>
      <x:c r="B64" s="17" t="str">
        <x:v>National Taiwan University (NTU)</x:v>
      </x:c>
      <x:c r="C64" s="17" t="str">
        <x:v>No current exact record</x:v>
      </x:c>
      <x:c r="D64" s="17" t="str"/>
      <x:c r="E64" s="17" t="str"/>
      <x:c r="F64" s="17"/>
      <x:c r="G64" s="17" t="str"/>
      <x:c r="H64" s="30" t="str"/>
      <x:c r="I64" s="30" t="str"/>
      <x:c r="J64" s="30" t="str">
        <x:v>https://reports.aashe.org/institutions/participants-and-reports/</x:v>
      </x:c>
      <x:c r="K64" s="17" t="str">
        <x:v>No exact institution-level match was found in the current AASHE participants and reports table.</x:v>
      </x:c>
    </x:row>
    <x:row r="65">
      <x:c r="A65" s="17" t="n">
        <x:v>61</x:v>
      </x:c>
      <x:c r="B65" s="17" t="str">
        <x:v>University of Alberta</x:v>
      </x:c>
      <x:c r="C65" s="17" t="str">
        <x:v>Exact name</x:v>
      </x:c>
      <x:c r="D65" s="17" t="str">
        <x:v>University of Alberta</x:v>
      </x:c>
      <x:c r="E65" s="17" t="str">
        <x:v>Gold</x:v>
      </x:c>
      <x:c r="F65" s="17" t="n">
        <x:v>85</x:v>
      </x:c>
      <x:c r="G65" s="17" t="str">
        <x:v>March 11, 2029</x:v>
      </x:c>
      <x:c r="H65" s="30" t="str">
        <x:v>https://reports.aashe.org/institutions/university-of-alberta-ab/report/</x:v>
      </x:c>
      <x:c r="I65" s="30" t="str">
        <x:v>https://reports.aashe.org/institutions/university-of-alberta-ab/report/2025-11-06/</x:v>
      </x:c>
      <x:c r="J65" s="30" t="str">
        <x:v>https://reports.aashe.org/institutions/participants-and-reports/</x:v>
      </x:c>
      <x:c r="K65" s="17" t="str">
        <x:v>Exact normalized institutional name match.</x:v>
      </x:c>
    </x:row>
    <x:row r="66">
      <x:c r="A66" s="17" t="n">
        <x:v>62</x:v>
      </x:c>
      <x:c r="B66" s="17" t="str">
        <x:v>Korea University</x:v>
      </x:c>
      <x:c r="C66" s="17" t="str">
        <x:v>No current exact record</x:v>
      </x:c>
      <x:c r="D66" s="17" t="str"/>
      <x:c r="E66" s="17" t="str"/>
      <x:c r="F66" s="17"/>
      <x:c r="G66" s="17" t="str"/>
      <x:c r="H66" s="30" t="str"/>
      <x:c r="I66" s="30" t="str"/>
      <x:c r="J66" s="30" t="str">
        <x:v>https://reports.aashe.org/institutions/participants-and-reports/</x:v>
      </x:c>
      <x:c r="K66" s="17" t="str">
        <x:v>No exact institution-level match was found in the current AASHE participants and reports table.</x:v>
      </x:c>
    </x:row>
    <x:row r="67">
      <x:c r="A67" s="17" t="n">
        <x:v>63</x:v>
      </x:c>
      <x:c r="B67" s="17" t="str">
        <x:v>Universitas Airlangga</x:v>
      </x:c>
      <x:c r="C67" s="17" t="str">
        <x:v>No current exact record</x:v>
      </x:c>
      <x:c r="D67" s="17" t="str"/>
      <x:c r="E67" s="17" t="str"/>
      <x:c r="F67" s="17"/>
      <x:c r="G67" s="17" t="str"/>
      <x:c r="H67" s="30" t="str"/>
      <x:c r="I67" s="30" t="str"/>
      <x:c r="J67" s="30" t="str">
        <x:v>https://reports.aashe.org/institutions/participants-and-reports/</x:v>
      </x:c>
      <x:c r="K67" s="17" t="str">
        <x:v>No exact institution-level match was found in the current AASHE participants and reports table.</x:v>
      </x:c>
    </x:row>
    <x:row r="68">
      <x:c r="A68" s="17" t="n">
        <x:v>64</x:v>
      </x:c>
      <x:c r="B68" s="17" t="str">
        <x:v>Pusan National University</x:v>
      </x:c>
      <x:c r="C68" s="17" t="str">
        <x:v>No current exact record</x:v>
      </x:c>
      <x:c r="D68" s="17" t="str"/>
      <x:c r="E68" s="17" t="str"/>
      <x:c r="F68" s="17"/>
      <x:c r="G68" s="17" t="str"/>
      <x:c r="H68" s="30" t="str"/>
      <x:c r="I68" s="30" t="str"/>
      <x:c r="J68" s="30" t="str">
        <x:v>https://reports.aashe.org/institutions/participants-and-reports/</x:v>
      </x:c>
      <x:c r="K68" s="17" t="str">
        <x:v>No exact institution-level match was found in the current AASHE participants and reports table.</x:v>
      </x:c>
    </x:row>
    <x:row r="69">
      <x:c r="A69" s="17" t="n">
        <x:v>65</x:v>
      </x:c>
      <x:c r="B69" s="17" t="str">
        <x:v>University of Tasmania</x:v>
      </x:c>
      <x:c r="C69" s="17" t="str">
        <x:v>No current exact record</x:v>
      </x:c>
      <x:c r="D69" s="17" t="str"/>
      <x:c r="E69" s="17" t="str"/>
      <x:c r="F69" s="17"/>
      <x:c r="G69" s="17" t="str"/>
      <x:c r="H69" s="30" t="str"/>
      <x:c r="I69" s="30" t="str"/>
      <x:c r="J69" s="30" t="str">
        <x:v>https://reports.aashe.org/institutions/participants-and-reports/</x:v>
      </x:c>
      <x:c r="K69" s="17" t="str">
        <x:v>No exact institution-level match was found in the current AASHE participants and reports table.</x:v>
      </x:c>
    </x:row>
    <x:row r="70">
      <x:c r="A70" s="17" t="n">
        <x:v>66</x:v>
      </x:c>
      <x:c r="B70" s="17" t="str">
        <x:v>McMaster University</x:v>
      </x:c>
      <x:c r="C70" s="17" t="str">
        <x:v>Exact name</x:v>
      </x:c>
      <x:c r="D70" s="17" t="str">
        <x:v>McMaster University</x:v>
      </x:c>
      <x:c r="E70" s="17" t="str">
        <x:v>Gold</x:v>
      </x:c>
      <x:c r="F70" s="17" t="n">
        <x:v>85</x:v>
      </x:c>
      <x:c r="G70" s="17" t="str">
        <x:v>June 17, 2028</x:v>
      </x:c>
      <x:c r="H70" s="30" t="str">
        <x:v>https://reports.aashe.org/institutions/mcmaster-university-on/report/</x:v>
      </x:c>
      <x:c r="I70" s="30" t="str">
        <x:v>https://reports.aashe.org/institutions/mcmaster-university-on/report/2025-03-14/</x:v>
      </x:c>
      <x:c r="J70" s="30" t="str">
        <x:v>https://reports.aashe.org/institutions/participants-and-reports/</x:v>
      </x:c>
      <x:c r="K70" s="17" t="str">
        <x:v>Exact normalized institutional name match.</x:v>
      </x:c>
    </x:row>
    <x:row r="71">
      <x:c r="A71" s="17" t="n">
        <x:v>67</x:v>
      </x:c>
      <x:c r="B71" s="17" t="str">
        <x:v>Chulalongkorn University</x:v>
      </x:c>
      <x:c r="C71" s="17" t="str">
        <x:v>No current exact record</x:v>
      </x:c>
      <x:c r="D71" s="17" t="str"/>
      <x:c r="E71" s="17" t="str"/>
      <x:c r="F71" s="17"/>
      <x:c r="G71" s="17" t="str"/>
      <x:c r="H71" s="30" t="str"/>
      <x:c r="I71" s="30" t="str"/>
      <x:c r="J71" s="30" t="str">
        <x:v>https://reports.aashe.org/institutions/participants-and-reports/</x:v>
      </x:c>
      <x:c r="K71" s="17" t="str">
        <x:v>No exact institution-level match was found in the current AASHE participants and reports table.</x:v>
      </x:c>
    </x:row>
    <x:row r="72">
      <x:c r="A72" s="17" t="n">
        <x:v>68</x:v>
      </x:c>
      <x:c r="B72" s="17" t="str">
        <x:v>Kyungpook National University (KNU)</x:v>
      </x:c>
      <x:c r="C72" s="17" t="str">
        <x:v>No current exact record</x:v>
      </x:c>
      <x:c r="D72" s="17" t="str"/>
      <x:c r="E72" s="17" t="str"/>
      <x:c r="F72" s="17"/>
      <x:c r="G72" s="17" t="str"/>
      <x:c r="H72" s="30" t="str"/>
      <x:c r="I72" s="30" t="str"/>
      <x:c r="J72" s="30" t="str">
        <x:v>https://reports.aashe.org/institutions/participants-and-reports/</x:v>
      </x:c>
      <x:c r="K72" s="17" t="str">
        <x:v>No exact institution-level match was found in the current AASHE participants and reports table.</x:v>
      </x:c>
    </x:row>
    <x:row r="73">
      <x:c r="A73" s="17" t="n">
        <x:v>69</x:v>
      </x:c>
      <x:c r="B73" s="17" t="str">
        <x:v>The Hong Kong University of Science and Technology</x:v>
      </x:c>
      <x:c r="C73" s="17" t="str">
        <x:v>No current exact record</x:v>
      </x:c>
      <x:c r="D73" s="17" t="str"/>
      <x:c r="E73" s="17" t="str"/>
      <x:c r="F73" s="17"/>
      <x:c r="G73" s="17" t="str"/>
      <x:c r="H73" s="30" t="str"/>
      <x:c r="I73" s="30" t="str"/>
      <x:c r="J73" s="30" t="str">
        <x:v>https://reports.aashe.org/institutions/participants-and-reports/</x:v>
      </x:c>
      <x:c r="K73" s="17" t="str">
        <x:v>No exact institution-level match was found in the current AASHE participants and reports table.</x:v>
      </x:c>
    </x:row>
    <x:row r="74">
      <x:c r="A74" s="17" t="n">
        <x:v>70</x:v>
      </x:c>
      <x:c r="B74" s="17" t="str">
        <x:v>Lovely Professional University</x:v>
      </x:c>
      <x:c r="C74" s="17" t="str">
        <x:v>No current exact record</x:v>
      </x:c>
      <x:c r="D74" s="17" t="str"/>
      <x:c r="E74" s="17" t="str"/>
      <x:c r="F74" s="17"/>
      <x:c r="G74" s="17" t="str"/>
      <x:c r="H74" s="30" t="str"/>
      <x:c r="I74" s="30" t="str"/>
      <x:c r="J74" s="30" t="str">
        <x:v>https://reports.aashe.org/institutions/participants-and-reports/</x:v>
      </x:c>
      <x:c r="K74" s="17" t="str">
        <x:v>No exact institution-level match was found in the current AASHE participants and reports table.</x:v>
      </x:c>
    </x:row>
    <x:row r="75">
      <x:c r="A75" s="17" t="n">
        <x:v>71</x:v>
      </x:c>
      <x:c r="B75" s="17" t="str">
        <x:v>University of Malaya</x:v>
      </x:c>
      <x:c r="C75" s="17" t="str">
        <x:v>No current exact record</x:v>
      </x:c>
      <x:c r="D75" s="17" t="str"/>
      <x:c r="E75" s="17" t="str"/>
      <x:c r="F75" s="17"/>
      <x:c r="G75" s="17" t="str"/>
      <x:c r="H75" s="30" t="str"/>
      <x:c r="I75" s="30" t="str"/>
      <x:c r="J75" s="30" t="str">
        <x:v>https://reports.aashe.org/institutions/participants-and-reports/</x:v>
      </x:c>
      <x:c r="K75" s="17" t="str">
        <x:v>No exact institution-level match was found in the current AASHE participants and reports table.</x:v>
      </x:c>
    </x:row>
    <x:row r="76">
      <x:c r="A76" s="17" t="n">
        <x:v>72</x:v>
      </x:c>
      <x:c r="B76" s="17" t="str">
        <x:v>Aalborg University</x:v>
      </x:c>
      <x:c r="C76" s="17" t="str">
        <x:v>No current exact record</x:v>
      </x:c>
      <x:c r="D76" s="17" t="str"/>
      <x:c r="E76" s="17" t="str"/>
      <x:c r="F76" s="17"/>
      <x:c r="G76" s="17" t="str"/>
      <x:c r="H76" s="30" t="str"/>
      <x:c r="I76" s="30" t="str"/>
      <x:c r="J76" s="30" t="str">
        <x:v>https://reports.aashe.org/institutions/participants-and-reports/</x:v>
      </x:c>
      <x:c r="K76" s="17" t="str">
        <x:v>No exact institution-level match was found in the current AASHE participants and reports table.</x:v>
      </x:c>
    </x:row>
    <x:row r="77">
      <x:c r="A77" s="17" t="n">
        <x:v>73</x:v>
      </x:c>
      <x:c r="B77" s="17" t="str">
        <x:v>Kyung Hee University</x:v>
      </x:c>
      <x:c r="C77" s="17" t="str">
        <x:v>No current exact record</x:v>
      </x:c>
      <x:c r="D77" s="17" t="str"/>
      <x:c r="E77" s="17" t="str"/>
      <x:c r="F77" s="17"/>
      <x:c r="G77" s="17" t="str"/>
      <x:c r="H77" s="30" t="str"/>
      <x:c r="I77" s="30" t="str"/>
      <x:c r="J77" s="30" t="str">
        <x:v>https://reports.aashe.org/institutions/participants-and-reports/</x:v>
      </x:c>
      <x:c r="K77" s="17" t="str">
        <x:v>No exact institution-level match was found in the current AASHE participants and reports table.</x:v>
      </x:c>
    </x:row>
    <x:row r="78">
      <x:c r="A78" s="17" t="n">
        <x:v>74</x:v>
      </x:c>
      <x:c r="B78" s="17" t="str">
        <x:v>University of Victoria</x:v>
      </x:c>
      <x:c r="C78" s="17" t="str">
        <x:v>Exact name</x:v>
      </x:c>
      <x:c r="D78" s="17" t="str">
        <x:v>University of Victoria</x:v>
      </x:c>
      <x:c r="E78" s="17" t="str">
        <x:v>Platinum</x:v>
      </x:c>
      <x:c r="F78" s="17" t="n">
        <x:v>100</x:v>
      </x:c>
      <x:c r="G78" s="17" t="str">
        <x:v>March 11, 2027</x:v>
      </x:c>
      <x:c r="H78" s="30" t="str">
        <x:v>https://reports.aashe.org/institutions/university-of-victoria-bc/report/</x:v>
      </x:c>
      <x:c r="I78" s="30" t="str">
        <x:v>https://reports.aashe.org/institutions/university-of-victoria-bc/report/2023-12-13/</x:v>
      </x:c>
      <x:c r="J78" s="30" t="str">
        <x:v>https://reports.aashe.org/institutions/participants-and-reports/</x:v>
      </x:c>
      <x:c r="K78" s="17" t="str">
        <x:v>Exact normalized institutional name match.</x:v>
      </x:c>
    </x:row>
    <x:row r="79">
      <x:c r="A79" s="17" t="n">
        <x:v>76</x:v>
      </x:c>
      <x:c r="B79" s="17" t="str">
        <x:v>Central Queensland University</x:v>
      </x:c>
      <x:c r="C79" s="17" t="str">
        <x:v>No current exact record</x:v>
      </x:c>
      <x:c r="D79" s="17" t="str"/>
      <x:c r="E79" s="17" t="str"/>
      <x:c r="F79" s="17"/>
      <x:c r="G79" s="17" t="str"/>
      <x:c r="H79" s="30" t="str"/>
      <x:c r="I79" s="30" t="str"/>
      <x:c r="J79" s="30" t="str">
        <x:v>https://reports.aashe.org/institutions/participants-and-reports/</x:v>
      </x:c>
      <x:c r="K79" s="17" t="str">
        <x:v>No exact institution-level match was found in the current AASHE participants and reports table.</x:v>
      </x:c>
    </x:row>
    <x:row r="80">
      <x:c r="A80" s="17" t="n">
        <x:v>77</x:v>
      </x:c>
      <x:c r="B80" s="17" t="str">
        <x:v>University of Newcastle</x:v>
      </x:c>
      <x:c r="C80" s="17" t="str">
        <x:v>No current exact record</x:v>
      </x:c>
      <x:c r="D80" s="17" t="str"/>
      <x:c r="E80" s="17" t="str"/>
      <x:c r="F80" s="17"/>
      <x:c r="G80" s="17" t="str"/>
      <x:c r="H80" s="30" t="str"/>
      <x:c r="I80" s="30" t="str"/>
      <x:c r="J80" s="30" t="str">
        <x:v>https://reports.aashe.org/institutions/participants-and-reports/</x:v>
      </x:c>
      <x:c r="K80" s="17" t="str">
        <x:v>No exact institution-level match was found in the current AASHE participants and reports table.</x:v>
      </x:c>
    </x:row>
    <x:row r="81">
      <x:c r="A81" s="17" t="n">
        <x:v>78</x:v>
      </x:c>
      <x:c r="B81" s="17" t="str">
        <x:v>Northumbria University</x:v>
      </x:c>
      <x:c r="C81" s="17" t="str">
        <x:v>No current exact record</x:v>
      </x:c>
      <x:c r="D81" s="17" t="str"/>
      <x:c r="E81" s="17" t="str"/>
      <x:c r="F81" s="17"/>
      <x:c r="G81" s="17" t="str"/>
      <x:c r="H81" s="30" t="str"/>
      <x:c r="I81" s="30" t="str"/>
      <x:c r="J81" s="30" t="str">
        <x:v>https://reports.aashe.org/institutions/participants-and-reports/</x:v>
      </x:c>
      <x:c r="K81" s="17" t="str">
        <x:v>No exact institution-level match was found in the current AASHE participants and reports table.</x:v>
      </x:c>
    </x:row>
    <x:row r="82">
      <x:c r="A82" s="17" t="n">
        <x:v>79</x:v>
      </x:c>
      <x:c r="B82" s="17" t="str">
        <x:v>University of Indonesia</x:v>
      </x:c>
      <x:c r="C82" s="17" t="str">
        <x:v>No current exact record</x:v>
      </x:c>
      <x:c r="D82" s="17" t="str"/>
      <x:c r="E82" s="17" t="str"/>
      <x:c r="F82" s="17"/>
      <x:c r="G82" s="17" t="str"/>
      <x:c r="H82" s="30" t="str"/>
      <x:c r="I82" s="30" t="str"/>
      <x:c r="J82" s="30" t="str">
        <x:v>https://reports.aashe.org/institutions/participants-and-reports/</x:v>
      </x:c>
      <x:c r="K82" s="17" t="str">
        <x:v>No exact institution-level match was found in the current AASHE participants and reports table.</x:v>
      </x:c>
    </x:row>
    <x:row r="83">
      <x:c r="A83" s="17" t="n">
        <x:v>80</x:v>
      </x:c>
      <x:c r="B83" s="17" t="str">
        <x:v>An-Najah National University</x:v>
      </x:c>
      <x:c r="C83" s="17" t="str">
        <x:v>No current exact record</x:v>
      </x:c>
      <x:c r="D83" s="17" t="str"/>
      <x:c r="E83" s="17" t="str"/>
      <x:c r="F83" s="17"/>
      <x:c r="G83" s="17" t="str"/>
      <x:c r="H83" s="30" t="str"/>
      <x:c r="I83" s="30" t="str"/>
      <x:c r="J83" s="30" t="str">
        <x:v>https://reports.aashe.org/institutions/participants-and-reports/</x:v>
      </x:c>
      <x:c r="K83" s="17" t="str">
        <x:v>No exact institution-level match was found in the current AASHE participants and reports table.</x:v>
      </x:c>
    </x:row>
    <x:row r="84">
      <x:c r="A84" s="17" t="n">
        <x:v>81</x:v>
      </x:c>
      <x:c r="B84" s="17" t="str">
        <x:v>Arizona State University (Tempe)</x:v>
      </x:c>
      <x:c r="C84" s="17" t="str">
        <x:v>Scope review required</x:v>
      </x:c>
      <x:c r="D84" s="17" t="str">
        <x:v>Arizona State University</x:v>
      </x:c>
      <x:c r="E84" s="17" t="str">
        <x:v>Platinum</x:v>
      </x:c>
      <x:c r="F84" s="17" t="n">
        <x:v>100</x:v>
      </x:c>
      <x:c r="G84" s="17" t="str">
        <x:v>July 14, 2029</x:v>
      </x:c>
      <x:c r="H84" s="30" t="str">
        <x:v>https://reports.aashe.org/institutions/arizona-state-university-az/report/</x:v>
      </x:c>
      <x:c r="I84" s="30" t="str">
        <x:v>https://reports.aashe.org/institutions/arizona-state-university-az/report/2026-04-30/</x:v>
      </x:c>
      <x:c r="J84" s="30" t="str">
        <x:v>https://reports.aashe.org/institutions/participants-and-reports/</x:v>
      </x:c>
      <x:c r="K84" s="17" t="str">
        <x:v>THE identifies the Tempe campus, while the AASHE record is labeled Arizona State University without an explicit campus boundary. Do not assume identical scope without checking the report boundary.</x:v>
      </x:c>
    </x:row>
    <x:row r="85">
      <x:c r="A85" s="17" t="n">
        <x:v>82</x:v>
      </x:c>
      <x:c r="B85" s="17" t="str">
        <x:v>King Faisal University</x:v>
      </x:c>
      <x:c r="C85" s="17" t="str">
        <x:v>No current exact record</x:v>
      </x:c>
      <x:c r="D85" s="17" t="str"/>
      <x:c r="E85" s="17" t="str"/>
      <x:c r="F85" s="17"/>
      <x:c r="G85" s="17" t="str"/>
      <x:c r="H85" s="30" t="str"/>
      <x:c r="I85" s="30" t="str"/>
      <x:c r="J85" s="30" t="str">
        <x:v>https://reports.aashe.org/institutions/participants-and-reports/</x:v>
      </x:c>
      <x:c r="K85" s="17" t="str">
        <x:v>No exact institution-level match was found in the current AASHE participants and reports table.</x:v>
      </x:c>
    </x:row>
    <x:row r="86">
      <x:c r="A86" s="17" t="n">
        <x:v>83</x:v>
      </x:c>
      <x:c r="B86" s="17" t="str">
        <x:v>Flinders University</x:v>
      </x:c>
      <x:c r="C86" s="17" t="str">
        <x:v>Exact name</x:v>
      </x:c>
      <x:c r="D86" s="17" t="str">
        <x:v>Flinders University</x:v>
      </x:c>
      <x:c r="E86" s="17" t="str">
        <x:v>Gold</x:v>
      </x:c>
      <x:c r="F86" s="17" t="n">
        <x:v>85</x:v>
      </x:c>
      <x:c r="G86" s="17" t="str">
        <x:v>Aug. 19, 2027</x:v>
      </x:c>
      <x:c r="H86" s="30" t="str">
        <x:v>https://reports.aashe.org/institutions/flinders-university/report/</x:v>
      </x:c>
      <x:c r="I86" s="30" t="str">
        <x:v>https://reports.aashe.org/institutions/flinders-university/report/2024-07-09/</x:v>
      </x:c>
      <x:c r="J86" s="30" t="str">
        <x:v>https://reports.aashe.org/institutions/participants-and-reports/</x:v>
      </x:c>
      <x:c r="K86" s="17" t="str">
        <x:v>Exact normalized institutional name match.</x:v>
      </x:c>
    </x:row>
    <x:row r="87">
      <x:c r="A87" s="17" t="n">
        <x:v>84</x:v>
      </x:c>
      <x:c r="B87" s="17" t="str">
        <x:v>Amrita Vishwa Vidyapeetham</x:v>
      </x:c>
      <x:c r="C87" s="17" t="str">
        <x:v>No current exact record</x:v>
      </x:c>
      <x:c r="D87" s="17" t="str"/>
      <x:c r="E87" s="17" t="str"/>
      <x:c r="F87" s="17"/>
      <x:c r="G87" s="17" t="str"/>
      <x:c r="H87" s="30" t="str"/>
      <x:c r="I87" s="30" t="str"/>
      <x:c r="J87" s="30" t="str">
        <x:v>https://reports.aashe.org/institutions/participants-and-reports/</x:v>
      </x:c>
      <x:c r="K87" s="17" t="str">
        <x:v>No exact institution-level match was found in the current AASHE participants and reports table.</x:v>
      </x:c>
    </x:row>
    <x:row r="88">
      <x:c r="A88" s="17" t="n">
        <x:v>85</x:v>
      </x:c>
      <x:c r="B88" s="17" t="str">
        <x:v>Queen's University Belfast</x:v>
      </x:c>
      <x:c r="C88" s="17" t="str">
        <x:v>Exact name</x:v>
      </x:c>
      <x:c r="D88" s="17" t="str">
        <x:v>Queen's University Belfast</x:v>
      </x:c>
      <x:c r="E88" s="17" t="str">
        <x:v>Gold</x:v>
      </x:c>
      <x:c r="F88" s="17" t="n">
        <x:v>85</x:v>
      </x:c>
      <x:c r="G88" s="17" t="str">
        <x:v>July 7, 2028</x:v>
      </x:c>
      <x:c r="H88" s="30" t="str">
        <x:v>https://reports.aashe.org/institutions/queens-university-belfast/report/</x:v>
      </x:c>
      <x:c r="I88" s="30" t="str">
        <x:v>https://reports.aashe.org/institutions/queens-university-belfast/report/2025-05-26/</x:v>
      </x:c>
      <x:c r="J88" s="30" t="str">
        <x:v>https://reports.aashe.org/institutions/participants-and-reports/</x:v>
      </x:c>
      <x:c r="K88" s="17" t="str">
        <x:v>Exact normalized institutional name match.</x:v>
      </x:c>
    </x:row>
    <x:row r="89">
      <x:c r="A89" s="17" t="n">
        <x:v>86</x:v>
      </x:c>
      <x:c r="B89" s="17" t="str">
        <x:v>Near East University</x:v>
      </x:c>
      <x:c r="C89" s="17" t="str">
        <x:v>No current exact record</x:v>
      </x:c>
      <x:c r="D89" s="17" t="str"/>
      <x:c r="E89" s="17" t="str"/>
      <x:c r="F89" s="17"/>
      <x:c r="G89" s="17" t="str"/>
      <x:c r="H89" s="30" t="str"/>
      <x:c r="I89" s="30" t="str"/>
      <x:c r="J89" s="30" t="str">
        <x:v>https://reports.aashe.org/institutions/participants-and-reports/</x:v>
      </x:c>
      <x:c r="K89" s="17" t="str">
        <x:v>No exact institution-level match was found in the current AASHE participants and reports table.</x:v>
      </x:c>
    </x:row>
    <x:row r="90">
      <x:c r="A90" s="17" t="n">
        <x:v>87</x:v>
      </x:c>
      <x:c r="B90" s="17" t="str">
        <x:v>University of Johannesburg</x:v>
      </x:c>
      <x:c r="C90" s="17" t="str">
        <x:v>No current exact record</x:v>
      </x:c>
      <x:c r="D90" s="17" t="str"/>
      <x:c r="E90" s="17" t="str"/>
      <x:c r="F90" s="17"/>
      <x:c r="G90" s="17" t="str"/>
      <x:c r="H90" s="30" t="str"/>
      <x:c r="I90" s="30" t="str"/>
      <x:c r="J90" s="30" t="str">
        <x:v>https://reports.aashe.org/institutions/participants-and-reports/</x:v>
      </x:c>
      <x:c r="K90" s="17" t="str">
        <x:v>No exact institution-level match was found in the current AASHE participants and reports table.</x:v>
      </x:c>
    </x:row>
    <x:row r="91">
      <x:c r="A91" s="17" t="n">
        <x:v>88</x:v>
      </x:c>
      <x:c r="B91" s="17" t="str">
        <x:v>Universitas Gadjah Mada</x:v>
      </x:c>
      <x:c r="C91" s="17" t="str">
        <x:v>No current exact record</x:v>
      </x:c>
      <x:c r="D91" s="17" t="str"/>
      <x:c r="E91" s="17" t="str"/>
      <x:c r="F91" s="17"/>
      <x:c r="G91" s="17" t="str"/>
      <x:c r="H91" s="30" t="str"/>
      <x:c r="I91" s="30" t="str"/>
      <x:c r="J91" s="30" t="str">
        <x:v>https://reports.aashe.org/institutions/participants-and-reports/</x:v>
      </x:c>
      <x:c r="K91" s="17" t="str">
        <x:v>No exact institution-level match was found in the current AASHE participants and reports table.</x:v>
      </x:c>
    </x:row>
    <x:row r="92">
      <x:c r="A92" s="17" t="n">
        <x:v>89</x:v>
      </x:c>
      <x:c r="B92" s="17" t="str">
        <x:v>University of Wollongong</x:v>
      </x:c>
      <x:c r="C92" s="17" t="str">
        <x:v>No current exact record</x:v>
      </x:c>
      <x:c r="D92" s="17" t="str"/>
      <x:c r="E92" s="17" t="str"/>
      <x:c r="F92" s="17"/>
      <x:c r="G92" s="17" t="str"/>
      <x:c r="H92" s="30" t="str"/>
      <x:c r="I92" s="30" t="str"/>
      <x:c r="J92" s="30" t="str">
        <x:v>https://reports.aashe.org/institutions/participants-and-reports/</x:v>
      </x:c>
      <x:c r="K92" s="17" t="str">
        <x:v>No exact institution-level match was found in the current AASHE participants and reports table.</x:v>
      </x:c>
    </x:row>
    <x:row r="93">
      <x:c r="A93" s="17" t="n">
        <x:v>90</x:v>
      </x:c>
      <x:c r="B93" s="17" t="str">
        <x:v>Yonsei University (Seoul campus)</x:v>
      </x:c>
      <x:c r="C93" s="17" t="str">
        <x:v>No current exact record</x:v>
      </x:c>
      <x:c r="D93" s="17" t="str"/>
      <x:c r="E93" s="17" t="str"/>
      <x:c r="F93" s="17"/>
      <x:c r="G93" s="17" t="str"/>
      <x:c r="H93" s="30" t="str"/>
      <x:c r="I93" s="30" t="str"/>
      <x:c r="J93" s="30" t="str">
        <x:v>https://reports.aashe.org/institutions/participants-and-reports/</x:v>
      </x:c>
      <x:c r="K93" s="17" t="str">
        <x:v>No exact institution-level match was found in the current AASHE participants and reports table.</x:v>
      </x:c>
    </x:row>
    <x:row r="94">
      <x:c r="A94" s="17" t="n">
        <x:v>91</x:v>
      </x:c>
      <x:c r="B94" s="17" t="str">
        <x:v>Sunway University</x:v>
      </x:c>
      <x:c r="C94" s="17" t="str">
        <x:v>No current exact record</x:v>
      </x:c>
      <x:c r="D94" s="17" t="str"/>
      <x:c r="E94" s="17" t="str"/>
      <x:c r="F94" s="17"/>
      <x:c r="G94" s="17" t="str"/>
      <x:c r="H94" s="30" t="str"/>
      <x:c r="I94" s="30" t="str"/>
      <x:c r="J94" s="30" t="str">
        <x:v>https://reports.aashe.org/institutions/participants-and-reports/</x:v>
      </x:c>
      <x:c r="K94" s="17" t="str">
        <x:v>No exact institution-level match was found in the current AASHE participants and reports table.</x:v>
      </x:c>
    </x:row>
    <x:row r="95">
      <x:c r="A95" s="17" t="n">
        <x:v>92</x:v>
      </x:c>
      <x:c r="B95" s="17" t="str">
        <x:v>Thammasat University</x:v>
      </x:c>
      <x:c r="C95" s="17" t="str">
        <x:v>No current exact record</x:v>
      </x:c>
      <x:c r="D95" s="17" t="str"/>
      <x:c r="E95" s="17" t="str"/>
      <x:c r="F95" s="17"/>
      <x:c r="G95" s="17" t="str"/>
      <x:c r="H95" s="30" t="str"/>
      <x:c r="I95" s="30" t="str"/>
      <x:c r="J95" s="30" t="str">
        <x:v>https://reports.aashe.org/institutions/participants-and-reports/</x:v>
      </x:c>
      <x:c r="K95" s="17" t="str">
        <x:v>No exact institution-level match was found in the current AASHE participants and reports table.</x:v>
      </x:c>
    </x:row>
    <x:row r="96">
      <x:c r="A96" s="17" t="n">
        <x:v>93</x:v>
      </x:c>
      <x:c r="B96" s="17" t="str">
        <x:v>Walailak University</x:v>
      </x:c>
      <x:c r="C96" s="17" t="str">
        <x:v>No current exact record</x:v>
      </x:c>
      <x:c r="D96" s="17" t="str"/>
      <x:c r="E96" s="17" t="str"/>
      <x:c r="F96" s="17"/>
      <x:c r="G96" s="17" t="str"/>
      <x:c r="H96" s="30" t="str"/>
      <x:c r="I96" s="30" t="str"/>
      <x:c r="J96" s="30" t="str">
        <x:v>https://reports.aashe.org/institutions/participants-and-reports/</x:v>
      </x:c>
      <x:c r="K96" s="17" t="str">
        <x:v>No exact institution-level match was found in the current AASHE participants and reports table.</x:v>
      </x:c>
    </x:row>
    <x:row r="97">
      <x:c r="A97" s="17" t="n">
        <x:v>94</x:v>
      </x:c>
      <x:c r="B97" s="17" t="str">
        <x:v>King Abdullah University of Science and Technology (KAUST)</x:v>
      </x:c>
      <x:c r="C97" s="17" t="str">
        <x:v>No current exact record</x:v>
      </x:c>
      <x:c r="D97" s="17" t="str"/>
      <x:c r="E97" s="17" t="str"/>
      <x:c r="F97" s="17"/>
      <x:c r="G97" s="17" t="str"/>
      <x:c r="H97" s="30" t="str"/>
      <x:c r="I97" s="30" t="str"/>
      <x:c r="J97" s="30" t="str">
        <x:v>https://reports.aashe.org/institutions/participants-and-reports/</x:v>
      </x:c>
      <x:c r="K97" s="17" t="str">
        <x:v>No exact institution-level match was found in the current AASHE participants and reports table.</x:v>
      </x:c>
    </x:row>
    <x:row r="98">
      <x:c r="A98" s="17" t="n">
        <x:v>95</x:v>
      </x:c>
      <x:c r="B98" s="17" t="str">
        <x:v>Chiang Mai University</x:v>
      </x:c>
      <x:c r="C98" s="17" t="str">
        <x:v>No current exact record</x:v>
      </x:c>
      <x:c r="D98" s="17" t="str"/>
      <x:c r="E98" s="17" t="str"/>
      <x:c r="F98" s="17"/>
      <x:c r="G98" s="17" t="str"/>
      <x:c r="H98" s="30" t="str"/>
      <x:c r="I98" s="30" t="str"/>
      <x:c r="J98" s="30" t="str">
        <x:v>https://reports.aashe.org/institutions/participants-and-reports/</x:v>
      </x:c>
      <x:c r="K98" s="17" t="str">
        <x:v>No exact institution-level match was found in the current AASHE participants and reports table.</x:v>
      </x:c>
    </x:row>
    <x:row r="99">
      <x:c r="A99" s="17" t="n">
        <x:v>96</x:v>
      </x:c>
      <x:c r="B99" s="17" t="str">
        <x:v>Jeonbuk National University</x:v>
      </x:c>
      <x:c r="C99" s="17" t="str">
        <x:v>No current exact record</x:v>
      </x:c>
      <x:c r="D99" s="17" t="str"/>
      <x:c r="E99" s="17" t="str"/>
      <x:c r="F99" s="17"/>
      <x:c r="G99" s="17" t="str"/>
      <x:c r="H99" s="30" t="str"/>
      <x:c r="I99" s="30" t="str"/>
      <x:c r="J99" s="30" t="str">
        <x:v>https://reports.aashe.org/institutions/participants-and-reports/</x:v>
      </x:c>
      <x:c r="K99" s="17" t="str">
        <x:v>No exact institution-level match was found in the current AASHE participants and reports table.</x:v>
      </x:c>
    </x:row>
    <x:row r="100">
      <x:c r="A100" s="17" t="n">
        <x:v>97</x:v>
      </x:c>
      <x:c r="B100" s="17" t="str">
        <x:v>National Yang Ming Chiao Tung University (NYCU Taiwan)</x:v>
      </x:c>
      <x:c r="C100" s="17" t="str">
        <x:v>No current exact record</x:v>
      </x:c>
      <x:c r="D100" s="17" t="str"/>
      <x:c r="E100" s="17" t="str"/>
      <x:c r="F100" s="17"/>
      <x:c r="G100" s="17" t="str"/>
      <x:c r="H100" s="30" t="str"/>
      <x:c r="I100" s="30" t="str"/>
      <x:c r="J100" s="30" t="str">
        <x:v>https://reports.aashe.org/institutions/participants-and-reports/</x:v>
      </x:c>
      <x:c r="K100" s="17" t="str">
        <x:v>No exact institution-level match was found in the current AASHE participants and reports table.</x:v>
      </x:c>
    </x:row>
  </x:sheetData>
  <x:mergeCells>
    <x:mergeCell ref="A1:K1"/>
    <x:mergeCell ref="A2:K2"/>
  </x:mergeCells>
  <x:conditionalFormatting sqref="C5:C100">
    <x:cfRule type="containsText" dxfId="4" priority="1" operator="containsText" text="Exact"/>
    <x:cfRule type="containsText" dxfId="5" priority="2" operator="containsText" text="Verified alias"/>
    <x:cfRule type="containsText" dxfId="6" priority="3" operator="containsText" text="review"/>
    <x:cfRule type="containsText" dxfId="7" priority="4" operator="containsText" text="Campus-only"/>
  </x:conditionalFormatting>
  <x:pageMargins left="0.7" right="0.7" top="0.75" bottom="0.75" header="0.3" footer="0.3"/>
  <x:tableParts count="1">
    <x:tablePart xmlns:r="http://schemas.openxmlformats.org/officeDocument/2006/relationships" r:id="Ra9d9da477f05494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7" hidden="0" customWidth="1"/>
    <x:col min="2" max="2" width="35" hidden="0" customWidth="1"/>
    <x:col min="3" max="3" width="17" hidden="0" customWidth="1"/>
    <x:col min="4" max="4" width="23" hidden="0" customWidth="1"/>
    <x:col min="5" max="5" width="44" hidden="0" customWidth="1"/>
    <x:col min="6" max="6" width="24" hidden="0" customWidth="1"/>
    <x:col min="7" max="7" width="16" hidden="0" customWidth="1"/>
    <x:col min="8" max="8" width="16" hidden="0" customWidth="1"/>
    <x:col min="9" max="9" width="16" hidden="0" customWidth="1"/>
    <x:col min="10" max="10" width="18" hidden="0" customWidth="1"/>
    <x:col min="11" max="11" width="55" hidden="0" customWidth="1"/>
    <x:col min="12" max="12" width="52" hidden="0" customWidth="1"/>
    <x:col min="13" max="13" width="50" hidden="0" customWidth="1"/>
    <x:col min="14" max="14" width="42" hidden="0" customWidth="1"/>
    <x:col min="15" max="15" width="12" hidden="0" customWidth="1"/>
    <x:col min="16" max="16" width="42" hidden="0" customWidth="1"/>
    <x:col min="17" max="17" width="64" hidden="0" customWidth="1"/>
  </x:cols>
  <x:sheetData>
    <x:row r="1" ht="28" customHeight="1">
      <x:c r="A1" s="3" t="str">
        <x:v>UN PRME Signatories and SIP Reports</x:v>
      </x:c>
      <x:c r="B1" s="3"/>
      <x:c r="C1" s="3"/>
      <x:c r="D1" s="3"/>
      <x:c r="E1" s="3"/>
      <x:c r="F1" s="3"/>
      <x:c r="G1" s="3"/>
      <x:c r="H1" s="3"/>
      <x:c r="I1" s="3"/>
      <x:c r="J1" s="3"/>
      <x:c r="K1" s="3"/>
      <x:c r="L1" s="3"/>
      <x:c r="M1" s="3"/>
      <x:c r="N1" s="3"/>
      <x:c r="O1" s="3"/>
      <x:c r="P1" s="3"/>
      <x:c r="Q1" s="3"/>
    </x:row>
    <x:row r="2" ht="36" customHeight="1">
      <x:c r="A2" s="7" t="str">
        <x:v>Verified institution- or school-level signatories and Sharing Information on Progress reports dated 2022-2026. School-level signatory scope is retained explicitly.</x:v>
      </x:c>
      <x:c r="B2" s="7"/>
      <x:c r="C2" s="7"/>
      <x:c r="D2" s="7"/>
      <x:c r="E2" s="7"/>
      <x:c r="F2" s="7"/>
      <x:c r="G2" s="7"/>
      <x:c r="H2" s="7"/>
      <x:c r="I2" s="7"/>
      <x:c r="J2" s="7"/>
      <x:c r="K2" s="7"/>
      <x:c r="L2" s="7"/>
      <x:c r="M2" s="7"/>
      <x:c r="N2" s="7"/>
      <x:c r="O2" s="7"/>
      <x:c r="P2" s="7"/>
      <x:c r="Q2" s="7"/>
    </x:row>
    <x:row r="4" ht="36" customHeight="1">
      <x:c r="A4" s="13" t="str">
        <x:v>ID</x:v>
      </x:c>
      <x:c r="B4" s="13" t="str">
        <x:v>Candidate Institution</x:v>
      </x:c>
      <x:c r="C4" s="13" t="str">
        <x:v>Country</x:v>
      </x:c>
      <x:c r="D4" s="13" t="str">
        <x:v>PRME Match Status</x:v>
      </x:c>
      <x:c r="E4" s="13" t="str">
        <x:v>Matched Signatory</x:v>
      </x:c>
      <x:c r="F4" s="13" t="str">
        <x:v>PRME Status</x:v>
      </x:c>
      <x:c r="G4" s="13" t="str">
        <x:v>Joined Date</x:v>
      </x:c>
      <x:c r="H4" s="13" t="str">
        <x:v>Recent SIP Count (2022-2026)</x:v>
      </x:c>
      <x:c r="I4" s="13" t="str">
        <x:v>Latest SIP Report Year</x:v>
      </x:c>
      <x:c r="J4" s="13" t="str">
        <x:v>Latest SIP Upload Date</x:v>
      </x:c>
      <x:c r="K4" s="13" t="str">
        <x:v>Latest SIP Title</x:v>
      </x:c>
      <x:c r="L4" s="13" t="str">
        <x:v>Latest SIP URL</x:v>
      </x:c>
      <x:c r="M4" s="13" t="str">
        <x:v>Signatory URL</x:v>
      </x:c>
      <x:c r="N4" s="13" t="str">
        <x:v>Source URL</x:v>
      </x:c>
      <x:c r="O4" s="13" t="str">
        <x:v>Match Score</x:v>
      </x:c>
      <x:c r="P4" s="13" t="str">
        <x:v>Matched Alias</x:v>
      </x:c>
      <x:c r="Q4" s="13" t="str">
        <x:v>Scope / Match Note</x:v>
      </x:c>
    </x:row>
    <x:row r="5">
      <x:c r="A5" s="17" t="n">
        <x:v>1</x:v>
      </x:c>
      <x:c r="B5" s="17" t="str">
        <x:v>Lund University</x:v>
      </x:c>
      <x:c r="C5" s="17" t="str">
        <x:v>Sweden</x:v>
      </x:c>
      <x:c r="D5" s="17" t="str">
        <x:v>Verified - Verified alias</x:v>
      </x:c>
      <x:c r="E5" s="17" t="str">
        <x:v>Lund University School of Economics and Management (LUSEM)</x:v>
      </x:c>
      <x:c r="F5" s="17" t="str">
        <x:v>Communicating Signatory</x:v>
      </x:c>
      <x:c r="G5" s="17" t="str">
        <x:v>Mar 28 2012</x:v>
      </x:c>
      <x:c r="H5" s="38" t="n">
        <x:v>3</x:v>
      </x:c>
      <x:c r="I5" s="38" t="n">
        <x:v>2025</x:v>
      </x:c>
      <x:c r="J5" s="17" t="str">
        <x:v>2025-10-30</x:v>
      </x:c>
      <x:c r="K5" s="17" t="str">
        <x:v>Lund University School of Economics and Management (LUSEM) - SIP 2025</x:v>
      </x:c>
      <x:c r="L5" s="30" t="str">
        <x:v>https://commons-static.s3.amazonaws.com/reports/3af0af21718ad75722b7f7dc2428e7f3f9c10432/Lund+University+School+of+Economics+and+Management+(LUSEM)+-+SIP+2025.pdf</x:v>
      </x:c>
      <x:c r="M5" s="30" t="str">
        <x:v>https://www.unprme.org/lund-university-school-of-economics-and-management-lusem/</x:v>
      </x:c>
      <x:c r="N5" s="30" t="str">
        <x:v>https://www.unprme.org/search/</x:v>
      </x:c>
      <x:c r="O5" s="39" t="n">
        <x:v>1</x:v>
      </x:c>
      <x:c r="P5" s="17" t="str">
        <x:v>Lund University School of Economics and Management</x:v>
      </x:c>
      <x:c r="Q5" s="17" t="str">
        <x:v>Verified against the current UN PRME signatory directory; school-level scope is not promoted to the entire university.</x:v>
      </x:c>
    </x:row>
    <x:row r="6">
      <x:c r="A6" s="17" t="n">
        <x:v>2</x:v>
      </x:c>
      <x:c r="B6" s="17" t="str">
        <x:v>University of Toronto</x:v>
      </x:c>
      <x:c r="C6" s="17" t="str">
        <x:v>Canada</x:v>
      </x:c>
      <x:c r="D6" s="17" t="str">
        <x:v>Verified - Verified alias</x:v>
      </x:c>
      <x:c r="E6" s="17" t="str">
        <x:v>Rotman School of Management, University of Toronto</x:v>
      </x:c>
      <x:c r="F6" s="17" t="str">
        <x:v>Communicating Signatory</x:v>
      </x:c>
      <x:c r="G6" s="17" t="str">
        <x:v>May 07 2021</x:v>
      </x:c>
      <x:c r="H6" s="38" t="n">
        <x:v>0</x:v>
      </x:c>
      <x:c r="I6" s="38"/>
      <x:c r="J6" s="17" t="str"/>
      <x:c r="K6" s="17" t="str"/>
      <x:c r="L6" s="30" t="str"/>
      <x:c r="M6" s="30" t="str">
        <x:v>https://www.unprme.org/rotman-school-of-management-university-of-toronto/</x:v>
      </x:c>
      <x:c r="N6" s="30" t="str">
        <x:v>https://www.unprme.org/search/</x:v>
      </x:c>
      <x:c r="O6" s="39" t="n">
        <x:v>1</x:v>
      </x:c>
      <x:c r="P6" s="17" t="str">
        <x:v>Rotman School of Management, University of Toronto</x:v>
      </x:c>
      <x:c r="Q6" s="17" t="str">
        <x:v>Verified against the current UN PRME signatory directory; school-level scope is not promoted to the entire university.</x:v>
      </x:c>
    </x:row>
    <x:row r="7">
      <x:c r="A7" s="17" t="n">
        <x:v>3</x:v>
      </x:c>
      <x:c r="B7" s="17" t="str">
        <x:v>UCL</x:v>
      </x:c>
      <x:c r="C7" s="17" t="str">
        <x:v>United Kingdom</x:v>
      </x:c>
      <x:c r="D7" s="17" t="str">
        <x:v>No verified match</x:v>
      </x:c>
      <x:c r="E7" s="17" t="str"/>
      <x:c r="F7" s="17" t="str"/>
      <x:c r="G7" s="17" t="str"/>
      <x:c r="H7" s="38"/>
      <x:c r="I7" s="38"/>
      <x:c r="J7" s="17" t="str"/>
      <x:c r="K7" s="17" t="str"/>
      <x:c r="L7" s="30" t="str"/>
      <x:c r="M7" s="30" t="str"/>
      <x:c r="N7" s="30" t="str">
        <x:v>https://www.unprme.org/search/</x:v>
      </x:c>
      <x:c r="O7" s="39"/>
      <x:c r="P7" s="17" t="str"/>
      <x:c r="Q7" s="17" t="str">
        <x:v>No reliable signatory match</x:v>
      </x:c>
    </x:row>
    <x:row r="8">
      <x:c r="A8" s="17" t="n">
        <x:v>4</x:v>
      </x:c>
      <x:c r="B8" s="17" t="str">
        <x:v>The University of Edinburgh</x:v>
      </x:c>
      <x:c r="C8" s="17" t="str">
        <x:v>United Kingdom</x:v>
      </x:c>
      <x:c r="D8" s="17" t="str">
        <x:v>Verified - Verified alias</x:v>
      </x:c>
      <x:c r="E8" s="17" t="str">
        <x:v>University of Edinburgh Business School</x:v>
      </x:c>
      <x:c r="F8" s="17" t="str">
        <x:v>Communicating Signatory</x:v>
      </x:c>
      <x:c r="G8" s="17" t="str">
        <x:v>Nov 18 2015</x:v>
      </x:c>
      <x:c r="H8" s="38" t="n">
        <x:v>3</x:v>
      </x:c>
      <x:c r="I8" s="38" t="n">
        <x:v>2025</x:v>
      </x:c>
      <x:c r="J8" s="17" t="str">
        <x:v>2025-09-23</x:v>
      </x:c>
      <x:c r="K8" s="17" t="str">
        <x:v>University of Edinburgh Business School - 2025 - SIP Report</x:v>
      </x:c>
      <x:c r="L8" s="30" t="str">
        <x:v>https://commons-static.s3.amazonaws.com/reports/2dc292b22ff8108e482f774eb6872f3e6a7be786/University+of+Edinburgh+Business+School+-+SIP+2025.pdf</x:v>
      </x:c>
      <x:c r="M8" s="30" t="str">
        <x:v>https://www.unprme.org/university-of-edinburgh-business-school/</x:v>
      </x:c>
      <x:c r="N8" s="30" t="str">
        <x:v>https://www.unprme.org/search/</x:v>
      </x:c>
      <x:c r="O8" s="39" t="n">
        <x:v>1</x:v>
      </x:c>
      <x:c r="P8" s="17" t="str">
        <x:v>University of Edinburgh Business School</x:v>
      </x:c>
      <x:c r="Q8" s="17" t="str">
        <x:v>Verified against the current UN PRME signatory directory; school-level scope is not promoted to the entire university.</x:v>
      </x:c>
    </x:row>
    <x:row r="9">
      <x:c r="A9" s="17" t="n">
        <x:v>5</x:v>
      </x:c>
      <x:c r="B9" s="17" t="str">
        <x:v>University of British Columbia</x:v>
      </x:c>
      <x:c r="C9" s="17" t="str">
        <x:v>Canada</x:v>
      </x:c>
      <x:c r="D9" s="17" t="str">
        <x:v>No verified match</x:v>
      </x:c>
      <x:c r="E9" s="17" t="str"/>
      <x:c r="F9" s="17" t="str"/>
      <x:c r="G9" s="17" t="str"/>
      <x:c r="H9" s="38"/>
      <x:c r="I9" s="38"/>
      <x:c r="J9" s="17" t="str"/>
      <x:c r="K9" s="17" t="str"/>
      <x:c r="L9" s="30" t="str"/>
      <x:c r="M9" s="30" t="str"/>
      <x:c r="N9" s="30" t="str">
        <x:v>https://www.unprme.org/search/</x:v>
      </x:c>
      <x:c r="O9" s="39"/>
      <x:c r="P9" s="17" t="str"/>
      <x:c r="Q9" s="17" t="str">
        <x:v>Manual review candidate only: University of Northern British Columbia</x:v>
      </x:c>
    </x:row>
    <x:row r="10">
      <x:c r="A10" s="17" t="n">
        <x:v>6</x:v>
      </x:c>
      <x:c r="B10" s="17" t="str">
        <x:v>The London School of Economics and Political Science (LSE)</x:v>
      </x:c>
      <x:c r="C10" s="17" t="str">
        <x:v>United Kingdom</x:v>
      </x:c>
      <x:c r="D10" s="17" t="str">
        <x:v>No verified match</x:v>
      </x:c>
      <x:c r="E10" s="17" t="str"/>
      <x:c r="F10" s="17" t="str"/>
      <x:c r="G10" s="17" t="str"/>
      <x:c r="H10" s="38"/>
      <x:c r="I10" s="38"/>
      <x:c r="J10" s="17" t="str"/>
      <x:c r="K10" s="17" t="str"/>
      <x:c r="L10" s="30" t="str"/>
      <x:c r="M10" s="30" t="str"/>
      <x:c r="N10" s="30" t="str">
        <x:v>https://www.unprme.org/search/</x:v>
      </x:c>
      <x:c r="O10" s="39"/>
      <x:c r="P10" s="17" t="str"/>
      <x:c r="Q10" s="17" t="str">
        <x:v>No reliable signatory match</x:v>
      </x:c>
    </x:row>
    <x:row r="11">
      <x:c r="A11" s="17" t="n">
        <x:v>7</x:v>
      </x:c>
      <x:c r="B11" s="17" t="str">
        <x:v>Imperial College London</x:v>
      </x:c>
      <x:c r="C11" s="17" t="str">
        <x:v>United Kingdom</x:v>
      </x:c>
      <x:c r="D11" s="17" t="str">
        <x:v>No verified match</x:v>
      </x:c>
      <x:c r="E11" s="17" t="str"/>
      <x:c r="F11" s="17" t="str"/>
      <x:c r="G11" s="17" t="str"/>
      <x:c r="H11" s="38"/>
      <x:c r="I11" s="38"/>
      <x:c r="J11" s="17" t="str"/>
      <x:c r="K11" s="17" t="str"/>
      <x:c r="L11" s="30" t="str"/>
      <x:c r="M11" s="30" t="str"/>
      <x:c r="N11" s="30" t="str">
        <x:v>https://www.unprme.org/search/</x:v>
      </x:c>
      <x:c r="O11" s="39"/>
      <x:c r="P11" s="17" t="str"/>
      <x:c r="Q11" s="17" t="str">
        <x:v>No reliable signatory match</x:v>
      </x:c>
    </x:row>
    <x:row r="12">
      <x:c r="A12" s="17" t="n">
        <x:v>8</x:v>
      </x:c>
      <x:c r="B12" s="17" t="str">
        <x:v>The University of New South Wales (UNSW Sydney)</x:v>
      </x:c>
      <x:c r="C12" s="17" t="str">
        <x:v>Australia</x:v>
      </x:c>
      <x:c r="D12" s="17" t="str">
        <x:v>Verified - Verified alias</x:v>
      </x:c>
      <x:c r="E12" s="17" t="str">
        <x:v>UNSW Business School</x:v>
      </x:c>
      <x:c r="F12" s="17" t="str">
        <x:v>Non Communicating Signatory</x:v>
      </x:c>
      <x:c r="G12" s="17" t="str">
        <x:v>Aug 24 2009</x:v>
      </x:c>
      <x:c r="H12" s="38" t="n">
        <x:v>1</x:v>
      </x:c>
      <x:c r="I12" s="38" t="n">
        <x:v>2024</x:v>
      </x:c>
      <x:c r="J12" s="17" t="str">
        <x:v>2024-10-29</x:v>
      </x:c>
      <x:c r="K12" s="17" t="str">
        <x:v>UNSW Business School - 2024 - SIP Report</x:v>
      </x:c>
      <x:c r="L12" s="30" t="str">
        <x:v>https://commons-static.s3.amazonaws.com/reports/8d6f9131366dac0c298ee725e6577d6e0a54e832/UNSW+Business+School+-+SIP+2024.pdf</x:v>
      </x:c>
      <x:c r="M12" s="30" t="str">
        <x:v>https://www.unprme.org/unsw-business-school/</x:v>
      </x:c>
      <x:c r="N12" s="30" t="str">
        <x:v>https://www.unprme.org/search/</x:v>
      </x:c>
      <x:c r="O12" s="39" t="n">
        <x:v>1</x:v>
      </x:c>
      <x:c r="P12" s="17" t="str">
        <x:v>UNSW Business School</x:v>
      </x:c>
      <x:c r="Q12" s="17" t="str">
        <x:v>Verified against the current UN PRME signatory directory; school-level scope is not promoted to the entire university.</x:v>
      </x:c>
    </x:row>
    <x:row r="13">
      <x:c r="A13" s="17" t="n">
        <x:v>9</x:v>
      </x:c>
      <x:c r="B13" s="17" t="str">
        <x:v>McGill University</x:v>
      </x:c>
      <x:c r="C13" s="17" t="str">
        <x:v>Canada</x:v>
      </x:c>
      <x:c r="D13" s="17" t="str">
        <x:v>Verified - Verified alias</x:v>
      </x:c>
      <x:c r="E13" s="17" t="str">
        <x:v>Desautels Faculty of Management, McGill University</x:v>
      </x:c>
      <x:c r="F13" s="17" t="str">
        <x:v>Communicating Signatory</x:v>
      </x:c>
      <x:c r="G13" s="17" t="str">
        <x:v>Jul 10 2017</x:v>
      </x:c>
      <x:c r="H13" s="38" t="n">
        <x:v>0</x:v>
      </x:c>
      <x:c r="I13" s="38"/>
      <x:c r="J13" s="17" t="str"/>
      <x:c r="K13" s="17" t="str"/>
      <x:c r="L13" s="30" t="str"/>
      <x:c r="M13" s="30" t="str">
        <x:v>https://www.unprme.org/desautels-faculty-of-management-mc-gill-university/</x:v>
      </x:c>
      <x:c r="N13" s="30" t="str">
        <x:v>https://www.unprme.org/search/</x:v>
      </x:c>
      <x:c r="O13" s="39" t="n">
        <x:v>1</x:v>
      </x:c>
      <x:c r="P13" s="17" t="str">
        <x:v>Desautels Faculty of Management, McGill University</x:v>
      </x:c>
      <x:c r="Q13" s="17" t="str">
        <x:v>Verified against the current UN PRME signatory directory; school-level scope is not promoted to the entire university.</x:v>
      </x:c>
    </x:row>
    <x:row r="14">
      <x:c r="A14" s="17" t="n">
        <x:v>10</x:v>
      </x:c>
      <x:c r="B14" s="17" t="str">
        <x:v>The University of Manchester</x:v>
      </x:c>
      <x:c r="C14" s="17" t="str">
        <x:v>United Kingdom</x:v>
      </x:c>
      <x:c r="D14" s="17" t="str">
        <x:v>Verified - Verified alias</x:v>
      </x:c>
      <x:c r="E14" s="17" t="str">
        <x:v>Alliance Manchester Business School</x:v>
      </x:c>
      <x:c r="F14" s="17" t="str">
        <x:v>Communicating Signatory</x:v>
      </x:c>
      <x:c r="G14" s="17" t="str">
        <x:v>Jul 25 2019</x:v>
      </x:c>
      <x:c r="H14" s="38" t="n">
        <x:v>2</x:v>
      </x:c>
      <x:c r="I14" s="38" t="n">
        <x:v>2025</x:v>
      </x:c>
      <x:c r="J14" s="17" t="str">
        <x:v>2025-12-10</x:v>
      </x:c>
      <x:c r="K14" s="17" t="str">
        <x:v>Alliance Manchester Business School - SIP 2025</x:v>
      </x:c>
      <x:c r="L14" s="30" t="str">
        <x:v>https://commons-static.s3.amazonaws.com/reports/2817850c98d05a2bfe8023ee026d996ef515a85d/Alliance+Manchester+Business+School+-+SIP+2025.pdf</x:v>
      </x:c>
      <x:c r="M14" s="30" t="str">
        <x:v>https://www.unprme.org/alliance-manchester-business-school/</x:v>
      </x:c>
      <x:c r="N14" s="30" t="str">
        <x:v>https://www.unprme.org/search/</x:v>
      </x:c>
      <x:c r="O14" s="39" t="n">
        <x:v>1</x:v>
      </x:c>
      <x:c r="P14" s="17" t="str">
        <x:v>Alliance Manchester Business School</x:v>
      </x:c>
      <x:c r="Q14" s="17" t="str">
        <x:v>Verified against the current UN PRME signatory directory; school-level scope is not promoted to the entire university.</x:v>
      </x:c>
    </x:row>
    <x:row r="15">
      <x:c r="A15" s="17" t="n">
        <x:v>11</x:v>
      </x:c>
      <x:c r="B15" s="17" t="str">
        <x:v>ETH Zurich</x:v>
      </x:c>
      <x:c r="C15" s="17" t="str">
        <x:v>Switzerland</x:v>
      </x:c>
      <x:c r="D15" s="17" t="str">
        <x:v>No verified match</x:v>
      </x:c>
      <x:c r="E15" s="17" t="str"/>
      <x:c r="F15" s="17" t="str"/>
      <x:c r="G15" s="17" t="str"/>
      <x:c r="H15" s="38"/>
      <x:c r="I15" s="38"/>
      <x:c r="J15" s="17" t="str"/>
      <x:c r="K15" s="17" t="str"/>
      <x:c r="L15" s="30" t="str"/>
      <x:c r="M15" s="30" t="str"/>
      <x:c r="N15" s="30" t="str">
        <x:v>https://www.unprme.org/search/</x:v>
      </x:c>
      <x:c r="O15" s="39"/>
      <x:c r="P15" s="17" t="str"/>
      <x:c r="Q15" s="17" t="str">
        <x:v>No reliable signatory match</x:v>
      </x:c>
    </x:row>
    <x:row r="16">
      <x:c r="A16" s="17" t="n">
        <x:v>12</x:v>
      </x:c>
      <x:c r="B16" s="17" t="str">
        <x:v>The University of Melbourne</x:v>
      </x:c>
      <x:c r="C16" s="17" t="str">
        <x:v>Australia</x:v>
      </x:c>
      <x:c r="D16" s="17" t="str">
        <x:v>Verified - Verified alias</x:v>
      </x:c>
      <x:c r="E16" s="17" t="str">
        <x:v>Faculty of Business &amp; Economics and Melbourne Business School</x:v>
      </x:c>
      <x:c r="F16" s="17" t="str">
        <x:v>Communicating Signatory</x:v>
      </x:c>
      <x:c r="G16" s="17" t="str">
        <x:v>Nov 14 2019</x:v>
      </x:c>
      <x:c r="H16" s="38" t="n">
        <x:v>2</x:v>
      </x:c>
      <x:c r="I16" s="38" t="n">
        <x:v>2025</x:v>
      </x:c>
      <x:c r="J16" s="17" t="str">
        <x:v>2025-07-22</x:v>
      </x:c>
      <x:c r="K16" s="17" t="str">
        <x:v>Faculty of Business &amp; Economics and Melbourne Business School - 2025 - SIP Report</x:v>
      </x:c>
      <x:c r="L16" s="30" t="str">
        <x:v>https://commons-static.s3.amazonaws.com/reports/732c0a1fc174dbd3f549df2e96a5dae45900b9d0/Faculty+of+Business+&amp;+Economics+and+Melbourne+Business+School+-+SIP+2025.pdf</x:v>
      </x:c>
      <x:c r="M16" s="30" t="str">
        <x:v>https://www.unprme.org/faculty-of-business-economics-and-melbourne-business-school/</x:v>
      </x:c>
      <x:c r="N16" s="30" t="str">
        <x:v>https://www.unprme.org/search/</x:v>
      </x:c>
      <x:c r="O16" s="39" t="n">
        <x:v>0.96</x:v>
      </x:c>
      <x:c r="P16" s="17" t="str">
        <x:v>Melbourne Business School</x:v>
      </x:c>
      <x:c r="Q16" s="17" t="str">
        <x:v>Verified against the current UN PRME signatory directory; school-level scope is not promoted to the entire university.</x:v>
      </x:c>
    </x:row>
    <x:row r="17">
      <x:c r="A17" s="17" t="n">
        <x:v>13</x:v>
      </x:c>
      <x:c r="B17" s="17" t="str">
        <x:v>University of California, Berkeley (UCB)</x:v>
      </x:c>
      <x:c r="C17" s="17" t="str">
        <x:v>United States</x:v>
      </x:c>
      <x:c r="D17" s="17" t="str">
        <x:v>Verified - Verified alias</x:v>
      </x:c>
      <x:c r="E17" s="17" t="str">
        <x:v>Haas School of Business</x:v>
      </x:c>
      <x:c r="F17" s="17" t="str">
        <x:v>Communicating Signatory</x:v>
      </x:c>
      <x:c r="G17" s="17" t="str">
        <x:v>Jun 04 2012</x:v>
      </x:c>
      <x:c r="H17" s="38" t="n">
        <x:v>2</x:v>
      </x:c>
      <x:c r="I17" s="38" t="n">
        <x:v>2025</x:v>
      </x:c>
      <x:c r="J17" s="17" t="str">
        <x:v>2025-09-26</x:v>
      </x:c>
      <x:c r="K17" s="17" t="str">
        <x:v>Haas School of Business - 2025 - SIP Report</x:v>
      </x:c>
      <x:c r="L17" s="30" t="str">
        <x:v>https://commons-static.s3.amazonaws.com/reports/5a73b747ec74bdd97d5f05bf1ea48d0707e87e50/Haas+School+of+Business+-+SIP+2025.pdf</x:v>
      </x:c>
      <x:c r="M17" s="30" t="str">
        <x:v>https://www.unprme.org/haas-school-of-business/</x:v>
      </x:c>
      <x:c r="N17" s="30" t="str">
        <x:v>https://www.unprme.org/search/</x:v>
      </x:c>
      <x:c r="O17" s="39" t="n">
        <x:v>1</x:v>
      </x:c>
      <x:c r="P17" s="17" t="str">
        <x:v>Haas School of Business</x:v>
      </x:c>
      <x:c r="Q17" s="17" t="str">
        <x:v>Verified against the current UN PRME signatory directory; school-level scope is not promoted to the entire university.</x:v>
      </x:c>
    </x:row>
    <x:row r="18">
      <x:c r="A18" s="17" t="n">
        <x:v>14</x:v>
      </x:c>
      <x:c r="B18" s="17" t="str">
        <x:v>Stanford University</x:v>
      </x:c>
      <x:c r="C18" s="17" t="str">
        <x:v>United States</x:v>
      </x:c>
      <x:c r="D18" s="17" t="str">
        <x:v>No verified match</x:v>
      </x:c>
      <x:c r="E18" s="17" t="str"/>
      <x:c r="F18" s="17" t="str"/>
      <x:c r="G18" s="17" t="str"/>
      <x:c r="H18" s="38"/>
      <x:c r="I18" s="38"/>
      <x:c r="J18" s="17" t="str"/>
      <x:c r="K18" s="17" t="str"/>
      <x:c r="L18" s="30" t="str"/>
      <x:c r="M18" s="30" t="str"/>
      <x:c r="N18" s="30" t="str">
        <x:v>https://www.unprme.org/search/</x:v>
      </x:c>
      <x:c r="O18" s="39"/>
      <x:c r="P18" s="17" t="str"/>
      <x:c r="Q18" s="17" t="str">
        <x:v>No reliable signatory match</x:v>
      </x:c>
    </x:row>
    <x:row r="19">
      <x:c r="A19" s="17" t="n">
        <x:v>15</x:v>
      </x:c>
      <x:c r="B19" s="17" t="str">
        <x:v>University of Oxford</x:v>
      </x:c>
      <x:c r="C19" s="17" t="str">
        <x:v>United Kingdom</x:v>
      </x:c>
      <x:c r="D19" s="17" t="str">
        <x:v>No verified match</x:v>
      </x:c>
      <x:c r="E19" s="17" t="str"/>
      <x:c r="F19" s="17" t="str"/>
      <x:c r="G19" s="17" t="str"/>
      <x:c r="H19" s="38"/>
      <x:c r="I19" s="38"/>
      <x:c r="J19" s="17" t="str"/>
      <x:c r="K19" s="17" t="str"/>
      <x:c r="L19" s="30" t="str"/>
      <x:c r="M19" s="30" t="str"/>
      <x:c r="N19" s="30" t="str">
        <x:v>https://www.unprme.org/search/</x:v>
      </x:c>
      <x:c r="O19" s="39"/>
      <x:c r="P19" s="17" t="str"/>
      <x:c r="Q19" s="17" t="str">
        <x:v>Manual review candidate only: University of Salford</x:v>
      </x:c>
    </x:row>
    <x:row r="20">
      <x:c r="A20" s="17" t="n">
        <x:v>16</x:v>
      </x:c>
      <x:c r="B20" s="17" t="str">
        <x:v>The University of Sydney</x:v>
      </x:c>
      <x:c r="C20" s="17" t="str">
        <x:v>Australia</x:v>
      </x:c>
      <x:c r="D20" s="17" t="str">
        <x:v>Verified - Verified alias</x:v>
      </x:c>
      <x:c r="E20" s="17" t="str">
        <x:v>The University of Sydney Business School</x:v>
      </x:c>
      <x:c r="F20" s="17" t="str">
        <x:v>Communicating Signatory</x:v>
      </x:c>
      <x:c r="G20" s="17" t="str">
        <x:v>Feb 08 2016</x:v>
      </x:c>
      <x:c r="H20" s="38" t="n">
        <x:v>3</x:v>
      </x:c>
      <x:c r="I20" s="38" t="n">
        <x:v>2025</x:v>
      </x:c>
      <x:c r="J20" s="17" t="str">
        <x:v>2025-09-23</x:v>
      </x:c>
      <x:c r="K20" s="17" t="str">
        <x:v>The University of Sydney Business School - 2025 - Sip Report</x:v>
      </x:c>
      <x:c r="L20" s="30" t="str">
        <x:v>https://commons-static.s3.amazonaws.com/reports/3bb18d9ab531def40a51e637a236689460f8d373/The+University+of+Sydney+Business+School+-+SIP+2025.pdf</x:v>
      </x:c>
      <x:c r="M20" s="30" t="str">
        <x:v>https://www.unprme.org/the-university-of-sydney-business-school/</x:v>
      </x:c>
      <x:c r="N20" s="30" t="str">
        <x:v>https://www.unprme.org/search/</x:v>
      </x:c>
      <x:c r="O20" s="39" t="n">
        <x:v>1</x:v>
      </x:c>
      <x:c r="P20" s="17" t="str">
        <x:v>The University of Sydney Business School</x:v>
      </x:c>
      <x:c r="Q20" s="17" t="str">
        <x:v>Verified against the current UN PRME signatory directory; school-level scope is not promoted to the entire university.</x:v>
      </x:c>
    </x:row>
    <x:row r="21">
      <x:c r="A21" s="17" t="n">
        <x:v>17</x:v>
      </x:c>
      <x:c r="B21" s="17" t="str">
        <x:v>Australian National University (ANU)</x:v>
      </x:c>
      <x:c r="C21" s="17" t="str">
        <x:v>Australia</x:v>
      </x:c>
      <x:c r="D21" s="17" t="str">
        <x:v>No verified match</x:v>
      </x:c>
      <x:c r="E21" s="17" t="str"/>
      <x:c r="F21" s="17" t="str"/>
      <x:c r="G21" s="17" t="str"/>
      <x:c r="H21" s="38"/>
      <x:c r="I21" s="38"/>
      <x:c r="J21" s="17" t="str"/>
      <x:c r="K21" s="17" t="str"/>
      <x:c r="L21" s="30" t="str"/>
      <x:c r="M21" s="30" t="str"/>
      <x:c r="N21" s="30" t="str">
        <x:v>https://www.unprme.org/search/</x:v>
      </x:c>
      <x:c r="O21" s="39"/>
      <x:c r="P21" s="17" t="str"/>
      <x:c r="Q21" s="17" t="str">
        <x:v>No reliable signatory match</x:v>
      </x:c>
    </x:row>
    <x:row r="22">
      <x:c r="A22" s="17" t="n">
        <x:v>18</x:v>
      </x:c>
      <x:c r="B22" s="17" t="str">
        <x:v>King's College London</x:v>
      </x:c>
      <x:c r="C22" s="17" t="str">
        <x:v>United Kingdom</x:v>
      </x:c>
      <x:c r="D22" s="17" t="str">
        <x:v>Verified - Verified alias</x:v>
      </x:c>
      <x:c r="E22" s="17" t="str">
        <x:v>King's Business School</x:v>
      </x:c>
      <x:c r="F22" s="17" t="str">
        <x:v>Communicating Signatory</x:v>
      </x:c>
      <x:c r="G22" s="17" t="str">
        <x:v>Nov 03 2021</x:v>
      </x:c>
      <x:c r="H22" s="38" t="n">
        <x:v>2</x:v>
      </x:c>
      <x:c r="I22" s="38" t="n">
        <x:v>2025</x:v>
      </x:c>
      <x:c r="J22" s="17" t="str">
        <x:v>2025-09-30</x:v>
      </x:c>
      <x:c r="K22" s="17" t="str">
        <x:v>King's Business School - 2025 - SIP Report</x:v>
      </x:c>
      <x:c r="L22" s="30" t="str">
        <x:v>https://commons-static.s3.amazonaws.com/reports/7320828c9153b2a9848d6bc45d3544236b22fc48/King's+Business+School+-+SIP+2025.pdf</x:v>
      </x:c>
      <x:c r="M22" s="30" t="str">
        <x:v>https://www.unprme.org/kings-business-school/</x:v>
      </x:c>
      <x:c r="N22" s="30" t="str">
        <x:v>https://www.unprme.org/search/</x:v>
      </x:c>
      <x:c r="O22" s="39" t="n">
        <x:v>1</x:v>
      </x:c>
      <x:c r="P22" s="17" t="str">
        <x:v>King's Business School</x:v>
      </x:c>
      <x:c r="Q22" s="17" t="str">
        <x:v>Verified against the current UN PRME signatory directory; school-level scope is not promoted to the entire university.</x:v>
      </x:c>
    </x:row>
    <x:row r="23">
      <x:c r="A23" s="17" t="n">
        <x:v>19</x:v>
      </x:c>
      <x:c r="B23" s="17" t="str">
        <x:v>University of Bristol</x:v>
      </x:c>
      <x:c r="C23" s="17" t="str">
        <x:v>United Kingdom</x:v>
      </x:c>
      <x:c r="D23" s="17" t="str">
        <x:v>Verified - Verified alias</x:v>
      </x:c>
      <x:c r="E23" s="17" t="str">
        <x:v>University of Bristol Business School</x:v>
      </x:c>
      <x:c r="F23" s="17" t="str">
        <x:v>Communicating Signatory</x:v>
      </x:c>
      <x:c r="G23" s="17" t="str">
        <x:v>Jul 02 2025</x:v>
      </x:c>
      <x:c r="H23" s="38" t="n">
        <x:v>0</x:v>
      </x:c>
      <x:c r="I23" s="38"/>
      <x:c r="J23" s="17" t="str"/>
      <x:c r="K23" s="17" t="str"/>
      <x:c r="L23" s="30" t="str"/>
      <x:c r="M23" s="30" t="str">
        <x:v>https://www.unprme.org/university-of-bristol-business-school/</x:v>
      </x:c>
      <x:c r="N23" s="30" t="str">
        <x:v>https://www.unprme.org/search/</x:v>
      </x:c>
      <x:c r="O23" s="39" t="n">
        <x:v>1</x:v>
      </x:c>
      <x:c r="P23" s="17" t="str">
        <x:v>University of Bristol Business School</x:v>
      </x:c>
      <x:c r="Q23" s="17" t="str">
        <x:v>Verified against the current UN PRME signatory directory; school-level scope is not promoted to the entire university.</x:v>
      </x:c>
    </x:row>
    <x:row r="24">
      <x:c r="A24" s="17" t="n">
        <x:v>20</x:v>
      </x:c>
      <x:c r="B24" s="17" t="str">
        <x:v>New York University (NYU)</x:v>
      </x:c>
      <x:c r="C24" s="17" t="str">
        <x:v>United States</x:v>
      </x:c>
      <x:c r="D24" s="17" t="str">
        <x:v>No verified match</x:v>
      </x:c>
      <x:c r="E24" s="17" t="str"/>
      <x:c r="F24" s="17" t="str"/>
      <x:c r="G24" s="17" t="str"/>
      <x:c r="H24" s="38"/>
      <x:c r="I24" s="38"/>
      <x:c r="J24" s="17" t="str"/>
      <x:c r="K24" s="17" t="str"/>
      <x:c r="L24" s="30" t="str"/>
      <x:c r="M24" s="30" t="str"/>
      <x:c r="N24" s="30" t="str">
        <x:v>https://www.unprme.org/search/</x:v>
      </x:c>
      <x:c r="O24" s="39"/>
      <x:c r="P24" s="17" t="str"/>
      <x:c r="Q24" s="17" t="str">
        <x:v>No reliable signatory match</x:v>
      </x:c>
    </x:row>
    <x:row r="25">
      <x:c r="A25" s="17" t="n">
        <x:v>21</x:v>
      </x:c>
      <x:c r="B25" s="17" t="str">
        <x:v>Pennsylvania State University</x:v>
      </x:c>
      <x:c r="C25" s="17" t="str">
        <x:v>United States</x:v>
      </x:c>
      <x:c r="D25" s="17" t="str">
        <x:v>No verified match</x:v>
      </x:c>
      <x:c r="E25" s="17" t="str"/>
      <x:c r="F25" s="17" t="str"/>
      <x:c r="G25" s="17" t="str"/>
      <x:c r="H25" s="38"/>
      <x:c r="I25" s="38"/>
      <x:c r="J25" s="17" t="str"/>
      <x:c r="K25" s="17" t="str"/>
      <x:c r="L25" s="30" t="str"/>
      <x:c r="M25" s="30" t="str"/>
      <x:c r="N25" s="30" t="str">
        <x:v>https://www.unprme.org/search/</x:v>
      </x:c>
      <x:c r="O25" s="39"/>
      <x:c r="P25" s="17" t="str"/>
      <x:c r="Q25" s="17" t="str">
        <x:v>No reliable signatory match</x:v>
      </x:c>
    </x:row>
    <x:row r="26">
      <x:c r="A26" s="17" t="n">
        <x:v>22</x:v>
      </x:c>
      <x:c r="B26" s="17" t="str">
        <x:v>KU Leuven</x:v>
      </x:c>
      <x:c r="C26" s="17" t="str">
        <x:v>Belgium</x:v>
      </x:c>
      <x:c r="D26" s="17" t="str">
        <x:v>Verified - Verified alias</x:v>
      </x:c>
      <x:c r="E26" s="17" t="str">
        <x:v>KU Leuven Faculty of Economics and Business</x:v>
      </x:c>
      <x:c r="F26" s="17" t="str">
        <x:v>Communicating Signatory</x:v>
      </x:c>
      <x:c r="G26" s="17" t="str">
        <x:v>Sep 07 2011</x:v>
      </x:c>
      <x:c r="H26" s="38" t="n">
        <x:v>2</x:v>
      </x:c>
      <x:c r="I26" s="38" t="n">
        <x:v>2025</x:v>
      </x:c>
      <x:c r="J26" s="17" t="str">
        <x:v>2025-12-19</x:v>
      </x:c>
      <x:c r="K26" s="17" t="str">
        <x:v>KU Leuven Faculty of Economics and Business - SIP 2025</x:v>
      </x:c>
      <x:c r="L26" s="30" t="str">
        <x:v>https://commons-static.s3.amazonaws.com/reports/6c0ac76ca9fe1af889558d11fd9a75e1fb9a0b86/KU+Leuven+Faculty+of+Economics+and+Business+-+SIP+2025.pdf</x:v>
      </x:c>
      <x:c r="M26" s="30" t="str">
        <x:v>https://www.unprme.org/ku-leuven-faculty-of-economics-and-business/</x:v>
      </x:c>
      <x:c r="N26" s="30" t="str">
        <x:v>https://www.unprme.org/search/</x:v>
      </x:c>
      <x:c r="O26" s="39" t="n">
        <x:v>1</x:v>
      </x:c>
      <x:c r="P26" s="17" t="str">
        <x:v>KU Leuven Faculty of Economics and Business</x:v>
      </x:c>
      <x:c r="Q26" s="17" t="str">
        <x:v>Verified against the current UN PRME signatory directory; school-level scope is not promoted to the entire university.</x:v>
      </x:c>
    </x:row>
    <x:row r="27">
      <x:c r="A27" s="17" t="n">
        <x:v>23</x:v>
      </x:c>
      <x:c r="B27" s="17" t="str">
        <x:v>University of Helsinki</x:v>
      </x:c>
      <x:c r="C27" s="17" t="str">
        <x:v>Finland</x:v>
      </x:c>
      <x:c r="D27" s="17" t="str">
        <x:v>No verified match</x:v>
      </x:c>
      <x:c r="E27" s="17" t="str"/>
      <x:c r="F27" s="17" t="str"/>
      <x:c r="G27" s="17" t="str"/>
      <x:c r="H27" s="38"/>
      <x:c r="I27" s="38"/>
      <x:c r="J27" s="17" t="str"/>
      <x:c r="K27" s="17" t="str"/>
      <x:c r="L27" s="30" t="str"/>
      <x:c r="M27" s="30" t="str"/>
      <x:c r="N27" s="30" t="str">
        <x:v>https://www.unprme.org/search/</x:v>
      </x:c>
      <x:c r="O27" s="39"/>
      <x:c r="P27" s="17" t="str"/>
      <x:c r="Q27" s="17" t="str">
        <x:v>No reliable signatory match</x:v>
      </x:c>
    </x:row>
    <x:row r="28">
      <x:c r="A28" s="17" t="n">
        <x:v>24</x:v>
      </x:c>
      <x:c r="B28" s="17" t="str">
        <x:v>Durham University</x:v>
      </x:c>
      <x:c r="C28" s="17" t="str">
        <x:v>United Kingdom</x:v>
      </x:c>
      <x:c r="D28" s="17" t="str">
        <x:v>Verified - Verified alias</x:v>
      </x:c>
      <x:c r="E28" s="17" t="str">
        <x:v>Durham Business School</x:v>
      </x:c>
      <x:c r="F28" s="17" t="str">
        <x:v>Communicating Signatory</x:v>
      </x:c>
      <x:c r="G28" s="17" t="str">
        <x:v>Apr 30 2012</x:v>
      </x:c>
      <x:c r="H28" s="38" t="n">
        <x:v>3</x:v>
      </x:c>
      <x:c r="I28" s="38" t="n">
        <x:v>2025</x:v>
      </x:c>
      <x:c r="J28" s="17" t="str">
        <x:v>2025-09-26</x:v>
      </x:c>
      <x:c r="K28" s="17" t="str">
        <x:v>Durham Business School - 2025 - SIP Report</x:v>
      </x:c>
      <x:c r="L28" s="30" t="str">
        <x:v>https://commons-static.s3.amazonaws.com/reports/d36550fc4422fde2c3bb4169c939e24e583e79f0/Durham+University+Business+School+-+SIP+2025.pdf</x:v>
      </x:c>
      <x:c r="M28" s="30" t="str">
        <x:v>https://www.unprme.org/durham-business-school/</x:v>
      </x:c>
      <x:c r="N28" s="30" t="str">
        <x:v>https://www.unprme.org/search/</x:v>
      </x:c>
      <x:c r="O28" s="39" t="n">
        <x:v>1</x:v>
      </x:c>
      <x:c r="P28" s="17" t="str">
        <x:v>Durham Business School</x:v>
      </x:c>
      <x:c r="Q28" s="17" t="str">
        <x:v>Verified against the current UN PRME signatory directory; school-level scope is not promoted to the entire university.</x:v>
      </x:c>
    </x:row>
    <x:row r="29">
      <x:c r="A29" s="17" t="n">
        <x:v>25</x:v>
      </x:c>
      <x:c r="B29" s="17" t="str">
        <x:v>University of Leeds</x:v>
      </x:c>
      <x:c r="C29" s="17" t="str">
        <x:v>United Kingdom</x:v>
      </x:c>
      <x:c r="D29" s="17" t="str">
        <x:v>Verified - Verified alias</x:v>
      </x:c>
      <x:c r="E29" s="17" t="str">
        <x:v>Leeds University Business School</x:v>
      </x:c>
      <x:c r="F29" s="17" t="str">
        <x:v>Communicating Signatory</x:v>
      </x:c>
      <x:c r="G29" s="17" t="str">
        <x:v>Jan 11 2010</x:v>
      </x:c>
      <x:c r="H29" s="38" t="n">
        <x:v>1</x:v>
      </x:c>
      <x:c r="I29" s="38" t="n">
        <x:v>2025</x:v>
      </x:c>
      <x:c r="J29" s="17" t="str">
        <x:v>2025-09-29</x:v>
      </x:c>
      <x:c r="K29" s="17" t="str">
        <x:v>Leeds University Business School - 2025 - SIP Report</x:v>
      </x:c>
      <x:c r="L29" s="30" t="str">
        <x:v>https://commons-static.s3.amazonaws.com/reports/3554dce55f341edd431fc711f6816673f081452d/Leeds+University+Business+School+-+SIP+2025.pdf</x:v>
      </x:c>
      <x:c r="M29" s="30" t="str">
        <x:v>https://www.unprme.org/leeds-university-business-school/</x:v>
      </x:c>
      <x:c r="N29" s="30" t="str">
        <x:v>https://www.unprme.org/search/</x:v>
      </x:c>
      <x:c r="O29" s="39" t="n">
        <x:v>1</x:v>
      </x:c>
      <x:c r="P29" s="17" t="str">
        <x:v>Leeds University Business School</x:v>
      </x:c>
      <x:c r="Q29" s="17" t="str">
        <x:v>Verified against the current UN PRME signatory directory; school-level scope is not promoted to the entire university.</x:v>
      </x:c>
    </x:row>
    <x:row r="30">
      <x:c r="A30" s="17" t="n">
        <x:v>26</x:v>
      </x:c>
      <x:c r="B30" s="17" t="str">
        <x:v>Western University</x:v>
      </x:c>
      <x:c r="C30" s="17" t="str">
        <x:v>Canada</x:v>
      </x:c>
      <x:c r="D30" s="17" t="str">
        <x:v>Verified - Verified alias</x:v>
      </x:c>
      <x:c r="E30" s="17" t="str">
        <x:v>Ivey Business School</x:v>
      </x:c>
      <x:c r="F30" s="17" t="str">
        <x:v>Communicating Signatory</x:v>
      </x:c>
      <x:c r="G30" s="17" t="str">
        <x:v>Apr 01 2008</x:v>
      </x:c>
      <x:c r="H30" s="38" t="n">
        <x:v>2</x:v>
      </x:c>
      <x:c r="I30" s="38" t="n">
        <x:v>2025</x:v>
      </x:c>
      <x:c r="J30" s="17" t="str">
        <x:v>2025-09-29</x:v>
      </x:c>
      <x:c r="K30" s="17" t="str">
        <x:v>Ivey Business School - 2025 - SIP Report</x:v>
      </x:c>
      <x:c r="L30" s="30" t="str">
        <x:v>https://commons-static.s3.amazonaws.com/reports/d5f0d9102728577dfc9eec0a84867f75afbdfe46/Ivey+Business+School+-+SIP+2025.pdf</x:v>
      </x:c>
      <x:c r="M30" s="30" t="str">
        <x:v>https://www.unprme.org/ivey-business-school/</x:v>
      </x:c>
      <x:c r="N30" s="30" t="str">
        <x:v>https://www.unprme.org/search/</x:v>
      </x:c>
      <x:c r="O30" s="39" t="n">
        <x:v>1</x:v>
      </x:c>
      <x:c r="P30" s="17" t="str">
        <x:v>Ivey Business School</x:v>
      </x:c>
      <x:c r="Q30" s="17" t="str">
        <x:v>Verified against the current UN PRME signatory directory; school-level scope is not promoted to the entire university.</x:v>
      </x:c>
    </x:row>
    <x:row r="31">
      <x:c r="A31" s="17" t="n">
        <x:v>27</x:v>
      </x:c>
      <x:c r="B31" s="17" t="str">
        <x:v>University of Glasgow</x:v>
      </x:c>
      <x:c r="C31" s="17" t="str">
        <x:v>United Kingdom</x:v>
      </x:c>
      <x:c r="D31" s="17" t="str">
        <x:v>Verified - Verified alias</x:v>
      </x:c>
      <x:c r="E31" s="17" t="str">
        <x:v>Adam Smith Business School</x:v>
      </x:c>
      <x:c r="F31" s="17" t="str">
        <x:v>Communicating Signatory</x:v>
      </x:c>
      <x:c r="G31" s="17" t="str">
        <x:v>Feb 14 2020</x:v>
      </x:c>
      <x:c r="H31" s="38" t="n">
        <x:v>3</x:v>
      </x:c>
      <x:c r="I31" s="38" t="n">
        <x:v>2025</x:v>
      </x:c>
      <x:c r="J31" s="17" t="str">
        <x:v>2025-09-29</x:v>
      </x:c>
      <x:c r="K31" s="17" t="str">
        <x:v>Adam Smith Business School - 2025 - SIP Report</x:v>
      </x:c>
      <x:c r="L31" s="30" t="str">
        <x:v>https://commons-static.s3.amazonaws.com/reports/a1496d4ad0a359b6fe93d819e4a2141bd9d9ac35/Adam+Smith+Business+School+-+SIP+2025.pdf</x:v>
      </x:c>
      <x:c r="M31" s="30" t="str">
        <x:v>https://www.unprme.org/adam-smith-business-school/</x:v>
      </x:c>
      <x:c r="N31" s="30" t="str">
        <x:v>https://www.unprme.org/search/</x:v>
      </x:c>
      <x:c r="O31" s="39" t="n">
        <x:v>1</x:v>
      </x:c>
      <x:c r="P31" s="17" t="str">
        <x:v>Adam Smith Business School</x:v>
      </x:c>
      <x:c r="Q31" s="17" t="str">
        <x:v>Verified against the current UN PRME signatory directory; school-level scope is not promoted to the entire university.</x:v>
      </x:c>
    </x:row>
    <x:row r="32">
      <x:c r="A32" s="17" t="n">
        <x:v>28</x:v>
      </x:c>
      <x:c r="B32" s="17" t="str">
        <x:v>The University of Auckland</x:v>
      </x:c>
      <x:c r="C32" s="17" t="str">
        <x:v>New Zealand</x:v>
      </x:c>
      <x:c r="D32" s="17" t="str">
        <x:v>Verified - Verified alias</x:v>
      </x:c>
      <x:c r="E32" s="17" t="str">
        <x:v>University of Auckland Business School</x:v>
      </x:c>
      <x:c r="F32" s="17" t="str">
        <x:v>Communicating Signatory</x:v>
      </x:c>
      <x:c r="G32" s="17" t="str">
        <x:v>Oct 23 2013</x:v>
      </x:c>
      <x:c r="H32" s="38" t="n">
        <x:v>3</x:v>
      </x:c>
      <x:c r="I32" s="38" t="n">
        <x:v>2025</x:v>
      </x:c>
      <x:c r="J32" s="17" t="str">
        <x:v>2025-09-28</x:v>
      </x:c>
      <x:c r="K32" s="17" t="str">
        <x:v>University of Auckland Business School - 2025 - SIP Report</x:v>
      </x:c>
      <x:c r="L32" s="30" t="str">
        <x:v>https://commons-static.s3.amazonaws.com/reports/ce09b127d48f83868a45645e246d3b52f4bdecbe/University+of+Auckland+Business+School+-+SIP+2025.pdf</x:v>
      </x:c>
      <x:c r="M32" s="30" t="str">
        <x:v>https://www.unprme.org/university-of-auckland-business-school/</x:v>
      </x:c>
      <x:c r="N32" s="30" t="str">
        <x:v>https://www.unprme.org/search/</x:v>
      </x:c>
      <x:c r="O32" s="39" t="n">
        <x:v>1</x:v>
      </x:c>
      <x:c r="P32" s="17" t="str">
        <x:v>University of Auckland Business School</x:v>
      </x:c>
      <x:c r="Q32" s="17" t="str">
        <x:v>Verified against the current UN PRME signatory directory; school-level scope is not promoted to the entire university.</x:v>
      </x:c>
    </x:row>
    <x:row r="33">
      <x:c r="A33" s="17" t="n">
        <x:v>29</x:v>
      </x:c>
      <x:c r="B33" s="17" t="str">
        <x:v>Trinity College Dublin, The University of Dublin</x:v>
      </x:c>
      <x:c r="C33" s="17" t="str">
        <x:v>Ireland</x:v>
      </x:c>
      <x:c r="D33" s="17" t="str">
        <x:v>Verified - Verified alias</x:v>
      </x:c>
      <x:c r="E33" s="17" t="str">
        <x:v>Trinity Business School</x:v>
      </x:c>
      <x:c r="F33" s="17" t="str">
        <x:v>Communicating Signatory</x:v>
      </x:c>
      <x:c r="G33" s="17" t="str">
        <x:v>Oct 11 2017</x:v>
      </x:c>
      <x:c r="H33" s="38" t="n">
        <x:v>3</x:v>
      </x:c>
      <x:c r="I33" s="38" t="n">
        <x:v>2025</x:v>
      </x:c>
      <x:c r="J33" s="17" t="str">
        <x:v>2025-09-30</x:v>
      </x:c>
      <x:c r="K33" s="17" t="str">
        <x:v>Trinity Business School - 2025 - SIP Report</x:v>
      </x:c>
      <x:c r="L33" s="30" t="str">
        <x:v>https://commons-static.s3.amazonaws.com/reports/34c66477519b949b09b45e131347c17b5822a30a/Trinity+Business+School+-+SIP+2025.pdf</x:v>
      </x:c>
      <x:c r="M33" s="30" t="str">
        <x:v>https://www.unprme.org/trinity-business-school/</x:v>
      </x:c>
      <x:c r="N33" s="30" t="str">
        <x:v>https://www.unprme.org/search/</x:v>
      </x:c>
      <x:c r="O33" s="39" t="n">
        <x:v>1</x:v>
      </x:c>
      <x:c r="P33" s="17" t="str">
        <x:v>Trinity Business School</x:v>
      </x:c>
      <x:c r="Q33" s="17" t="str">
        <x:v>Verified against the current UN PRME signatory directory; school-level scope is not promoted to the entire university.</x:v>
      </x:c>
    </x:row>
    <x:row r="34">
      <x:c r="A34" s="17" t="n">
        <x:v>30</x:v>
      </x:c>
      <x:c r="B34" s="17" t="str">
        <x:v>University of Pennsylvania</x:v>
      </x:c>
      <x:c r="C34" s="17" t="str">
        <x:v>United States</x:v>
      </x:c>
      <x:c r="D34" s="17" t="str">
        <x:v>Verified - Exact/contained institution</x:v>
      </x:c>
      <x:c r="E34" s="17" t="str">
        <x:v>Slippery Rock University of Pennsylvania</x:v>
      </x:c>
      <x:c r="F34" s="17" t="str">
        <x:v>Communicating Signatory</x:v>
      </x:c>
      <x:c r="G34" s="17" t="str">
        <x:v>Apr 03 2014</x:v>
      </x:c>
      <x:c r="H34" s="38" t="n">
        <x:v>2</x:v>
      </x:c>
      <x:c r="I34" s="38" t="n">
        <x:v>2025</x:v>
      </x:c>
      <x:c r="J34" s="17" t="str">
        <x:v>2025-12-31</x:v>
      </x:c>
      <x:c r="K34" s="17" t="str">
        <x:v>Slippery Rock SIP 2025</x:v>
      </x:c>
      <x:c r="L34" s="30" t="str">
        <x:v>https://d30mzt1bxg5llt.cloudfront.net/public/uploads/sip-reports/SRU-PRME-Report-2025-12-31-final.pdf</x:v>
      </x:c>
      <x:c r="M34" s="30" t="str">
        <x:v>https://www.unprme.org/slippery-rock-university-of-pennsylvania/</x:v>
      </x:c>
      <x:c r="N34" s="30" t="str">
        <x:v>https://www.unprme.org/search/</x:v>
      </x:c>
      <x:c r="O34" s="39" t="n">
        <x:v>0.96</x:v>
      </x:c>
      <x:c r="P34" s="17" t="str">
        <x:v>University of Pennsylvania</x:v>
      </x:c>
      <x:c r="Q34" s="17" t="str">
        <x:v>Verified against the current UN PRME signatory directory; school-level scope is not promoted to the entire university.</x:v>
      </x:c>
    </x:row>
    <x:row r="35">
      <x:c r="A35" s="17" t="n">
        <x:v>31</x:v>
      </x:c>
      <x:c r="B35" s="17" t="str">
        <x:v>University of Reading</x:v>
      </x:c>
      <x:c r="C35" s="17" t="str">
        <x:v>United Kingdom</x:v>
      </x:c>
      <x:c r="D35" s="17" t="str">
        <x:v>Verified - Verified alias</x:v>
      </x:c>
      <x:c r="E35" s="17" t="str">
        <x:v>Henley Business School</x:v>
      </x:c>
      <x:c r="F35" s="17" t="str">
        <x:v>Communicating Signatory</x:v>
      </x:c>
      <x:c r="G35" s="17" t="str">
        <x:v>Jul 24 2020</x:v>
      </x:c>
      <x:c r="H35" s="38" t="n">
        <x:v>4</x:v>
      </x:c>
      <x:c r="I35" s="38" t="n">
        <x:v>2025</x:v>
      </x:c>
      <x:c r="J35" s="17" t="str">
        <x:v>2025-09-29</x:v>
      </x:c>
      <x:c r="K35" s="17" t="str">
        <x:v>Henley Business School - 2025 - SIP Report</x:v>
      </x:c>
      <x:c r="L35" s="30" t="str">
        <x:v>https://commons-static.s3.amazonaws.com/reports/eadc1dd8fc279583d5552700ae5d248e3fa123bd/Henley+Business+School,+The+University+of+Reading+-+SIP+2025.pdf</x:v>
      </x:c>
      <x:c r="M35" s="30" t="str">
        <x:v>https://www.unprme.org/henley-business-school/</x:v>
      </x:c>
      <x:c r="N35" s="30" t="str">
        <x:v>https://www.unprme.org/search/</x:v>
      </x:c>
      <x:c r="O35" s="39" t="n">
        <x:v>1</x:v>
      </x:c>
      <x:c r="P35" s="17" t="str">
        <x:v>Henley Business School</x:v>
      </x:c>
      <x:c r="Q35" s="17" t="str">
        <x:v>Verified against the current UN PRME signatory directory; school-level scope is not promoted to the entire university.</x:v>
      </x:c>
    </x:row>
    <x:row r="36">
      <x:c r="A36" s="17" t="n">
        <x:v>32</x:v>
      </x:c>
      <x:c r="B36" s="17" t="str">
        <x:v>Uppsala University</x:v>
      </x:c>
      <x:c r="C36" s="17" t="str">
        <x:v>Sweden</x:v>
      </x:c>
      <x:c r="D36" s="17" t="str">
        <x:v>No verified match</x:v>
      </x:c>
      <x:c r="E36" s="17" t="str"/>
      <x:c r="F36" s="17" t="str"/>
      <x:c r="G36" s="17" t="str"/>
      <x:c r="H36" s="38"/>
      <x:c r="I36" s="38"/>
      <x:c r="J36" s="17" t="str"/>
      <x:c r="K36" s="17" t="str"/>
      <x:c r="L36" s="30" t="str"/>
      <x:c r="M36" s="30" t="str"/>
      <x:c r="N36" s="30" t="str">
        <x:v>https://www.unprme.org/search/</x:v>
      </x:c>
      <x:c r="O36" s="39"/>
      <x:c r="P36" s="17" t="str"/>
      <x:c r="Q36" s="17" t="str">
        <x:v>No reliable signatory match</x:v>
      </x:c>
    </x:row>
    <x:row r="37">
      <x:c r="A37" s="17" t="n">
        <x:v>33</x:v>
      </x:c>
      <x:c r="B37" s="17" t="str">
        <x:v>Ghent University</x:v>
      </x:c>
      <x:c r="C37" s="17" t="str">
        <x:v>Belgium</x:v>
      </x:c>
      <x:c r="D37" s="17" t="str">
        <x:v>Verified - Exact/contained institution</x:v>
      </x:c>
      <x:c r="E37" s="17" t="str">
        <x:v>Faculty of Economics and Business Administration, Ghent University</x:v>
      </x:c>
      <x:c r="F37" s="17" t="str">
        <x:v>Communicating Signatory</x:v>
      </x:c>
      <x:c r="G37" s="17" t="str">
        <x:v>Apr 29 2020</x:v>
      </x:c>
      <x:c r="H37" s="38" t="n">
        <x:v>0</x:v>
      </x:c>
      <x:c r="I37" s="38"/>
      <x:c r="J37" s="17" t="str"/>
      <x:c r="K37" s="17" t="str"/>
      <x:c r="L37" s="30" t="str"/>
      <x:c r="M37" s="30" t="str">
        <x:v>https://www.unprme.org/faculty-of-economics-and-business-administration/</x:v>
      </x:c>
      <x:c r="N37" s="30" t="str">
        <x:v>https://www.unprme.org/search/</x:v>
      </x:c>
      <x:c r="O37" s="39" t="n">
        <x:v>0.96</x:v>
      </x:c>
      <x:c r="P37" s="17" t="str">
        <x:v>Ghent University</x:v>
      </x:c>
      <x:c r="Q37" s="17" t="str">
        <x:v>Verified against the current UN PRME signatory directory; school-level scope is not promoted to the entire university.</x:v>
      </x:c>
    </x:row>
    <x:row r="38">
      <x:c r="A38" s="17" t="n">
        <x:v>34</x:v>
      </x:c>
      <x:c r="B38" s="17" t="str">
        <x:v>The University of Sheffield</x:v>
      </x:c>
      <x:c r="C38" s="17" t="str">
        <x:v>United Kingdom</x:v>
      </x:c>
      <x:c r="D38" s="17" t="str">
        <x:v>Verified - Verified alias</x:v>
      </x:c>
      <x:c r="E38" s="17" t="str">
        <x:v>Sheffield University Management School</x:v>
      </x:c>
      <x:c r="F38" s="17" t="str">
        <x:v>Communicating Signatory</x:v>
      </x:c>
      <x:c r="G38" s="17" t="str">
        <x:v>Aug 22 2008</x:v>
      </x:c>
      <x:c r="H38" s="38" t="n">
        <x:v>3</x:v>
      </x:c>
      <x:c r="I38" s="38" t="n">
        <x:v>2025</x:v>
      </x:c>
      <x:c r="J38" s="17" t="str">
        <x:v>2025-08-15</x:v>
      </x:c>
      <x:c r="K38" s="17" t="str">
        <x:v>Sheffield University Management School - 2025 - SIP Report</x:v>
      </x:c>
      <x:c r="L38" s="30" t="str">
        <x:v>https://commons-static.s3.amazonaws.com/reports/97b31c942deab39118e64423efe46b9c31e669f7/Sheffield+University+Management+School+-+SIP+2025.pdf</x:v>
      </x:c>
      <x:c r="M38" s="30" t="str">
        <x:v>https://www.unprme.org/sheffield-university-management-school/</x:v>
      </x:c>
      <x:c r="N38" s="30" t="str">
        <x:v>https://www.unprme.org/search/</x:v>
      </x:c>
      <x:c r="O38" s="39" t="n">
        <x:v>1</x:v>
      </x:c>
      <x:c r="P38" s="17" t="str">
        <x:v>Sheffield University Management School</x:v>
      </x:c>
      <x:c r="Q38" s="17" t="str">
        <x:v>Verified against the current UN PRME signatory directory; school-level scope is not promoted to the entire university.</x:v>
      </x:c>
    </x:row>
    <x:row r="39">
      <x:c r="A39" s="17" t="n">
        <x:v>35</x:v>
      </x:c>
      <x:c r="B39" s="17" t="str">
        <x:v>Delft University of Technology</x:v>
      </x:c>
      <x:c r="C39" s="17" t="str">
        <x:v>Netherlands</x:v>
      </x:c>
      <x:c r="D39" s="17" t="str">
        <x:v>No verified match</x:v>
      </x:c>
      <x:c r="E39" s="17" t="str"/>
      <x:c r="F39" s="17" t="str"/>
      <x:c r="G39" s="17" t="str"/>
      <x:c r="H39" s="38"/>
      <x:c r="I39" s="38"/>
      <x:c r="J39" s="17" t="str"/>
      <x:c r="K39" s="17" t="str"/>
      <x:c r="L39" s="30" t="str"/>
      <x:c r="M39" s="30" t="str"/>
      <x:c r="N39" s="30" t="str">
        <x:v>https://www.unprme.org/search/</x:v>
      </x:c>
      <x:c r="O39" s="39"/>
      <x:c r="P39" s="17" t="str"/>
      <x:c r="Q39" s="17" t="str">
        <x:v>No reliable signatory match</x:v>
      </x:c>
    </x:row>
    <x:row r="40">
      <x:c r="A40" s="17" t="n">
        <x:v>36</x:v>
      </x:c>
      <x:c r="B40" s="17" t="str">
        <x:v>Michigan State University</x:v>
      </x:c>
      <x:c r="C40" s="17" t="str">
        <x:v>United States</x:v>
      </x:c>
      <x:c r="D40" s="17" t="str">
        <x:v>No verified match</x:v>
      </x:c>
      <x:c r="E40" s="17" t="str"/>
      <x:c r="F40" s="17" t="str"/>
      <x:c r="G40" s="17" t="str"/>
      <x:c r="H40" s="38"/>
      <x:c r="I40" s="38"/>
      <x:c r="J40" s="17" t="str"/>
      <x:c r="K40" s="17" t="str"/>
      <x:c r="L40" s="30" t="str"/>
      <x:c r="M40" s="30" t="str"/>
      <x:c r="N40" s="30" t="str">
        <x:v>https://www.unprme.org/search/</x:v>
      </x:c>
      <x:c r="O40" s="39"/>
      <x:c r="P40" s="17" t="str"/>
      <x:c r="Q40" s="17" t="str">
        <x:v>Manual review candidate only: LeBow College of Business</x:v>
      </x:c>
    </x:row>
    <x:row r="41">
      <x:c r="A41" s="17" t="n">
        <x:v>37</x:v>
      </x:c>
      <x:c r="B41" s="17" t="str">
        <x:v>Monash University</x:v>
      </x:c>
      <x:c r="C41" s="17" t="str">
        <x:v>Australia</x:v>
      </x:c>
      <x:c r="D41" s="17" t="str">
        <x:v>Verified - Verified alias</x:v>
      </x:c>
      <x:c r="E41" s="17" t="str">
        <x:v>Monash Business School</x:v>
      </x:c>
      <x:c r="F41" s="17" t="str">
        <x:v>Communicating Signatory</x:v>
      </x:c>
      <x:c r="G41" s="17" t="str">
        <x:v>Aug 12 2010</x:v>
      </x:c>
      <x:c r="H41" s="38" t="n">
        <x:v>3</x:v>
      </x:c>
      <x:c r="I41" s="38" t="n">
        <x:v>2025</x:v>
      </x:c>
      <x:c r="J41" s="17" t="str">
        <x:v>2025-09-29</x:v>
      </x:c>
      <x:c r="K41" s="17" t="str">
        <x:v>Monash Business School - 2025 - SIP Report</x:v>
      </x:c>
      <x:c r="L41" s="30" t="str">
        <x:v>https://commons-static.s3.amazonaws.com/reports/0715d58c74869d445849a688c0f3804892a5d6a1/Monash+Business+School+-+SIP+2025.pdf</x:v>
      </x:c>
      <x:c r="M41" s="30" t="str">
        <x:v>https://www.unprme.org/monash-business-school/</x:v>
      </x:c>
      <x:c r="N41" s="30" t="str">
        <x:v>https://www.unprme.org/search/</x:v>
      </x:c>
      <x:c r="O41" s="39" t="n">
        <x:v>1</x:v>
      </x:c>
      <x:c r="P41" s="17" t="str">
        <x:v>Monash Business School</x:v>
      </x:c>
      <x:c r="Q41" s="17" t="str">
        <x:v>Verified against the current UN PRME signatory directory; school-level scope is not promoted to the entire university.</x:v>
      </x:c>
    </x:row>
    <x:row r="42">
      <x:c r="A42" s="17" t="n">
        <x:v>38</x:v>
      </x:c>
      <x:c r="B42" s="17" t="str">
        <x:v>Seoul National University</x:v>
      </x:c>
      <x:c r="C42" s="17" t="str">
        <x:v>South Korea</x:v>
      </x:c>
      <x:c r="D42" s="17" t="str">
        <x:v>No verified match</x:v>
      </x:c>
      <x:c r="E42" s="17" t="str"/>
      <x:c r="F42" s="17" t="str"/>
      <x:c r="G42" s="17" t="str"/>
      <x:c r="H42" s="38"/>
      <x:c r="I42" s="38"/>
      <x:c r="J42" s="17" t="str"/>
      <x:c r="K42" s="17" t="str"/>
      <x:c r="L42" s="30" t="str"/>
      <x:c r="M42" s="30" t="str"/>
      <x:c r="N42" s="30" t="str">
        <x:v>https://www.unprme.org/search/</x:v>
      </x:c>
      <x:c r="O42" s="39"/>
      <x:c r="P42" s="17" t="str"/>
      <x:c r="Q42" s="17" t="str">
        <x:v>No country-compatible signatory</x:v>
      </x:c>
    </x:row>
    <x:row r="43">
      <x:c r="A43" s="17" t="n">
        <x:v>39</x:v>
      </x:c>
      <x:c r="B43" s="17" t="str">
        <x:v>University of Nottingham</x:v>
      </x:c>
      <x:c r="C43" s="17" t="str">
        <x:v>United Kingdom</x:v>
      </x:c>
      <x:c r="D43" s="17" t="str">
        <x:v>Verified - Verified alias</x:v>
      </x:c>
      <x:c r="E43" s="17" t="str">
        <x:v>Nottingham University Business School</x:v>
      </x:c>
      <x:c r="F43" s="17" t="str">
        <x:v>Communicating Signatory</x:v>
      </x:c>
      <x:c r="G43" s="17" t="str">
        <x:v>Apr 01 2008</x:v>
      </x:c>
      <x:c r="H43" s="38" t="n">
        <x:v>2</x:v>
      </x:c>
      <x:c r="I43" s="38" t="n">
        <x:v>2025</x:v>
      </x:c>
      <x:c r="J43" s="17" t="str">
        <x:v>2025-09-29</x:v>
      </x:c>
      <x:c r="K43" s="17" t="str">
        <x:v>Nottingham University Business School - 2025 - SIP Report</x:v>
      </x:c>
      <x:c r="L43" s="30" t="str">
        <x:v>https://commons-static.s3.amazonaws.com/reports/982fd8b711279888a3b54f5af24f185041d22ee6/Nottingham+University+Business+School+-+SIP+2025.pdf</x:v>
      </x:c>
      <x:c r="M43" s="30" t="str">
        <x:v>https://www.unprme.org/nottingham-university-business-school/</x:v>
      </x:c>
      <x:c r="N43" s="30" t="str">
        <x:v>https://www.unprme.org/search/</x:v>
      </x:c>
      <x:c r="O43" s="39" t="n">
        <x:v>1</x:v>
      </x:c>
      <x:c r="P43" s="17" t="str">
        <x:v>Nottingham University Business School</x:v>
      </x:c>
      <x:c r="Q43" s="17" t="str">
        <x:v>Verified against the current UN PRME signatory directory; school-level scope is not promoted to the entire university.</x:v>
      </x:c>
    </x:row>
    <x:row r="44">
      <x:c r="A44" s="17" t="n">
        <x:v>40</x:v>
      </x:c>
      <x:c r="B44" s="17" t="str">
        <x:v>University of York</x:v>
      </x:c>
      <x:c r="C44" s="17" t="str">
        <x:v>United Kingdom</x:v>
      </x:c>
      <x:c r="D44" s="17" t="str">
        <x:v>No verified match</x:v>
      </x:c>
      <x:c r="E44" s="17" t="str"/>
      <x:c r="F44" s="17" t="str"/>
      <x:c r="G44" s="17" t="str"/>
      <x:c r="H44" s="38"/>
      <x:c r="I44" s="38"/>
      <x:c r="J44" s="17" t="str"/>
      <x:c r="K44" s="17" t="str"/>
      <x:c r="L44" s="30" t="str"/>
      <x:c r="M44" s="30" t="str"/>
      <x:c r="N44" s="30" t="str">
        <x:v>https://www.unprme.org/search/</x:v>
      </x:c>
      <x:c r="O44" s="39"/>
      <x:c r="P44" s="17" t="str"/>
      <x:c r="Q44" s="17" t="str">
        <x:v>No reliable signatory match</x:v>
      </x:c>
    </x:row>
    <x:row r="45">
      <x:c r="A45" s="17" t="n">
        <x:v>41</x:v>
      </x:c>
      <x:c r="B45" s="17" t="str">
        <x:v>Boston University</x:v>
      </x:c>
      <x:c r="C45" s="17" t="str">
        <x:v>United States</x:v>
      </x:c>
      <x:c r="D45" s="17" t="str">
        <x:v>No verified match</x:v>
      </x:c>
      <x:c r="E45" s="17" t="str"/>
      <x:c r="F45" s="17" t="str"/>
      <x:c r="G45" s="17" t="str"/>
      <x:c r="H45" s="38"/>
      <x:c r="I45" s="38"/>
      <x:c r="J45" s="17" t="str"/>
      <x:c r="K45" s="17" t="str"/>
      <x:c r="L45" s="30" t="str"/>
      <x:c r="M45" s="30" t="str"/>
      <x:c r="N45" s="30" t="str">
        <x:v>https://www.unprme.org/search/</x:v>
      </x:c>
      <x:c r="O45" s="39"/>
      <x:c r="P45" s="17" t="str"/>
      <x:c r="Q45" s="17" t="str">
        <x:v>No reliable signatory match</x:v>
      </x:c>
    </x:row>
    <x:row r="46">
      <x:c r="A46" s="17" t="n">
        <x:v>42</x:v>
      </x:c>
      <x:c r="B46" s="17" t="str">
        <x:v>Johns Hopkins University</x:v>
      </x:c>
      <x:c r="C46" s="17" t="str">
        <x:v>United States</x:v>
      </x:c>
      <x:c r="D46" s="17" t="str">
        <x:v>Verified - Verified alias</x:v>
      </x:c>
      <x:c r="E46" s="17" t="str">
        <x:v>Johns Hopkins Carey Business School</x:v>
      </x:c>
      <x:c r="F46" s="17" t="str">
        <x:v>Non Communicating Signatory</x:v>
      </x:c>
      <x:c r="G46" s="17" t="str">
        <x:v>Jun 21 2022</x:v>
      </x:c>
      <x:c r="H46" s="38" t="n">
        <x:v>0</x:v>
      </x:c>
      <x:c r="I46" s="38"/>
      <x:c r="J46" s="17" t="str"/>
      <x:c r="K46" s="17" t="str"/>
      <x:c r="L46" s="30" t="str"/>
      <x:c r="M46" s="30" t="str">
        <x:v>https://www.unprme.org/johns-hopkins-carey-business-school/</x:v>
      </x:c>
      <x:c r="N46" s="30" t="str">
        <x:v>https://www.unprme.org/search/</x:v>
      </x:c>
      <x:c r="O46" s="39" t="n">
        <x:v>1</x:v>
      </x:c>
      <x:c r="P46" s="17" t="str">
        <x:v>Johns Hopkins Carey Business School</x:v>
      </x:c>
      <x:c r="Q46" s="17" t="str">
        <x:v>Verified against the current UN PRME signatory directory; school-level scope is not promoted to the entire university.</x:v>
      </x:c>
    </x:row>
    <x:row r="47">
      <x:c r="A47" s="17" t="n">
        <x:v>43</x:v>
      </x:c>
      <x:c r="B47" s="17" t="str">
        <x:v>Massachusetts Institute of Technology (MIT)</x:v>
      </x:c>
      <x:c r="C47" s="17" t="str">
        <x:v>United States</x:v>
      </x:c>
      <x:c r="D47" s="17" t="str">
        <x:v>No verified match</x:v>
      </x:c>
      <x:c r="E47" s="17" t="str"/>
      <x:c r="F47" s="17" t="str"/>
      <x:c r="G47" s="17" t="str"/>
      <x:c r="H47" s="38"/>
      <x:c r="I47" s="38"/>
      <x:c r="J47" s="17" t="str"/>
      <x:c r="K47" s="17" t="str"/>
      <x:c r="L47" s="30" t="str"/>
      <x:c r="M47" s="30" t="str"/>
      <x:c r="N47" s="30" t="str">
        <x:v>https://www.unprme.org/search/</x:v>
      </x:c>
      <x:c r="O47" s="39"/>
      <x:c r="P47" s="17" t="str"/>
      <x:c r="Q47" s="17" t="str">
        <x:v>No reliable signatory match</x:v>
      </x:c>
    </x:row>
    <x:row r="48">
      <x:c r="A48" s="17" t="n">
        <x:v>44</x:v>
      </x:c>
      <x:c r="B48" s="17" t="str">
        <x:v>University of Birmingham</x:v>
      </x:c>
      <x:c r="C48" s="17" t="str">
        <x:v>United Kingdom</x:v>
      </x:c>
      <x:c r="D48" s="17" t="str">
        <x:v>Verified - Verified alias</x:v>
      </x:c>
      <x:c r="E48" s="17" t="str">
        <x:v>Birmingham Business School</x:v>
      </x:c>
      <x:c r="F48" s="17" t="str">
        <x:v>Communicating Signatory</x:v>
      </x:c>
      <x:c r="G48" s="17" t="str">
        <x:v>Feb 09 2017</x:v>
      </x:c>
      <x:c r="H48" s="38" t="n">
        <x:v>3</x:v>
      </x:c>
      <x:c r="I48" s="38" t="n">
        <x:v>2025</x:v>
      </x:c>
      <x:c r="J48" s="17" t="str">
        <x:v>2025-09-30</x:v>
      </x:c>
      <x:c r="K48" s="17" t="str">
        <x:v>Birmingham Business School - 2025 - SIP Report</x:v>
      </x:c>
      <x:c r="L48" s="30" t="str">
        <x:v>https://commons-static.s3.amazonaws.com/reports/40e0ce8abc662ad8d6a7b5f1d1a0e297b3036980/Birmingham+Business+School+-+SIP+2025.pdf</x:v>
      </x:c>
      <x:c r="M48" s="30" t="str">
        <x:v>https://www.unprme.org/birmingham-business-school/</x:v>
      </x:c>
      <x:c r="N48" s="30" t="str">
        <x:v>https://www.unprme.org/search/</x:v>
      </x:c>
      <x:c r="O48" s="39" t="n">
        <x:v>1</x:v>
      </x:c>
      <x:c r="P48" s="17" t="str">
        <x:v>Birmingham Business School</x:v>
      </x:c>
      <x:c r="Q48" s="17" t="str">
        <x:v>Verified against the current UN PRME signatory directory; school-level scope is not promoted to the entire university.</x:v>
      </x:c>
    </x:row>
    <x:row r="49">
      <x:c r="A49" s="17" t="n">
        <x:v>45</x:v>
      </x:c>
      <x:c r="B49" s="17" t="str">
        <x:v>Université Paris-Saclay</x:v>
      </x:c>
      <x:c r="C49" s="17" t="str">
        <x:v>France</x:v>
      </x:c>
      <x:c r="D49" s="17" t="str">
        <x:v>No verified match</x:v>
      </x:c>
      <x:c r="E49" s="17" t="str"/>
      <x:c r="F49" s="17" t="str"/>
      <x:c r="G49" s="17" t="str"/>
      <x:c r="H49" s="38"/>
      <x:c r="I49" s="38"/>
      <x:c r="J49" s="17" t="str"/>
      <x:c r="K49" s="17" t="str"/>
      <x:c r="L49" s="30" t="str"/>
      <x:c r="M49" s="30" t="str"/>
      <x:c r="N49" s="30" t="str">
        <x:v>https://www.unprme.org/search/</x:v>
      </x:c>
      <x:c r="O49" s="39"/>
      <x:c r="P49" s="17" t="str"/>
      <x:c r="Q49" s="17" t="str">
        <x:v>No reliable signatory match</x:v>
      </x:c>
    </x:row>
    <x:row r="50">
      <x:c r="A50" s="17" t="n">
        <x:v>46</x:v>
      </x:c>
      <x:c r="B50" s="17" t="str">
        <x:v>Universität Hamburg</x:v>
      </x:c>
      <x:c r="C50" s="17" t="str">
        <x:v>Germany</x:v>
      </x:c>
      <x:c r="D50" s="17" t="str">
        <x:v>Verified - Verified alias</x:v>
      </x:c>
      <x:c r="E50" s="17" t="str">
        <x:v>University of Hamburg Business School</x:v>
      </x:c>
      <x:c r="F50" s="17" t="str">
        <x:v>Communicating Signatory</x:v>
      </x:c>
      <x:c r="G50" s="17" t="str">
        <x:v>Jan 23 2023</x:v>
      </x:c>
      <x:c r="H50" s="38" t="n">
        <x:v>2</x:v>
      </x:c>
      <x:c r="I50" s="38" t="n">
        <x:v>2025</x:v>
      </x:c>
      <x:c r="J50" s="17" t="str">
        <x:v>2025-09-30</x:v>
      </x:c>
      <x:c r="K50" s="17" t="str">
        <x:v>University of Hamburg Business School - 2025 - SIP Report</x:v>
      </x:c>
      <x:c r="L50" s="30" t="str">
        <x:v>https://commons-static.s3.amazonaws.com/reports/54ceb91256e8190e474aa752a6e0650a2df5ba37/University+of+Hamburg+Business+School+-+SIP+2025.pdf</x:v>
      </x:c>
      <x:c r="M50" s="30" t="str">
        <x:v>https://www.unprme.org/university-of-hamburg-business-school-universität-hamburg/</x:v>
      </x:c>
      <x:c r="N50" s="30" t="str">
        <x:v>https://www.unprme.org/search/</x:v>
      </x:c>
      <x:c r="O50" s="39" t="n">
        <x:v>0.96</x:v>
      </x:c>
      <x:c r="P50" s="17" t="str">
        <x:v>University of Hamburg</x:v>
      </x:c>
      <x:c r="Q50" s="17" t="str">
        <x:v>Verified against the current UN PRME signatory directory; school-level scope is not promoted to the entire university.</x:v>
      </x:c>
    </x:row>
    <x:row r="51">
      <x:c r="A51" s="17" t="n">
        <x:v>47</x:v>
      </x:c>
      <x:c r="B51" s="17" t="str">
        <x:v>University College Dublin</x:v>
      </x:c>
      <x:c r="C51" s="17" t="str">
        <x:v>Ireland</x:v>
      </x:c>
      <x:c r="D51" s="17" t="str">
        <x:v>Verified - Verified alias</x:v>
      </x:c>
      <x:c r="E51" s="17" t="str">
        <x:v>UCD College of Business</x:v>
      </x:c>
      <x:c r="F51" s="17" t="str">
        <x:v>Communicating Signatory</x:v>
      </x:c>
      <x:c r="G51" s="17" t="str">
        <x:v>Jun 13 2008</x:v>
      </x:c>
      <x:c r="H51" s="38" t="n">
        <x:v>3</x:v>
      </x:c>
      <x:c r="I51" s="38" t="n">
        <x:v>2025</x:v>
      </x:c>
      <x:c r="J51" s="17" t="str">
        <x:v>2025-09-28</x:v>
      </x:c>
      <x:c r="K51" s="17" t="str">
        <x:v>UCD College of Business - 2025 - Sip Report</x:v>
      </x:c>
      <x:c r="L51" s="30" t="str">
        <x:v>https://commons-static.s3.amazonaws.com/reports/86e55aec99bfd3868b399afe0c5069bd2a7b7d18/UCD+College+of+Business+-+SIP+2025.pdf</x:v>
      </x:c>
      <x:c r="M51" s="30" t="str">
        <x:v>https://www.unprme.org/ucd-college-of-business/</x:v>
      </x:c>
      <x:c r="N51" s="30" t="str">
        <x:v>https://www.unprme.org/search/</x:v>
      </x:c>
      <x:c r="O51" s="39" t="n">
        <x:v>1</x:v>
      </x:c>
      <x:c r="P51" s="17" t="str">
        <x:v>UCD College of Business</x:v>
      </x:c>
      <x:c r="Q51" s="17" t="str">
        <x:v>Verified against the current UN PRME signatory directory; school-level scope is not promoted to the entire university.</x:v>
      </x:c>
    </x:row>
    <x:row r="52">
      <x:c r="A52" s="17" t="n">
        <x:v>48</x:v>
      </x:c>
      <x:c r="B52" s="17" t="str">
        <x:v>The University of Tokyo</x:v>
      </x:c>
      <x:c r="C52" s="17" t="str">
        <x:v>Japan</x:v>
      </x:c>
      <x:c r="D52" s="17" t="str">
        <x:v>No verified match</x:v>
      </x:c>
      <x:c r="E52" s="17" t="str"/>
      <x:c r="F52" s="17" t="str"/>
      <x:c r="G52" s="17" t="str"/>
      <x:c r="H52" s="38"/>
      <x:c r="I52" s="38"/>
      <x:c r="J52" s="17" t="str"/>
      <x:c r="K52" s="17" t="str"/>
      <x:c r="L52" s="30" t="str"/>
      <x:c r="M52" s="30" t="str"/>
      <x:c r="N52" s="30" t="str">
        <x:v>https://www.unprme.org/search/</x:v>
      </x:c>
      <x:c r="O52" s="39"/>
      <x:c r="P52" s="17" t="str"/>
      <x:c r="Q52" s="17" t="str">
        <x:v>No reliable signatory match</x:v>
      </x:c>
    </x:row>
    <x:row r="53">
      <x:c r="A53" s="17" t="n">
        <x:v>49</x:v>
      </x:c>
      <x:c r="B53" s="17" t="str">
        <x:v>University of Exeter</x:v>
      </x:c>
      <x:c r="C53" s="17" t="str">
        <x:v>United Kingdom</x:v>
      </x:c>
      <x:c r="D53" s="17" t="str">
        <x:v>Verified - Verified alias</x:v>
      </x:c>
      <x:c r="E53" s="17" t="str">
        <x:v>University of Exeter Business School</x:v>
      </x:c>
      <x:c r="F53" s="17" t="str">
        <x:v>Communicating Signatory</x:v>
      </x:c>
      <x:c r="G53" s="17" t="str">
        <x:v>May 20 2010</x:v>
      </x:c>
      <x:c r="H53" s="38" t="n">
        <x:v>3</x:v>
      </x:c>
      <x:c r="I53" s="38" t="n">
        <x:v>2025</x:v>
      </x:c>
      <x:c r="J53" s="17" t="str">
        <x:v>2025-09-26</x:v>
      </x:c>
      <x:c r="K53" s="17" t="str">
        <x:v>University of Exeter Business School - 2025 - SIP Report</x:v>
      </x:c>
      <x:c r="L53" s="30" t="str">
        <x:v>https://commons-static.s3.amazonaws.com/reports/855679730970f8a0fca717e82e76cc93053c09c1/University+of+Exeter+Business+School+-+SIP+2025.pdf</x:v>
      </x:c>
      <x:c r="M53" s="30" t="str">
        <x:v>https://www.unprme.org/university-of-exeter-business-school/</x:v>
      </x:c>
      <x:c r="N53" s="30" t="str">
        <x:v>https://www.unprme.org/search/</x:v>
      </x:c>
      <x:c r="O53" s="39" t="n">
        <x:v>1</x:v>
      </x:c>
      <x:c r="P53" s="17" t="str">
        <x:v>University of Exeter Business School</x:v>
      </x:c>
      <x:c r="Q53" s="17" t="str">
        <x:v>Verified against the current UN PRME signatory directory; school-level scope is not promoted to the entire university.</x:v>
      </x:c>
    </x:row>
    <x:row r="54">
      <x:c r="A54" s="17" t="n">
        <x:v>50</x:v>
      </x:c>
      <x:c r="B54" s="17" t="str">
        <x:v>The University of Queensland</x:v>
      </x:c>
      <x:c r="C54" s="17" t="str">
        <x:v>Australia</x:v>
      </x:c>
      <x:c r="D54" s="17" t="str">
        <x:v>Verified - Verified alias</x:v>
      </x:c>
      <x:c r="E54" s="17" t="str">
        <x:v>University of Queensland Business School</x:v>
      </x:c>
      <x:c r="F54" s="17" t="str">
        <x:v>Communicating Signatory</x:v>
      </x:c>
      <x:c r="G54" s="17" t="str">
        <x:v>Nov 06 2015</x:v>
      </x:c>
      <x:c r="H54" s="38" t="n">
        <x:v>3</x:v>
      </x:c>
      <x:c r="I54" s="38" t="n">
        <x:v>2025</x:v>
      </x:c>
      <x:c r="J54" s="17" t="str">
        <x:v>2025-08-13</x:v>
      </x:c>
      <x:c r="K54" s="17" t="str">
        <x:v>University of Queensland Business School - 2025 - SIP Report</x:v>
      </x:c>
      <x:c r="L54" s="30" t="str">
        <x:v>https://commons-static.s3.amazonaws.com/reports/2134834173800a88be598393763c66c179d793a1/University+of+Queensland+Business+School+-+SIP+2025.pdf</x:v>
      </x:c>
      <x:c r="M54" s="30" t="str">
        <x:v>https://www.unprme.org/university-of-queensland-business-school/</x:v>
      </x:c>
      <x:c r="N54" s="30" t="str">
        <x:v>https://www.unprme.org/search/</x:v>
      </x:c>
      <x:c r="O54" s="39" t="n">
        <x:v>1</x:v>
      </x:c>
      <x:c r="P54" s="17" t="str">
        <x:v>University of Queensland Business School</x:v>
      </x:c>
      <x:c r="Q54" s="17" t="str">
        <x:v>Verified against the current UN PRME signatory directory; school-level scope is not promoted to the entire university.</x:v>
      </x:c>
    </x:row>
    <x:row r="55">
      <x:c r="A55" s="17" t="n">
        <x:v>51</x:v>
      </x:c>
      <x:c r="B55" s="17" t="str">
        <x:v>University of Gothenburg</x:v>
      </x:c>
      <x:c r="C55" s="17" t="str">
        <x:v>Sweden</x:v>
      </x:c>
      <x:c r="D55" s="17" t="str">
        <x:v>Verified - Verified alias</x:v>
      </x:c>
      <x:c r="E55" s="17" t="str">
        <x:v>The School of Business, Economics and Law at University of Gothenburg</x:v>
      </x:c>
      <x:c r="F55" s="17" t="str">
        <x:v>Non Communicating Signatory</x:v>
      </x:c>
      <x:c r="G55" s="17" t="str">
        <x:v>Oct 22 2010</x:v>
      </x:c>
      <x:c r="H55" s="38" t="n">
        <x:v>0</x:v>
      </x:c>
      <x:c r="I55" s="38"/>
      <x:c r="J55" s="17" t="str"/>
      <x:c r="K55" s="17" t="str"/>
      <x:c r="L55" s="30" t="str"/>
      <x:c r="M55" s="30" t="str">
        <x:v>https://www.unprme.org/the-school-of-business-economics-and-law-at-university-of-gothenburg/</x:v>
      </x:c>
      <x:c r="N55" s="30" t="str">
        <x:v>https://www.unprme.org/search/</x:v>
      </x:c>
      <x:c r="O55" s="39" t="n">
        <x:v>1</x:v>
      </x:c>
      <x:c r="P55" s="17" t="str">
        <x:v>School of Business, Economics and Law at the University of Gothenburg</x:v>
      </x:c>
      <x:c r="Q55" s="17" t="str">
        <x:v>Verified against the current UN PRME signatory directory; school-level scope is not promoted to the entire university.</x:v>
      </x:c>
    </x:row>
    <x:row r="56">
      <x:c r="A56" s="17" t="n">
        <x:v>52</x:v>
      </x:c>
      <x:c r="B56" s="17" t="str">
        <x:v>Griffith University</x:v>
      </x:c>
      <x:c r="C56" s="17" t="str">
        <x:v>Australia</x:v>
      </x:c>
      <x:c r="D56" s="17" t="str">
        <x:v>Verified - Verified alias</x:v>
      </x:c>
      <x:c r="E56" s="17" t="str">
        <x:v>Griffith Business School</x:v>
      </x:c>
      <x:c r="F56" s="17" t="str">
        <x:v>Communicating Signatory</x:v>
      </x:c>
      <x:c r="G56" s="17" t="str">
        <x:v>Apr 01 2008</x:v>
      </x:c>
      <x:c r="H56" s="38" t="n">
        <x:v>2</x:v>
      </x:c>
      <x:c r="I56" s="38" t="n">
        <x:v>2025</x:v>
      </x:c>
      <x:c r="J56" s="17" t="str">
        <x:v>2025-09-02</x:v>
      </x:c>
      <x:c r="K56" s="17" t="str">
        <x:v>Griffith Business School - 2025 - SIP Report</x:v>
      </x:c>
      <x:c r="L56" s="30" t="str">
        <x:v>https://commons-static.s3.amazonaws.com/reports/b4ef7df17d3dc74720cd2a8fe98a173f9576d007/Griffith+Business+School+-+SIP+2025.pdf</x:v>
      </x:c>
      <x:c r="M56" s="30" t="str">
        <x:v>https://www.unprme.org/griffith-business-school/</x:v>
      </x:c>
      <x:c r="N56" s="30" t="str">
        <x:v>https://www.unprme.org/search/</x:v>
      </x:c>
      <x:c r="O56" s="39" t="n">
        <x:v>1</x:v>
      </x:c>
      <x:c r="P56" s="17" t="str">
        <x:v>Griffith Business School</x:v>
      </x:c>
      <x:c r="Q56" s="17" t="str">
        <x:v>Verified against the current UN PRME signatory directory; school-level scope is not promoted to the entire university.</x:v>
      </x:c>
    </x:row>
    <x:row r="57">
      <x:c r="A57" s="17" t="n">
        <x:v>53</x:v>
      </x:c>
      <x:c r="B57" s="17" t="str">
        <x:v>Western Sydney University</x:v>
      </x:c>
      <x:c r="C57" s="17" t="str">
        <x:v>Australia</x:v>
      </x:c>
      <x:c r="D57" s="17" t="str">
        <x:v>No verified match</x:v>
      </x:c>
      <x:c r="E57" s="17" t="str"/>
      <x:c r="F57" s="17" t="str"/>
      <x:c r="G57" s="17" t="str"/>
      <x:c r="H57" s="38"/>
      <x:c r="I57" s="38"/>
      <x:c r="J57" s="17" t="str"/>
      <x:c r="K57" s="17" t="str"/>
      <x:c r="L57" s="30" t="str"/>
      <x:c r="M57" s="30" t="str"/>
      <x:c r="N57" s="30" t="str">
        <x:v>https://www.unprme.org/search/</x:v>
      </x:c>
      <x:c r="O57" s="39"/>
      <x:c r="P57" s="17" t="str"/>
      <x:c r="Q57" s="17" t="str">
        <x:v>Manual review candidate only: The University of Sydney Business School</x:v>
      </x:c>
    </x:row>
    <x:row r="58">
      <x:c r="A58" s="17" t="n">
        <x:v>54</x:v>
      </x:c>
      <x:c r="B58" s="17" t="str">
        <x:v>Queen's University</x:v>
      </x:c>
      <x:c r="C58" s="17" t="str">
        <x:v>Canada</x:v>
      </x:c>
      <x:c r="D58" s="17" t="str">
        <x:v>Verified - Verified alias</x:v>
      </x:c>
      <x:c r="E58" s="17" t="str">
        <x:v>Smith School of Business</x:v>
      </x:c>
      <x:c r="F58" s="17" t="str">
        <x:v>Non Communicating Signatory</x:v>
      </x:c>
      <x:c r="G58" s="17" t="str">
        <x:v>Apr 01 2008</x:v>
      </x:c>
      <x:c r="H58" s="38" t="n">
        <x:v>1</x:v>
      </x:c>
      <x:c r="I58" s="38" t="n">
        <x:v>2022</x:v>
      </x:c>
      <x:c r="J58" s="17" t="str">
        <x:v>2022-03-25</x:v>
      </x:c>
      <x:c r="K58" s="17" t="str">
        <x:v>Smith School of Business - 2022 - Sip Report</x:v>
      </x:c>
      <x:c r="L58" s="30" t="str">
        <x:v>https://d30mzt1bxg5llt.cloudfront.net/public/uploads/sip-reports/PRME_Report_2022.pdf</x:v>
      </x:c>
      <x:c r="M58" s="30" t="str">
        <x:v>https://www.unprme.org/smith-school-of-business/</x:v>
      </x:c>
      <x:c r="N58" s="30" t="str">
        <x:v>https://www.unprme.org/search/</x:v>
      </x:c>
      <x:c r="O58" s="39" t="n">
        <x:v>1</x:v>
      </x:c>
      <x:c r="P58" s="17" t="str">
        <x:v>Smith School of Business</x:v>
      </x:c>
      <x:c r="Q58" s="17" t="str">
        <x:v>Verified against the current UN PRME signatory directory; school-level scope is not promoted to the entire university.</x:v>
      </x:c>
    </x:row>
    <x:row r="59">
      <x:c r="A59" s="17" t="n">
        <x:v>55</x:v>
      </x:c>
      <x:c r="B59" s="17" t="str">
        <x:v>Universiti Sains Malaysia</x:v>
      </x:c>
      <x:c r="C59" s="17" t="str">
        <x:v>Malaysia</x:v>
      </x:c>
      <x:c r="D59" s="17" t="str">
        <x:v>Verified - Verified alias</x:v>
      </x:c>
      <x:c r="E59" s="17" t="str">
        <x:v>Graduate School of Business, Universiti Sains Malaysia</x:v>
      </x:c>
      <x:c r="F59" s="17" t="str">
        <x:v>Communicating Signatory</x:v>
      </x:c>
      <x:c r="G59" s="17" t="str">
        <x:v>Apr 22 2014</x:v>
      </x:c>
      <x:c r="H59" s="38" t="n">
        <x:v>0</x:v>
      </x:c>
      <x:c r="I59" s="38"/>
      <x:c r="J59" s="17" t="str"/>
      <x:c r="K59" s="17" t="str"/>
      <x:c r="L59" s="30" t="str"/>
      <x:c r="M59" s="30" t="str">
        <x:v>https://www.unprme.org/graduate-school-of-business/</x:v>
      </x:c>
      <x:c r="N59" s="30" t="str">
        <x:v>https://www.unprme.org/search/</x:v>
      </x:c>
      <x:c r="O59" s="39" t="n">
        <x:v>1</x:v>
      </x:c>
      <x:c r="P59" s="17" t="str">
        <x:v>Graduate School of Business, Universiti Sains Malaysia</x:v>
      </x:c>
      <x:c r="Q59" s="17" t="str">
        <x:v>Verified against the current UN PRME signatory directory; school-level scope is not promoted to the entire university.</x:v>
      </x:c>
    </x:row>
    <x:row r="60">
      <x:c r="A60" s="17" t="n">
        <x:v>56</x:v>
      </x:c>
      <x:c r="B60" s="17" t="str">
        <x:v>Hanyang University</x:v>
      </x:c>
      <x:c r="C60" s="17" t="str">
        <x:v>South Korea</x:v>
      </x:c>
      <x:c r="D60" s="17" t="str">
        <x:v>No verified match</x:v>
      </x:c>
      <x:c r="E60" s="17" t="str"/>
      <x:c r="F60" s="17" t="str"/>
      <x:c r="G60" s="17" t="str"/>
      <x:c r="H60" s="38"/>
      <x:c r="I60" s="38"/>
      <x:c r="J60" s="17" t="str"/>
      <x:c r="K60" s="17" t="str"/>
      <x:c r="L60" s="30" t="str"/>
      <x:c r="M60" s="30" t="str"/>
      <x:c r="N60" s="30" t="str">
        <x:v>https://www.unprme.org/search/</x:v>
      </x:c>
      <x:c r="O60" s="39"/>
      <x:c r="P60" s="17" t="str"/>
      <x:c r="Q60" s="17" t="str">
        <x:v>No country-compatible signatory</x:v>
      </x:c>
    </x:row>
    <x:row r="61">
      <x:c r="A61" s="17" t="n">
        <x:v>57</x:v>
      </x:c>
      <x:c r="B61" s="17" t="str">
        <x:v>Hokkaido University</x:v>
      </x:c>
      <x:c r="C61" s="17" t="str">
        <x:v>Japan</x:v>
      </x:c>
      <x:c r="D61" s="17" t="str">
        <x:v>No verified match</x:v>
      </x:c>
      <x:c r="E61" s="17" t="str"/>
      <x:c r="F61" s="17" t="str"/>
      <x:c r="G61" s="17" t="str"/>
      <x:c r="H61" s="38"/>
      <x:c r="I61" s="38"/>
      <x:c r="J61" s="17" t="str"/>
      <x:c r="K61" s="17" t="str"/>
      <x:c r="L61" s="30" t="str"/>
      <x:c r="M61" s="30" t="str"/>
      <x:c r="N61" s="30" t="str">
        <x:v>https://www.unprme.org/search/</x:v>
      </x:c>
      <x:c r="O61" s="39"/>
      <x:c r="P61" s="17" t="str"/>
      <x:c r="Q61" s="17" t="str">
        <x:v>No reliable signatory match</x:v>
      </x:c>
    </x:row>
    <x:row r="62">
      <x:c r="A62" s="17" t="n">
        <x:v>58</x:v>
      </x:c>
      <x:c r="B62" s="17" t="str">
        <x:v>Universiti Kebangsaan Malaysia</x:v>
      </x:c>
      <x:c r="C62" s="17" t="str">
        <x:v>Malaysia</x:v>
      </x:c>
      <x:c r="D62" s="17" t="str">
        <x:v>No verified match</x:v>
      </x:c>
      <x:c r="E62" s="17" t="str"/>
      <x:c r="F62" s="17" t="str"/>
      <x:c r="G62" s="17" t="str"/>
      <x:c r="H62" s="38"/>
      <x:c r="I62" s="38"/>
      <x:c r="J62" s="17" t="str"/>
      <x:c r="K62" s="17" t="str"/>
      <x:c r="L62" s="30" t="str"/>
      <x:c r="M62" s="30" t="str"/>
      <x:c r="N62" s="30" t="str">
        <x:v>https://www.unprme.org/search/</x:v>
      </x:c>
      <x:c r="O62" s="39"/>
      <x:c r="P62" s="17" t="str"/>
      <x:c r="Q62" s="17" t="str">
        <x:v>Manual review candidate only: Graduate School of Business, Universiti Sains Malaysia</x:v>
      </x:c>
    </x:row>
    <x:row r="63">
      <x:c r="A63" s="17" t="n">
        <x:v>59</x:v>
      </x:c>
      <x:c r="B63" s="17" t="str">
        <x:v>Institut Agro</x:v>
      </x:c>
      <x:c r="C63" s="17" t="str">
        <x:v>France</x:v>
      </x:c>
      <x:c r="D63" s="17" t="str">
        <x:v>No verified match</x:v>
      </x:c>
      <x:c r="E63" s="17" t="str"/>
      <x:c r="F63" s="17" t="str"/>
      <x:c r="G63" s="17" t="str"/>
      <x:c r="H63" s="38"/>
      <x:c r="I63" s="38"/>
      <x:c r="J63" s="17" t="str"/>
      <x:c r="K63" s="17" t="str"/>
      <x:c r="L63" s="30" t="str"/>
      <x:c r="M63" s="30" t="str"/>
      <x:c r="N63" s="30" t="str">
        <x:v>https://www.unprme.org/search/</x:v>
      </x:c>
      <x:c r="O63" s="39"/>
      <x:c r="P63" s="17" t="str"/>
      <x:c r="Q63" s="17" t="str">
        <x:v>No reliable signatory match</x:v>
      </x:c>
    </x:row>
    <x:row r="64">
      <x:c r="A64" s="17" t="n">
        <x:v>60</x:v>
      </x:c>
      <x:c r="B64" s="17" t="str">
        <x:v>National Taiwan University (NTU)</x:v>
      </x:c>
      <x:c r="C64" s="17" t="str">
        <x:v>Taiwan</x:v>
      </x:c>
      <x:c r="D64" s="17" t="str">
        <x:v>No verified match</x:v>
      </x:c>
      <x:c r="E64" s="17" t="str"/>
      <x:c r="F64" s="17" t="str"/>
      <x:c r="G64" s="17" t="str"/>
      <x:c r="H64" s="38"/>
      <x:c r="I64" s="38"/>
      <x:c r="J64" s="17" t="str"/>
      <x:c r="K64" s="17" t="str"/>
      <x:c r="L64" s="30" t="str"/>
      <x:c r="M64" s="30" t="str"/>
      <x:c r="N64" s="30" t="str">
        <x:v>https://www.unprme.org/search/</x:v>
      </x:c>
      <x:c r="O64" s="39"/>
      <x:c r="P64" s="17" t="str"/>
      <x:c r="Q64" s="17" t="str">
        <x:v>No reliable signatory match</x:v>
      </x:c>
    </x:row>
    <x:row r="65">
      <x:c r="A65" s="17" t="n">
        <x:v>61</x:v>
      </x:c>
      <x:c r="B65" s="17" t="str">
        <x:v>University of Alberta</x:v>
      </x:c>
      <x:c r="C65" s="17" t="str">
        <x:v>Canada</x:v>
      </x:c>
      <x:c r="D65" s="17" t="str">
        <x:v>No verified match</x:v>
      </x:c>
      <x:c r="E65" s="17" t="str"/>
      <x:c r="F65" s="17" t="str"/>
      <x:c r="G65" s="17" t="str"/>
      <x:c r="H65" s="38"/>
      <x:c r="I65" s="38"/>
      <x:c r="J65" s="17" t="str"/>
      <x:c r="K65" s="17" t="str"/>
      <x:c r="L65" s="30" t="str"/>
      <x:c r="M65" s="30" t="str"/>
      <x:c r="N65" s="30" t="str">
        <x:v>https://www.unprme.org/search/</x:v>
      </x:c>
      <x:c r="O65" s="39"/>
      <x:c r="P65" s="17" t="str"/>
      <x:c r="Q65" s="17" t="str">
        <x:v>No reliable signatory match</x:v>
      </x:c>
    </x:row>
    <x:row r="66">
      <x:c r="A66" s="17" t="n">
        <x:v>62</x:v>
      </x:c>
      <x:c r="B66" s="17" t="str">
        <x:v>Korea University</x:v>
      </x:c>
      <x:c r="C66" s="17" t="str">
        <x:v>South Korea</x:v>
      </x:c>
      <x:c r="D66" s="17" t="str">
        <x:v>No verified match</x:v>
      </x:c>
      <x:c r="E66" s="17" t="str"/>
      <x:c r="F66" s="17" t="str"/>
      <x:c r="G66" s="17" t="str"/>
      <x:c r="H66" s="38"/>
      <x:c r="I66" s="38"/>
      <x:c r="J66" s="17" t="str"/>
      <x:c r="K66" s="17" t="str"/>
      <x:c r="L66" s="30" t="str"/>
      <x:c r="M66" s="30" t="str"/>
      <x:c r="N66" s="30" t="str">
        <x:v>https://www.unprme.org/search/</x:v>
      </x:c>
      <x:c r="O66" s="39"/>
      <x:c r="P66" s="17" t="str"/>
      <x:c r="Q66" s="17" t="str">
        <x:v>No country-compatible signatory</x:v>
      </x:c>
    </x:row>
    <x:row r="67">
      <x:c r="A67" s="17" t="n">
        <x:v>63</x:v>
      </x:c>
      <x:c r="B67" s="17" t="str">
        <x:v>Universitas Airlangga</x:v>
      </x:c>
      <x:c r="C67" s="17" t="str">
        <x:v>Indonesia</x:v>
      </x:c>
      <x:c r="D67" s="17" t="str">
        <x:v>Verified - Exact/contained institution</x:v>
      </x:c>
      <x:c r="E67" s="17" t="str">
        <x:v>Universitas Airlangga</x:v>
      </x:c>
      <x:c r="F67" s="17" t="str">
        <x:v>Communicating Signatory</x:v>
      </x:c>
      <x:c r="G67" s="17" t="str">
        <x:v>Feb 06 2025</x:v>
      </x:c>
      <x:c r="H67" s="38" t="n">
        <x:v>0</x:v>
      </x:c>
      <x:c r="I67" s="38"/>
      <x:c r="J67" s="17" t="str"/>
      <x:c r="K67" s="17" t="str"/>
      <x:c r="L67" s="30" t="str"/>
      <x:c r="M67" s="30" t="str">
        <x:v>https://www.unprme.org/universitas-airlangga/</x:v>
      </x:c>
      <x:c r="N67" s="30" t="str">
        <x:v>https://www.unprme.org/search/</x:v>
      </x:c>
      <x:c r="O67" s="39" t="n">
        <x:v>1</x:v>
      </x:c>
      <x:c r="P67" s="17" t="str">
        <x:v>Universitas Airlangga</x:v>
      </x:c>
      <x:c r="Q67" s="17" t="str">
        <x:v>Verified against the current UN PRME signatory directory; school-level scope is not promoted to the entire university.</x:v>
      </x:c>
    </x:row>
    <x:row r="68">
      <x:c r="A68" s="17" t="n">
        <x:v>64</x:v>
      </x:c>
      <x:c r="B68" s="17" t="str">
        <x:v>Pusan National University</x:v>
      </x:c>
      <x:c r="C68" s="17" t="str">
        <x:v>South Korea</x:v>
      </x:c>
      <x:c r="D68" s="17" t="str">
        <x:v>No verified match</x:v>
      </x:c>
      <x:c r="E68" s="17" t="str"/>
      <x:c r="F68" s="17" t="str"/>
      <x:c r="G68" s="17" t="str"/>
      <x:c r="H68" s="38"/>
      <x:c r="I68" s="38"/>
      <x:c r="J68" s="17" t="str"/>
      <x:c r="K68" s="17" t="str"/>
      <x:c r="L68" s="30" t="str"/>
      <x:c r="M68" s="30" t="str"/>
      <x:c r="N68" s="30" t="str">
        <x:v>https://www.unprme.org/search/</x:v>
      </x:c>
      <x:c r="O68" s="39"/>
      <x:c r="P68" s="17" t="str"/>
      <x:c r="Q68" s="17" t="str">
        <x:v>No country-compatible signatory</x:v>
      </x:c>
    </x:row>
    <x:row r="69">
      <x:c r="A69" s="17" t="n">
        <x:v>65</x:v>
      </x:c>
      <x:c r="B69" s="17" t="str">
        <x:v>University of Tasmania</x:v>
      </x:c>
      <x:c r="C69" s="17" t="str">
        <x:v>Australia</x:v>
      </x:c>
      <x:c r="D69" s="17" t="str">
        <x:v>Verified - Verified alias</x:v>
      </x:c>
      <x:c r="E69" s="17" t="str">
        <x:v>The Tasmanian School of Business and Economics</x:v>
      </x:c>
      <x:c r="F69" s="17" t="str">
        <x:v>Communicating Signatory</x:v>
      </x:c>
      <x:c r="G69" s="17" t="str">
        <x:v>Nov 18 2021</x:v>
      </x:c>
      <x:c r="H69" s="38" t="n">
        <x:v>3</x:v>
      </x:c>
      <x:c r="I69" s="38" t="n">
        <x:v>2026</x:v>
      </x:c>
      <x:c r="J69" s="17" t="str">
        <x:v>2026-03-18</x:v>
      </x:c>
      <x:c r="K69" s="17" t="str">
        <x:v>The Tasmanian School of Business and Economics - SIP 2026</x:v>
      </x:c>
      <x:c r="L69" s="30" t="str">
        <x:v>https://commons-static.s3.amazonaws.com/reports/c9ca442765657fc90e9e779c34d0d2259d2c3c5b/The+Tasmanian+School+of+Business+and+Economics+-+SIP+2026.pdf</x:v>
      </x:c>
      <x:c r="M69" s="30" t="str">
        <x:v>https://www.unprme.org/university-of-tasmania/</x:v>
      </x:c>
      <x:c r="N69" s="30" t="str">
        <x:v>https://www.unprme.org/search/</x:v>
      </x:c>
      <x:c r="O69" s="39" t="n">
        <x:v>1</x:v>
      </x:c>
      <x:c r="P69" s="17" t="str">
        <x:v>Tasmanian School of Business and Economics</x:v>
      </x:c>
      <x:c r="Q69" s="17" t="str">
        <x:v>Verified against the current UN PRME signatory directory; school-level scope is not promoted to the entire university.</x:v>
      </x:c>
    </x:row>
    <x:row r="70">
      <x:c r="A70" s="17" t="n">
        <x:v>66</x:v>
      </x:c>
      <x:c r="B70" s="17" t="str">
        <x:v>McMaster University</x:v>
      </x:c>
      <x:c r="C70" s="17" t="str">
        <x:v>Canada</x:v>
      </x:c>
      <x:c r="D70" s="17" t="str">
        <x:v>No verified match</x:v>
      </x:c>
      <x:c r="E70" s="17" t="str"/>
      <x:c r="F70" s="17" t="str"/>
      <x:c r="G70" s="17" t="str"/>
      <x:c r="H70" s="38"/>
      <x:c r="I70" s="38"/>
      <x:c r="J70" s="17" t="str"/>
      <x:c r="K70" s="17" t="str"/>
      <x:c r="L70" s="30" t="str"/>
      <x:c r="M70" s="30" t="str"/>
      <x:c r="N70" s="30" t="str">
        <x:v>https://www.unprme.org/search/</x:v>
      </x:c>
      <x:c r="O70" s="39"/>
      <x:c r="P70" s="17" t="str"/>
      <x:c r="Q70" s="17" t="str">
        <x:v>No reliable signatory match</x:v>
      </x:c>
    </x:row>
    <x:row r="71">
      <x:c r="A71" s="17" t="n">
        <x:v>67</x:v>
      </x:c>
      <x:c r="B71" s="17" t="str">
        <x:v>Chulalongkorn University</x:v>
      </x:c>
      <x:c r="C71" s="17" t="str">
        <x:v>Thailand</x:v>
      </x:c>
      <x:c r="D71" s="17" t="str">
        <x:v>Verified - Verified alias</x:v>
      </x:c>
      <x:c r="E71" s="17" t="str">
        <x:v>Chulalongkorn Business School</x:v>
      </x:c>
      <x:c r="F71" s="17" t="str">
        <x:v>Communicating Signatory</x:v>
      </x:c>
      <x:c r="G71" s="17" t="str">
        <x:v>Nov 24 2025</x:v>
      </x:c>
      <x:c r="H71" s="38" t="n">
        <x:v>0</x:v>
      </x:c>
      <x:c r="I71" s="38"/>
      <x:c r="J71" s="17" t="str"/>
      <x:c r="K71" s="17" t="str"/>
      <x:c r="L71" s="30" t="str"/>
      <x:c r="M71" s="30" t="str">
        <x:v>https://www.unprme.org/chulalongkorn-business-school/</x:v>
      </x:c>
      <x:c r="N71" s="30" t="str">
        <x:v>https://www.unprme.org/search/</x:v>
      </x:c>
      <x:c r="O71" s="39" t="n">
        <x:v>1</x:v>
      </x:c>
      <x:c r="P71" s="17" t="str">
        <x:v>Chulalongkorn Business School</x:v>
      </x:c>
      <x:c r="Q71" s="17" t="str">
        <x:v>Verified against the current UN PRME signatory directory; school-level scope is not promoted to the entire university.</x:v>
      </x:c>
    </x:row>
    <x:row r="72">
      <x:c r="A72" s="17" t="n">
        <x:v>68</x:v>
      </x:c>
      <x:c r="B72" s="17" t="str">
        <x:v>Kyungpook National University (KNU)</x:v>
      </x:c>
      <x:c r="C72" s="17" t="str">
        <x:v>South Korea</x:v>
      </x:c>
      <x:c r="D72" s="17" t="str">
        <x:v>No verified match</x:v>
      </x:c>
      <x:c r="E72" s="17" t="str"/>
      <x:c r="F72" s="17" t="str"/>
      <x:c r="G72" s="17" t="str"/>
      <x:c r="H72" s="38"/>
      <x:c r="I72" s="38"/>
      <x:c r="J72" s="17" t="str"/>
      <x:c r="K72" s="17" t="str"/>
      <x:c r="L72" s="30" t="str"/>
      <x:c r="M72" s="30" t="str"/>
      <x:c r="N72" s="30" t="str">
        <x:v>https://www.unprme.org/search/</x:v>
      </x:c>
      <x:c r="O72" s="39"/>
      <x:c r="P72" s="17" t="str"/>
      <x:c r="Q72" s="17" t="str">
        <x:v>No country-compatible signatory</x:v>
      </x:c>
    </x:row>
    <x:row r="73">
      <x:c r="A73" s="17" t="n">
        <x:v>69</x:v>
      </x:c>
      <x:c r="B73" s="17" t="str">
        <x:v>The Hong Kong University of Science and Technology</x:v>
      </x:c>
      <x:c r="C73" s="17" t="str">
        <x:v>Hong Kong</x:v>
      </x:c>
      <x:c r="D73" s="17" t="str">
        <x:v>Verified - Verified alias</x:v>
      </x:c>
      <x:c r="E73" s="17" t="str">
        <x:v>HKUST Business School</x:v>
      </x:c>
      <x:c r="F73" s="17" t="str">
        <x:v>Non Communicating Signatory</x:v>
      </x:c>
      <x:c r="G73" s="17" t="str">
        <x:v>Oct 23 2009</x:v>
      </x:c>
      <x:c r="H73" s="38" t="n">
        <x:v>0</x:v>
      </x:c>
      <x:c r="I73" s="38" t="n">
        <x:v>2015</x:v>
      </x:c>
      <x:c r="J73" s="17" t="str">
        <x:v>2015-09-10</x:v>
      </x:c>
      <x:c r="K73" s="17" t="str">
        <x:v>HKUST Business School - 2015 - SIP Report</x:v>
      </x:c>
      <x:c r="L73" s="30" t="str">
        <x:v>https://d30mzt1bxg5llt.cloudfront.net/public/uploads/sip-reports/PRMEReportfromHKUSTJune2013toJune2015.doc</x:v>
      </x:c>
      <x:c r="M73" s="30" t="str">
        <x:v>https://www.unprme.org/hkust-business-school/</x:v>
      </x:c>
      <x:c r="N73" s="30" t="str">
        <x:v>https://www.unprme.org/search/</x:v>
      </x:c>
      <x:c r="O73" s="39" t="n">
        <x:v>1</x:v>
      </x:c>
      <x:c r="P73" s="17" t="str">
        <x:v>HKUST Business School</x:v>
      </x:c>
      <x:c r="Q73" s="17" t="str">
        <x:v>Verified against the current UN PRME signatory directory; school-level scope is not promoted to the entire university.</x:v>
      </x:c>
    </x:row>
    <x:row r="74">
      <x:c r="A74" s="17" t="n">
        <x:v>70</x:v>
      </x:c>
      <x:c r="B74" s="17" t="str">
        <x:v>Lovely Professional University</x:v>
      </x:c>
      <x:c r="C74" s="17" t="str">
        <x:v>India</x:v>
      </x:c>
      <x:c r="D74" s="17" t="str">
        <x:v>No verified match</x:v>
      </x:c>
      <x:c r="E74" s="17" t="str"/>
      <x:c r="F74" s="17" t="str"/>
      <x:c r="G74" s="17" t="str"/>
      <x:c r="H74" s="38"/>
      <x:c r="I74" s="38"/>
      <x:c r="J74" s="17" t="str"/>
      <x:c r="K74" s="17" t="str"/>
      <x:c r="L74" s="30" t="str"/>
      <x:c r="M74" s="30" t="str"/>
      <x:c r="N74" s="30" t="str">
        <x:v>https://www.unprme.org/search/</x:v>
      </x:c>
      <x:c r="O74" s="39"/>
      <x:c r="P74" s="17" t="str"/>
      <x:c r="Q74" s="17" t="str">
        <x:v>Manual review candidate only: Amrita School of Business</x:v>
      </x:c>
    </x:row>
    <x:row r="75">
      <x:c r="A75" s="17" t="n">
        <x:v>71</x:v>
      </x:c>
      <x:c r="B75" s="17" t="str">
        <x:v>University of Malaya</x:v>
      </x:c>
      <x:c r="C75" s="17" t="str">
        <x:v>Malaysia</x:v>
      </x:c>
      <x:c r="D75" s="17" t="str">
        <x:v>No verified match</x:v>
      </x:c>
      <x:c r="E75" s="17" t="str"/>
      <x:c r="F75" s="17" t="str"/>
      <x:c r="G75" s="17" t="str"/>
      <x:c r="H75" s="38"/>
      <x:c r="I75" s="38"/>
      <x:c r="J75" s="17" t="str"/>
      <x:c r="K75" s="17" t="str"/>
      <x:c r="L75" s="30" t="str"/>
      <x:c r="M75" s="30" t="str"/>
      <x:c r="N75" s="30" t="str">
        <x:v>https://www.unprme.org/search/</x:v>
      </x:c>
      <x:c r="O75" s="39"/>
      <x:c r="P75" s="17" t="str"/>
      <x:c r="Q75" s="17" t="str">
        <x:v>No reliable signatory match</x:v>
      </x:c>
    </x:row>
    <x:row r="76">
      <x:c r="A76" s="17" t="n">
        <x:v>72</x:v>
      </x:c>
      <x:c r="B76" s="17" t="str">
        <x:v>Aalborg University</x:v>
      </x:c>
      <x:c r="C76" s="17" t="str">
        <x:v>Denmark</x:v>
      </x:c>
      <x:c r="D76" s="17" t="str">
        <x:v>No verified match</x:v>
      </x:c>
      <x:c r="E76" s="17" t="str"/>
      <x:c r="F76" s="17" t="str"/>
      <x:c r="G76" s="17" t="str"/>
      <x:c r="H76" s="38"/>
      <x:c r="I76" s="38"/>
      <x:c r="J76" s="17" t="str"/>
      <x:c r="K76" s="17" t="str"/>
      <x:c r="L76" s="30" t="str"/>
      <x:c r="M76" s="30" t="str"/>
      <x:c r="N76" s="30" t="str">
        <x:v>https://www.unprme.org/search/</x:v>
      </x:c>
      <x:c r="O76" s="39"/>
      <x:c r="P76" s="17" t="str"/>
      <x:c r="Q76" s="17" t="str">
        <x:v>No reliable signatory match</x:v>
      </x:c>
    </x:row>
    <x:row r="77">
      <x:c r="A77" s="17" t="n">
        <x:v>73</x:v>
      </x:c>
      <x:c r="B77" s="17" t="str">
        <x:v>Kyung Hee University</x:v>
      </x:c>
      <x:c r="C77" s="17" t="str">
        <x:v>South Korea</x:v>
      </x:c>
      <x:c r="D77" s="17" t="str">
        <x:v>No verified match</x:v>
      </x:c>
      <x:c r="E77" s="17" t="str"/>
      <x:c r="F77" s="17" t="str"/>
      <x:c r="G77" s="17" t="str"/>
      <x:c r="H77" s="38"/>
      <x:c r="I77" s="38"/>
      <x:c r="J77" s="17" t="str"/>
      <x:c r="K77" s="17" t="str"/>
      <x:c r="L77" s="30" t="str"/>
      <x:c r="M77" s="30" t="str"/>
      <x:c r="N77" s="30" t="str">
        <x:v>https://www.unprme.org/search/</x:v>
      </x:c>
      <x:c r="O77" s="39"/>
      <x:c r="P77" s="17" t="str"/>
      <x:c r="Q77" s="17" t="str">
        <x:v>No country-compatible signatory</x:v>
      </x:c>
    </x:row>
    <x:row r="78">
      <x:c r="A78" s="17" t="n">
        <x:v>74</x:v>
      </x:c>
      <x:c r="B78" s="17" t="str">
        <x:v>University of Victoria</x:v>
      </x:c>
      <x:c r="C78" s="17" t="str">
        <x:v>Canada</x:v>
      </x:c>
      <x:c r="D78" s="17" t="str">
        <x:v>Verified - Verified alias</x:v>
      </x:c>
      <x:c r="E78" s="17" t="str">
        <x:v>Gustavson School of Business</x:v>
      </x:c>
      <x:c r="F78" s="17" t="str">
        <x:v>Communicating Signatory</x:v>
      </x:c>
      <x:c r="G78" s="17" t="str">
        <x:v>Jan 15 2009</x:v>
      </x:c>
      <x:c r="H78" s="38" t="n">
        <x:v>3</x:v>
      </x:c>
      <x:c r="I78" s="38" t="n">
        <x:v>2025</x:v>
      </x:c>
      <x:c r="J78" s="17" t="str">
        <x:v>2025-09-26</x:v>
      </x:c>
      <x:c r="K78" s="17" t="str">
        <x:v>Gustavson School of Business - 2025 - SIP Report</x:v>
      </x:c>
      <x:c r="L78" s="30" t="str">
        <x:v>https://commons-static.s3.amazonaws.com/reports/d0226f9e35dab55020fca272f6d56ff5812633fd/Gustavson+School+of+Business+-+SIP+2025.pdf</x:v>
      </x:c>
      <x:c r="M78" s="30" t="str">
        <x:v>https://www.unprme.org/university-of-victoria-gustavson-school-of-business/</x:v>
      </x:c>
      <x:c r="N78" s="30" t="str">
        <x:v>https://www.unprme.org/search/</x:v>
      </x:c>
      <x:c r="O78" s="39" t="n">
        <x:v>1</x:v>
      </x:c>
      <x:c r="P78" s="17" t="str">
        <x:v>Gustavson School of Business</x:v>
      </x:c>
      <x:c r="Q78" s="17" t="str">
        <x:v>Verified against the current UN PRME signatory directory; school-level scope is not promoted to the entire university.</x:v>
      </x:c>
    </x:row>
    <x:row r="79">
      <x:c r="A79" s="17" t="n">
        <x:v>76</x:v>
      </x:c>
      <x:c r="B79" s="17" t="str">
        <x:v>Central Queensland University</x:v>
      </x:c>
      <x:c r="C79" s="17" t="str">
        <x:v>Australia</x:v>
      </x:c>
      <x:c r="D79" s="17" t="str">
        <x:v>Verified - Exact/contained institution</x:v>
      </x:c>
      <x:c r="E79" s="17" t="str">
        <x:v>School of Business and Law - Central Queensland University</x:v>
      </x:c>
      <x:c r="F79" s="17" t="str">
        <x:v>Communicating Signatory</x:v>
      </x:c>
      <x:c r="G79" s="17" t="str">
        <x:v>Jul 23 2015</x:v>
      </x:c>
      <x:c r="H79" s="38" t="n">
        <x:v>3</x:v>
      </x:c>
      <x:c r="I79" s="38" t="n">
        <x:v>2025</x:v>
      </x:c>
      <x:c r="J79" s="17" t="str">
        <x:v>2025-09-28</x:v>
      </x:c>
      <x:c r="K79" s="17" t="str">
        <x:v>School of Business and Law - Central Queensland University - 2025 - Sip Report</x:v>
      </x:c>
      <x:c r="L79" s="30" t="str">
        <x:v>https://commons-static.s3.amazonaws.com/reports/9f682df245668969bbcd5395bdc2882591eeecde/School+of+Business+and+Law+-+Central+Queensland+University+-+SIP+2025.pdf</x:v>
      </x:c>
      <x:c r="M79" s="30" t="str">
        <x:v>https://www.unprme.org/school-of-business-and-law-central-queensland-university/</x:v>
      </x:c>
      <x:c r="N79" s="30" t="str">
        <x:v>https://www.unprme.org/search/</x:v>
      </x:c>
      <x:c r="O79" s="39" t="n">
        <x:v>0.96</x:v>
      </x:c>
      <x:c r="P79" s="17" t="str">
        <x:v>Central Queensland University</x:v>
      </x:c>
      <x:c r="Q79" s="17" t="str">
        <x:v>Verified against the current UN PRME signatory directory; school-level scope is not promoted to the entire university.</x:v>
      </x:c>
    </x:row>
    <x:row r="80">
      <x:c r="A80" s="17" t="n">
        <x:v>77</x:v>
      </x:c>
      <x:c r="B80" s="17" t="str">
        <x:v>University of Newcastle</x:v>
      </x:c>
      <x:c r="C80" s="17" t="str">
        <x:v>Australia</x:v>
      </x:c>
      <x:c r="D80" s="17" t="str">
        <x:v>Verified - Verified alias</x:v>
      </x:c>
      <x:c r="E80" s="17" t="str">
        <x:v>Newcastle Business School, University of Newcastle</x:v>
      </x:c>
      <x:c r="F80" s="17" t="str">
        <x:v>Communicating Signatory</x:v>
      </x:c>
      <x:c r="G80" s="17" t="str">
        <x:v>Feb 23 2015</x:v>
      </x:c>
      <x:c r="H80" s="38" t="n">
        <x:v>0</x:v>
      </x:c>
      <x:c r="I80" s="38"/>
      <x:c r="J80" s="17" t="str"/>
      <x:c r="K80" s="17" t="str"/>
      <x:c r="L80" s="30" t="str"/>
      <x:c r="M80" s="30" t="str">
        <x:v>https://www.unprme.org/newcastle-business-school/</x:v>
      </x:c>
      <x:c r="N80" s="30" t="str">
        <x:v>https://www.unprme.org/search/</x:v>
      </x:c>
      <x:c r="O80" s="39" t="n">
        <x:v>1</x:v>
      </x:c>
      <x:c r="P80" s="17" t="str">
        <x:v>Newcastle Business School, University of Newcastle</x:v>
      </x:c>
      <x:c r="Q80" s="17" t="str">
        <x:v>Verified against the current UN PRME signatory directory; school-level scope is not promoted to the entire university.</x:v>
      </x:c>
    </x:row>
    <x:row r="81">
      <x:c r="A81" s="17" t="n">
        <x:v>78</x:v>
      </x:c>
      <x:c r="B81" s="17" t="str">
        <x:v>Northumbria University</x:v>
      </x:c>
      <x:c r="C81" s="17" t="str">
        <x:v>United Kingdom</x:v>
      </x:c>
      <x:c r="D81" s="17" t="str">
        <x:v>Verified - Verified alias</x:v>
      </x:c>
      <x:c r="E81" s="17" t="str">
        <x:v>Newcastle Business School, University of Northumbria</x:v>
      </x:c>
      <x:c r="F81" s="17" t="str">
        <x:v>Communicating Signatory</x:v>
      </x:c>
      <x:c r="G81" s="17" t="str">
        <x:v>Oct 31 2014</x:v>
      </x:c>
      <x:c r="H81" s="38" t="n">
        <x:v>0</x:v>
      </x:c>
      <x:c r="I81" s="38"/>
      <x:c r="J81" s="17" t="str"/>
      <x:c r="K81" s="17" t="str"/>
      <x:c r="L81" s="30" t="str"/>
      <x:c r="M81" s="30" t="str">
        <x:v>https://www.unprme.org/newcastle-business-school-northumbria/</x:v>
      </x:c>
      <x:c r="N81" s="30" t="str">
        <x:v>https://www.unprme.org/search/</x:v>
      </x:c>
      <x:c r="O81" s="39" t="n">
        <x:v>1</x:v>
      </x:c>
      <x:c r="P81" s="17" t="str">
        <x:v>Newcastle Business School, University of Northumbria</x:v>
      </x:c>
      <x:c r="Q81" s="17" t="str">
        <x:v>Verified against the current UN PRME signatory directory; school-level scope is not promoted to the entire university.</x:v>
      </x:c>
    </x:row>
    <x:row r="82">
      <x:c r="A82" s="17" t="n">
        <x:v>79</x:v>
      </x:c>
      <x:c r="B82" s="17" t="str">
        <x:v>University of Indonesia</x:v>
      </x:c>
      <x:c r="C82" s="17" t="str">
        <x:v>Indonesia</x:v>
      </x:c>
      <x:c r="D82" s="17" t="str">
        <x:v>No verified match</x:v>
      </x:c>
      <x:c r="E82" s="17" t="str"/>
      <x:c r="F82" s="17" t="str"/>
      <x:c r="G82" s="17" t="str"/>
      <x:c r="H82" s="38"/>
      <x:c r="I82" s="38"/>
      <x:c r="J82" s="17" t="str"/>
      <x:c r="K82" s="17" t="str"/>
      <x:c r="L82" s="30" t="str"/>
      <x:c r="M82" s="30" t="str"/>
      <x:c r="N82" s="30" t="str">
        <x:v>https://www.unprme.org/search/</x:v>
      </x:c>
      <x:c r="O82" s="39"/>
      <x:c r="P82" s="17" t="str"/>
      <x:c r="Q82" s="17" t="str">
        <x:v>Manual review candidate only: Faculty of Economics and Business, Universitas Andalas</x:v>
      </x:c>
    </x:row>
    <x:row r="83">
      <x:c r="A83" s="17" t="n">
        <x:v>80</x:v>
      </x:c>
      <x:c r="B83" s="17" t="str">
        <x:v>An-Najah National University</x:v>
      </x:c>
      <x:c r="C83" s="17" t="str">
        <x:v>Palestine</x:v>
      </x:c>
      <x:c r="D83" s="17" t="str">
        <x:v>No verified match</x:v>
      </x:c>
      <x:c r="E83" s="17" t="str"/>
      <x:c r="F83" s="17" t="str"/>
      <x:c r="G83" s="17" t="str"/>
      <x:c r="H83" s="38"/>
      <x:c r="I83" s="38"/>
      <x:c r="J83" s="17" t="str"/>
      <x:c r="K83" s="17" t="str"/>
      <x:c r="L83" s="30" t="str"/>
      <x:c r="M83" s="30" t="str"/>
      <x:c r="N83" s="30" t="str">
        <x:v>https://www.unprme.org/search/</x:v>
      </x:c>
      <x:c r="O83" s="39"/>
      <x:c r="P83" s="17" t="str"/>
      <x:c r="Q83" s="17" t="str">
        <x:v>No country-compatible signatory</x:v>
      </x:c>
    </x:row>
    <x:row r="84">
      <x:c r="A84" s="17" t="n">
        <x:v>81</x:v>
      </x:c>
      <x:c r="B84" s="17" t="str">
        <x:v>Arizona State University (Tempe)</x:v>
      </x:c>
      <x:c r="C84" s="17" t="str">
        <x:v>United States</x:v>
      </x:c>
      <x:c r="D84" s="17" t="str">
        <x:v>No verified match</x:v>
      </x:c>
      <x:c r="E84" s="17" t="str"/>
      <x:c r="F84" s="17" t="str"/>
      <x:c r="G84" s="17" t="str"/>
      <x:c r="H84" s="38"/>
      <x:c r="I84" s="38"/>
      <x:c r="J84" s="17" t="str"/>
      <x:c r="K84" s="17" t="str"/>
      <x:c r="L84" s="30" t="str"/>
      <x:c r="M84" s="30" t="str"/>
      <x:c r="N84" s="30" t="str">
        <x:v>https://www.unprme.org/search/</x:v>
      </x:c>
      <x:c r="O84" s="39"/>
      <x:c r="P84" s="17" t="str"/>
      <x:c r="Q84" s="17" t="str">
        <x:v>No reliable signatory match</x:v>
      </x:c>
    </x:row>
    <x:row r="85">
      <x:c r="A85" s="17" t="n">
        <x:v>82</x:v>
      </x:c>
      <x:c r="B85" s="17" t="str">
        <x:v>King Faisal University</x:v>
      </x:c>
      <x:c r="C85" s="17" t="str">
        <x:v>Saudi Arabia</x:v>
      </x:c>
      <x:c r="D85" s="17" t="str">
        <x:v>No verified match</x:v>
      </x:c>
      <x:c r="E85" s="17" t="str"/>
      <x:c r="F85" s="17" t="str"/>
      <x:c r="G85" s="17" t="str"/>
      <x:c r="H85" s="38"/>
      <x:c r="I85" s="38"/>
      <x:c r="J85" s="17" t="str"/>
      <x:c r="K85" s="17" t="str"/>
      <x:c r="L85" s="30" t="str"/>
      <x:c r="M85" s="30" t="str"/>
      <x:c r="N85" s="30" t="str">
        <x:v>https://www.unprme.org/search/</x:v>
      </x:c>
      <x:c r="O85" s="39"/>
      <x:c r="P85" s="17" t="str"/>
      <x:c r="Q85" s="17" t="str">
        <x:v>No reliable signatory match</x:v>
      </x:c>
    </x:row>
    <x:row r="86">
      <x:c r="A86" s="17" t="n">
        <x:v>83</x:v>
      </x:c>
      <x:c r="B86" s="17" t="str">
        <x:v>Flinders University</x:v>
      </x:c>
      <x:c r="C86" s="17" t="str">
        <x:v>Australia</x:v>
      </x:c>
      <x:c r="D86" s="17" t="str">
        <x:v>No verified match</x:v>
      </x:c>
      <x:c r="E86" s="17" t="str"/>
      <x:c r="F86" s="17" t="str"/>
      <x:c r="G86" s="17" t="str"/>
      <x:c r="H86" s="38"/>
      <x:c r="I86" s="38"/>
      <x:c r="J86" s="17" t="str"/>
      <x:c r="K86" s="17" t="str"/>
      <x:c r="L86" s="30" t="str"/>
      <x:c r="M86" s="30" t="str"/>
      <x:c r="N86" s="30" t="str">
        <x:v>https://www.unprme.org/search/</x:v>
      </x:c>
      <x:c r="O86" s="39"/>
      <x:c r="P86" s="17" t="str"/>
      <x:c r="Q86" s="17" t="str">
        <x:v>No reliable signatory match</x:v>
      </x:c>
    </x:row>
    <x:row r="87">
      <x:c r="A87" s="17" t="n">
        <x:v>84</x:v>
      </x:c>
      <x:c r="B87" s="17" t="str">
        <x:v>Amrita Vishwa Vidyapeetham</x:v>
      </x:c>
      <x:c r="C87" s="17" t="str">
        <x:v>India</x:v>
      </x:c>
      <x:c r="D87" s="17" t="str">
        <x:v>Verified - Verified alias</x:v>
      </x:c>
      <x:c r="E87" s="17" t="str">
        <x:v>Amrita School of Business</x:v>
      </x:c>
      <x:c r="F87" s="17" t="str">
        <x:v>Communicating Signatory</x:v>
      </x:c>
      <x:c r="G87" s="17" t="str">
        <x:v>Jul 16 2024</x:v>
      </x:c>
      <x:c r="H87" s="38" t="n">
        <x:v>1</x:v>
      </x:c>
      <x:c r="I87" s="38" t="n">
        <x:v>2025</x:v>
      </x:c>
      <x:c r="J87" s="17" t="str">
        <x:v>2025-09-25</x:v>
      </x:c>
      <x:c r="K87" s="17" t="str">
        <x:v>Amrita School of Business - 2025 - SIP Report</x:v>
      </x:c>
      <x:c r="L87" s="30" t="str">
        <x:v>https://commons-static.s3.amazonaws.com/reports/0b93caee71a9d214d0bbbc5622ea29507e3b8a7a/Amrita+School+of+Business+-+SIP+2025.pdf</x:v>
      </x:c>
      <x:c r="M87" s="30" t="str">
        <x:v>https://www.unprme.org/amrita-school-of-business/</x:v>
      </x:c>
      <x:c r="N87" s="30" t="str">
        <x:v>https://www.unprme.org/search/</x:v>
      </x:c>
      <x:c r="O87" s="39" t="n">
        <x:v>1</x:v>
      </x:c>
      <x:c r="P87" s="17" t="str">
        <x:v>Amrita School of Business</x:v>
      </x:c>
      <x:c r="Q87" s="17" t="str">
        <x:v>Verified against the current UN PRME signatory directory; school-level scope is not promoted to the entire university.</x:v>
      </x:c>
    </x:row>
    <x:row r="88">
      <x:c r="A88" s="17" t="n">
        <x:v>85</x:v>
      </x:c>
      <x:c r="B88" s="17" t="str">
        <x:v>Queen's University Belfast</x:v>
      </x:c>
      <x:c r="C88" s="17" t="str">
        <x:v>United Kingdom</x:v>
      </x:c>
      <x:c r="D88" s="17" t="str">
        <x:v>Verified - Verified alias</x:v>
      </x:c>
      <x:c r="E88" s="17" t="str">
        <x:v>Queen's Business School</x:v>
      </x:c>
      <x:c r="F88" s="17" t="str">
        <x:v>Communicating Signatory</x:v>
      </x:c>
      <x:c r="G88" s="17" t="str">
        <x:v>Jul 06 2017</x:v>
      </x:c>
      <x:c r="H88" s="38" t="n">
        <x:v>2</x:v>
      </x:c>
      <x:c r="I88" s="38" t="n">
        <x:v>2025</x:v>
      </x:c>
      <x:c r="J88" s="17" t="str">
        <x:v>2025-09-30</x:v>
      </x:c>
      <x:c r="K88" s="17" t="str">
        <x:v>Queen's Business School - 2025 - Sip Report</x:v>
      </x:c>
      <x:c r="L88" s="30" t="str">
        <x:v>https://commons-static.s3.amazonaws.com/reports/28903f610228f970292b06382eae94ae10efa9a0/Queen's+Business+School+-+SIP+2025.pdf</x:v>
      </x:c>
      <x:c r="M88" s="30" t="str">
        <x:v>https://www.unprme.org/queens-business-school/</x:v>
      </x:c>
      <x:c r="N88" s="30" t="str">
        <x:v>https://www.unprme.org/search/</x:v>
      </x:c>
      <x:c r="O88" s="39" t="n">
        <x:v>1</x:v>
      </x:c>
      <x:c r="P88" s="17" t="str">
        <x:v>Queen's Business School</x:v>
      </x:c>
      <x:c r="Q88" s="17" t="str">
        <x:v>Verified against the current UN PRME signatory directory; school-level scope is not promoted to the entire university.</x:v>
      </x:c>
    </x:row>
    <x:row r="89">
      <x:c r="A89" s="17" t="n">
        <x:v>86</x:v>
      </x:c>
      <x:c r="B89" s="17" t="str">
        <x:v>Near East University</x:v>
      </x:c>
      <x:c r="C89" s="17" t="str">
        <x:v>Northern Cyprus</x:v>
      </x:c>
      <x:c r="D89" s="17" t="str">
        <x:v>No verified match</x:v>
      </x:c>
      <x:c r="E89" s="17" t="str"/>
      <x:c r="F89" s="17" t="str"/>
      <x:c r="G89" s="17" t="str"/>
      <x:c r="H89" s="38"/>
      <x:c r="I89" s="38"/>
      <x:c r="J89" s="17" t="str"/>
      <x:c r="K89" s="17" t="str"/>
      <x:c r="L89" s="30" t="str"/>
      <x:c r="M89" s="30" t="str"/>
      <x:c r="N89" s="30" t="str">
        <x:v>https://www.unprme.org/search/</x:v>
      </x:c>
      <x:c r="O89" s="39"/>
      <x:c r="P89" s="17" t="str"/>
      <x:c r="Q89" s="17" t="str">
        <x:v>No reliable signatory match</x:v>
      </x:c>
    </x:row>
    <x:row r="90">
      <x:c r="A90" s="17" t="n">
        <x:v>87</x:v>
      </x:c>
      <x:c r="B90" s="17" t="str">
        <x:v>University of Johannesburg</x:v>
      </x:c>
      <x:c r="C90" s="17" t="str">
        <x:v>South Africa</x:v>
      </x:c>
      <x:c r="D90" s="17" t="str">
        <x:v>No verified match</x:v>
      </x:c>
      <x:c r="E90" s="17" t="str"/>
      <x:c r="F90" s="17" t="str"/>
      <x:c r="G90" s="17" t="str"/>
      <x:c r="H90" s="38"/>
      <x:c r="I90" s="38"/>
      <x:c r="J90" s="17" t="str"/>
      <x:c r="K90" s="17" t="str"/>
      <x:c r="L90" s="30" t="str"/>
      <x:c r="M90" s="30" t="str"/>
      <x:c r="N90" s="30" t="str">
        <x:v>https://www.unprme.org/search/</x:v>
      </x:c>
      <x:c r="O90" s="39"/>
      <x:c r="P90" s="17" t="str"/>
      <x:c r="Q90" s="17" t="str">
        <x:v>No reliable signatory match</x:v>
      </x:c>
    </x:row>
    <x:row r="91">
      <x:c r="A91" s="17" t="n">
        <x:v>88</x:v>
      </x:c>
      <x:c r="B91" s="17" t="str">
        <x:v>Universitas Gadjah Mada</x:v>
      </x:c>
      <x:c r="C91" s="17" t="str">
        <x:v>Indonesia</x:v>
      </x:c>
      <x:c r="D91" s="17" t="str">
        <x:v>No verified match</x:v>
      </x:c>
      <x:c r="E91" s="17" t="str"/>
      <x:c r="F91" s="17" t="str"/>
      <x:c r="G91" s="17" t="str"/>
      <x:c r="H91" s="38"/>
      <x:c r="I91" s="38"/>
      <x:c r="J91" s="17" t="str"/>
      <x:c r="K91" s="17" t="str"/>
      <x:c r="L91" s="30" t="str"/>
      <x:c r="M91" s="30" t="str"/>
      <x:c r="N91" s="30" t="str">
        <x:v>https://www.unprme.org/search/</x:v>
      </x:c>
      <x:c r="O91" s="39"/>
      <x:c r="P91" s="17" t="str"/>
      <x:c r="Q91" s="17" t="str">
        <x:v>Manual review candidate only: Faculty of Economics and Business, Universitas Andalas</x:v>
      </x:c>
    </x:row>
    <x:row r="92">
      <x:c r="A92" s="17" t="n">
        <x:v>89</x:v>
      </x:c>
      <x:c r="B92" s="17" t="str">
        <x:v>University of Wollongong</x:v>
      </x:c>
      <x:c r="C92" s="17" t="str">
        <x:v>Australia</x:v>
      </x:c>
      <x:c r="D92" s="17" t="str">
        <x:v>Verified - Exact/contained institution</x:v>
      </x:c>
      <x:c r="E92" s="17" t="str">
        <x:v>University of Wollongong Faculty of Business and Law</x:v>
      </x:c>
      <x:c r="F92" s="17" t="str">
        <x:v>Non Communicating Signatory</x:v>
      </x:c>
      <x:c r="G92" s="17" t="str">
        <x:v>Mar 13 2009</x:v>
      </x:c>
      <x:c r="H92" s="38" t="n">
        <x:v>2</x:v>
      </x:c>
      <x:c r="I92" s="38" t="n">
        <x:v>2024</x:v>
      </x:c>
      <x:c r="J92" s="17" t="str">
        <x:v>2024-12-12</x:v>
      </x:c>
      <x:c r="K92" s="17" t="str">
        <x:v>University of Wollongong Faculty of Business and Law - 2024 - SIP Report</x:v>
      </x:c>
      <x:c r="L92" s="30" t="str">
        <x:v>https://commons-static.s3.amazonaws.com/reports/3341b16b2e02679ecb3d3fccb14a5667fa751d0d/University+of+Wollongong+Faculty+of+Business+and+Law+-+SIP+2024.pdf</x:v>
      </x:c>
      <x:c r="M92" s="30" t="str">
        <x:v>https://www.unprme.org/university-of-wollongong-faculty-of-business-and-law/</x:v>
      </x:c>
      <x:c r="N92" s="30" t="str">
        <x:v>https://www.unprme.org/search/</x:v>
      </x:c>
      <x:c r="O92" s="39" t="n">
        <x:v>0.96</x:v>
      </x:c>
      <x:c r="P92" s="17" t="str">
        <x:v>University of Wollongong</x:v>
      </x:c>
      <x:c r="Q92" s="17" t="str">
        <x:v>Verified against the current UN PRME signatory directory; school-level scope is not promoted to the entire university.</x:v>
      </x:c>
    </x:row>
    <x:row r="93">
      <x:c r="A93" s="17" t="n">
        <x:v>90</x:v>
      </x:c>
      <x:c r="B93" s="17" t="str">
        <x:v>Yonsei University (Seoul campus)</x:v>
      </x:c>
      <x:c r="C93" s="17" t="str">
        <x:v>South Korea</x:v>
      </x:c>
      <x:c r="D93" s="17" t="str">
        <x:v>No verified match</x:v>
      </x:c>
      <x:c r="E93" s="17" t="str"/>
      <x:c r="F93" s="17" t="str"/>
      <x:c r="G93" s="17" t="str"/>
      <x:c r="H93" s="38"/>
      <x:c r="I93" s="38"/>
      <x:c r="J93" s="17" t="str"/>
      <x:c r="K93" s="17" t="str"/>
      <x:c r="L93" s="30" t="str"/>
      <x:c r="M93" s="30" t="str"/>
      <x:c r="N93" s="30" t="str">
        <x:v>https://www.unprme.org/search/</x:v>
      </x:c>
      <x:c r="O93" s="39"/>
      <x:c r="P93" s="17" t="str"/>
      <x:c r="Q93" s="17" t="str">
        <x:v>No country-compatible signatory</x:v>
      </x:c>
    </x:row>
    <x:row r="94">
      <x:c r="A94" s="17" t="n">
        <x:v>91</x:v>
      </x:c>
      <x:c r="B94" s="17" t="str">
        <x:v>Sunway University</x:v>
      </x:c>
      <x:c r="C94" s="17" t="str">
        <x:v>Malaysia</x:v>
      </x:c>
      <x:c r="D94" s="17" t="str">
        <x:v>Verified - Verified alias</x:v>
      </x:c>
      <x:c r="E94" s="17" t="str">
        <x:v>Sunway Business School</x:v>
      </x:c>
      <x:c r="F94" s="17" t="str">
        <x:v>Communicating Signatory</x:v>
      </x:c>
      <x:c r="G94" s="17" t="str">
        <x:v>Jun 22 2023</x:v>
      </x:c>
      <x:c r="H94" s="38" t="n">
        <x:v>2</x:v>
      </x:c>
      <x:c r="I94" s="38" t="n">
        <x:v>2025</x:v>
      </x:c>
      <x:c r="J94" s="17" t="str">
        <x:v>2025-09-29</x:v>
      </x:c>
      <x:c r="K94" s="17" t="str">
        <x:v>Sunway Business School - 2025 - SIP Report</x:v>
      </x:c>
      <x:c r="L94" s="30" t="str">
        <x:v>https://commons-static.s3.amazonaws.com/reports/667be543b02294b7624119adc3a725473df39885/Sunway+Business+School+-+SIP+2025.pdf</x:v>
      </x:c>
      <x:c r="M94" s="30" t="str">
        <x:v>https://www.unprme.org/sunway-business-school/</x:v>
      </x:c>
      <x:c r="N94" s="30" t="str">
        <x:v>https://www.unprme.org/search/</x:v>
      </x:c>
      <x:c r="O94" s="39" t="n">
        <x:v>1</x:v>
      </x:c>
      <x:c r="P94" s="17" t="str">
        <x:v>Sunway Business School</x:v>
      </x:c>
      <x:c r="Q94" s="17" t="str">
        <x:v>Verified against the current UN PRME signatory directory; school-level scope is not promoted to the entire university.</x:v>
      </x:c>
    </x:row>
    <x:row r="95">
      <x:c r="A95" s="17" t="n">
        <x:v>92</x:v>
      </x:c>
      <x:c r="B95" s="17" t="str">
        <x:v>Thammasat University</x:v>
      </x:c>
      <x:c r="C95" s="17" t="str">
        <x:v>Thailand</x:v>
      </x:c>
      <x:c r="D95" s="17" t="str">
        <x:v>Verified - Verified alias</x:v>
      </x:c>
      <x:c r="E95" s="17" t="str">
        <x:v>Thammasat Business School</x:v>
      </x:c>
      <x:c r="F95" s="17" t="str">
        <x:v>Communicating Signatory</x:v>
      </x:c>
      <x:c r="G95" s="17" t="str">
        <x:v>Apr 15 2008</x:v>
      </x:c>
      <x:c r="H95" s="38" t="n">
        <x:v>3</x:v>
      </x:c>
      <x:c r="I95" s="38" t="n">
        <x:v>2025</x:v>
      </x:c>
      <x:c r="J95" s="17" t="str">
        <x:v>2025-07-22</x:v>
      </x:c>
      <x:c r="K95" s="17" t="str">
        <x:v>Thammasat Business School - 2025 - SIP Report</x:v>
      </x:c>
      <x:c r="L95" s="30" t="str">
        <x:v>https://commons-static.s3.amazonaws.com/reports/85f1002bf139bebdb7f0d07b31fa14155aea9dfc/Thammasat+Business+School+-+SIP+2025.pdf</x:v>
      </x:c>
      <x:c r="M95" s="30" t="str">
        <x:v>https://www.unprme.org/thammasat-business-school/</x:v>
      </x:c>
      <x:c r="N95" s="30" t="str">
        <x:v>https://www.unprme.org/search/</x:v>
      </x:c>
      <x:c r="O95" s="39" t="n">
        <x:v>1</x:v>
      </x:c>
      <x:c r="P95" s="17" t="str">
        <x:v>Thammasat Business School</x:v>
      </x:c>
      <x:c r="Q95" s="17" t="str">
        <x:v>Verified against the current UN PRME signatory directory; school-level scope is not promoted to the entire university.</x:v>
      </x:c>
    </x:row>
    <x:row r="96">
      <x:c r="A96" s="17" t="n">
        <x:v>93</x:v>
      </x:c>
      <x:c r="B96" s="17" t="str">
        <x:v>Walailak University</x:v>
      </x:c>
      <x:c r="C96" s="17" t="str">
        <x:v>Thailand</x:v>
      </x:c>
      <x:c r="D96" s="17" t="str">
        <x:v>No verified match</x:v>
      </x:c>
      <x:c r="E96" s="17" t="str"/>
      <x:c r="F96" s="17" t="str"/>
      <x:c r="G96" s="17" t="str"/>
      <x:c r="H96" s="38"/>
      <x:c r="I96" s="38"/>
      <x:c r="J96" s="17" t="str"/>
      <x:c r="K96" s="17" t="str"/>
      <x:c r="L96" s="30" t="str"/>
      <x:c r="M96" s="30" t="str"/>
      <x:c r="N96" s="30" t="str">
        <x:v>https://www.unprme.org/search/</x:v>
      </x:c>
      <x:c r="O96" s="39"/>
      <x:c r="P96" s="17" t="str"/>
      <x:c r="Q96" s="17" t="str">
        <x:v>No reliable signatory match</x:v>
      </x:c>
    </x:row>
    <x:row r="97">
      <x:c r="A97" s="17" t="n">
        <x:v>94</x:v>
      </x:c>
      <x:c r="B97" s="17" t="str">
        <x:v>King Abdullah University of Science and Technology (KAUST)</x:v>
      </x:c>
      <x:c r="C97" s="17" t="str">
        <x:v>Saudi Arabia</x:v>
      </x:c>
      <x:c r="D97" s="17" t="str">
        <x:v>No verified match</x:v>
      </x:c>
      <x:c r="E97" s="17" t="str"/>
      <x:c r="F97" s="17" t="str"/>
      <x:c r="G97" s="17" t="str"/>
      <x:c r="H97" s="38"/>
      <x:c r="I97" s="38"/>
      <x:c r="J97" s="17" t="str"/>
      <x:c r="K97" s="17" t="str"/>
      <x:c r="L97" s="30" t="str"/>
      <x:c r="M97" s="30" t="str"/>
      <x:c r="N97" s="30" t="str">
        <x:v>https://www.unprme.org/search/</x:v>
      </x:c>
      <x:c r="O97" s="39"/>
      <x:c r="P97" s="17" t="str"/>
      <x:c r="Q97" s="17" t="str">
        <x:v>No reliable signatory match</x:v>
      </x:c>
    </x:row>
    <x:row r="98">
      <x:c r="A98" s="17" t="n">
        <x:v>95</x:v>
      </x:c>
      <x:c r="B98" s="17" t="str">
        <x:v>Chiang Mai University</x:v>
      </x:c>
      <x:c r="C98" s="17" t="str">
        <x:v>Thailand</x:v>
      </x:c>
      <x:c r="D98" s="17" t="str">
        <x:v>Verified - Exact/contained institution</x:v>
      </x:c>
      <x:c r="E98" s="17" t="str">
        <x:v>Chiang Mai University Faculty of Business Administration</x:v>
      </x:c>
      <x:c r="F98" s="17" t="str">
        <x:v>Communicating Signatory</x:v>
      </x:c>
      <x:c r="G98" s="17" t="str">
        <x:v>May 14 2013</x:v>
      </x:c>
      <x:c r="H98" s="38" t="n">
        <x:v>2</x:v>
      </x:c>
      <x:c r="I98" s="38" t="n">
        <x:v>2025</x:v>
      </x:c>
      <x:c r="J98" s="17" t="str">
        <x:v>2025-09-21</x:v>
      </x:c>
      <x:c r="K98" s="17" t="str">
        <x:v>Chiang Mai University Faculty of Business Administration - 2025 - SIP Report</x:v>
      </x:c>
      <x:c r="L98" s="30" t="str">
        <x:v>https://commons-static.s3.amazonaws.com/reports/77d67ab1e3d05296a7131e197d9d3767fb900bad/Chiang+Mai+University+Business+School+-+SIP+2025.pdf</x:v>
      </x:c>
      <x:c r="M98" s="30" t="str">
        <x:v>https://www.unprme.org/chiang-mai-university-faculty-of-business-administration/</x:v>
      </x:c>
      <x:c r="N98" s="30" t="str">
        <x:v>https://www.unprme.org/search/</x:v>
      </x:c>
      <x:c r="O98" s="39" t="n">
        <x:v>0.96</x:v>
      </x:c>
      <x:c r="P98" s="17" t="str">
        <x:v>Chiang Mai University</x:v>
      </x:c>
      <x:c r="Q98" s="17" t="str">
        <x:v>Verified against the current UN PRME signatory directory; school-level scope is not promoted to the entire university.</x:v>
      </x:c>
    </x:row>
    <x:row r="99">
      <x:c r="A99" s="17" t="n">
        <x:v>96</x:v>
      </x:c>
      <x:c r="B99" s="17" t="str">
        <x:v>Jeonbuk National University</x:v>
      </x:c>
      <x:c r="C99" s="17" t="str">
        <x:v>South Korea</x:v>
      </x:c>
      <x:c r="D99" s="17" t="str">
        <x:v>No verified match</x:v>
      </x:c>
      <x:c r="E99" s="17" t="str"/>
      <x:c r="F99" s="17" t="str"/>
      <x:c r="G99" s="17" t="str"/>
      <x:c r="H99" s="38"/>
      <x:c r="I99" s="38"/>
      <x:c r="J99" s="17" t="str"/>
      <x:c r="K99" s="17" t="str"/>
      <x:c r="L99" s="30" t="str"/>
      <x:c r="M99" s="30" t="str"/>
      <x:c r="N99" s="30" t="str">
        <x:v>https://www.unprme.org/search/</x:v>
      </x:c>
      <x:c r="O99" s="39"/>
      <x:c r="P99" s="17" t="str"/>
      <x:c r="Q99" s="17" t="str">
        <x:v>No country-compatible signatory</x:v>
      </x:c>
    </x:row>
    <x:row r="100">
      <x:c r="A100" s="17" t="n">
        <x:v>97</x:v>
      </x:c>
      <x:c r="B100" s="17" t="str">
        <x:v>National Yang Ming Chiao Tung University (NYCU Taiwan)</x:v>
      </x:c>
      <x:c r="C100" s="17" t="str">
        <x:v>Taiwan</x:v>
      </x:c>
      <x:c r="D100" s="17" t="str">
        <x:v>No verified match</x:v>
      </x:c>
      <x:c r="E100" s="17" t="str"/>
      <x:c r="F100" s="17" t="str"/>
      <x:c r="G100" s="17" t="str"/>
      <x:c r="H100" s="38"/>
      <x:c r="I100" s="38"/>
      <x:c r="J100" s="17" t="str"/>
      <x:c r="K100" s="17" t="str"/>
      <x:c r="L100" s="30" t="str"/>
      <x:c r="M100" s="30" t="str"/>
      <x:c r="N100" s="30" t="str">
        <x:v>https://www.unprme.org/search/</x:v>
      </x:c>
      <x:c r="O100" s="39"/>
      <x:c r="P100" s="17" t="str"/>
      <x:c r="Q100" s="17" t="str">
        <x:v>No reliable signatory match</x:v>
      </x:c>
    </x:row>
  </x:sheetData>
  <x:mergeCells>
    <x:mergeCell ref="A1:Q1"/>
    <x:mergeCell ref="A2:Q2"/>
  </x:mergeCells>
  <x:conditionalFormatting sqref="D5:D100">
    <x:cfRule type="containsText" dxfId="8" priority="1" operator="containsText" text="Verified"/>
    <x:cfRule type="containsText" dxfId="9" priority="2" operator="containsText" text="No verified"/>
  </x:conditionalFormatting>
  <x:pageMargins left="0.7" right="0.7" top="0.75" bottom="0.75" header="0.3" footer="0.3"/>
  <x:tableParts count="1">
    <x:tablePart xmlns:r="http://schemas.openxmlformats.org/officeDocument/2006/relationships" r:id="R8d67bd8ded6f4b1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7" hidden="0" customWidth="1"/>
    <x:col min="2" max="2" width="35" hidden="0" customWidth="1"/>
    <x:col min="3" max="3" width="17" hidden="0" customWidth="1"/>
    <x:col min="4" max="4" width="20" hidden="0" customWidth="1"/>
    <x:col min="5" max="5" width="38" hidden="0" customWidth="1"/>
    <x:col min="6" max="6" width="16" hidden="0" customWidth="1"/>
    <x:col min="7" max="7" width="11" hidden="0" customWidth="1"/>
    <x:col min="8" max="8" width="12" hidden="0" customWidth="1"/>
    <x:col min="9" max="9" width="16" hidden="0" customWidth="1"/>
    <x:col min="10" max="10" width="31" hidden="0" customWidth="1"/>
    <x:col min="11" max="11" width="31" hidden="0" customWidth="1"/>
    <x:col min="12" max="12" width="15" hidden="0" customWidth="1"/>
    <x:col min="13" max="13" width="17" hidden="0" customWidth="1"/>
    <x:col min="14" max="14" width="15" hidden="0" customWidth="1"/>
    <x:col min="15" max="15" width="19" hidden="0" customWidth="1"/>
    <x:col min="16" max="16" width="18" hidden="0" customWidth="1"/>
    <x:col min="17" max="17" width="17" hidden="0" customWidth="1"/>
    <x:col min="18" max="18" width="64" hidden="0" customWidth="1"/>
    <x:col min="19" max="19" width="58" hidden="0" customWidth="1"/>
    <x:col min="20" max="20" width="58" hidden="0" customWidth="1"/>
    <x:col min="21" max="21" width="55" hidden="0" customWidth="1"/>
  </x:cols>
  <x:sheetData>
    <x:row r="1" ht="28" customHeight="1">
      <x:c r="A1" s="3" t="str">
        <x:v>OpenAlex Research Signals (2021-2025)</x:v>
      </x:c>
      <x:c r="B1" s="3"/>
      <x:c r="C1" s="3"/>
      <x:c r="D1" s="3"/>
      <x:c r="E1" s="3"/>
      <x:c r="F1" s="3"/>
      <x:c r="G1" s="3"/>
      <x:c r="H1" s="3"/>
      <x:c r="I1" s="3"/>
      <x:c r="J1" s="3"/>
      <x:c r="K1" s="3"/>
      <x:c r="L1" s="3"/>
      <x:c r="M1" s="3"/>
      <x:c r="N1" s="3"/>
      <x:c r="O1" s="3"/>
      <x:c r="P1" s="3"/>
      <x:c r="Q1" s="3"/>
      <x:c r="R1" s="3"/>
      <x:c r="S1" s="3"/>
      <x:c r="T1" s="3"/>
      <x:c r="U1" s="3"/>
    </x:row>
    <x:row r="2" ht="36" customHeight="1">
      <x:c r="A2" s="7" t="str">
        <x:v>Institution matches and keyword-based research signals collected before the anonymous API quota was exhausted. Uncollected rows remain blank and must not be interpreted as zero.</x:v>
      </x:c>
      <x:c r="B2" s="7"/>
      <x:c r="C2" s="7"/>
      <x:c r="D2" s="7"/>
      <x:c r="E2" s="7"/>
      <x:c r="F2" s="7"/>
      <x:c r="G2" s="7"/>
      <x:c r="H2" s="7"/>
      <x:c r="I2" s="7"/>
      <x:c r="J2" s="7"/>
      <x:c r="K2" s="7"/>
      <x:c r="L2" s="7"/>
      <x:c r="M2" s="7"/>
      <x:c r="N2" s="7"/>
      <x:c r="O2" s="7"/>
      <x:c r="P2" s="7"/>
      <x:c r="Q2" s="7"/>
      <x:c r="R2" s="7"/>
      <x:c r="S2" s="7"/>
      <x:c r="T2" s="7"/>
      <x:c r="U2" s="7"/>
    </x:row>
    <x:row r="4" ht="36" customHeight="1">
      <x:c r="A4" s="37" t="str">
        <x:v>ID</x:v>
      </x:c>
      <x:c r="B4" s="37" t="str">
        <x:v>Candidate Institution</x:v>
      </x:c>
      <x:c r="C4" s="37" t="str">
        <x:v>Country</x:v>
      </x:c>
      <x:c r="D4" s="37" t="str">
        <x:v>Collection Status</x:v>
      </x:c>
      <x:c r="E4" s="37" t="str">
        <x:v>Matched OpenAlex Institution</x:v>
      </x:c>
      <x:c r="F4" s="37" t="str">
        <x:v>Match Status</x:v>
      </x:c>
      <x:c r="G4" s="37" t="str">
        <x:v>Match Score</x:v>
      </x:c>
      <x:c r="H4" s="37" t="str">
        <x:v>Country Code</x:v>
      </x:c>
      <x:c r="I4" s="37" t="str">
        <x:v>Institution Type</x:v>
      </x:c>
      <x:c r="J4" s="37" t="str">
        <x:v>ROR</x:v>
      </x:c>
      <x:c r="K4" s="37" t="str">
        <x:v>OpenAlex ID</x:v>
      </x:c>
      <x:c r="L4" s="37" t="str">
        <x:v>All-time Works</x:v>
      </x:c>
      <x:c r="M4" s="37" t="str">
        <x:v>All-time Citations</x:v>
      </x:c>
      <x:c r="N4" s="37" t="str">
        <x:v>All-time H-index</x:v>
      </x:c>
      <x:c r="O4" s="37" t="str">
        <x:v>Two-year Mean Citedness</x:v>
      </x:c>
      <x:c r="P4" s="37" t="str">
        <x:v>Keyword Works 2021-2025</x:v>
      </x:c>
      <x:c r="Q4" s="37" t="str">
        <x:v>Top-25 Citations</x:v>
      </x:c>
      <x:c r="R4" s="37" t="str">
        <x:v>Top Matching Work</x:v>
      </x:c>
      <x:c r="S4" s="37" t="str">
        <x:v>Works Query URL</x:v>
      </x:c>
      <x:c r="T4" s="37" t="str">
        <x:v>Institution Search URL</x:v>
      </x:c>
      <x:c r="U4" s="37" t="str">
        <x:v>Collection Note / Error</x:v>
      </x:c>
    </x:row>
    <x:row r="5">
      <x:c r="A5" s="17" t="n">
        <x:v>1</x:v>
      </x:c>
      <x:c r="B5" s="17" t="str">
        <x:v>Lund University</x:v>
      </x:c>
      <x:c r="C5" s="17" t="str">
        <x:v>Sweden</x:v>
      </x:c>
      <x:c r="D5" s="17" t="str">
        <x:v>Collected</x:v>
      </x:c>
      <x:c r="E5" s="17" t="str">
        <x:v>Lund University</x:v>
      </x:c>
      <x:c r="F5" s="17" t="str">
        <x:v>Verified</x:v>
      </x:c>
      <x:c r="G5" s="39" t="n">
        <x:v>1</x:v>
      </x:c>
      <x:c r="H5" s="17" t="str">
        <x:v>SE</x:v>
      </x:c>
      <x:c r="I5" s="17" t="str">
        <x:v>education</x:v>
      </x:c>
      <x:c r="J5" s="30" t="str">
        <x:v>https://ror.org/012a77v79</x:v>
      </x:c>
      <x:c r="K5" s="30" t="str">
        <x:v>https://openalex.org/I187531555</x:v>
      </x:c>
      <x:c r="L5" s="39" t="n">
        <x:v>235413</x:v>
      </x:c>
      <x:c r="M5" s="39" t="n">
        <x:v>22224211</x:v>
      </x:c>
      <x:c r="N5" s="39" t="n">
        <x:v>1076</x:v>
      </x:c>
      <x:c r="O5" s="39" t="n">
        <x:v>3.362402620640295</x:v>
      </x:c>
      <x:c r="P5" s="39" t="n">
        <x:v>14149</x:v>
      </x:c>
      <x:c r="Q5" s="39" t="n">
        <x:v>25737</x:v>
      </x:c>
      <x:c r="R5" s="17" t="str">
        <x:v>The Astropy Project: Sustaining and Growing a Community-oriented Open-source Project and the Latest Major Release (v5.0) of the Core Package (2022; 4749 citations)</x:v>
      </x:c>
      <x:c r="S5" s="30" t="str">
        <x:v>https://api.openalex.org/works?filter=authorships.institutions.id%3AI187531555%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5" s="30" t="str">
        <x:v>https://api.openalex.org/institutions?search=Lund+University&amp;per_page=5&amp;select=id%2Cror%2Cdisplay_name%2Ccountry_code%2Ctype%2Chomepage_url%2Cworks_count%2Ccited_by_count%2Csummary_stats%2Cdisplay_name_alternatives&amp;mailto=busa649%40example.com</x:v>
      </x:c>
      <x:c r="U5" s="17" t="str"/>
    </x:row>
    <x:row r="6">
      <x:c r="A6" s="17" t="n">
        <x:v>2</x:v>
      </x:c>
      <x:c r="B6" s="17" t="str">
        <x:v>University of Toronto</x:v>
      </x:c>
      <x:c r="C6" s="17" t="str">
        <x:v>Canada</x:v>
      </x:c>
      <x:c r="D6" s="17" t="str">
        <x:v>Collected</x:v>
      </x:c>
      <x:c r="E6" s="17" t="str">
        <x:v>University of Toronto</x:v>
      </x:c>
      <x:c r="F6" s="17" t="str">
        <x:v>Verified</x:v>
      </x:c>
      <x:c r="G6" s="39" t="n">
        <x:v>1</x:v>
      </x:c>
      <x:c r="H6" s="17" t="str">
        <x:v>CA</x:v>
      </x:c>
      <x:c r="I6" s="17" t="str">
        <x:v>education</x:v>
      </x:c>
      <x:c r="J6" s="30" t="str">
        <x:v>https://ror.org/03dbr7087</x:v>
      </x:c>
      <x:c r="K6" s="30" t="str">
        <x:v>https://openalex.org/I185261750</x:v>
      </x:c>
      <x:c r="L6" s="39" t="n">
        <x:v>553930</x:v>
      </x:c>
      <x:c r="M6" s="39" t="n">
        <x:v>58615111</x:v>
      </x:c>
      <x:c r="N6" s="39" t="n">
        <x:v>1782</x:v>
      </x:c>
      <x:c r="O6" s="39" t="n">
        <x:v>4.394456194033209</x:v>
      </x:c>
      <x:c r="P6" s="39" t="n">
        <x:v>27148</x:v>
      </x:c>
      <x:c r="Q6" s="39" t="n">
        <x:v>58181</x:v>
      </x:c>
      <x:c r="R6" s="17" t="str">
        <x:v>PRISMA 2020 explanation and elaboration: updated guidance and exemplars for reporting systematic reviews (2021; 11186 citations)</x:v>
      </x:c>
      <x:c r="S6" s="30" t="str">
        <x:v>https://api.openalex.org/works?filter=authorships.institutions.id%3AI185261750%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6" s="30" t="str">
        <x:v>https://api.openalex.org/institutions?search=University+of+Toronto&amp;per_page=5&amp;select=id%2Cror%2Cdisplay_name%2Ccountry_code%2Ctype%2Chomepage_url%2Cworks_count%2Ccited_by_count%2Csummary_stats%2Cdisplay_name_alternatives&amp;mailto=busa649%40example.com</x:v>
      </x:c>
      <x:c r="U6" s="17" t="str"/>
    </x:row>
    <x:row r="7">
      <x:c r="A7" s="17" t="n">
        <x:v>3</x:v>
      </x:c>
      <x:c r="B7" s="17" t="str">
        <x:v>UCL</x:v>
      </x:c>
      <x:c r="C7" s="17" t="str">
        <x:v>United Kingdom</x:v>
      </x:c>
      <x:c r="D7" s="17" t="str">
        <x:v>Collected</x:v>
      </x:c>
      <x:c r="E7" s="17" t="str">
        <x:v>University College London</x:v>
      </x:c>
      <x:c r="F7" s="17" t="str">
        <x:v>Verified</x:v>
      </x:c>
      <x:c r="G7" s="39" t="n">
        <x:v>1</x:v>
      </x:c>
      <x:c r="H7" s="17" t="str">
        <x:v>GB</x:v>
      </x:c>
      <x:c r="I7" s="17" t="str">
        <x:v>education</x:v>
      </x:c>
      <x:c r="J7" s="30" t="str">
        <x:v>https://ror.org/02jx3x895</x:v>
      </x:c>
      <x:c r="K7" s="30" t="str">
        <x:v>https://openalex.org/I45129253</x:v>
      </x:c>
      <x:c r="L7" s="39" t="n">
        <x:v>583087</x:v>
      </x:c>
      <x:c r="M7" s="39" t="n">
        <x:v>65779892</x:v>
      </x:c>
      <x:c r="N7" s="39" t="n">
        <x:v>2066</x:v>
      </x:c>
      <x:c r="O7" s="39" t="n">
        <x:v>5.205234697290668</x:v>
      </x:c>
      <x:c r="P7" s="39" t="n">
        <x:v>36401</x:v>
      </x:c>
      <x:c r="Q7" s="39" t="n">
        <x:v>69680</x:v>
      </x:c>
      <x:c r="R7" s="17" t="str">
        <x:v>PRISMA 2020 explanation and elaboration: updated guidance and exemplars for reporting systematic reviews (2021; 11186 citations)</x:v>
      </x:c>
      <x:c r="S7" s="30" t="str">
        <x:v>https://api.openalex.org/works?filter=authorships.institutions.id%3AI45129253%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7" s="30" t="str">
        <x:v>https://api.openalex.org/institutions?search=University+College+London&amp;per_page=5&amp;select=id%2Cror%2Cdisplay_name%2Ccountry_code%2Ctype%2Chomepage_url%2Cworks_count%2Ccited_by_count%2Csummary_stats%2Cdisplay_name_alternatives&amp;mailto=busa649%40example.com</x:v>
      </x:c>
      <x:c r="U7" s="17" t="str"/>
    </x:row>
    <x:row r="8">
      <x:c r="A8" s="17" t="n">
        <x:v>4</x:v>
      </x:c>
      <x:c r="B8" s="17" t="str">
        <x:v>The University of Edinburgh</x:v>
      </x:c>
      <x:c r="C8" s="17" t="str">
        <x:v>United Kingdom</x:v>
      </x:c>
      <x:c r="D8" s="17" t="str">
        <x:v>No reliable match</x:v>
      </x:c>
      <x:c r="E8" s="17" t="str"/>
      <x:c r="F8" s="17" t="str"/>
      <x:c r="G8" s="39"/>
      <x:c r="H8" s="17" t="str"/>
      <x:c r="I8" s="17" t="str"/>
      <x:c r="J8" s="30" t="str"/>
      <x:c r="K8" s="30" t="str"/>
      <x:c r="L8" s="39"/>
      <x:c r="M8" s="39"/>
      <x:c r="N8" s="39"/>
      <x:c r="O8" s="39"/>
      <x:c r="P8" s="39"/>
      <x:c r="Q8" s="39"/>
      <x:c r="R8" s="17" t="str"/>
      <x:c r="S8" s="30" t="str"/>
      <x:c r="T8" s="30" t="str">
        <x:v>https://api.openalex.org/institutions?search=The+University+of+Edinburgh&amp;per_page=5&amp;select=id%2Cror%2Cdisplay_name%2Ccountry_code%2Ctype%2Chomepage_url%2Cworks_count%2Ccited_by_count%2Csummary_stats%2Cdisplay_name_alternatives&amp;mailto=busa649%40example.com</x:v>
      </x:c>
      <x:c r="U8" s="17" t="str">
        <x:v>No OpenAlex search result</x:v>
      </x:c>
    </x:row>
    <x:row r="9">
      <x:c r="A9" s="17" t="n">
        <x:v>5</x:v>
      </x:c>
      <x:c r="B9" s="17" t="str">
        <x:v>University of British Columbia</x:v>
      </x:c>
      <x:c r="C9" s="17" t="str">
        <x:v>Canada</x:v>
      </x:c>
      <x:c r="D9" s="17" t="str">
        <x:v>Collected</x:v>
      </x:c>
      <x:c r="E9" s="17" t="str">
        <x:v>University of British Columbia</x:v>
      </x:c>
      <x:c r="F9" s="17" t="str">
        <x:v>Verified</x:v>
      </x:c>
      <x:c r="G9" s="39" t="n">
        <x:v>1</x:v>
      </x:c>
      <x:c r="H9" s="17" t="str">
        <x:v>CA</x:v>
      </x:c>
      <x:c r="I9" s="17" t="str">
        <x:v>education</x:v>
      </x:c>
      <x:c r="J9" s="30" t="str">
        <x:v>https://ror.org/03rmrcq20</x:v>
      </x:c>
      <x:c r="K9" s="30" t="str">
        <x:v>https://openalex.org/I141945490</x:v>
      </x:c>
      <x:c r="L9" s="39" t="n">
        <x:v>374948</x:v>
      </x:c>
      <x:c r="M9" s="39" t="n">
        <x:v>32396043</x:v>
      </x:c>
      <x:c r="N9" s="39" t="n">
        <x:v>1334</x:v>
      </x:c>
      <x:c r="O9" s="39" t="n">
        <x:v>3.164244344880341</x:v>
      </x:c>
      <x:c r="P9" s="39" t="n">
        <x:v>19674</x:v>
      </x:c>
      <x:c r="Q9" s="39" t="n">
        <x:v>36457</x:v>
      </x:c>
      <x:c r="R9" s="17" t="str">
        <x:v>A clinical case definition of post-COVID-19 condition by a Delphi consensus (2021; 2600 citations)</x:v>
      </x:c>
      <x:c r="S9" s="30" t="str">
        <x:v>https://api.openalex.org/works?filter=authorships.institutions.id%3AI141945490%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9" s="30" t="str">
        <x:v>https://api.openalex.org/institutions?search=University+of+British+Columbia&amp;per_page=5&amp;select=id%2Cror%2Cdisplay_name%2Ccountry_code%2Ctype%2Chomepage_url%2Cworks_count%2Ccited_by_count%2Csummary_stats%2Cdisplay_name_alternatives&amp;mailto=busa649%40example.com</x:v>
      </x:c>
      <x:c r="U9" s="17" t="str"/>
    </x:row>
    <x:row r="10">
      <x:c r="A10" s="17" t="n">
        <x:v>6</x:v>
      </x:c>
      <x:c r="B10" s="17" t="str">
        <x:v>The London School of Economics and Political Science (LSE)</x:v>
      </x:c>
      <x:c r="C10" s="17" t="str">
        <x:v>United Kingdom</x:v>
      </x:c>
      <x:c r="D10" s="17" t="str">
        <x:v>Collected</x:v>
      </x:c>
      <x:c r="E10" s="17" t="str">
        <x:v>London School of Economics and Political Science</x:v>
      </x:c>
      <x:c r="F10" s="17" t="str">
        <x:v>Verified</x:v>
      </x:c>
      <x:c r="G10" s="39" t="n">
        <x:v>1</x:v>
      </x:c>
      <x:c r="H10" s="17" t="str">
        <x:v>GB</x:v>
      </x:c>
      <x:c r="I10" s="17" t="str">
        <x:v>education</x:v>
      </x:c>
      <x:c r="J10" s="30" t="str">
        <x:v>https://ror.org/0090zs177</x:v>
      </x:c>
      <x:c r="K10" s="30" t="str">
        <x:v>https://openalex.org/I909854389</x:v>
      </x:c>
      <x:c r="L10" s="39" t="n">
        <x:v>73569</x:v>
      </x:c>
      <x:c r="M10" s="39" t="n">
        <x:v>2719235</x:v>
      </x:c>
      <x:c r="N10" s="39" t="n">
        <x:v>550</x:v>
      </x:c>
      <x:c r="O10" s="39" t="n">
        <x:v>3.033035294117647</x:v>
      </x:c>
      <x:c r="P10" s="39" t="n">
        <x:v>5387</x:v>
      </x:c>
      <x:c r="Q10" s="39" t="n">
        <x:v>15795</x:v>
      </x:c>
      <x:c r="R10" s="17" t="str">
        <x:v>The 2022 report of the Lancet Countdown on health and climate change: health at the mercy of fossil fuels (2022; 1627 citations)</x:v>
      </x:c>
      <x:c r="S10" s="30" t="str">
        <x:v>https://api.openalex.org/works?filter=authorships.institutions.id%3AI909854389%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10" s="30" t="str">
        <x:v>https://api.openalex.org/institutions?search=London+School+of+Economics+and+Political+Science&amp;per_page=5&amp;select=id%2Cror%2Cdisplay_name%2Ccountry_code%2Ctype%2Chomepage_url%2Cworks_count%2Ccited_by_count%2Csummary_stats%2Cdisplay_name_alternatives&amp;mailto=busa649%40example.com</x:v>
      </x:c>
      <x:c r="U10" s="17" t="str"/>
    </x:row>
    <x:row r="11">
      <x:c r="A11" s="17" t="n">
        <x:v>7</x:v>
      </x:c>
      <x:c r="B11" s="17" t="str">
        <x:v>Imperial College London</x:v>
      </x:c>
      <x:c r="C11" s="17" t="str">
        <x:v>United Kingdom</x:v>
      </x:c>
      <x:c r="D11" s="17" t="str">
        <x:v>Collected</x:v>
      </x:c>
      <x:c r="E11" s="17" t="str">
        <x:v>Imperial College London</x:v>
      </x:c>
      <x:c r="F11" s="17" t="str">
        <x:v>Verified</x:v>
      </x:c>
      <x:c r="G11" s="39" t="n">
        <x:v>1</x:v>
      </x:c>
      <x:c r="H11" s="17" t="str">
        <x:v>GB</x:v>
      </x:c>
      <x:c r="I11" s="17" t="str">
        <x:v>education</x:v>
      </x:c>
      <x:c r="J11" s="30" t="str">
        <x:v>https://ror.org/041kmwe10</x:v>
      </x:c>
      <x:c r="K11" s="30" t="str">
        <x:v>https://openalex.org/I47508984</x:v>
      </x:c>
      <x:c r="L11" s="39" t="n">
        <x:v>387396</x:v>
      </x:c>
      <x:c r="M11" s="39" t="n">
        <x:v>42109070</x:v>
      </x:c>
      <x:c r="N11" s="39" t="n">
        <x:v>1551</x:v>
      </x:c>
      <x:c r="O11" s="39" t="n">
        <x:v>6.499100243463533</x:v>
      </x:c>
      <x:c r="P11" s="39" t="n">
        <x:v>22297</x:v>
      </x:c>
      <x:c r="Q11" s="39" t="n">
        <x:v>47844</x:v>
      </x:c>
      <x:c r="R11" s="17" t="str">
        <x:v>The 5th edition of the World Health Organization Classification of Haematolymphoid Tumours: Myeloid and Histiocytic/Dendritic Neoplasms (2022; 3974 citations)</x:v>
      </x:c>
      <x:c r="S11" s="30" t="str">
        <x:v>https://api.openalex.org/works?filter=authorships.institutions.id%3AI47508984%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11" s="30" t="str">
        <x:v>https://api.openalex.org/institutions?search=Imperial+College+London&amp;per_page=5&amp;select=id%2Cror%2Cdisplay_name%2Ccountry_code%2Ctype%2Chomepage_url%2Cworks_count%2Ccited_by_count%2Csummary_stats%2Cdisplay_name_alternatives&amp;mailto=busa649%40example.com</x:v>
      </x:c>
      <x:c r="U11" s="17" t="str"/>
    </x:row>
    <x:row r="12">
      <x:c r="A12" s="17" t="n">
        <x:v>8</x:v>
      </x:c>
      <x:c r="B12" s="17" t="str">
        <x:v>The University of New South Wales (UNSW Sydney)</x:v>
      </x:c>
      <x:c r="C12" s="17" t="str">
        <x:v>Australia</x:v>
      </x:c>
      <x:c r="D12" s="17" t="str">
        <x:v>Collected</x:v>
      </x:c>
      <x:c r="E12" s="17" t="str">
        <x:v>UNSW Sydney</x:v>
      </x:c>
      <x:c r="F12" s="17" t="str">
        <x:v>Verified</x:v>
      </x:c>
      <x:c r="G12" s="39" t="n">
        <x:v>1</x:v>
      </x:c>
      <x:c r="H12" s="17" t="str">
        <x:v>AU</x:v>
      </x:c>
      <x:c r="I12" s="17" t="str">
        <x:v>education</x:v>
      </x:c>
      <x:c r="J12" s="30" t="str">
        <x:v>https://ror.org/03r8z3t63</x:v>
      </x:c>
      <x:c r="K12" s="30" t="str">
        <x:v>https://openalex.org/I31746571</x:v>
      </x:c>
      <x:c r="L12" s="39" t="n">
        <x:v>273345</x:v>
      </x:c>
      <x:c r="M12" s="39" t="n">
        <x:v>20091565</x:v>
      </x:c>
      <x:c r="N12" s="39" t="n">
        <x:v>1041</x:v>
      </x:c>
      <x:c r="O12" s="39" t="n">
        <x:v>5.193142302307727</x:v>
      </x:c>
      <x:c r="P12" s="39" t="n">
        <x:v>19127</x:v>
      </x:c>
      <x:c r="Q12" s="39" t="n">
        <x:v>41208</x:v>
      </x:c>
      <x:c r="R12" s="17" t="str">
        <x:v>Natural products in drug discovery: advances and opportunities (2021; 5097 citations)</x:v>
      </x:c>
      <x:c r="S12" s="30" t="str">
        <x:v>https://api.openalex.org/works?filter=authorships.institutions.id%3AI31746571%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12" s="30" t="str">
        <x:v>https://api.openalex.org/institutions?search=University+of+New+South+Wales&amp;per_page=5&amp;select=id%2Cror%2Cdisplay_name%2Ccountry_code%2Ctype%2Chomepage_url%2Cworks_count%2Ccited_by_count%2Csummary_stats%2Cdisplay_name_alternatives&amp;mailto=busa649%40example.com</x:v>
      </x:c>
      <x:c r="U12" s="17" t="str"/>
    </x:row>
    <x:row r="13">
      <x:c r="A13" s="17" t="n">
        <x:v>9</x:v>
      </x:c>
      <x:c r="B13" s="17" t="str">
        <x:v>McGill University</x:v>
      </x:c>
      <x:c r="C13" s="17" t="str">
        <x:v>Canada</x:v>
      </x:c>
      <x:c r="D13" s="17" t="str">
        <x:v>Collected</x:v>
      </x:c>
      <x:c r="E13" s="17" t="str">
        <x:v>McGill University</x:v>
      </x:c>
      <x:c r="F13" s="17" t="str">
        <x:v>Verified</x:v>
      </x:c>
      <x:c r="G13" s="39" t="n">
        <x:v>1</x:v>
      </x:c>
      <x:c r="H13" s="17" t="str">
        <x:v>CA</x:v>
      </x:c>
      <x:c r="I13" s="17" t="str">
        <x:v>education</x:v>
      </x:c>
      <x:c r="J13" s="30" t="str">
        <x:v>https://ror.org/01pxwe438</x:v>
      </x:c>
      <x:c r="K13" s="30" t="str">
        <x:v>https://openalex.org/I5023651</x:v>
      </x:c>
      <x:c r="L13" s="39" t="n">
        <x:v>296965</x:v>
      </x:c>
      <x:c r="M13" s="39" t="n">
        <x:v>27391298</x:v>
      </x:c>
      <x:c r="N13" s="39" t="n">
        <x:v>1225</x:v>
      </x:c>
      <x:c r="O13" s="39" t="n">
        <x:v>3.9382953152983315</x:v>
      </x:c>
      <x:c r="P13" s="39" t="n">
        <x:v>14699</x:v>
      </x:c>
      <x:c r="Q13" s="39" t="n">
        <x:v>35508</x:v>
      </x:c>
      <x:c r="R13" s="17" t="str">
        <x:v>Strengthening the Reporting of Observational Studies in Epidemiology Using Mendelian Randomization (2021; 4065 citations)</x:v>
      </x:c>
      <x:c r="S13" s="30" t="str">
        <x:v>https://api.openalex.org/works?filter=authorships.institutions.id%3AI5023651%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13" s="30" t="str">
        <x:v>https://api.openalex.org/institutions?search=McGill+University&amp;per_page=5&amp;select=id%2Cror%2Cdisplay_name%2Ccountry_code%2Ctype%2Chomepage_url%2Cworks_count%2Ccited_by_count%2Csummary_stats%2Cdisplay_name_alternatives&amp;mailto=busa649%40example.com</x:v>
      </x:c>
      <x:c r="U13" s="17" t="str"/>
    </x:row>
    <x:row r="14">
      <x:c r="A14" s="17" t="n">
        <x:v>10</x:v>
      </x:c>
      <x:c r="B14" s="17" t="str">
        <x:v>The University of Manchester</x:v>
      </x:c>
      <x:c r="C14" s="17" t="str">
        <x:v>United Kingdom</x:v>
      </x:c>
      <x:c r="D14" s="17" t="str">
        <x:v>No reliable match</x:v>
      </x:c>
      <x:c r="E14" s="17" t="str"/>
      <x:c r="F14" s="17" t="str"/>
      <x:c r="G14" s="39"/>
      <x:c r="H14" s="17" t="str"/>
      <x:c r="I14" s="17" t="str"/>
      <x:c r="J14" s="30" t="str"/>
      <x:c r="K14" s="30" t="str"/>
      <x:c r="L14" s="39"/>
      <x:c r="M14" s="39"/>
      <x:c r="N14" s="39"/>
      <x:c r="O14" s="39"/>
      <x:c r="P14" s="39"/>
      <x:c r="Q14" s="39"/>
      <x:c r="R14" s="17" t="str"/>
      <x:c r="S14" s="30" t="str"/>
      <x:c r="T14" s="30" t="str">
        <x:v>https://api.openalex.org/institutions?search=The+University+of+Manchester&amp;per_page=5&amp;select=id%2Cror%2Cdisplay_name%2Ccountry_code%2Ctype%2Chomepage_url%2Cworks_count%2Ccited_by_count%2Csummary_stats%2Cdisplay_name_alternatives&amp;mailto=busa649%40example.com</x:v>
      </x:c>
      <x:c r="U14" s="17" t="str">
        <x:v>No OpenAlex search result</x:v>
      </x:c>
    </x:row>
    <x:row r="15">
      <x:c r="A15" s="17" t="n">
        <x:v>11</x:v>
      </x:c>
      <x:c r="B15" s="17" t="str">
        <x:v>ETH Zurich</x:v>
      </x:c>
      <x:c r="C15" s="17" t="str">
        <x:v>Switzerland</x:v>
      </x:c>
      <x:c r="D15" s="17" t="str">
        <x:v>Collected</x:v>
      </x:c>
      <x:c r="E15" s="17" t="str">
        <x:v>ETH Zurich</x:v>
      </x:c>
      <x:c r="F15" s="17" t="str">
        <x:v>Verified</x:v>
      </x:c>
      <x:c r="G15" s="39" t="n">
        <x:v>1</x:v>
      </x:c>
      <x:c r="H15" s="17" t="str">
        <x:v>CH</x:v>
      </x:c>
      <x:c r="I15" s="17" t="str">
        <x:v>education</x:v>
      </x:c>
      <x:c r="J15" s="30" t="str">
        <x:v>https://ror.org/05a28rw58</x:v>
      </x:c>
      <x:c r="K15" s="30" t="str">
        <x:v>https://openalex.org/I35440088</x:v>
      </x:c>
      <x:c r="L15" s="39" t="n">
        <x:v>247076</x:v>
      </x:c>
      <x:c r="M15" s="39" t="n">
        <x:v>26965222</x:v>
      </x:c>
      <x:c r="N15" s="39" t="n">
        <x:v>1171</x:v>
      </x:c>
      <x:c r="O15" s="39" t="n">
        <x:v>3.6387697457893085</x:v>
      </x:c>
      <x:c r="P15" s="39" t="n">
        <x:v>17955</x:v>
      </x:c>
      <x:c r="Q15" s="39" t="n">
        <x:v>35288</x:v>
      </x:c>
      <x:c r="R15" s="17" t="str">
        <x:v>Natural products in drug discovery: advances and opportunities (2021; 5097 citations)</x:v>
      </x:c>
      <x:c r="S15" s="30" t="str">
        <x:v>https://api.openalex.org/works?filter=authorships.institutions.id%3AI35440088%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15" s="30" t="str">
        <x:v>https://api.openalex.org/institutions?search=ETH+Zurich&amp;per_page=5&amp;select=id%2Cror%2Cdisplay_name%2Ccountry_code%2Ctype%2Chomepage_url%2Cworks_count%2Ccited_by_count%2Csummary_stats%2Cdisplay_name_alternatives&amp;mailto=busa649%40example.com</x:v>
      </x:c>
      <x:c r="U15" s="17" t="str"/>
    </x:row>
    <x:row r="16">
      <x:c r="A16" s="17" t="n">
        <x:v>12</x:v>
      </x:c>
      <x:c r="B16" s="17" t="str">
        <x:v>The University of Melbourne</x:v>
      </x:c>
      <x:c r="C16" s="17" t="str">
        <x:v>Australia</x:v>
      </x:c>
      <x:c r="D16" s="17" t="str">
        <x:v>Collected</x:v>
      </x:c>
      <x:c r="E16" s="17" t="str">
        <x:v>The University of Melbourne</x:v>
      </x:c>
      <x:c r="F16" s="17" t="str">
        <x:v>Verified</x:v>
      </x:c>
      <x:c r="G16" s="39" t="n">
        <x:v>1</x:v>
      </x:c>
      <x:c r="H16" s="17" t="str">
        <x:v>AU</x:v>
      </x:c>
      <x:c r="I16" s="17" t="str">
        <x:v>education</x:v>
      </x:c>
      <x:c r="J16" s="30" t="str">
        <x:v>https://ror.org/01ej9dk98</x:v>
      </x:c>
      <x:c r="K16" s="30" t="str">
        <x:v>https://openalex.org/I165779595</x:v>
      </x:c>
      <x:c r="L16" s="39" t="n">
        <x:v>345056</x:v>
      </x:c>
      <x:c r="M16" s="39" t="n">
        <x:v>30804922</x:v>
      </x:c>
      <x:c r="N16" s="39" t="n">
        <x:v>1272</x:v>
      </x:c>
      <x:c r="O16" s="39" t="n">
        <x:v>4.07334254365532</x:v>
      </x:c>
      <x:c r="P16" s="39" t="n">
        <x:v>22783</x:v>
      </x:c>
      <x:c r="Q16" s="39" t="n">
        <x:v>35238</x:v>
      </x:c>
      <x:c r="R16" s="17" t="str">
        <x:v>Large-scale cis- and trans-eQTL analyses identify thousands of genetic loci and polygenic scores that regulate blood gene expression (2021; 2221 citations)</x:v>
      </x:c>
      <x:c r="S16" s="30" t="str">
        <x:v>https://api.openalex.org/works?filter=authorships.institutions.id%3AI165779595%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16" s="30" t="str">
        <x:v>https://api.openalex.org/institutions?search=The+University+of+Melbourne&amp;per_page=5&amp;select=id%2Cror%2Cdisplay_name%2Ccountry_code%2Ctype%2Chomepage_url%2Cworks_count%2Ccited_by_count%2Csummary_stats%2Cdisplay_name_alternatives&amp;mailto=busa649%40example.com</x:v>
      </x:c>
      <x:c r="U16" s="17" t="str"/>
    </x:row>
    <x:row r="17">
      <x:c r="A17" s="17" t="n">
        <x:v>13</x:v>
      </x:c>
      <x:c r="B17" s="17" t="str">
        <x:v>University of California, Berkeley (UCB)</x:v>
      </x:c>
      <x:c r="C17" s="17" t="str">
        <x:v>United States</x:v>
      </x:c>
      <x:c r="D17" s="17" t="str">
        <x:v>Collected</x:v>
      </x:c>
      <x:c r="E17" s="17" t="str">
        <x:v>University of California, Berkeley</x:v>
      </x:c>
      <x:c r="F17" s="17" t="str">
        <x:v>Verified</x:v>
      </x:c>
      <x:c r="G17" s="39" t="n">
        <x:v>1</x:v>
      </x:c>
      <x:c r="H17" s="17" t="str">
        <x:v>US</x:v>
      </x:c>
      <x:c r="I17" s="17" t="str">
        <x:v>education</x:v>
      </x:c>
      <x:c r="J17" s="30" t="str">
        <x:v>https://ror.org/01an7q238</x:v>
      </x:c>
      <x:c r="K17" s="30" t="str">
        <x:v>https://openalex.org/I95457486</x:v>
      </x:c>
      <x:c r="L17" s="39" t="n">
        <x:v>450823</x:v>
      </x:c>
      <x:c r="M17" s="39" t="n">
        <x:v>56370727</x:v>
      </x:c>
      <x:c r="N17" s="39" t="n">
        <x:v>1876</x:v>
      </x:c>
      <x:c r="O17" s="39" t="n">
        <x:v>3.917210196023128</x:v>
      </x:c>
      <x:c r="P17" s="39" t="n">
        <x:v>15635</x:v>
      </x:c>
      <x:c r="Q17" s="39" t="n">
        <x:v>34640</x:v>
      </x:c>
      <x:c r="R17" s="17" t="str">
        <x:v>Informer: Beyond Efficient Transformer for Long Sequence Time-Series Forecasting (2021; 6303 citations)</x:v>
      </x:c>
      <x:c r="S17" s="30" t="str">
        <x:v>https://api.openalex.org/works?filter=authorships.institutions.id%3AI95457486%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17" s="30" t="str">
        <x:v>https://api.openalex.org/institutions?search=University+of+California+Berkeley&amp;per_page=5&amp;select=id%2Cror%2Cdisplay_name%2Ccountry_code%2Ctype%2Chomepage_url%2Cworks_count%2Ccited_by_count%2Csummary_stats%2Cdisplay_name_alternatives&amp;mailto=busa649%40example.com</x:v>
      </x:c>
      <x:c r="U17" s="17" t="str"/>
    </x:row>
    <x:row r="18">
      <x:c r="A18" s="17" t="n">
        <x:v>14</x:v>
      </x:c>
      <x:c r="B18" s="17" t="str">
        <x:v>Stanford University</x:v>
      </x:c>
      <x:c r="C18" s="17" t="str">
        <x:v>United States</x:v>
      </x:c>
      <x:c r="D18" s="17" t="str">
        <x:v>Collected</x:v>
      </x:c>
      <x:c r="E18" s="17" t="str">
        <x:v>Stanford University</x:v>
      </x:c>
      <x:c r="F18" s="17" t="str">
        <x:v>Verified</x:v>
      </x:c>
      <x:c r="G18" s="39" t="n">
        <x:v>1</x:v>
      </x:c>
      <x:c r="H18" s="17" t="str">
        <x:v>US</x:v>
      </x:c>
      <x:c r="I18" s="17" t="str">
        <x:v>education</x:v>
      </x:c>
      <x:c r="J18" s="30" t="str">
        <x:v>https://ror.org/00f54p054</x:v>
      </x:c>
      <x:c r="K18" s="30" t="str">
        <x:v>https://openalex.org/I97018004</x:v>
      </x:c>
      <x:c r="L18" s="39" t="n">
        <x:v>528279</x:v>
      </x:c>
      <x:c r="M18" s="39" t="n">
        <x:v>87451954</x:v>
      </x:c>
      <x:c r="N18" s="39" t="n">
        <x:v>2487</x:v>
      </x:c>
      <x:c r="O18" s="39" t="n">
        <x:v>6.412806063072928</x:v>
      </x:c>
      <x:c r="P18" s="39" t="n">
        <x:v>20548</x:v>
      </x:c>
      <x:c r="Q18" s="39" t="n">
        <x:v>46013</x:v>
      </x:c>
      <x:c r="R18" s="17" t="str">
        <x:v>The 5th edition of the World Health Organization Classification of Haematolymphoid Tumours: Myeloid and Histiocytic/Dendritic Neoplasms (2022; 3974 citations)</x:v>
      </x:c>
      <x:c r="S18" s="30" t="str">
        <x:v>https://api.openalex.org/works?filter=authorships.institutions.id%3AI97018004%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18" s="30" t="str">
        <x:v>https://api.openalex.org/institutions?search=Stanford+University&amp;per_page=5&amp;select=id%2Cror%2Cdisplay_name%2Ccountry_code%2Ctype%2Chomepage_url%2Cworks_count%2Ccited_by_count%2Csummary_stats%2Cdisplay_name_alternatives&amp;mailto=busa649%40example.com</x:v>
      </x:c>
      <x:c r="U18" s="17" t="str"/>
    </x:row>
    <x:row r="19">
      <x:c r="A19" s="17" t="n">
        <x:v>15</x:v>
      </x:c>
      <x:c r="B19" s="17" t="str">
        <x:v>University of Oxford</x:v>
      </x:c>
      <x:c r="C19" s="17" t="str">
        <x:v>United Kingdom</x:v>
      </x:c>
      <x:c r="D19" s="17" t="str">
        <x:v>Collected</x:v>
      </x:c>
      <x:c r="E19" s="17" t="str">
        <x:v>University of Oxford</x:v>
      </x:c>
      <x:c r="F19" s="17" t="str">
        <x:v>Verified</x:v>
      </x:c>
      <x:c r="G19" s="39" t="n">
        <x:v>1</x:v>
      </x:c>
      <x:c r="H19" s="17" t="str">
        <x:v>GB</x:v>
      </x:c>
      <x:c r="I19" s="17" t="str">
        <x:v>education</x:v>
      </x:c>
      <x:c r="J19" s="30" t="str">
        <x:v>https://ror.org/052gg0110</x:v>
      </x:c>
      <x:c r="K19" s="30" t="str">
        <x:v>https://openalex.org/I40120149</x:v>
      </x:c>
      <x:c r="L19" s="39" t="n">
        <x:v>595350</x:v>
      </x:c>
      <x:c r="M19" s="39" t="n">
        <x:v>63481881</x:v>
      </x:c>
      <x:c r="N19" s="39" t="n">
        <x:v>2073</x:v>
      </x:c>
      <x:c r="O19" s="39" t="n">
        <x:v>4.676979520012395</x:v>
      </x:c>
      <x:c r="P19" s="39" t="n">
        <x:v>30045</x:v>
      </x:c>
      <x:c r="Q19" s="39" t="n">
        <x:v>59188</x:v>
      </x:c>
      <x:c r="R19" s="17" t="str">
        <x:v>Cancer statistics for the year 2020: An overview (2021; 5720 citations)</x:v>
      </x:c>
      <x:c r="S19" s="30" t="str">
        <x:v>https://api.openalex.org/works?filter=authorships.institutions.id%3AI40120149%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19" s="30" t="str">
        <x:v>https://api.openalex.org/institutions?search=University+of+Oxford&amp;per_page=5&amp;select=id%2Cror%2Cdisplay_name%2Ccountry_code%2Ctype%2Chomepage_url%2Cworks_count%2Ccited_by_count%2Csummary_stats%2Cdisplay_name_alternatives&amp;mailto=busa649%40example.com</x:v>
      </x:c>
      <x:c r="U19" s="17" t="str"/>
    </x:row>
    <x:row r="20">
      <x:c r="A20" s="17" t="n">
        <x:v>16</x:v>
      </x:c>
      <x:c r="B20" s="17" t="str">
        <x:v>The University of Sydney</x:v>
      </x:c>
      <x:c r="C20" s="17" t="str">
        <x:v>Australia</x:v>
      </x:c>
      <x:c r="D20" s="17" t="str">
        <x:v>Collected</x:v>
      </x:c>
      <x:c r="E20" s="17" t="str">
        <x:v>The University of Sydney</x:v>
      </x:c>
      <x:c r="F20" s="17" t="str">
        <x:v>Verified</x:v>
      </x:c>
      <x:c r="G20" s="39" t="n">
        <x:v>1</x:v>
      </x:c>
      <x:c r="H20" s="17" t="str">
        <x:v>AU</x:v>
      </x:c>
      <x:c r="I20" s="17" t="str">
        <x:v>education</x:v>
      </x:c>
      <x:c r="J20" s="30" t="str">
        <x:v>https://ror.org/0384j8v12</x:v>
      </x:c>
      <x:c r="K20" s="30" t="str">
        <x:v>https://openalex.org/I129604602</x:v>
      </x:c>
      <x:c r="L20" s="39" t="n">
        <x:v>334397</x:v>
      </x:c>
      <x:c r="M20" s="39" t="n">
        <x:v>26953302</x:v>
      </x:c>
      <x:c r="N20" s="39" t="n">
        <x:v>1277</x:v>
      </x:c>
      <x:c r="O20" s="39" t="n">
        <x:v>4.803487245113999</x:v>
      </x:c>
      <x:c r="P20" s="39" t="n">
        <x:v>19613</x:v>
      </x:c>
      <x:c r="Q20" s="39" t="n">
        <x:v>33889</x:v>
      </x:c>
      <x:c r="R20" s="17" t="str">
        <x:v>A Consensus-Based Checklist for Reporting of Survey Studies (CROSS) (2021; 2161 citations)</x:v>
      </x:c>
      <x:c r="S20" s="30" t="str">
        <x:v>https://api.openalex.org/works?filter=authorships.institutions.id%3AI129604602%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20" s="30" t="str">
        <x:v>https://api.openalex.org/institutions?search=The+University+of+Sydney&amp;per_page=5&amp;select=id%2Cror%2Cdisplay_name%2Ccountry_code%2Ctype%2Chomepage_url%2Cworks_count%2Ccited_by_count%2Csummary_stats%2Cdisplay_name_alternatives&amp;mailto=busa649%40example.com</x:v>
      </x:c>
      <x:c r="U20" s="17" t="str"/>
    </x:row>
    <x:row r="21">
      <x:c r="A21" s="17" t="n">
        <x:v>17</x:v>
      </x:c>
      <x:c r="B21" s="17" t="str">
        <x:v>Australian National University (ANU)</x:v>
      </x:c>
      <x:c r="C21" s="17" t="str">
        <x:v>Australia</x:v>
      </x:c>
      <x:c r="D21" s="17" t="str">
        <x:v>Collected</x:v>
      </x:c>
      <x:c r="E21" s="17" t="str">
        <x:v>Australian National University</x:v>
      </x:c>
      <x:c r="F21" s="17" t="str">
        <x:v>Verified</x:v>
      </x:c>
      <x:c r="G21" s="39" t="n">
        <x:v>1</x:v>
      </x:c>
      <x:c r="H21" s="17" t="str">
        <x:v>AU</x:v>
      </x:c>
      <x:c r="I21" s="17" t="str">
        <x:v>education</x:v>
      </x:c>
      <x:c r="J21" s="30" t="str">
        <x:v>https://ror.org/019wvm592</x:v>
      </x:c>
      <x:c r="K21" s="30" t="str">
        <x:v>https://openalex.org/I118347636</x:v>
      </x:c>
      <x:c r="L21" s="39" t="n">
        <x:v>192747</x:v>
      </x:c>
      <x:c r="M21" s="39" t="n">
        <x:v>14656752</x:v>
      </x:c>
      <x:c r="N21" s="39" t="n">
        <x:v>1070</x:v>
      </x:c>
      <x:c r="O21" s="39" t="n">
        <x:v>4.353211618698344</x:v>
      </x:c>
      <x:c r="P21" s="39" t="n">
        <x:v>10091</x:v>
      </x:c>
      <x:c r="Q21" s="39" t="n">
        <x:v>28831</x:v>
      </x:c>
      <x:c r="R21" s="17" t="str">
        <x:v>The Astropy Project: Sustaining and Growing a Community-oriented Open-source Project and the Latest Major Release (v5.0) of the Core Package (2022; 4749 citations)</x:v>
      </x:c>
      <x:c r="S21" s="30" t="str">
        <x:v>https://api.openalex.org/works?filter=authorships.institutions.id%3AI118347636%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21" s="30" t="str">
        <x:v>https://api.openalex.org/institutions?search=Australian+National+University&amp;per_page=5&amp;select=id%2Cror%2Cdisplay_name%2Ccountry_code%2Ctype%2Chomepage_url%2Cworks_count%2Ccited_by_count%2Csummary_stats%2Cdisplay_name_alternatives&amp;mailto=busa649%40example.com</x:v>
      </x:c>
      <x:c r="U21" s="17" t="str"/>
    </x:row>
    <x:row r="22">
      <x:c r="A22" s="17" t="n">
        <x:v>18</x:v>
      </x:c>
      <x:c r="B22" s="17" t="str">
        <x:v>King's College London</x:v>
      </x:c>
      <x:c r="C22" s="17" t="str">
        <x:v>United Kingdom</x:v>
      </x:c>
      <x:c r="D22" s="17" t="str">
        <x:v>Collected</x:v>
      </x:c>
      <x:c r="E22" s="17" t="str">
        <x:v>King's College London</x:v>
      </x:c>
      <x:c r="F22" s="17" t="str">
        <x:v>Verified</x:v>
      </x:c>
      <x:c r="G22" s="39" t="n">
        <x:v>1</x:v>
      </x:c>
      <x:c r="H22" s="17" t="str">
        <x:v>GB</x:v>
      </x:c>
      <x:c r="I22" s="17" t="str">
        <x:v>education</x:v>
      </x:c>
      <x:c r="J22" s="30" t="str">
        <x:v>https://ror.org/0220mzb33</x:v>
      </x:c>
      <x:c r="K22" s="30" t="str">
        <x:v>https://openalex.org/I183935753</x:v>
      </x:c>
      <x:c r="L22" s="39" t="n">
        <x:v>260530</x:v>
      </x:c>
      <x:c r="M22" s="39" t="n">
        <x:v>22819015</x:v>
      </x:c>
      <x:c r="N22" s="39" t="n">
        <x:v>1242</x:v>
      </x:c>
      <x:c r="O22" s="39" t="n">
        <x:v>3.8004042500297244</x:v>
      </x:c>
      <x:c r="P22" s="39" t="n">
        <x:v>17300</x:v>
      </x:c>
      <x:c r="Q22" s="39" t="n">
        <x:v>46130</x:v>
      </x:c>
      <x:c r="R22" s="17" t="str">
        <x:v>Cancer statistics for the year 2020: An overview (2021; 5720 citations)</x:v>
      </x:c>
      <x:c r="S22" s="30" t="str">
        <x:v>https://api.openalex.org/works?filter=authorships.institutions.id%3AI183935753%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22" s="30" t="str">
        <x:v>https://api.openalex.org/institutions?search=King%27s+College+London&amp;per_page=5&amp;select=id%2Cror%2Cdisplay_name%2Ccountry_code%2Ctype%2Chomepage_url%2Cworks_count%2Ccited_by_count%2Csummary_stats%2Cdisplay_name_alternatives&amp;mailto=busa649%40example.com</x:v>
      </x:c>
      <x:c r="U22" s="17" t="str"/>
    </x:row>
    <x:row r="23">
      <x:c r="A23" s="17" t="n">
        <x:v>19</x:v>
      </x:c>
      <x:c r="B23" s="17" t="str">
        <x:v>University of Bristol</x:v>
      </x:c>
      <x:c r="C23" s="17" t="str">
        <x:v>United Kingdom</x:v>
      </x:c>
      <x:c r="D23" s="17" t="str">
        <x:v>Collected</x:v>
      </x:c>
      <x:c r="E23" s="17" t="str">
        <x:v>University of Bristol</x:v>
      </x:c>
      <x:c r="F23" s="17" t="str">
        <x:v>Verified</x:v>
      </x:c>
      <x:c r="G23" s="39" t="n">
        <x:v>1</x:v>
      </x:c>
      <x:c r="H23" s="17" t="str">
        <x:v>GB</x:v>
      </x:c>
      <x:c r="I23" s="17" t="str">
        <x:v>education</x:v>
      </x:c>
      <x:c r="J23" s="30" t="str">
        <x:v>https://ror.org/0524sp257</x:v>
      </x:c>
      <x:c r="K23" s="30" t="str">
        <x:v>https://openalex.org/I36234482</x:v>
      </x:c>
      <x:c r="L23" s="39" t="n">
        <x:v>215481</x:v>
      </x:c>
      <x:c r="M23" s="39" t="n">
        <x:v>21630291</x:v>
      </x:c>
      <x:c r="N23" s="39" t="n">
        <x:v>1175</x:v>
      </x:c>
      <x:c r="O23" s="39" t="n">
        <x:v>3.236909050805088</x:v>
      </x:c>
      <x:c r="P23" s="39" t="n">
        <x:v>13276</x:v>
      </x:c>
      <x:c r="Q23" s="39" t="n">
        <x:v>50018</x:v>
      </x:c>
      <x:c r="R23" s="17" t="str">
        <x:v>PRISMA 2020 explanation and elaboration: updated guidance and exemplars for reporting systematic reviews (2021; 11186 citations)</x:v>
      </x:c>
      <x:c r="S23" s="30" t="str">
        <x:v>https://api.openalex.org/works?filter=authorships.institutions.id%3AI36234482%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23" s="30" t="str">
        <x:v>https://api.openalex.org/institutions?search=University+of+Bristol&amp;per_page=5&amp;select=id%2Cror%2Cdisplay_name%2Ccountry_code%2Ctype%2Chomepage_url%2Cworks_count%2Ccited_by_count%2Csummary_stats%2Cdisplay_name_alternatives&amp;mailto=busa649%40example.com</x:v>
      </x:c>
      <x:c r="U23" s="17" t="str"/>
    </x:row>
    <x:row r="24">
      <x:c r="A24" s="17" t="n">
        <x:v>20</x:v>
      </x:c>
      <x:c r="B24" s="17" t="str">
        <x:v>New York University (NYU)</x:v>
      </x:c>
      <x:c r="C24" s="17" t="str">
        <x:v>United States</x:v>
      </x:c>
      <x:c r="D24" s="17" t="str">
        <x:v>Collected</x:v>
      </x:c>
      <x:c r="E24" s="17" t="str">
        <x:v>New York University</x:v>
      </x:c>
      <x:c r="F24" s="17" t="str">
        <x:v>Verified</x:v>
      </x:c>
      <x:c r="G24" s="39" t="n">
        <x:v>1</x:v>
      </x:c>
      <x:c r="H24" s="17" t="str">
        <x:v>US</x:v>
      </x:c>
      <x:c r="I24" s="17" t="str">
        <x:v>education</x:v>
      </x:c>
      <x:c r="J24" s="30" t="str">
        <x:v>https://ror.org/0190ak572</x:v>
      </x:c>
      <x:c r="K24" s="30" t="str">
        <x:v>https://openalex.org/I57206974</x:v>
      </x:c>
      <x:c r="L24" s="39" t="n">
        <x:v>276763</x:v>
      </x:c>
      <x:c r="M24" s="39" t="n">
        <x:v>26848678</x:v>
      </x:c>
      <x:c r="N24" s="39" t="n">
        <x:v>1382</x:v>
      </x:c>
      <x:c r="O24" s="39" t="n">
        <x:v>3.86483404214878</x:v>
      </x:c>
      <x:c r="P24" s="39" t="n">
        <x:v>11658</x:v>
      </x:c>
      <x:c r="Q24" s="39" t="n">
        <x:v>30128</x:v>
      </x:c>
      <x:c r="R24" s="17" t="str">
        <x:v>Surviving sepsis campaign: international guidelines for management of sepsis and septic shock 2021 (2021; 5104 citations)</x:v>
      </x:c>
      <x:c r="S24" s="30" t="str">
        <x:v>https://api.openalex.org/works?filter=authorships.institutions.id%3AI57206974%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24" s="30" t="str">
        <x:v>https://api.openalex.org/institutions?search=New+York+University&amp;per_page=5&amp;select=id%2Cror%2Cdisplay_name%2Ccountry_code%2Ctype%2Chomepage_url%2Cworks_count%2Ccited_by_count%2Csummary_stats%2Cdisplay_name_alternatives&amp;mailto=busa649%40example.com</x:v>
      </x:c>
      <x:c r="U24" s="17" t="str"/>
    </x:row>
    <x:row r="25">
      <x:c r="A25" s="17" t="n">
        <x:v>21</x:v>
      </x:c>
      <x:c r="B25" s="17" t="str">
        <x:v>Pennsylvania State University</x:v>
      </x:c>
      <x:c r="C25" s="17" t="str">
        <x:v>United States</x:v>
      </x:c>
      <x:c r="D25" s="17" t="str">
        <x:v>Collected</x:v>
      </x:c>
      <x:c r="E25" s="17" t="str">
        <x:v>Pennsylvania State University</x:v>
      </x:c>
      <x:c r="F25" s="17" t="str">
        <x:v>Verified</x:v>
      </x:c>
      <x:c r="G25" s="39" t="n">
        <x:v>1</x:v>
      </x:c>
      <x:c r="H25" s="17" t="str">
        <x:v>US</x:v>
      </x:c>
      <x:c r="I25" s="17" t="str">
        <x:v>education</x:v>
      </x:c>
      <x:c r="J25" s="30" t="str">
        <x:v>https://ror.org/04p491231</x:v>
      </x:c>
      <x:c r="K25" s="30" t="str">
        <x:v>https://openalex.org/I130769515</x:v>
      </x:c>
      <x:c r="L25" s="39" t="n">
        <x:v>335116</x:v>
      </x:c>
      <x:c r="M25" s="39" t="n">
        <x:v>27586539</x:v>
      </x:c>
      <x:c r="N25" s="39" t="n">
        <x:v>1262</x:v>
      </x:c>
      <x:c r="O25" s="39" t="n">
        <x:v>4.082826031038326</x:v>
      </x:c>
      <x:c r="P25" s="39" t="n">
        <x:v>14142</x:v>
      </x:c>
      <x:c r="Q25" s="39" t="n">
        <x:v>25764</x:v>
      </x:c>
      <x:c r="R25" s="17" t="str">
        <x:v>Towards complete and error-free genome assemblies of all vertebrate species (2021; 3155 citations)</x:v>
      </x:c>
      <x:c r="S25" s="30" t="str">
        <x:v>https://api.openalex.org/works?filter=authorships.institutions.id%3AI130769515%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25" s="30" t="str">
        <x:v>https://api.openalex.org/institutions?search=Pennsylvania+State+University&amp;per_page=5&amp;select=id%2Cror%2Cdisplay_name%2Ccountry_code%2Ctype%2Chomepage_url%2Cworks_count%2Ccited_by_count%2Csummary_stats%2Cdisplay_name_alternatives&amp;mailto=busa649%40example.com</x:v>
      </x:c>
      <x:c r="U25" s="17" t="str"/>
    </x:row>
    <x:row r="26">
      <x:c r="A26" s="17" t="n">
        <x:v>22</x:v>
      </x:c>
      <x:c r="B26" s="17" t="str">
        <x:v>KU Leuven</x:v>
      </x:c>
      <x:c r="C26" s="17" t="str">
        <x:v>Belgium</x:v>
      </x:c>
      <x:c r="D26" s="17" t="str">
        <x:v>Collected</x:v>
      </x:c>
      <x:c r="E26" s="17" t="str">
        <x:v>KU Leuven</x:v>
      </x:c>
      <x:c r="F26" s="17" t="str">
        <x:v>Verified</x:v>
      </x:c>
      <x:c r="G26" s="39" t="n">
        <x:v>1</x:v>
      </x:c>
      <x:c r="H26" s="17" t="str">
        <x:v>BE</x:v>
      </x:c>
      <x:c r="I26" s="17" t="str">
        <x:v>education</x:v>
      </x:c>
      <x:c r="J26" s="30" t="str">
        <x:v>https://ror.org/05f950310</x:v>
      </x:c>
      <x:c r="K26" s="30" t="str">
        <x:v>https://openalex.org/I99464096</x:v>
      </x:c>
      <x:c r="L26" s="39" t="n">
        <x:v>309364</x:v>
      </x:c>
      <x:c r="M26" s="39" t="n">
        <x:v>29046987</x:v>
      </x:c>
      <x:c r="N26" s="39" t="n">
        <x:v>1309</x:v>
      </x:c>
      <x:c r="O26" s="39" t="n">
        <x:v>3.787423467687415</x:v>
      </x:c>
      <x:c r="P26" s="39" t="n">
        <x:v>16786</x:v>
      </x:c>
      <x:c r="Q26" s="39" t="n">
        <x:v>32958</x:v>
      </x:c>
      <x:c r="R26" s="17" t="str">
        <x:v>2022 ESC/ERS Guidelines for the diagnosis and treatment of pulmonary hypertension (2022; 2110 citations)</x:v>
      </x:c>
      <x:c r="S26" s="30" t="str">
        <x:v>https://api.openalex.org/works?filter=authorships.institutions.id%3AI99464096%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26" s="30" t="str">
        <x:v>https://api.openalex.org/institutions?search=KU+Leuven&amp;per_page=5&amp;select=id%2Cror%2Cdisplay_name%2Ccountry_code%2Ctype%2Chomepage_url%2Cworks_count%2Ccited_by_count%2Csummary_stats%2Cdisplay_name_alternatives&amp;mailto=busa649%40example.com</x:v>
      </x:c>
      <x:c r="U26" s="17" t="str"/>
    </x:row>
    <x:row r="27">
      <x:c r="A27" s="17" t="n">
        <x:v>23</x:v>
      </x:c>
      <x:c r="B27" s="17" t="str">
        <x:v>University of Helsinki</x:v>
      </x:c>
      <x:c r="C27" s="17" t="str">
        <x:v>Finland</x:v>
      </x:c>
      <x:c r="D27" s="17" t="str">
        <x:v>Collected</x:v>
      </x:c>
      <x:c r="E27" s="17" t="str">
        <x:v>University of Helsinki</x:v>
      </x:c>
      <x:c r="F27" s="17" t="str">
        <x:v>Verified</x:v>
      </x:c>
      <x:c r="G27" s="39" t="n">
        <x:v>1</x:v>
      </x:c>
      <x:c r="H27" s="17" t="str">
        <x:v>FI</x:v>
      </x:c>
      <x:c r="I27" s="17" t="str">
        <x:v>education</x:v>
      </x:c>
      <x:c r="J27" s="30" t="str">
        <x:v>https://ror.org/040af2s02</x:v>
      </x:c>
      <x:c r="K27" s="30" t="str">
        <x:v>https://openalex.org/I133731052</x:v>
      </x:c>
      <x:c r="L27" s="39" t="n">
        <x:v>221579</x:v>
      </x:c>
      <x:c r="M27" s="39" t="n">
        <x:v>21675313</x:v>
      </x:c>
      <x:c r="N27" s="39" t="n">
        <x:v>1168</x:v>
      </x:c>
      <x:c r="O27" s="39" t="n">
        <x:v>3.0656081006171547</x:v>
      </x:c>
      <x:c r="P27" s="39" t="n">
        <x:v>15740</x:v>
      </x:c>
      <x:c r="Q27" s="39" t="n">
        <x:v>30942</x:v>
      </x:c>
      <x:c r="R27" s="17" t="str">
        <x:v>Dementia prevention, intervention, and care: 2024 report of the Lancet standing Commission (2024; 3130 citations)</x:v>
      </x:c>
      <x:c r="S27" s="30" t="str">
        <x:v>https://api.openalex.org/works?filter=authorships.institutions.id%3AI133731052%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27" s="30" t="str">
        <x:v>https://api.openalex.org/institutions?search=University+of+Helsinki&amp;per_page=5&amp;select=id%2Cror%2Cdisplay_name%2Ccountry_code%2Ctype%2Chomepage_url%2Cworks_count%2Ccited_by_count%2Csummary_stats%2Cdisplay_name_alternatives&amp;mailto=busa649%40example.com</x:v>
      </x:c>
      <x:c r="U27" s="17" t="str"/>
    </x:row>
    <x:row r="28">
      <x:c r="A28" s="17" t="n">
        <x:v>24</x:v>
      </x:c>
      <x:c r="B28" s="17" t="str">
        <x:v>Durham University</x:v>
      </x:c>
      <x:c r="C28" s="17" t="str">
        <x:v>United Kingdom</x:v>
      </x:c>
      <x:c r="D28" s="17" t="str">
        <x:v>Collected</x:v>
      </x:c>
      <x:c r="E28" s="17" t="str">
        <x:v>Durham University</x:v>
      </x:c>
      <x:c r="F28" s="17" t="str">
        <x:v>Verified</x:v>
      </x:c>
      <x:c r="G28" s="39" t="n">
        <x:v>1</x:v>
      </x:c>
      <x:c r="H28" s="17" t="str">
        <x:v>GB</x:v>
      </x:c>
      <x:c r="I28" s="17" t="str">
        <x:v>education</x:v>
      </x:c>
      <x:c r="J28" s="30" t="str">
        <x:v>https://ror.org/01v29qb04</x:v>
      </x:c>
      <x:c r="K28" s="30" t="str">
        <x:v>https://openalex.org/I190082696</x:v>
      </x:c>
      <x:c r="L28" s="39" t="n">
        <x:v>110496</x:v>
      </x:c>
      <x:c r="M28" s="39" t="n">
        <x:v>6959426</x:v>
      </x:c>
      <x:c r="N28" s="39" t="n">
        <x:v>731</x:v>
      </x:c>
      <x:c r="O28" s="39" t="n">
        <x:v>5.051097266133532</x:v>
      </x:c>
      <x:c r="P28" s="39" t="n">
        <x:v>6481</x:v>
      </x:c>
      <x:c r="Q28" s="39" t="n">
        <x:v>31001</x:v>
      </x:c>
      <x:c r="R28" s="17" t="str">
        <x:v>A Multi-Modal Distributed Real-Time IoT System for Urban Traffic Control (Invited Paper) (2024; 14340 citations)</x:v>
      </x:c>
      <x:c r="S28" s="30" t="str">
        <x:v>https://api.openalex.org/works?filter=authorships.institutions.id%3AI190082696%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28" s="30" t="str">
        <x:v>https://api.openalex.org/institutions?search=Durham+University&amp;per_page=5&amp;select=id%2Cror%2Cdisplay_name%2Ccountry_code%2Ctype%2Chomepage_url%2Cworks_count%2Ccited_by_count%2Csummary_stats%2Cdisplay_name_alternatives&amp;mailto=busa649%40example.com</x:v>
      </x:c>
      <x:c r="U28" s="17" t="str"/>
    </x:row>
    <x:row r="29">
      <x:c r="A29" s="17" t="n">
        <x:v>25</x:v>
      </x:c>
      <x:c r="B29" s="17" t="str">
        <x:v>University of Leeds</x:v>
      </x:c>
      <x:c r="C29" s="17" t="str">
        <x:v>United Kingdom</x:v>
      </x:c>
      <x:c r="D29" s="17" t="str">
        <x:v>Collected</x:v>
      </x:c>
      <x:c r="E29" s="17" t="str">
        <x:v>University of Leeds</x:v>
      </x:c>
      <x:c r="F29" s="17" t="str">
        <x:v>Verified</x:v>
      </x:c>
      <x:c r="G29" s="39" t="n">
        <x:v>1</x:v>
      </x:c>
      <x:c r="H29" s="17" t="str">
        <x:v>GB</x:v>
      </x:c>
      <x:c r="I29" s="17" t="str">
        <x:v>education</x:v>
      </x:c>
      <x:c r="J29" s="30" t="str">
        <x:v>https://ror.org/024mrxd33</x:v>
      </x:c>
      <x:c r="K29" s="30" t="str">
        <x:v>https://openalex.org/I130828816</x:v>
      </x:c>
      <x:c r="L29" s="39" t="n">
        <x:v>195765</x:v>
      </x:c>
      <x:c r="M29" s="39" t="n">
        <x:v>13854929</x:v>
      </x:c>
      <x:c r="N29" s="39" t="n">
        <x:v>938</x:v>
      </x:c>
      <x:c r="O29" s="39" t="n">
        <x:v>3.2439456913272373</x:v>
      </x:c>
      <x:c r="P29" s="39" t="n">
        <x:v>13763</x:v>
      </x:c>
      <x:c r="Q29" s="39" t="n">
        <x:v>23617</x:v>
      </x:c>
      <x:c r="R29" s="17" t="str">
        <x:v>The 2022 report of the Lancet Countdown on health and climate change: health at the mercy of fossil fuels (2022; 1627 citations)</x:v>
      </x:c>
      <x:c r="S29" s="30" t="str">
        <x:v>https://api.openalex.org/works?filter=authorships.institutions.id%3AI130828816%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29" s="30" t="str">
        <x:v>https://api.openalex.org/institutions?search=University+of+Leeds&amp;per_page=5&amp;select=id%2Cror%2Cdisplay_name%2Ccountry_code%2Ctype%2Chomepage_url%2Cworks_count%2Ccited_by_count%2Csummary_stats%2Cdisplay_name_alternatives&amp;mailto=busa649%40example.com</x:v>
      </x:c>
      <x:c r="U29" s="17" t="str"/>
    </x:row>
    <x:row r="30">
      <x:c r="A30" s="17" t="n">
        <x:v>26</x:v>
      </x:c>
      <x:c r="B30" s="17" t="str">
        <x:v>Western University</x:v>
      </x:c>
      <x:c r="C30" s="17" t="str">
        <x:v>Canada</x:v>
      </x:c>
      <x:c r="D30" s="17" t="str">
        <x:v>Collected</x:v>
      </x:c>
      <x:c r="E30" s="17" t="str">
        <x:v>Western University</x:v>
      </x:c>
      <x:c r="F30" s="17" t="str">
        <x:v>Verified</x:v>
      </x:c>
      <x:c r="G30" s="39" t="n">
        <x:v>1</x:v>
      </x:c>
      <x:c r="H30" s="17" t="str">
        <x:v>CA</x:v>
      </x:c>
      <x:c r="I30" s="17" t="str">
        <x:v>education</x:v>
      </x:c>
      <x:c r="J30" s="30" t="str">
        <x:v>https://ror.org/02grkyz14</x:v>
      </x:c>
      <x:c r="K30" s="30" t="str">
        <x:v>https://openalex.org/I125749732</x:v>
      </x:c>
      <x:c r="L30" s="39" t="n">
        <x:v>170934</x:v>
      </x:c>
      <x:c r="M30" s="39" t="n">
        <x:v>12351882</x:v>
      </x:c>
      <x:c r="N30" s="39" t="n">
        <x:v>837</x:v>
      </x:c>
      <x:c r="O30" s="39" t="n">
        <x:v>3.6689402827768607</x:v>
      </x:c>
      <x:c r="P30" s="39" t="n">
        <x:v>8457</x:v>
      </x:c>
      <x:c r="Q30" s="39" t="n">
        <x:v>20687</x:v>
      </x:c>
      <x:c r="R30" s="17" t="str">
        <x:v>Global burden of liver disease: 2023 update (2023; 2046 citations)</x:v>
      </x:c>
      <x:c r="S30" s="30" t="str">
        <x:v>https://api.openalex.org/works?filter=authorships.institutions.id%3AI125749732%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30" s="30" t="str">
        <x:v>https://api.openalex.org/institutions?search=Western+University&amp;per_page=5&amp;select=id%2Cror%2Cdisplay_name%2Ccountry_code%2Ctype%2Chomepage_url%2Cworks_count%2Ccited_by_count%2Csummary_stats%2Cdisplay_name_alternatives&amp;mailto=busa649%40example.com</x:v>
      </x:c>
      <x:c r="U30" s="17" t="str"/>
    </x:row>
    <x:row r="31">
      <x:c r="A31" s="17" t="n">
        <x:v>27</x:v>
      </x:c>
      <x:c r="B31" s="17" t="str">
        <x:v>University of Glasgow</x:v>
      </x:c>
      <x:c r="C31" s="17" t="str">
        <x:v>United Kingdom</x:v>
      </x:c>
      <x:c r="D31" s="17" t="str">
        <x:v>Collected</x:v>
      </x:c>
      <x:c r="E31" s="17" t="str">
        <x:v>University of Glasgow</x:v>
      </x:c>
      <x:c r="F31" s="17" t="str">
        <x:v>Verified</x:v>
      </x:c>
      <x:c r="G31" s="39" t="n">
        <x:v>1</x:v>
      </x:c>
      <x:c r="H31" s="17" t="str">
        <x:v>GB</x:v>
      </x:c>
      <x:c r="I31" s="17" t="str">
        <x:v>education</x:v>
      </x:c>
      <x:c r="J31" s="30" t="str">
        <x:v>https://ror.org/00vtgdb53</x:v>
      </x:c>
      <x:c r="K31" s="30" t="str">
        <x:v>https://openalex.org/I7882870</x:v>
      </x:c>
      <x:c r="L31" s="39" t="n">
        <x:v>193634</x:v>
      </x:c>
      <x:c r="M31" s="39" t="n">
        <x:v>23342341</x:v>
      </x:c>
      <x:c r="N31" s="39" t="n">
        <x:v>1458</x:v>
      </x:c>
      <x:c r="O31" s="39" t="n">
        <x:v>4.665662276341949</x:v>
      </x:c>
      <x:c r="P31" s="39" t="n">
        <x:v>12888</x:v>
      </x:c>
      <x:c r="Q31" s="39" t="n">
        <x:v>48132</x:v>
      </x:c>
      <x:c r="R31" s="17" t="str">
        <x:v>Twelve years of SAMtools and BCFtools (2021; 16205 citations)</x:v>
      </x:c>
      <x:c r="S31" s="30" t="str">
        <x:v>https://api.openalex.org/works?filter=authorships.institutions.id%3AI7882870%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31" s="30" t="str">
        <x:v>https://api.openalex.org/institutions?search=University+of+Glasgow&amp;per_page=5&amp;select=id%2Cror%2Cdisplay_name%2Ccountry_code%2Ctype%2Chomepage_url%2Cworks_count%2Ccited_by_count%2Csummary_stats%2Cdisplay_name_alternatives&amp;mailto=busa649%40example.com</x:v>
      </x:c>
      <x:c r="U31" s="17" t="str"/>
    </x:row>
    <x:row r="32">
      <x:c r="A32" s="17" t="n">
        <x:v>28</x:v>
      </x:c>
      <x:c r="B32" s="17" t="str">
        <x:v>The University of Auckland</x:v>
      </x:c>
      <x:c r="C32" s="17" t="str">
        <x:v>New Zealand</x:v>
      </x:c>
      <x:c r="D32" s="17" t="str">
        <x:v>No reliable match</x:v>
      </x:c>
      <x:c r="E32" s="17" t="str"/>
      <x:c r="F32" s="17" t="str"/>
      <x:c r="G32" s="39"/>
      <x:c r="H32" s="17" t="str"/>
      <x:c r="I32" s="17" t="str"/>
      <x:c r="J32" s="30" t="str"/>
      <x:c r="K32" s="30" t="str"/>
      <x:c r="L32" s="39"/>
      <x:c r="M32" s="39"/>
      <x:c r="N32" s="39"/>
      <x:c r="O32" s="39"/>
      <x:c r="P32" s="39"/>
      <x:c r="Q32" s="39"/>
      <x:c r="R32" s="17" t="str"/>
      <x:c r="S32" s="30" t="str"/>
      <x:c r="T32" s="30" t="str">
        <x:v>https://api.openalex.org/institutions?search=The+University+of+Auckland&amp;per_page=5&amp;select=id%2Cror%2Cdisplay_name%2Ccountry_code%2Ctype%2Chomepage_url%2Cworks_count%2Ccited_by_count%2Csummary_stats%2Cdisplay_name_alternatives&amp;mailto=busa649%40example.com</x:v>
      </x:c>
      <x:c r="U32" s="17" t="str">
        <x:v>No OpenAlex search result</x:v>
      </x:c>
    </x:row>
    <x:row r="33">
      <x:c r="A33" s="17" t="n">
        <x:v>29</x:v>
      </x:c>
      <x:c r="B33" s="17" t="str">
        <x:v>Trinity College Dublin, The University of Dublin</x:v>
      </x:c>
      <x:c r="C33" s="17" t="str">
        <x:v>Ireland</x:v>
      </x:c>
      <x:c r="D33" s="17" t="str">
        <x:v>Collected</x:v>
      </x:c>
      <x:c r="E33" s="17" t="str">
        <x:v>Trinity College Dublin</x:v>
      </x:c>
      <x:c r="F33" s="17" t="str">
        <x:v>Verified</x:v>
      </x:c>
      <x:c r="G33" s="39" t="n">
        <x:v>1</x:v>
      </x:c>
      <x:c r="H33" s="17" t="str">
        <x:v>IE</x:v>
      </x:c>
      <x:c r="I33" s="17" t="str">
        <x:v>education</x:v>
      </x:c>
      <x:c r="J33" s="30" t="str">
        <x:v>https://ror.org/02tyrky19</x:v>
      </x:c>
      <x:c r="K33" s="30" t="str">
        <x:v>https://openalex.org/I205274468</x:v>
      </x:c>
      <x:c r="L33" s="39" t="n">
        <x:v>96010</x:v>
      </x:c>
      <x:c r="M33" s="39" t="n">
        <x:v>7854805</x:v>
      </x:c>
      <x:c r="N33" s="39" t="n">
        <x:v>856</x:v>
      </x:c>
      <x:c r="O33" s="39" t="n">
        <x:v>3.9828273022461755</x:v>
      </x:c>
      <x:c r="P33" s="39" t="n">
        <x:v>7031</x:v>
      </x:c>
      <x:c r="Q33" s="39" t="n">
        <x:v>31034</x:v>
      </x:c>
      <x:c r="R33" s="17" t="str">
        <x:v>Natural products in drug discovery: advances and opportunities (2021; 5097 citations)</x:v>
      </x:c>
      <x:c r="S33" s="30" t="str">
        <x:v>https://api.openalex.org/works?filter=authorships.institutions.id%3AI205274468%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33" s="30" t="str">
        <x:v>https://api.openalex.org/institutions?search=Trinity+College+Dublin%2C+The+University+of+Dublin&amp;per_page=5&amp;select=id%2Cror%2Cdisplay_name%2Ccountry_code%2Ctype%2Chomepage_url%2Cworks_count%2Ccited_by_count%2Csummary_stats%2Cdisplay_name_alternatives&amp;mailto=busa649%40example.com</x:v>
      </x:c>
      <x:c r="U33" s="17" t="str"/>
    </x:row>
    <x:row r="34">
      <x:c r="A34" s="17" t="n">
        <x:v>30</x:v>
      </x:c>
      <x:c r="B34" s="17" t="str">
        <x:v>University of Pennsylvania</x:v>
      </x:c>
      <x:c r="C34" s="17" t="str">
        <x:v>United States</x:v>
      </x:c>
      <x:c r="D34" s="17" t="str">
        <x:v>Collected</x:v>
      </x:c>
      <x:c r="E34" s="17" t="str">
        <x:v>University of Pennsylvania</x:v>
      </x:c>
      <x:c r="F34" s="17" t="str">
        <x:v>Verified</x:v>
      </x:c>
      <x:c r="G34" s="39" t="n">
        <x:v>1</x:v>
      </x:c>
      <x:c r="H34" s="17" t="str">
        <x:v>US</x:v>
      </x:c>
      <x:c r="I34" s="17" t="str">
        <x:v>education</x:v>
      </x:c>
      <x:c r="J34" s="30" t="str">
        <x:v>https://ror.org/00b30xv10</x:v>
      </x:c>
      <x:c r="K34" s="30" t="str">
        <x:v>https://openalex.org/I79576946</x:v>
      </x:c>
      <x:c r="L34" s="39" t="n">
        <x:v>381274</x:v>
      </x:c>
      <x:c r="M34" s="39" t="n">
        <x:v>54895634</x:v>
      </x:c>
      <x:c r="N34" s="39" t="n">
        <x:v>1747</x:v>
      </x:c>
      <x:c r="O34" s="39" t="n">
        <x:v>6.083752294994767</x:v>
      </x:c>
      <x:c r="P34" s="39" t="n">
        <x:v>16180</x:v>
      </x:c>
      <x:c r="Q34" s="39" t="n">
        <x:v>57986</x:v>
      </x:c>
      <x:c r="R34" s="17" t="str">
        <x:v>Physics-informed machine learning (2021; 6919 citations)</x:v>
      </x:c>
      <x:c r="S34" s="30" t="str">
        <x:v>https://api.openalex.org/works?filter=authorships.institutions.id%3AI79576946%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34" s="30" t="str">
        <x:v>https://api.openalex.org/institutions?search=University+of+Pennsylvania&amp;per_page=5&amp;select=id%2Cror%2Cdisplay_name%2Ccountry_code%2Ctype%2Chomepage_url%2Cworks_count%2Ccited_by_count%2Csummary_stats%2Cdisplay_name_alternatives&amp;mailto=busa649%40example.com</x:v>
      </x:c>
      <x:c r="U34" s="17" t="str"/>
    </x:row>
    <x:row r="35">
      <x:c r="A35" s="17" t="n">
        <x:v>31</x:v>
      </x:c>
      <x:c r="B35" s="17" t="str">
        <x:v>University of Reading</x:v>
      </x:c>
      <x:c r="C35" s="17" t="str">
        <x:v>United Kingdom</x:v>
      </x:c>
      <x:c r="D35" s="17" t="str">
        <x:v>Collected</x:v>
      </x:c>
      <x:c r="E35" s="17" t="str">
        <x:v>University of Reading</x:v>
      </x:c>
      <x:c r="F35" s="17" t="str">
        <x:v>Verified</x:v>
      </x:c>
      <x:c r="G35" s="39" t="n">
        <x:v>1</x:v>
      </x:c>
      <x:c r="H35" s="17" t="str">
        <x:v>GB</x:v>
      </x:c>
      <x:c r="I35" s="17" t="str">
        <x:v>education</x:v>
      </x:c>
      <x:c r="J35" s="30" t="str">
        <x:v>https://ror.org/05v62cm79</x:v>
      </x:c>
      <x:c r="K35" s="30" t="str">
        <x:v>https://openalex.org/I71052956</x:v>
      </x:c>
      <x:c r="L35" s="39" t="n">
        <x:v>88958</x:v>
      </x:c>
      <x:c r="M35" s="39" t="n">
        <x:v>5338390</x:v>
      </x:c>
      <x:c r="N35" s="39" t="n">
        <x:v>645</x:v>
      </x:c>
      <x:c r="O35" s="39" t="n">
        <x:v>2.748715158111131</x:v>
      </x:c>
      <x:c r="P35" s="39" t="n">
        <x:v>6619</x:v>
      </x:c>
      <x:c r="Q35" s="39" t="n">
        <x:v>20302</x:v>
      </x:c>
      <x:c r="R35" s="17" t="str">
        <x:v>Opinion Paper: “So what if ChatGPT wrote it?” Multidisciplinary perspectives on opportunities, challenges and implications of generative conversational AI for research, practice and policy (2023; 3833 citations)</x:v>
      </x:c>
      <x:c r="S35" s="30" t="str">
        <x:v>https://api.openalex.org/works?filter=authorships.institutions.id%3AI71052956%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35" s="30" t="str">
        <x:v>https://api.openalex.org/institutions?search=University+of+Reading&amp;per_page=5&amp;select=id%2Cror%2Cdisplay_name%2Ccountry_code%2Ctype%2Chomepage_url%2Cworks_count%2Ccited_by_count%2Csummary_stats%2Cdisplay_name_alternatives&amp;mailto=busa649%40example.com</x:v>
      </x:c>
      <x:c r="U35" s="17" t="str"/>
    </x:row>
    <x:row r="36">
      <x:c r="A36" s="17" t="n">
        <x:v>32</x:v>
      </x:c>
      <x:c r="B36" s="17" t="str">
        <x:v>Uppsala University</x:v>
      </x:c>
      <x:c r="C36" s="17" t="str">
        <x:v>Sweden</x:v>
      </x:c>
      <x:c r="D36" s="17" t="str">
        <x:v>Collected</x:v>
      </x:c>
      <x:c r="E36" s="17" t="str">
        <x:v>Uppsala University</x:v>
      </x:c>
      <x:c r="F36" s="17" t="str">
        <x:v>Verified</x:v>
      </x:c>
      <x:c r="G36" s="39" t="n">
        <x:v>1</x:v>
      </x:c>
      <x:c r="H36" s="17" t="str">
        <x:v>SE</x:v>
      </x:c>
      <x:c r="I36" s="17" t="str">
        <x:v>education</x:v>
      </x:c>
      <x:c r="J36" s="30" t="str">
        <x:v>https://ror.org/048a87296</x:v>
      </x:c>
      <x:c r="K36" s="30" t="str">
        <x:v>https://openalex.org/I123387679</x:v>
      </x:c>
      <x:c r="L36" s="39" t="n">
        <x:v>204466</x:v>
      </x:c>
      <x:c r="M36" s="39" t="n">
        <x:v>18205731</x:v>
      </x:c>
      <x:c r="N36" s="39" t="n">
        <x:v>1038</x:v>
      </x:c>
      <x:c r="O36" s="39" t="n">
        <x:v>3.3276890484847574</x:v>
      </x:c>
      <x:c r="P36" s="39" t="n">
        <x:v>11280</x:v>
      </x:c>
      <x:c r="Q36" s="39" t="n">
        <x:v>22211</x:v>
      </x:c>
      <x:c r="R36" s="17" t="str">
        <x:v>The Amyloid-β Pathway in Alzheimer’s Disease (2021; 1831 citations)</x:v>
      </x:c>
      <x:c r="S36" s="30" t="str">
        <x:v>https://api.openalex.org/works?filter=authorships.institutions.id%3AI123387679%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36" s="30" t="str">
        <x:v>https://api.openalex.org/institutions?search=Uppsala+University&amp;per_page=5&amp;select=id%2Cror%2Cdisplay_name%2Ccountry_code%2Ctype%2Chomepage_url%2Cworks_count%2Ccited_by_count%2Csummary_stats%2Cdisplay_name_alternatives&amp;mailto=busa649%40example.com</x:v>
      </x:c>
      <x:c r="U36" s="17" t="str"/>
    </x:row>
    <x:row r="37">
      <x:c r="A37" s="17" t="n">
        <x:v>33</x:v>
      </x:c>
      <x:c r="B37" s="17" t="str">
        <x:v>Ghent University</x:v>
      </x:c>
      <x:c r="C37" s="17" t="str">
        <x:v>Belgium</x:v>
      </x:c>
      <x:c r="D37" s="17" t="str">
        <x:v>Collected</x:v>
      </x:c>
      <x:c r="E37" s="17" t="str">
        <x:v>Ghent University</x:v>
      </x:c>
      <x:c r="F37" s="17" t="str">
        <x:v>Verified</x:v>
      </x:c>
      <x:c r="G37" s="39" t="n">
        <x:v>1</x:v>
      </x:c>
      <x:c r="H37" s="17" t="str">
        <x:v>BE</x:v>
      </x:c>
      <x:c r="I37" s="17" t="str">
        <x:v>education</x:v>
      </x:c>
      <x:c r="J37" s="30" t="str">
        <x:v>https://ror.org/00cv9y106</x:v>
      </x:c>
      <x:c r="K37" s="30" t="str">
        <x:v>https://openalex.org/I32597200</x:v>
      </x:c>
      <x:c r="L37" s="39" t="n">
        <x:v>169316</x:v>
      </x:c>
      <x:c r="M37" s="39" t="n">
        <x:v>16575038</x:v>
      </x:c>
      <x:c r="N37" s="39" t="n">
        <x:v>912</x:v>
      </x:c>
      <x:c r="O37" s="39" t="n">
        <x:v>4.4357803913144656</x:v>
      </x:c>
      <x:c r="P37" s="39" t="n">
        <x:v>14919</x:v>
      </x:c>
      <x:c r="Q37" s="39" t="n">
        <x:v>31856</x:v>
      </x:c>
      <x:c r="R37" s="17" t="str">
        <x:v>ERA5-Land: a state-of-the-art global reanalysis dataset for land applications (2021; 4777 citations)</x:v>
      </x:c>
      <x:c r="S37" s="30" t="str">
        <x:v>https://api.openalex.org/works?filter=authorships.institutions.id%3AI32597200%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37" s="30" t="str">
        <x:v>https://api.openalex.org/institutions?search=Ghent+University&amp;per_page=5&amp;select=id%2Cror%2Cdisplay_name%2Ccountry_code%2Ctype%2Chomepage_url%2Cworks_count%2Ccited_by_count%2Csummary_stats%2Cdisplay_name_alternatives&amp;mailto=busa649%40example.com</x:v>
      </x:c>
      <x:c r="U37" s="17" t="str"/>
    </x:row>
    <x:row r="38">
      <x:c r="A38" s="17" t="n">
        <x:v>34</x:v>
      </x:c>
      <x:c r="B38" s="17" t="str">
        <x:v>The University of Sheffield</x:v>
      </x:c>
      <x:c r="C38" s="17" t="str">
        <x:v>United Kingdom</x:v>
      </x:c>
      <x:c r="D38" s="17" t="str">
        <x:v>No reliable match</x:v>
      </x:c>
      <x:c r="E38" s="17" t="str"/>
      <x:c r="F38" s="17" t="str"/>
      <x:c r="G38" s="39"/>
      <x:c r="H38" s="17" t="str"/>
      <x:c r="I38" s="17" t="str"/>
      <x:c r="J38" s="30" t="str"/>
      <x:c r="K38" s="30" t="str"/>
      <x:c r="L38" s="39"/>
      <x:c r="M38" s="39"/>
      <x:c r="N38" s="39"/>
      <x:c r="O38" s="39"/>
      <x:c r="P38" s="39"/>
      <x:c r="Q38" s="39"/>
      <x:c r="R38" s="17" t="str"/>
      <x:c r="S38" s="30" t="str"/>
      <x:c r="T38" s="30" t="str">
        <x:v>https://api.openalex.org/institutions?search=The+University+of+Sheffield&amp;per_page=5&amp;select=id%2Cror%2Cdisplay_name%2Ccountry_code%2Ctype%2Chomepage_url%2Cworks_count%2Ccited_by_count%2Csummary_stats%2Cdisplay_name_alternatives&amp;mailto=busa649%40example.com</x:v>
      </x:c>
      <x:c r="U38" s="17" t="str">
        <x:v>No OpenAlex search result</x:v>
      </x:c>
    </x:row>
    <x:row r="39">
      <x:c r="A39" s="17" t="n">
        <x:v>35</x:v>
      </x:c>
      <x:c r="B39" s="17" t="str">
        <x:v>Delft University of Technology</x:v>
      </x:c>
      <x:c r="C39" s="17" t="str">
        <x:v>Netherlands</x:v>
      </x:c>
      <x:c r="D39" s="17" t="str">
        <x:v>Collected</x:v>
      </x:c>
      <x:c r="E39" s="17" t="str">
        <x:v>Delft University of Technology</x:v>
      </x:c>
      <x:c r="F39" s="17" t="str">
        <x:v>Verified</x:v>
      </x:c>
      <x:c r="G39" s="39" t="n">
        <x:v>1</x:v>
      </x:c>
      <x:c r="H39" s="17" t="str">
        <x:v>NL</x:v>
      </x:c>
      <x:c r="I39" s="17" t="str">
        <x:v>education</x:v>
      </x:c>
      <x:c r="J39" s="30" t="str">
        <x:v>https://ror.org/02e2c7k09</x:v>
      </x:c>
      <x:c r="K39" s="30" t="str">
        <x:v>https://openalex.org/I98358874</x:v>
      </x:c>
      <x:c r="L39" s="39" t="n">
        <x:v>175218</x:v>
      </x:c>
      <x:c r="M39" s="39" t="n">
        <x:v>10973786</x:v>
      </x:c>
      <x:c r="N39" s="39" t="n">
        <x:v>794</x:v>
      </x:c>
      <x:c r="O39" s="39" t="n">
        <x:v>3.2313322853212814</x:v>
      </x:c>
      <x:c r="P39" s="39" t="n">
        <x:v>13021</x:v>
      </x:c>
      <x:c r="Q39" s="39" t="n">
        <x:v>21425</x:v>
      </x:c>
      <x:c r="R39" s="17" t="str">
        <x:v>Opinion Paper: “So what if ChatGPT wrote it?” Multidisciplinary perspectives on opportunities, challenges and implications of generative conversational AI for research, practice and policy (2023; 3833 citations)</x:v>
      </x:c>
      <x:c r="S39" s="30" t="str">
        <x:v>https://api.openalex.org/works?filter=authorships.institutions.id%3AI98358874%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39" s="30" t="str">
        <x:v>https://api.openalex.org/institutions?search=Delft+University+of+Technology&amp;per_page=5&amp;select=id%2Cror%2Cdisplay_name%2Ccountry_code%2Ctype%2Chomepage_url%2Cworks_count%2Ccited_by_count%2Csummary_stats%2Cdisplay_name_alternatives&amp;mailto=busa649%40example.com</x:v>
      </x:c>
      <x:c r="U39" s="17" t="str"/>
    </x:row>
    <x:row r="40">
      <x:c r="A40" s="17" t="n">
        <x:v>36</x:v>
      </x:c>
      <x:c r="B40" s="17" t="str">
        <x:v>Michigan State University</x:v>
      </x:c>
      <x:c r="C40" s="17" t="str">
        <x:v>United States</x:v>
      </x:c>
      <x:c r="D40" s="17" t="str">
        <x:v>Collected</x:v>
      </x:c>
      <x:c r="E40" s="17" t="str">
        <x:v>Michigan State University</x:v>
      </x:c>
      <x:c r="F40" s="17" t="str">
        <x:v>Verified</x:v>
      </x:c>
      <x:c r="G40" s="39" t="n">
        <x:v>1</x:v>
      </x:c>
      <x:c r="H40" s="17" t="str">
        <x:v>US</x:v>
      </x:c>
      <x:c r="I40" s="17" t="str">
        <x:v>education</x:v>
      </x:c>
      <x:c r="J40" s="30" t="str">
        <x:v>https://ror.org/05hs6h993</x:v>
      </x:c>
      <x:c r="K40" s="30" t="str">
        <x:v>https://openalex.org/I87216513</x:v>
      </x:c>
      <x:c r="L40" s="39" t="n">
        <x:v>247979</x:v>
      </x:c>
      <x:c r="M40" s="39" t="n">
        <x:v>20006042</x:v>
      </x:c>
      <x:c r="N40" s="39" t="n">
        <x:v>1072</x:v>
      </x:c>
      <x:c r="O40" s="39" t="n">
        <x:v>2.663454155524372</x:v>
      </x:c>
      <x:c r="P40" s="39" t="n">
        <x:v>11908</x:v>
      </x:c>
      <x:c r="Q40" s="39" t="n">
        <x:v>32114</x:v>
      </x:c>
      <x:c r="R40" s="17" t="str">
        <x:v>ColabFold: making protein folding accessible to all (2022; 9812 citations)</x:v>
      </x:c>
      <x:c r="S40" s="30" t="str">
        <x:v>https://api.openalex.org/works?filter=authorships.institutions.id%3AI87216513%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40" s="30" t="str">
        <x:v>https://api.openalex.org/institutions?search=Michigan+State+University&amp;per_page=5&amp;select=id%2Cror%2Cdisplay_name%2Ccountry_code%2Ctype%2Chomepage_url%2Cworks_count%2Ccited_by_count%2Csummary_stats%2Cdisplay_name_alternatives&amp;mailto=busa649%40example.com</x:v>
      </x:c>
      <x:c r="U40" s="17" t="str"/>
    </x:row>
    <x:row r="41">
      <x:c r="A41" s="17" t="n">
        <x:v>37</x:v>
      </x:c>
      <x:c r="B41" s="17" t="str">
        <x:v>Monash University</x:v>
      </x:c>
      <x:c r="C41" s="17" t="str">
        <x:v>Australia</x:v>
      </x:c>
      <x:c r="D41" s="17" t="str">
        <x:v>Collected</x:v>
      </x:c>
      <x:c r="E41" s="17" t="str">
        <x:v>Monash University</x:v>
      </x:c>
      <x:c r="F41" s="17" t="str">
        <x:v>Verified</x:v>
      </x:c>
      <x:c r="G41" s="39" t="n">
        <x:v>1</x:v>
      </x:c>
      <x:c r="H41" s="17" t="str">
        <x:v>AU</x:v>
      </x:c>
      <x:c r="I41" s="17" t="str">
        <x:v>education</x:v>
      </x:c>
      <x:c r="J41" s="30" t="str">
        <x:v>https://ror.org/02bfwt286</x:v>
      </x:c>
      <x:c r="K41" s="30" t="str">
        <x:v>https://openalex.org/I56590836</x:v>
      </x:c>
      <x:c r="L41" s="39" t="n">
        <x:v>283351</x:v>
      </x:c>
      <x:c r="M41" s="39" t="n">
        <x:v>21685128</x:v>
      </x:c>
      <x:c r="N41" s="39" t="n">
        <x:v>1086</x:v>
      </x:c>
      <x:c r="O41" s="39" t="n">
        <x:v>4.53849311694354</x:v>
      </x:c>
      <x:c r="P41" s="39" t="n">
        <x:v>19025</x:v>
      </x:c>
      <x:c r="Q41" s="39" t="n">
        <x:v>67426</x:v>
      </x:c>
      <x:c r="R41" s="17" t="str">
        <x:v>PRISMA 2020 explanation and elaboration: updated guidance and exemplars for reporting systematic reviews (2021; 11186 citations)</x:v>
      </x:c>
      <x:c r="S41" s="30" t="str">
        <x:v>https://api.openalex.org/works?filter=authorships.institutions.id%3AI56590836%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41" s="30" t="str">
        <x:v>https://api.openalex.org/institutions?search=Monash+University&amp;per_page=5&amp;select=id%2Cror%2Cdisplay_name%2Ccountry_code%2Ctype%2Chomepage_url%2Cworks_count%2Ccited_by_count%2Csummary_stats%2Cdisplay_name_alternatives&amp;mailto=busa649%40example.com</x:v>
      </x:c>
      <x:c r="U41" s="17" t="str"/>
    </x:row>
    <x:row r="42">
      <x:c r="A42" s="17" t="n">
        <x:v>38</x:v>
      </x:c>
      <x:c r="B42" s="17" t="str">
        <x:v>Seoul National University</x:v>
      </x:c>
      <x:c r="C42" s="17" t="str">
        <x:v>South Korea</x:v>
      </x:c>
      <x:c r="D42" s="17" t="str">
        <x:v>Collected</x:v>
      </x:c>
      <x:c r="E42" s="17" t="str">
        <x:v>Seoul National University</x:v>
      </x:c>
      <x:c r="F42" s="17" t="str">
        <x:v>Verified</x:v>
      </x:c>
      <x:c r="G42" s="39" t="n">
        <x:v>1</x:v>
      </x:c>
      <x:c r="H42" s="17" t="str">
        <x:v>KR</x:v>
      </x:c>
      <x:c r="I42" s="17" t="str">
        <x:v>education</x:v>
      </x:c>
      <x:c r="J42" s="30" t="str">
        <x:v>https://ror.org/04h9pn542</x:v>
      </x:c>
      <x:c r="K42" s="30" t="str">
        <x:v>https://openalex.org/I139264467</x:v>
      </x:c>
      <x:c r="L42" s="39" t="n">
        <x:v>243952</x:v>
      </x:c>
      <x:c r="M42" s="39" t="n">
        <x:v>21397017</x:v>
      </x:c>
      <x:c r="N42" s="39" t="n">
        <x:v>970</x:v>
      </x:c>
      <x:c r="O42" s="39" t="n">
        <x:v>3.7929394297654726</x:v>
      </x:c>
      <x:c r="P42" s="39" t="n">
        <x:v>11072</x:v>
      </x:c>
      <x:c r="Q42" s="39" t="n">
        <x:v>40026</x:v>
      </x:c>
      <x:c r="R42" s="17" t="str">
        <x:v>ColabFold: making protein folding accessible to all (2022; 9812 citations)</x:v>
      </x:c>
      <x:c r="S42" s="30" t="str">
        <x:v>https://api.openalex.org/works?filter=authorships.institutions.id%3AI139264467%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42" s="30" t="str">
        <x:v>https://api.openalex.org/institutions?search=Seoul+National+University&amp;per_page=5&amp;select=id%2Cror%2Cdisplay_name%2Ccountry_code%2Ctype%2Chomepage_url%2Cworks_count%2Ccited_by_count%2Csummary_stats%2Cdisplay_name_alternatives&amp;mailto=busa649%40example.com</x:v>
      </x:c>
      <x:c r="U42" s="17" t="str"/>
    </x:row>
    <x:row r="43">
      <x:c r="A43" s="17" t="n">
        <x:v>39</x:v>
      </x:c>
      <x:c r="B43" s="17" t="str">
        <x:v>University of Nottingham</x:v>
      </x:c>
      <x:c r="C43" s="17" t="str">
        <x:v>United Kingdom</x:v>
      </x:c>
      <x:c r="D43" s="17" t="str">
        <x:v>Collected</x:v>
      </x:c>
      <x:c r="E43" s="17" t="str">
        <x:v>University of Nottingham</x:v>
      </x:c>
      <x:c r="F43" s="17" t="str">
        <x:v>Verified</x:v>
      </x:c>
      <x:c r="G43" s="39" t="n">
        <x:v>1</x:v>
      </x:c>
      <x:c r="H43" s="17" t="str">
        <x:v>GB</x:v>
      </x:c>
      <x:c r="I43" s="17" t="str">
        <x:v>education</x:v>
      </x:c>
      <x:c r="J43" s="30" t="str">
        <x:v>https://ror.org/01ee9ar58</x:v>
      </x:c>
      <x:c r="K43" s="30" t="str">
        <x:v>https://openalex.org/I142263535</x:v>
      </x:c>
      <x:c r="L43" s="39" t="n">
        <x:v>187649</x:v>
      </x:c>
      <x:c r="M43" s="39" t="n">
        <x:v>13645836</x:v>
      </x:c>
      <x:c r="N43" s="39" t="n">
        <x:v>866</x:v>
      </x:c>
      <x:c r="O43" s="39" t="n">
        <x:v>3.762139971900246</x:v>
      </x:c>
      <x:c r="P43" s="39" t="n">
        <x:v>11261</x:v>
      </x:c>
      <x:c r="Q43" s="39" t="n">
        <x:v>25993</x:v>
      </x:c>
      <x:c r="R43" s="17" t="str">
        <x:v>The Astropy Project: Sustaining and Growing a Community-oriented Open-source Project and the Latest Major Release (v5.0) of the Core Package (2022; 4749 citations)</x:v>
      </x:c>
      <x:c r="S43" s="30" t="str">
        <x:v>https://api.openalex.org/works?filter=authorships.institutions.id%3AI142263535%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43" s="30" t="str">
        <x:v>https://api.openalex.org/institutions?search=University+of+Nottingham&amp;per_page=5&amp;select=id%2Cror%2Cdisplay_name%2Ccountry_code%2Ctype%2Chomepage_url%2Cworks_count%2Ccited_by_count%2Csummary_stats%2Cdisplay_name_alternatives&amp;mailto=busa649%40example.com</x:v>
      </x:c>
      <x:c r="U43" s="17" t="str"/>
    </x:row>
    <x:row r="44">
      <x:c r="A44" s="17" t="n">
        <x:v>40</x:v>
      </x:c>
      <x:c r="B44" s="17" t="str">
        <x:v>University of York</x:v>
      </x:c>
      <x:c r="C44" s="17" t="str">
        <x:v>United Kingdom</x:v>
      </x:c>
      <x:c r="D44" s="17" t="str">
        <x:v>Collected</x:v>
      </x:c>
      <x:c r="E44" s="17" t="str">
        <x:v>University of York</x:v>
      </x:c>
      <x:c r="F44" s="17" t="str">
        <x:v>Verified</x:v>
      </x:c>
      <x:c r="G44" s="39" t="n">
        <x:v>1</x:v>
      </x:c>
      <x:c r="H44" s="17" t="str">
        <x:v>GB</x:v>
      </x:c>
      <x:c r="I44" s="17" t="str">
        <x:v>education</x:v>
      </x:c>
      <x:c r="J44" s="30" t="str">
        <x:v>https://ror.org/04m01e293</x:v>
      </x:c>
      <x:c r="K44" s="30" t="str">
        <x:v>https://openalex.org/I52099693</x:v>
      </x:c>
      <x:c r="L44" s="39" t="n">
        <x:v>102184</x:v>
      </x:c>
      <x:c r="M44" s="39" t="n">
        <x:v>7538385</x:v>
      </x:c>
      <x:c r="N44" s="39" t="n">
        <x:v>740</x:v>
      </x:c>
      <x:c r="O44" s="39" t="n">
        <x:v>2.862400341685649</x:v>
      </x:c>
      <x:c r="P44" s="39" t="n">
        <x:v>7424</x:v>
      </x:c>
      <x:c r="Q44" s="39" t="n">
        <x:v>30866</x:v>
      </x:c>
      <x:c r="R44" s="17" t="str">
        <x:v>PRISMA 2020 explanation and elaboration: updated guidance and exemplars for reporting systematic reviews (2021; 11186 citations)</x:v>
      </x:c>
      <x:c r="S44" s="30" t="str">
        <x:v>https://api.openalex.org/works?filter=authorships.institutions.id%3AI52099693%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44" s="30" t="str">
        <x:v>https://api.openalex.org/institutions?search=University+of+York&amp;per_page=5&amp;select=id%2Cror%2Cdisplay_name%2Ccountry_code%2Ctype%2Chomepage_url%2Cworks_count%2Ccited_by_count%2Csummary_stats%2Cdisplay_name_alternatives&amp;mailto=busa649%40example.com</x:v>
      </x:c>
      <x:c r="U44" s="17" t="str"/>
    </x:row>
    <x:row r="45">
      <x:c r="A45" s="17" t="n">
        <x:v>41</x:v>
      </x:c>
      <x:c r="B45" s="17" t="str">
        <x:v>Boston University</x:v>
      </x:c>
      <x:c r="C45" s="17" t="str">
        <x:v>United States</x:v>
      </x:c>
      <x:c r="D45" s="17" t="str">
        <x:v>Collected</x:v>
      </x:c>
      <x:c r="E45" s="17" t="str">
        <x:v>Boston University</x:v>
      </x:c>
      <x:c r="F45" s="17" t="str">
        <x:v>Verified</x:v>
      </x:c>
      <x:c r="G45" s="39" t="n">
        <x:v>1</x:v>
      </x:c>
      <x:c r="H45" s="17" t="str">
        <x:v>US</x:v>
      </x:c>
      <x:c r="I45" s="17" t="str">
        <x:v>education</x:v>
      </x:c>
      <x:c r="J45" s="30" t="str">
        <x:v>https://ror.org/05qwgg493</x:v>
      </x:c>
      <x:c r="K45" s="30" t="str">
        <x:v>https://openalex.org/I111088046</x:v>
      </x:c>
      <x:c r="L45" s="39" t="n">
        <x:v>199141</x:v>
      </x:c>
      <x:c r="M45" s="39" t="n">
        <x:v>24715024</x:v>
      </x:c>
      <x:c r="N45" s="39" t="n">
        <x:v>1356</x:v>
      </x:c>
      <x:c r="O45" s="39" t="n">
        <x:v>4.147522053534244</x:v>
      </x:c>
      <x:c r="P45" s="39" t="n">
        <x:v>9785</x:v>
      </x:c>
      <x:c r="Q45" s="39" t="n">
        <x:v>35287</x:v>
      </x:c>
      <x:c r="R45" s="17" t="str">
        <x:v>The Astropy Project: Sustaining and Growing a Community-oriented Open-source Project and the Latest Major Release (v5.0) of the Core Package (2022; 4749 citations)</x:v>
      </x:c>
      <x:c r="S45" s="30" t="str">
        <x:v>https://api.openalex.org/works?filter=authorships.institutions.id%3AI111088046%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45" s="30" t="str">
        <x:v>https://api.openalex.org/institutions?search=Boston+University&amp;per_page=5&amp;select=id%2Cror%2Cdisplay_name%2Ccountry_code%2Ctype%2Chomepage_url%2Cworks_count%2Ccited_by_count%2Csummary_stats%2Cdisplay_name_alternatives&amp;mailto=busa649%40example.com</x:v>
      </x:c>
      <x:c r="U45" s="17" t="str"/>
    </x:row>
    <x:row r="46">
      <x:c r="A46" s="17" t="n">
        <x:v>42</x:v>
      </x:c>
      <x:c r="B46" s="17" t="str">
        <x:v>Johns Hopkins University</x:v>
      </x:c>
      <x:c r="C46" s="17" t="str">
        <x:v>United States</x:v>
      </x:c>
      <x:c r="D46" s="17" t="str">
        <x:v>Collected</x:v>
      </x:c>
      <x:c r="E46" s="17" t="str">
        <x:v>Johns Hopkins University</x:v>
      </x:c>
      <x:c r="F46" s="17" t="str">
        <x:v>Verified</x:v>
      </x:c>
      <x:c r="G46" s="39" t="n">
        <x:v>1</x:v>
      </x:c>
      <x:c r="H46" s="17" t="str">
        <x:v>US</x:v>
      </x:c>
      <x:c r="I46" s="17" t="str">
        <x:v>education</x:v>
      </x:c>
      <x:c r="J46" s="30" t="str">
        <x:v>https://ror.org/00za53h95</x:v>
      </x:c>
      <x:c r="K46" s="30" t="str">
        <x:v>https://openalex.org/I145311948</x:v>
      </x:c>
      <x:c r="L46" s="39" t="n">
        <x:v>498008</x:v>
      </x:c>
      <x:c r="M46" s="39" t="n">
        <x:v>76723169</x:v>
      </x:c>
      <x:c r="N46" s="39" t="n">
        <x:v>2262</x:v>
      </x:c>
      <x:c r="O46" s="39" t="n">
        <x:v>4.172519280619556</x:v>
      </x:c>
      <x:c r="P46" s="39" t="n">
        <x:v>21658</x:v>
      </x:c>
      <x:c r="Q46" s="39" t="n">
        <x:v>64592</x:v>
      </x:c>
      <x:c r="R46" s="17" t="str">
        <x:v>PRISMA 2020 explanation and elaboration: updated guidance and exemplars for reporting systematic reviews (2021; 11186 citations)</x:v>
      </x:c>
      <x:c r="S46" s="30" t="str">
        <x:v>https://api.openalex.org/works?filter=authorships.institutions.id%3AI145311948%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46" s="30" t="str">
        <x:v>https://api.openalex.org/institutions?search=Johns+Hopkins+University&amp;per_page=5&amp;select=id%2Cror%2Cdisplay_name%2Ccountry_code%2Ctype%2Chomepage_url%2Cworks_count%2Ccited_by_count%2Csummary_stats%2Cdisplay_name_alternatives&amp;mailto=busa649%40example.com</x:v>
      </x:c>
      <x:c r="U46" s="17" t="str"/>
    </x:row>
    <x:row r="47">
      <x:c r="A47" s="17" t="n">
        <x:v>43</x:v>
      </x:c>
      <x:c r="B47" s="17" t="str">
        <x:v>Massachusetts Institute of Technology (MIT)</x:v>
      </x:c>
      <x:c r="C47" s="17" t="str">
        <x:v>United States</x:v>
      </x:c>
      <x:c r="D47" s="17" t="str">
        <x:v>Collected</x:v>
      </x:c>
      <x:c r="E47" s="17" t="str">
        <x:v>Massachusetts Institute of Technology</x:v>
      </x:c>
      <x:c r="F47" s="17" t="str">
        <x:v>Verified</x:v>
      </x:c>
      <x:c r="G47" s="39" t="n">
        <x:v>1</x:v>
      </x:c>
      <x:c r="H47" s="17" t="str">
        <x:v>US</x:v>
      </x:c>
      <x:c r="I47" s="17" t="str">
        <x:v>education</x:v>
      </x:c>
      <x:c r="J47" s="30" t="str">
        <x:v>https://ror.org/042nb2s44</x:v>
      </x:c>
      <x:c r="K47" s="30" t="str">
        <x:v>https://openalex.org/I63966007</x:v>
      </x:c>
      <x:c r="L47" s="39" t="n">
        <x:v>348171</x:v>
      </x:c>
      <x:c r="M47" s="39" t="n">
        <x:v>64828785</x:v>
      </x:c>
      <x:c r="N47" s="39" t="n">
        <x:v>2261</x:v>
      </x:c>
      <x:c r="O47" s="39" t="n">
        <x:v>7.0150534958945014</x:v>
      </x:c>
      <x:c r="P47" s="39" t="n">
        <x:v>11693</x:v>
      </x:c>
      <x:c r="Q47" s="39" t="n">
        <x:v>43261</x:v>
      </x:c>
      <x:c r="R47" s="17" t="str">
        <x:v>Physics-informed machine learning (2021; 6919 citations)</x:v>
      </x:c>
      <x:c r="S47" s="30" t="str">
        <x:v>https://api.openalex.org/works?filter=authorships.institutions.id%3AI63966007%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47" s="30" t="str">
        <x:v>https://api.openalex.org/institutions?search=Massachusetts+Institute+of+Technology&amp;per_page=5&amp;select=id%2Cror%2Cdisplay_name%2Ccountry_code%2Ctype%2Chomepage_url%2Cworks_count%2Ccited_by_count%2Csummary_stats%2Cdisplay_name_alternatives&amp;mailto=busa649%40example.com</x:v>
      </x:c>
      <x:c r="U47" s="17" t="str"/>
    </x:row>
    <x:row r="48">
      <x:c r="A48" s="17" t="n">
        <x:v>44</x:v>
      </x:c>
      <x:c r="B48" s="17" t="str">
        <x:v>University of Birmingham</x:v>
      </x:c>
      <x:c r="C48" s="17" t="str">
        <x:v>United Kingdom</x:v>
      </x:c>
      <x:c r="D48" s="17" t="str">
        <x:v>Collected</x:v>
      </x:c>
      <x:c r="E48" s="17" t="str">
        <x:v>University of Birmingham</x:v>
      </x:c>
      <x:c r="F48" s="17" t="str">
        <x:v>Verified</x:v>
      </x:c>
      <x:c r="G48" s="39" t="n">
        <x:v>1</x:v>
      </x:c>
      <x:c r="H48" s="17" t="str">
        <x:v>GB</x:v>
      </x:c>
      <x:c r="I48" s="17" t="str">
        <x:v>education</x:v>
      </x:c>
      <x:c r="J48" s="30" t="str">
        <x:v>https://ror.org/03angcq70</x:v>
      </x:c>
      <x:c r="K48" s="30" t="str">
        <x:v>https://openalex.org/I79619799</x:v>
      </x:c>
      <x:c r="L48" s="39" t="n">
        <x:v>217722</x:v>
      </x:c>
      <x:c r="M48" s="39" t="n">
        <x:v>22931678</x:v>
      </x:c>
      <x:c r="N48" s="39" t="n">
        <x:v>1194</x:v>
      </x:c>
      <x:c r="O48" s="39" t="n">
        <x:v>4.815741018284589</x:v>
      </x:c>
      <x:c r="P48" s="39" t="n">
        <x:v>13978</x:v>
      </x:c>
      <x:c r="Q48" s="39" t="n">
        <x:v>28185</x:v>
      </x:c>
      <x:c r="R48" s="17" t="str">
        <x:v>Cancer Incidence, Mortality, Years of Life Lost, Years Lived With Disability, and Disability-Adjusted Life Years for 29 Cancer Groups From 2010 to 2019 (2021; 2039 citations)</x:v>
      </x:c>
      <x:c r="S48" s="30" t="str">
        <x:v>https://api.openalex.org/works?filter=authorships.institutions.id%3AI79619799%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48" s="30" t="str">
        <x:v>https://api.openalex.org/institutions?search=University+of+Birmingham&amp;per_page=5&amp;select=id%2Cror%2Cdisplay_name%2Ccountry_code%2Ctype%2Chomepage_url%2Cworks_count%2Ccited_by_count%2Csummary_stats%2Cdisplay_name_alternatives&amp;mailto=busa649%40example.com</x:v>
      </x:c>
      <x:c r="U48" s="17" t="str"/>
    </x:row>
    <x:row r="49">
      <x:c r="A49" s="17" t="n">
        <x:v>45</x:v>
      </x:c>
      <x:c r="B49" s="17" t="str">
        <x:v>Université Paris-Saclay</x:v>
      </x:c>
      <x:c r="C49" s="17" t="str">
        <x:v>France</x:v>
      </x:c>
      <x:c r="D49" s="17" t="str">
        <x:v>Collected</x:v>
      </x:c>
      <x:c r="E49" s="17" t="str">
        <x:v>Université Paris-Saclay</x:v>
      </x:c>
      <x:c r="F49" s="17" t="str">
        <x:v>Verified</x:v>
      </x:c>
      <x:c r="G49" s="39" t="n">
        <x:v>1</x:v>
      </x:c>
      <x:c r="H49" s="17" t="str">
        <x:v>FR</x:v>
      </x:c>
      <x:c r="I49" s="17" t="str">
        <x:v>education</x:v>
      </x:c>
      <x:c r="J49" s="30" t="str">
        <x:v>https://ror.org/03xjwb503</x:v>
      </x:c>
      <x:c r="K49" s="30" t="str">
        <x:v>https://openalex.org/I277688954</x:v>
      </x:c>
      <x:c r="L49" s="39" t="n">
        <x:v>167000</x:v>
      </x:c>
      <x:c r="M49" s="39" t="n">
        <x:v>15041769</x:v>
      </x:c>
      <x:c r="N49" s="39" t="n">
        <x:v>1109</x:v>
      </x:c>
      <x:c r="O49" s="39" t="n">
        <x:v>3.780933195168081</x:v>
      </x:c>
      <x:c r="P49" s="39" t="n">
        <x:v>15740</x:v>
      </x:c>
      <x:c r="Q49" s="39" t="n">
        <x:v>31434</x:v>
      </x:c>
      <x:c r="R49" s="17" t="str">
        <x:v>The 5th edition of the World Health Organization Classification of Haematolymphoid Tumours: Myeloid and Histiocytic/Dendritic Neoplasms (2022; 3974 citations)</x:v>
      </x:c>
      <x:c r="S49" s="30" t="str">
        <x:v>https://api.openalex.org/works?filter=authorships.institutions.id%3AI277688954%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49" s="30" t="str">
        <x:v>https://api.openalex.org/institutions?search=Universit%C3%A9+Paris-Saclay&amp;per_page=5&amp;select=id%2Cror%2Cdisplay_name%2Ccountry_code%2Ctype%2Chomepage_url%2Cworks_count%2Ccited_by_count%2Csummary_stats%2Cdisplay_name_alternatives&amp;mailto=busa649%40example.com</x:v>
      </x:c>
      <x:c r="U49" s="17" t="str"/>
    </x:row>
    <x:row r="50">
      <x:c r="A50" s="17" t="n">
        <x:v>46</x:v>
      </x:c>
      <x:c r="B50" s="17" t="str">
        <x:v>Universität Hamburg</x:v>
      </x:c>
      <x:c r="C50" s="17" t="str">
        <x:v>Germany</x:v>
      </x:c>
      <x:c r="D50" s="17" t="str">
        <x:v>Collected</x:v>
      </x:c>
      <x:c r="E50" s="17" t="str">
        <x:v>Universität Hamburg</x:v>
      </x:c>
      <x:c r="F50" s="17" t="str">
        <x:v>Verified</x:v>
      </x:c>
      <x:c r="G50" s="39" t="n">
        <x:v>1</x:v>
      </x:c>
      <x:c r="H50" s="17" t="str">
        <x:v>DE</x:v>
      </x:c>
      <x:c r="I50" s="17" t="str">
        <x:v>education</x:v>
      </x:c>
      <x:c r="J50" s="30" t="str">
        <x:v>https://ror.org/00g30e956</x:v>
      </x:c>
      <x:c r="K50" s="30" t="str">
        <x:v>https://openalex.org/I159176309</x:v>
      </x:c>
      <x:c r="L50" s="39" t="n">
        <x:v>225077</x:v>
      </x:c>
      <x:c r="M50" s="39" t="n">
        <x:v>20424329</x:v>
      </x:c>
      <x:c r="N50" s="39" t="n">
        <x:v>1032</x:v>
      </x:c>
      <x:c r="O50" s="39" t="n">
        <x:v>3.682725002256793</x:v>
      </x:c>
      <x:c r="P50" s="39" t="n">
        <x:v>10646</x:v>
      </x:c>
      <x:c r="Q50" s="39" t="n">
        <x:v>20925</x:v>
      </x:c>
      <x:c r="R50" s="17" t="str">
        <x:v>GWTC-2: Compact Binary Coalescences Observed by LIGO and Virgo during the First Half of the Third Observing Run (2021; 2026 citations)</x:v>
      </x:c>
      <x:c r="S50" s="30" t="str">
        <x:v>https://api.openalex.org/works?filter=authorships.institutions.id%3AI159176309%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50" s="30" t="str">
        <x:v>https://api.openalex.org/institutions?search=University+of+Hamburg&amp;per_page=5&amp;select=id%2Cror%2Cdisplay_name%2Ccountry_code%2Ctype%2Chomepage_url%2Cworks_count%2Ccited_by_count%2Csummary_stats%2Cdisplay_name_alternatives&amp;mailto=busa649%40example.com</x:v>
      </x:c>
      <x:c r="U50" s="17" t="str"/>
    </x:row>
    <x:row r="51">
      <x:c r="A51" s="17" t="n">
        <x:v>47</x:v>
      </x:c>
      <x:c r="B51" s="17" t="str">
        <x:v>University College Dublin</x:v>
      </x:c>
      <x:c r="C51" s="17" t="str">
        <x:v>Ireland</x:v>
      </x:c>
      <x:c r="D51" s="17" t="str">
        <x:v>Collected</x:v>
      </x:c>
      <x:c r="E51" s="17" t="str">
        <x:v>University College Dublin</x:v>
      </x:c>
      <x:c r="F51" s="17" t="str">
        <x:v>Verified</x:v>
      </x:c>
      <x:c r="G51" s="39" t="n">
        <x:v>1</x:v>
      </x:c>
      <x:c r="H51" s="17" t="str">
        <x:v>IE</x:v>
      </x:c>
      <x:c r="I51" s="17" t="str">
        <x:v>education</x:v>
      </x:c>
      <x:c r="J51" s="30" t="str">
        <x:v>https://ror.org/05m7pjf47</x:v>
      </x:c>
      <x:c r="K51" s="30" t="str">
        <x:v>https://openalex.org/I100930933</x:v>
      </x:c>
      <x:c r="L51" s="39" t="n">
        <x:v>106388</x:v>
      </x:c>
      <x:c r="M51" s="39" t="n">
        <x:v>6886680</x:v>
      </x:c>
      <x:c r="N51" s="39" t="n">
        <x:v>661</x:v>
      </x:c>
      <x:c r="O51" s="39" t="n">
        <x:v>3.3908150064683054</x:v>
      </x:c>
      <x:c r="P51" s="39" t="n">
        <x:v>8474</x:v>
      </x:c>
      <x:c r="Q51" s="39" t="n">
        <x:v>23051</x:v>
      </x:c>
      <x:c r="R51" s="17" t="str">
        <x:v>Towards complete and error-free genome assemblies of all vertebrate species (2021; 3155 citations)</x:v>
      </x:c>
      <x:c r="S51" s="30" t="str">
        <x:v>https://api.openalex.org/works?filter=authorships.institutions.id%3AI100930933%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51" s="30" t="str">
        <x:v>https://api.openalex.org/institutions?search=University+College+Dublin&amp;per_page=5&amp;select=id%2Cror%2Cdisplay_name%2Ccountry_code%2Ctype%2Chomepage_url%2Cworks_count%2Ccited_by_count%2Csummary_stats%2Cdisplay_name_alternatives&amp;mailto=busa649%40example.com</x:v>
      </x:c>
      <x:c r="U51" s="17" t="str"/>
    </x:row>
    <x:row r="52">
      <x:c r="A52" s="17" t="n">
        <x:v>48</x:v>
      </x:c>
      <x:c r="B52" s="17" t="str">
        <x:v>The University of Tokyo</x:v>
      </x:c>
      <x:c r="C52" s="17" t="str">
        <x:v>Japan</x:v>
      </x:c>
      <x:c r="D52" s="17" t="str">
        <x:v>Collected</x:v>
      </x:c>
      <x:c r="E52" s="17" t="str">
        <x:v>The University of Tokyo</x:v>
      </x:c>
      <x:c r="F52" s="17" t="str">
        <x:v>Verified</x:v>
      </x:c>
      <x:c r="G52" s="39" t="n">
        <x:v>1</x:v>
      </x:c>
      <x:c r="H52" s="17" t="str">
        <x:v>JP</x:v>
      </x:c>
      <x:c r="I52" s="17" t="str">
        <x:v>education</x:v>
      </x:c>
      <x:c r="J52" s="30" t="str">
        <x:v>https://ror.org/057zh3y96</x:v>
      </x:c>
      <x:c r="K52" s="30" t="str">
        <x:v>https://openalex.org/I74801974</x:v>
      </x:c>
      <x:c r="L52" s="39" t="n">
        <x:v>508159</x:v>
      </x:c>
      <x:c r="M52" s="39" t="n">
        <x:v>46787117</x:v>
      </x:c>
      <x:c r="N52" s="39" t="n">
        <x:v>1389</x:v>
      </x:c>
      <x:c r="O52" s="39" t="n">
        <x:v>4.046595919875026</x:v>
      </x:c>
      <x:c r="P52" s="39" t="n">
        <x:v>16396</x:v>
      </x:c>
      <x:c r="Q52" s="39" t="n">
        <x:v>51460</x:v>
      </x:c>
      <x:c r="R52" s="17" t="str">
        <x:v>ColabFold: making protein folding accessible to all (2022; 9812 citations)</x:v>
      </x:c>
      <x:c r="S52" s="30" t="str">
        <x:v>https://api.openalex.org/works?filter=authorships.institutions.id%3AI74801974%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52" s="30" t="str">
        <x:v>https://api.openalex.org/institutions?search=University+of+Tokyo&amp;per_page=5&amp;select=id%2Cror%2Cdisplay_name%2Ccountry_code%2Ctype%2Chomepage_url%2Cworks_count%2Ccited_by_count%2Csummary_stats%2Cdisplay_name_alternatives&amp;mailto=busa649%40example.com</x:v>
      </x:c>
      <x:c r="U52" s="17" t="str"/>
    </x:row>
    <x:row r="53">
      <x:c r="A53" s="17" t="n">
        <x:v>49</x:v>
      </x:c>
      <x:c r="B53" s="17" t="str">
        <x:v>University of Exeter</x:v>
      </x:c>
      <x:c r="C53" s="17" t="str">
        <x:v>United Kingdom</x:v>
      </x:c>
      <x:c r="D53" s="17" t="str">
        <x:v>Collected</x:v>
      </x:c>
      <x:c r="E53" s="17" t="str">
        <x:v>University of Exeter</x:v>
      </x:c>
      <x:c r="F53" s="17" t="str">
        <x:v>Verified</x:v>
      </x:c>
      <x:c r="G53" s="39" t="n">
        <x:v>1</x:v>
      </x:c>
      <x:c r="H53" s="17" t="str">
        <x:v>GB</x:v>
      </x:c>
      <x:c r="I53" s="17" t="str">
        <x:v>education</x:v>
      </x:c>
      <x:c r="J53" s="30" t="str">
        <x:v>https://ror.org/03yghzc09</x:v>
      </x:c>
      <x:c r="K53" s="30" t="str">
        <x:v>https://openalex.org/I23923803</x:v>
      </x:c>
      <x:c r="L53" s="39" t="n">
        <x:v>117984</x:v>
      </x:c>
      <x:c r="M53" s="39" t="n">
        <x:v>7480551</x:v>
      </x:c>
      <x:c r="N53" s="39" t="n">
        <x:v>800</x:v>
      </x:c>
      <x:c r="O53" s="39" t="n">
        <x:v>4.059573361082206</x:v>
      </x:c>
      <x:c r="P53" s="39" t="n">
        <x:v>13013</x:v>
      </x:c>
      <x:c r="Q53" s="39" t="n">
        <x:v>35199</x:v>
      </x:c>
      <x:c r="R53" s="17" t="str">
        <x:v>The Astropy Project: Sustaining and Growing a Community-oriented Open-source Project and the Latest Major Release (v5.0) of the Core Package (2022; 4749 citations)</x:v>
      </x:c>
      <x:c r="S53" s="30" t="str">
        <x:v>https://api.openalex.org/works?filter=authorships.institutions.id%3AI23923803%2Cfrom_publication_date%3A2021-01-01%2Cto_publication_date%3A2025-12-31&amp;search=%28sustainability+OR+%22sustainable+development%22+OR+%22climate+change%22+OR+environmental+OR+ESG%29&amp;sort=cited_by_count%3Adesc&amp;per_page=25&amp;select=id%2Cdisplay_name%2Cpublication_year%2Ccited_by_count%2Cprimary_topic%2Cdoi&amp;mailto=busa649%40example.com</x:v>
      </x:c>
      <x:c r="T53" s="30" t="str">
        <x:v>https://api.openalex.org/institutions?search=University+of+Exeter&amp;per_page=5&amp;select=id%2Cror%2Cdisplay_name%2Ccountry_code%2Ctype%2Chomepage_url%2Cworks_count%2Ccited_by_count%2Csummary_stats%2Cdisplay_name_alternatives&amp;mailto=busa649%40example.com</x:v>
      </x:c>
      <x:c r="U53" s="17" t="str"/>
    </x:row>
    <x:row r="54">
      <x:c r="A54" s="17" t="n">
        <x:v>50</x:v>
      </x:c>
      <x:c r="B54" s="17" t="str">
        <x:v>The University of Queensland</x:v>
      </x:c>
      <x:c r="C54" s="17" t="str">
        <x:v>Australia</x:v>
      </x:c>
      <x:c r="D54" s="17" t="str">
        <x:v>API quota reached</x:v>
      </x:c>
      <x:c r="E54" s="17" t="str"/>
      <x:c r="F54" s="17" t="str"/>
      <x:c r="G54" s="39"/>
      <x:c r="H54" s="17" t="str"/>
      <x:c r="I54" s="17" t="str"/>
      <x:c r="J54" s="30" t="str"/>
      <x:c r="K54" s="30" t="str"/>
      <x:c r="L54" s="39"/>
      <x:c r="M54" s="39"/>
      <x:c r="N54" s="39"/>
      <x:c r="O54" s="39"/>
      <x:c r="P54" s="39"/>
      <x:c r="Q54" s="39"/>
      <x:c r="R54" s="17" t="str"/>
      <x:c r="S54" s="30" t="str"/>
      <x:c r="T54" s="30" t="str"/>
      <x:c r="U54" s="17" t="str">
        <x:v>Collection error | HTTPError: HTTP Error 429: Too Many Requests</x:v>
      </x:c>
    </x:row>
    <x:row r="55">
      <x:c r="A55" s="17" t="n">
        <x:v>51</x:v>
      </x:c>
      <x:c r="B55" s="17" t="str">
        <x:v>University of Gothenburg</x:v>
      </x:c>
      <x:c r="C55" s="17" t="str">
        <x:v>Sweden</x:v>
      </x:c>
      <x:c r="D55" s="17" t="str">
        <x:v>API quota reached</x:v>
      </x:c>
      <x:c r="E55" s="17" t="str"/>
      <x:c r="F55" s="17" t="str"/>
      <x:c r="G55" s="39"/>
      <x:c r="H55" s="17" t="str"/>
      <x:c r="I55" s="17" t="str"/>
      <x:c r="J55" s="30" t="str"/>
      <x:c r="K55" s="30" t="str"/>
      <x:c r="L55" s="39"/>
      <x:c r="M55" s="39"/>
      <x:c r="N55" s="39"/>
      <x:c r="O55" s="39"/>
      <x:c r="P55" s="39"/>
      <x:c r="Q55" s="39"/>
      <x:c r="R55" s="17" t="str"/>
      <x:c r="S55" s="30" t="str"/>
      <x:c r="T55" s="30" t="str"/>
      <x:c r="U55" s="17" t="str">
        <x:v>Collection error | HTTPError: HTTP Error 429: Too Many Requests</x:v>
      </x:c>
    </x:row>
    <x:row r="56">
      <x:c r="A56" s="17" t="n">
        <x:v>52</x:v>
      </x:c>
      <x:c r="B56" s="17" t="str">
        <x:v>Griffith University</x:v>
      </x:c>
      <x:c r="C56" s="17" t="str">
        <x:v>Australia</x:v>
      </x:c>
      <x:c r="D56" s="17" t="str">
        <x:v>API quota reached</x:v>
      </x:c>
      <x:c r="E56" s="17" t="str"/>
      <x:c r="F56" s="17" t="str"/>
      <x:c r="G56" s="39"/>
      <x:c r="H56" s="17" t="str"/>
      <x:c r="I56" s="17" t="str"/>
      <x:c r="J56" s="30" t="str"/>
      <x:c r="K56" s="30" t="str"/>
      <x:c r="L56" s="39"/>
      <x:c r="M56" s="39"/>
      <x:c r="N56" s="39"/>
      <x:c r="O56" s="39"/>
      <x:c r="P56" s="39"/>
      <x:c r="Q56" s="39"/>
      <x:c r="R56" s="17" t="str"/>
      <x:c r="S56" s="30" t="str"/>
      <x:c r="T56" s="30" t="str"/>
      <x:c r="U56" s="17" t="str">
        <x:v>Collection error | HTTPError: HTTP Error 429: Too Many Requests</x:v>
      </x:c>
    </x:row>
    <x:row r="57">
      <x:c r="A57" s="17" t="n">
        <x:v>53</x:v>
      </x:c>
      <x:c r="B57" s="17" t="str">
        <x:v>Western Sydney University</x:v>
      </x:c>
      <x:c r="C57" s="17" t="str">
        <x:v>Australia</x:v>
      </x:c>
      <x:c r="D57" s="17" t="str">
        <x:v>API quota reached</x:v>
      </x:c>
      <x:c r="E57" s="17" t="str"/>
      <x:c r="F57" s="17" t="str"/>
      <x:c r="G57" s="39"/>
      <x:c r="H57" s="17" t="str"/>
      <x:c r="I57" s="17" t="str"/>
      <x:c r="J57" s="30" t="str"/>
      <x:c r="K57" s="30" t="str"/>
      <x:c r="L57" s="39"/>
      <x:c r="M57" s="39"/>
      <x:c r="N57" s="39"/>
      <x:c r="O57" s="39"/>
      <x:c r="P57" s="39"/>
      <x:c r="Q57" s="39"/>
      <x:c r="R57" s="17" t="str"/>
      <x:c r="S57" s="30" t="str"/>
      <x:c r="T57" s="30" t="str"/>
      <x:c r="U57" s="17" t="str">
        <x:v>Collection error | HTTPError: HTTP Error 429: Too Many Requests</x:v>
      </x:c>
    </x:row>
    <x:row r="58">
      <x:c r="A58" s="17" t="n">
        <x:v>54</x:v>
      </x:c>
      <x:c r="B58" s="17" t="str">
        <x:v>Queen's University</x:v>
      </x:c>
      <x:c r="C58" s="17" t="str">
        <x:v>Canada</x:v>
      </x:c>
      <x:c r="D58" s="17" t="str">
        <x:v>API quota reached</x:v>
      </x:c>
      <x:c r="E58" s="17" t="str"/>
      <x:c r="F58" s="17" t="str"/>
      <x:c r="G58" s="39"/>
      <x:c r="H58" s="17" t="str"/>
      <x:c r="I58" s="17" t="str"/>
      <x:c r="J58" s="30" t="str"/>
      <x:c r="K58" s="30" t="str"/>
      <x:c r="L58" s="39"/>
      <x:c r="M58" s="39"/>
      <x:c r="N58" s="39"/>
      <x:c r="O58" s="39"/>
      <x:c r="P58" s="39"/>
      <x:c r="Q58" s="39"/>
      <x:c r="R58" s="17" t="str"/>
      <x:c r="S58" s="30" t="str"/>
      <x:c r="T58" s="30" t="str"/>
      <x:c r="U58" s="17" t="str">
        <x:v>Collection error | HTTPError: HTTP Error 429: Too Many Requests</x:v>
      </x:c>
    </x:row>
    <x:row r="59">
      <x:c r="A59" s="17" t="n">
        <x:v>55</x:v>
      </x:c>
      <x:c r="B59" s="17" t="str">
        <x:v>Universiti Sains Malaysia</x:v>
      </x:c>
      <x:c r="C59" s="17" t="str">
        <x:v>Malaysia</x:v>
      </x:c>
      <x:c r="D59" s="17" t="str">
        <x:v>API quota reached</x:v>
      </x:c>
      <x:c r="E59" s="17" t="str"/>
      <x:c r="F59" s="17" t="str"/>
      <x:c r="G59" s="39"/>
      <x:c r="H59" s="17" t="str"/>
      <x:c r="I59" s="17" t="str"/>
      <x:c r="J59" s="30" t="str"/>
      <x:c r="K59" s="30" t="str"/>
      <x:c r="L59" s="39"/>
      <x:c r="M59" s="39"/>
      <x:c r="N59" s="39"/>
      <x:c r="O59" s="39"/>
      <x:c r="P59" s="39"/>
      <x:c r="Q59" s="39"/>
      <x:c r="R59" s="17" t="str"/>
      <x:c r="S59" s="30" t="str"/>
      <x:c r="T59" s="30" t="str"/>
      <x:c r="U59" s="17" t="str">
        <x:v>Collection error | HTTPError: HTTP Error 429: Too Many Requests</x:v>
      </x:c>
    </x:row>
    <x:row r="60">
      <x:c r="A60" s="17" t="n">
        <x:v>56</x:v>
      </x:c>
      <x:c r="B60" s="17" t="str">
        <x:v>Hanyang University</x:v>
      </x:c>
      <x:c r="C60" s="17" t="str">
        <x:v>South Korea</x:v>
      </x:c>
      <x:c r="D60" s="17" t="str">
        <x:v>API quota reached</x:v>
      </x:c>
      <x:c r="E60" s="17" t="str"/>
      <x:c r="F60" s="17" t="str"/>
      <x:c r="G60" s="39"/>
      <x:c r="H60" s="17" t="str"/>
      <x:c r="I60" s="17" t="str"/>
      <x:c r="J60" s="30" t="str"/>
      <x:c r="K60" s="30" t="str"/>
      <x:c r="L60" s="39"/>
      <x:c r="M60" s="39"/>
      <x:c r="N60" s="39"/>
      <x:c r="O60" s="39"/>
      <x:c r="P60" s="39"/>
      <x:c r="Q60" s="39"/>
      <x:c r="R60" s="17" t="str"/>
      <x:c r="S60" s="30" t="str"/>
      <x:c r="T60" s="30" t="str"/>
      <x:c r="U60" s="17" t="str">
        <x:v>Collection error | HTTPError: HTTP Error 429: Too Many Requests</x:v>
      </x:c>
    </x:row>
    <x:row r="61">
      <x:c r="A61" s="17" t="n">
        <x:v>57</x:v>
      </x:c>
      <x:c r="B61" s="17" t="str">
        <x:v>Hokkaido University</x:v>
      </x:c>
      <x:c r="C61" s="17" t="str">
        <x:v>Japan</x:v>
      </x:c>
      <x:c r="D61" s="17" t="str">
        <x:v>API quota reached</x:v>
      </x:c>
      <x:c r="E61" s="17" t="str"/>
      <x:c r="F61" s="17" t="str"/>
      <x:c r="G61" s="39"/>
      <x:c r="H61" s="17" t="str"/>
      <x:c r="I61" s="17" t="str"/>
      <x:c r="J61" s="30" t="str"/>
      <x:c r="K61" s="30" t="str"/>
      <x:c r="L61" s="39"/>
      <x:c r="M61" s="39"/>
      <x:c r="N61" s="39"/>
      <x:c r="O61" s="39"/>
      <x:c r="P61" s="39"/>
      <x:c r="Q61" s="39"/>
      <x:c r="R61" s="17" t="str"/>
      <x:c r="S61" s="30" t="str"/>
      <x:c r="T61" s="30" t="str"/>
      <x:c r="U61" s="17" t="str">
        <x:v>Collection error | HTTPError: HTTP Error 429: Too Many Requests</x:v>
      </x:c>
    </x:row>
    <x:row r="62">
      <x:c r="A62" s="17" t="n">
        <x:v>58</x:v>
      </x:c>
      <x:c r="B62" s="17" t="str">
        <x:v>Universiti Kebangsaan Malaysia</x:v>
      </x:c>
      <x:c r="C62" s="17" t="str">
        <x:v>Malaysia</x:v>
      </x:c>
      <x:c r="D62" s="17" t="str">
        <x:v>API quota reached</x:v>
      </x:c>
      <x:c r="E62" s="17" t="str"/>
      <x:c r="F62" s="17" t="str"/>
      <x:c r="G62" s="39"/>
      <x:c r="H62" s="17" t="str"/>
      <x:c r="I62" s="17" t="str"/>
      <x:c r="J62" s="30" t="str"/>
      <x:c r="K62" s="30" t="str"/>
      <x:c r="L62" s="39"/>
      <x:c r="M62" s="39"/>
      <x:c r="N62" s="39"/>
      <x:c r="O62" s="39"/>
      <x:c r="P62" s="39"/>
      <x:c r="Q62" s="39"/>
      <x:c r="R62" s="17" t="str"/>
      <x:c r="S62" s="30" t="str"/>
      <x:c r="T62" s="30" t="str"/>
      <x:c r="U62" s="17" t="str">
        <x:v>Collection error | HTTPError: HTTP Error 429: Too Many Requests</x:v>
      </x:c>
    </x:row>
    <x:row r="63">
      <x:c r="A63" s="17" t="n">
        <x:v>59</x:v>
      </x:c>
      <x:c r="B63" s="17" t="str">
        <x:v>Institut Agro</x:v>
      </x:c>
      <x:c r="C63" s="17" t="str">
        <x:v>France</x:v>
      </x:c>
      <x:c r="D63" s="17" t="str">
        <x:v>API quota reached</x:v>
      </x:c>
      <x:c r="E63" s="17" t="str"/>
      <x:c r="F63" s="17" t="str"/>
      <x:c r="G63" s="39"/>
      <x:c r="H63" s="17" t="str"/>
      <x:c r="I63" s="17" t="str"/>
      <x:c r="J63" s="30" t="str"/>
      <x:c r="K63" s="30" t="str"/>
      <x:c r="L63" s="39"/>
      <x:c r="M63" s="39"/>
      <x:c r="N63" s="39"/>
      <x:c r="O63" s="39"/>
      <x:c r="P63" s="39"/>
      <x:c r="Q63" s="39"/>
      <x:c r="R63" s="17" t="str"/>
      <x:c r="S63" s="30" t="str"/>
      <x:c r="T63" s="30" t="str"/>
      <x:c r="U63" s="17" t="str">
        <x:v>Collection error | HTTPError: HTTP Error 429: Too Many Requests</x:v>
      </x:c>
    </x:row>
    <x:row r="64">
      <x:c r="A64" s="17" t="n">
        <x:v>60</x:v>
      </x:c>
      <x:c r="B64" s="17" t="str">
        <x:v>National Taiwan University (NTU)</x:v>
      </x:c>
      <x:c r="C64" s="17" t="str">
        <x:v>Taiwan</x:v>
      </x:c>
      <x:c r="D64" s="17" t="str">
        <x:v>API quota reached</x:v>
      </x:c>
      <x:c r="E64" s="17" t="str"/>
      <x:c r="F64" s="17" t="str"/>
      <x:c r="G64" s="39"/>
      <x:c r="H64" s="17" t="str"/>
      <x:c r="I64" s="17" t="str"/>
      <x:c r="J64" s="30" t="str"/>
      <x:c r="K64" s="30" t="str"/>
      <x:c r="L64" s="39"/>
      <x:c r="M64" s="39"/>
      <x:c r="N64" s="39"/>
      <x:c r="O64" s="39"/>
      <x:c r="P64" s="39"/>
      <x:c r="Q64" s="39"/>
      <x:c r="R64" s="17" t="str"/>
      <x:c r="S64" s="30" t="str"/>
      <x:c r="T64" s="30" t="str"/>
      <x:c r="U64" s="17" t="str">
        <x:v>Collection error | HTTPError: HTTP Error 429: Too Many Requests</x:v>
      </x:c>
    </x:row>
    <x:row r="65">
      <x:c r="A65" s="17" t="n">
        <x:v>61</x:v>
      </x:c>
      <x:c r="B65" s="17" t="str">
        <x:v>University of Alberta</x:v>
      </x:c>
      <x:c r="C65" s="17" t="str">
        <x:v>Canada</x:v>
      </x:c>
      <x:c r="D65" s="17" t="str">
        <x:v>API quota reached</x:v>
      </x:c>
      <x:c r="E65" s="17" t="str"/>
      <x:c r="F65" s="17" t="str"/>
      <x:c r="G65" s="39"/>
      <x:c r="H65" s="17" t="str"/>
      <x:c r="I65" s="17" t="str"/>
      <x:c r="J65" s="30" t="str"/>
      <x:c r="K65" s="30" t="str"/>
      <x:c r="L65" s="39"/>
      <x:c r="M65" s="39"/>
      <x:c r="N65" s="39"/>
      <x:c r="O65" s="39"/>
      <x:c r="P65" s="39"/>
      <x:c r="Q65" s="39"/>
      <x:c r="R65" s="17" t="str"/>
      <x:c r="S65" s="30" t="str"/>
      <x:c r="T65" s="30" t="str"/>
      <x:c r="U65" s="17" t="str">
        <x:v>Collection error | HTTPError: HTTP Error 429: Too Many Requests</x:v>
      </x:c>
    </x:row>
    <x:row r="66">
      <x:c r="A66" s="17" t="n">
        <x:v>62</x:v>
      </x:c>
      <x:c r="B66" s="17" t="str">
        <x:v>Korea University</x:v>
      </x:c>
      <x:c r="C66" s="17" t="str">
        <x:v>South Korea</x:v>
      </x:c>
      <x:c r="D66" s="17" t="str">
        <x:v>API quota reached</x:v>
      </x:c>
      <x:c r="E66" s="17" t="str"/>
      <x:c r="F66" s="17" t="str"/>
      <x:c r="G66" s="39"/>
      <x:c r="H66" s="17" t="str"/>
      <x:c r="I66" s="17" t="str"/>
      <x:c r="J66" s="30" t="str"/>
      <x:c r="K66" s="30" t="str"/>
      <x:c r="L66" s="39"/>
      <x:c r="M66" s="39"/>
      <x:c r="N66" s="39"/>
      <x:c r="O66" s="39"/>
      <x:c r="P66" s="39"/>
      <x:c r="Q66" s="39"/>
      <x:c r="R66" s="17" t="str"/>
      <x:c r="S66" s="30" t="str"/>
      <x:c r="T66" s="30" t="str"/>
      <x:c r="U66" s="17" t="str">
        <x:v>Collection error | HTTPError: HTTP Error 429: Too Many Requests</x:v>
      </x:c>
    </x:row>
    <x:row r="67">
      <x:c r="A67" s="17" t="n">
        <x:v>63</x:v>
      </x:c>
      <x:c r="B67" s="17" t="str">
        <x:v>Universitas Airlangga</x:v>
      </x:c>
      <x:c r="C67" s="17" t="str">
        <x:v>Indonesia</x:v>
      </x:c>
      <x:c r="D67" s="17" t="str">
        <x:v>API quota reached</x:v>
      </x:c>
      <x:c r="E67" s="17" t="str"/>
      <x:c r="F67" s="17" t="str"/>
      <x:c r="G67" s="39"/>
      <x:c r="H67" s="17" t="str"/>
      <x:c r="I67" s="17" t="str"/>
      <x:c r="J67" s="30" t="str"/>
      <x:c r="K67" s="30" t="str"/>
      <x:c r="L67" s="39"/>
      <x:c r="M67" s="39"/>
      <x:c r="N67" s="39"/>
      <x:c r="O67" s="39"/>
      <x:c r="P67" s="39"/>
      <x:c r="Q67" s="39"/>
      <x:c r="R67" s="17" t="str"/>
      <x:c r="S67" s="30" t="str"/>
      <x:c r="T67" s="30" t="str"/>
      <x:c r="U67" s="17" t="str">
        <x:v>Collection error | HTTPError: HTTP Error 429: Too Many Requests</x:v>
      </x:c>
    </x:row>
    <x:row r="68">
      <x:c r="A68" s="17" t="n">
        <x:v>64</x:v>
      </x:c>
      <x:c r="B68" s="17" t="str">
        <x:v>Pusan National University</x:v>
      </x:c>
      <x:c r="C68" s="17" t="str">
        <x:v>South Korea</x:v>
      </x:c>
      <x:c r="D68" s="17" t="str">
        <x:v>API quota reached</x:v>
      </x:c>
      <x:c r="E68" s="17" t="str"/>
      <x:c r="F68" s="17" t="str"/>
      <x:c r="G68" s="39"/>
      <x:c r="H68" s="17" t="str"/>
      <x:c r="I68" s="17" t="str"/>
      <x:c r="J68" s="30" t="str"/>
      <x:c r="K68" s="30" t="str"/>
      <x:c r="L68" s="39"/>
      <x:c r="M68" s="39"/>
      <x:c r="N68" s="39"/>
      <x:c r="O68" s="39"/>
      <x:c r="P68" s="39"/>
      <x:c r="Q68" s="39"/>
      <x:c r="R68" s="17" t="str"/>
      <x:c r="S68" s="30" t="str"/>
      <x:c r="T68" s="30" t="str"/>
      <x:c r="U68" s="17" t="str">
        <x:v>Collection error | HTTPError: HTTP Error 429: Too Many Requests</x:v>
      </x:c>
    </x:row>
    <x:row r="69">
      <x:c r="A69" s="17" t="n">
        <x:v>65</x:v>
      </x:c>
      <x:c r="B69" s="17" t="str">
        <x:v>University of Tasmania</x:v>
      </x:c>
      <x:c r="C69" s="17" t="str">
        <x:v>Australia</x:v>
      </x:c>
      <x:c r="D69" s="17" t="str">
        <x:v>API quota reached</x:v>
      </x:c>
      <x:c r="E69" s="17" t="str"/>
      <x:c r="F69" s="17" t="str"/>
      <x:c r="G69" s="39"/>
      <x:c r="H69" s="17" t="str"/>
      <x:c r="I69" s="17" t="str"/>
      <x:c r="J69" s="30" t="str"/>
      <x:c r="K69" s="30" t="str"/>
      <x:c r="L69" s="39"/>
      <x:c r="M69" s="39"/>
      <x:c r="N69" s="39"/>
      <x:c r="O69" s="39"/>
      <x:c r="P69" s="39"/>
      <x:c r="Q69" s="39"/>
      <x:c r="R69" s="17" t="str"/>
      <x:c r="S69" s="30" t="str"/>
      <x:c r="T69" s="30" t="str"/>
      <x:c r="U69" s="17" t="str">
        <x:v>Collection error | HTTPError: HTTP Error 429: Too Many Requests</x:v>
      </x:c>
    </x:row>
    <x:row r="70">
      <x:c r="A70" s="17" t="n">
        <x:v>66</x:v>
      </x:c>
      <x:c r="B70" s="17" t="str">
        <x:v>McMaster University</x:v>
      </x:c>
      <x:c r="C70" s="17" t="str">
        <x:v>Canada</x:v>
      </x:c>
      <x:c r="D70" s="17" t="str">
        <x:v>API quota reached</x:v>
      </x:c>
      <x:c r="E70" s="17" t="str"/>
      <x:c r="F70" s="17" t="str"/>
      <x:c r="G70" s="39"/>
      <x:c r="H70" s="17" t="str"/>
      <x:c r="I70" s="17" t="str"/>
      <x:c r="J70" s="30" t="str"/>
      <x:c r="K70" s="30" t="str"/>
      <x:c r="L70" s="39"/>
      <x:c r="M70" s="39"/>
      <x:c r="N70" s="39"/>
      <x:c r="O70" s="39"/>
      <x:c r="P70" s="39"/>
      <x:c r="Q70" s="39"/>
      <x:c r="R70" s="17" t="str"/>
      <x:c r="S70" s="30" t="str"/>
      <x:c r="T70" s="30" t="str"/>
      <x:c r="U70" s="17" t="str">
        <x:v>Collection error | HTTPError: HTTP Error 429: Too Many Requests</x:v>
      </x:c>
    </x:row>
    <x:row r="71">
      <x:c r="A71" s="17" t="n">
        <x:v>67</x:v>
      </x:c>
      <x:c r="B71" s="17" t="str">
        <x:v>Chulalongkorn University</x:v>
      </x:c>
      <x:c r="C71" s="17" t="str">
        <x:v>Thailand</x:v>
      </x:c>
      <x:c r="D71" s="17" t="str">
        <x:v>API quota reached</x:v>
      </x:c>
      <x:c r="E71" s="17" t="str"/>
      <x:c r="F71" s="17" t="str"/>
      <x:c r="G71" s="39"/>
      <x:c r="H71" s="17" t="str"/>
      <x:c r="I71" s="17" t="str"/>
      <x:c r="J71" s="30" t="str"/>
      <x:c r="K71" s="30" t="str"/>
      <x:c r="L71" s="39"/>
      <x:c r="M71" s="39"/>
      <x:c r="N71" s="39"/>
      <x:c r="O71" s="39"/>
      <x:c r="P71" s="39"/>
      <x:c r="Q71" s="39"/>
      <x:c r="R71" s="17" t="str"/>
      <x:c r="S71" s="30" t="str"/>
      <x:c r="T71" s="30" t="str"/>
      <x:c r="U71" s="17" t="str">
        <x:v>Collection error | HTTPError: HTTP Error 429: Too Many Requests</x:v>
      </x:c>
    </x:row>
    <x:row r="72">
      <x:c r="A72" s="17" t="n">
        <x:v>68</x:v>
      </x:c>
      <x:c r="B72" s="17" t="str">
        <x:v>Kyungpook National University (KNU)</x:v>
      </x:c>
      <x:c r="C72" s="17" t="str">
        <x:v>South Korea</x:v>
      </x:c>
      <x:c r="D72" s="17" t="str">
        <x:v>API quota reached</x:v>
      </x:c>
      <x:c r="E72" s="17" t="str"/>
      <x:c r="F72" s="17" t="str"/>
      <x:c r="G72" s="39"/>
      <x:c r="H72" s="17" t="str"/>
      <x:c r="I72" s="17" t="str"/>
      <x:c r="J72" s="30" t="str"/>
      <x:c r="K72" s="30" t="str"/>
      <x:c r="L72" s="39"/>
      <x:c r="M72" s="39"/>
      <x:c r="N72" s="39"/>
      <x:c r="O72" s="39"/>
      <x:c r="P72" s="39"/>
      <x:c r="Q72" s="39"/>
      <x:c r="R72" s="17" t="str"/>
      <x:c r="S72" s="30" t="str"/>
      <x:c r="T72" s="30" t="str"/>
      <x:c r="U72" s="17" t="str">
        <x:v>Collection error | HTTPError: HTTP Error 429: Too Many Requests</x:v>
      </x:c>
    </x:row>
    <x:row r="73">
      <x:c r="A73" s="17" t="n">
        <x:v>69</x:v>
      </x:c>
      <x:c r="B73" s="17" t="str">
        <x:v>The Hong Kong University of Science and Technology</x:v>
      </x:c>
      <x:c r="C73" s="17" t="str">
        <x:v>Hong Kong</x:v>
      </x:c>
      <x:c r="D73" s="17" t="str">
        <x:v>API quota reached</x:v>
      </x:c>
      <x:c r="E73" s="17" t="str"/>
      <x:c r="F73" s="17" t="str"/>
      <x:c r="G73" s="39"/>
      <x:c r="H73" s="17" t="str"/>
      <x:c r="I73" s="17" t="str"/>
      <x:c r="J73" s="30" t="str"/>
      <x:c r="K73" s="30" t="str"/>
      <x:c r="L73" s="39"/>
      <x:c r="M73" s="39"/>
      <x:c r="N73" s="39"/>
      <x:c r="O73" s="39"/>
      <x:c r="P73" s="39"/>
      <x:c r="Q73" s="39"/>
      <x:c r="R73" s="17" t="str"/>
      <x:c r="S73" s="30" t="str"/>
      <x:c r="T73" s="30" t="str"/>
      <x:c r="U73" s="17" t="str">
        <x:v>Collection error | HTTPError: HTTP Error 429: Too Many Requests</x:v>
      </x:c>
    </x:row>
    <x:row r="74">
      <x:c r="A74" s="17" t="n">
        <x:v>70</x:v>
      </x:c>
      <x:c r="B74" s="17" t="str">
        <x:v>Lovely Professional University</x:v>
      </x:c>
      <x:c r="C74" s="17" t="str">
        <x:v>India</x:v>
      </x:c>
      <x:c r="D74" s="17" t="str">
        <x:v>API quota reached</x:v>
      </x:c>
      <x:c r="E74" s="17" t="str"/>
      <x:c r="F74" s="17" t="str"/>
      <x:c r="G74" s="39"/>
      <x:c r="H74" s="17" t="str"/>
      <x:c r="I74" s="17" t="str"/>
      <x:c r="J74" s="30" t="str"/>
      <x:c r="K74" s="30" t="str"/>
      <x:c r="L74" s="39"/>
      <x:c r="M74" s="39"/>
      <x:c r="N74" s="39"/>
      <x:c r="O74" s="39"/>
      <x:c r="P74" s="39"/>
      <x:c r="Q74" s="39"/>
      <x:c r="R74" s="17" t="str"/>
      <x:c r="S74" s="30" t="str"/>
      <x:c r="T74" s="30" t="str"/>
      <x:c r="U74" s="17" t="str">
        <x:v>Collection error | HTTPError: HTTP Error 429: Too Many Requests</x:v>
      </x:c>
    </x:row>
    <x:row r="75">
      <x:c r="A75" s="17" t="n">
        <x:v>71</x:v>
      </x:c>
      <x:c r="B75" s="17" t="str">
        <x:v>University of Malaya</x:v>
      </x:c>
      <x:c r="C75" s="17" t="str">
        <x:v>Malaysia</x:v>
      </x:c>
      <x:c r="D75" s="17" t="str">
        <x:v>API quota reached</x:v>
      </x:c>
      <x:c r="E75" s="17" t="str"/>
      <x:c r="F75" s="17" t="str"/>
      <x:c r="G75" s="39"/>
      <x:c r="H75" s="17" t="str"/>
      <x:c r="I75" s="17" t="str"/>
      <x:c r="J75" s="30" t="str"/>
      <x:c r="K75" s="30" t="str"/>
      <x:c r="L75" s="39"/>
      <x:c r="M75" s="39"/>
      <x:c r="N75" s="39"/>
      <x:c r="O75" s="39"/>
      <x:c r="P75" s="39"/>
      <x:c r="Q75" s="39"/>
      <x:c r="R75" s="17" t="str"/>
      <x:c r="S75" s="30" t="str"/>
      <x:c r="T75" s="30" t="str"/>
      <x:c r="U75" s="17" t="str">
        <x:v>Collection error | HTTPError: HTTP Error 429: Too Many Requests</x:v>
      </x:c>
    </x:row>
    <x:row r="76">
      <x:c r="A76" s="17" t="n">
        <x:v>72</x:v>
      </x:c>
      <x:c r="B76" s="17" t="str">
        <x:v>Aalborg University</x:v>
      </x:c>
      <x:c r="C76" s="17" t="str">
        <x:v>Denmark</x:v>
      </x:c>
      <x:c r="D76" s="17" t="str">
        <x:v>API quota reached</x:v>
      </x:c>
      <x:c r="E76" s="17" t="str"/>
      <x:c r="F76" s="17" t="str"/>
      <x:c r="G76" s="39"/>
      <x:c r="H76" s="17" t="str"/>
      <x:c r="I76" s="17" t="str"/>
      <x:c r="J76" s="30" t="str"/>
      <x:c r="K76" s="30" t="str"/>
      <x:c r="L76" s="39"/>
      <x:c r="M76" s="39"/>
      <x:c r="N76" s="39"/>
      <x:c r="O76" s="39"/>
      <x:c r="P76" s="39"/>
      <x:c r="Q76" s="39"/>
      <x:c r="R76" s="17" t="str"/>
      <x:c r="S76" s="30" t="str"/>
      <x:c r="T76" s="30" t="str"/>
      <x:c r="U76" s="17" t="str">
        <x:v>Collection error | HTTPError: HTTP Error 429: Too Many Requests</x:v>
      </x:c>
    </x:row>
    <x:row r="77">
      <x:c r="A77" s="17" t="n">
        <x:v>73</x:v>
      </x:c>
      <x:c r="B77" s="17" t="str">
        <x:v>Kyung Hee University</x:v>
      </x:c>
      <x:c r="C77" s="17" t="str">
        <x:v>South Korea</x:v>
      </x:c>
      <x:c r="D77" s="17" t="str">
        <x:v>API quota reached</x:v>
      </x:c>
      <x:c r="E77" s="17" t="str"/>
      <x:c r="F77" s="17" t="str"/>
      <x:c r="G77" s="39"/>
      <x:c r="H77" s="17" t="str"/>
      <x:c r="I77" s="17" t="str"/>
      <x:c r="J77" s="30" t="str"/>
      <x:c r="K77" s="30" t="str"/>
      <x:c r="L77" s="39"/>
      <x:c r="M77" s="39"/>
      <x:c r="N77" s="39"/>
      <x:c r="O77" s="39"/>
      <x:c r="P77" s="39"/>
      <x:c r="Q77" s="39"/>
      <x:c r="R77" s="17" t="str"/>
      <x:c r="S77" s="30" t="str"/>
      <x:c r="T77" s="30" t="str"/>
      <x:c r="U77" s="17" t="str">
        <x:v>Collection error | HTTPError: HTTP Error 429: Too Many Requests</x:v>
      </x:c>
    </x:row>
    <x:row r="78">
      <x:c r="A78" s="17" t="n">
        <x:v>74</x:v>
      </x:c>
      <x:c r="B78" s="17" t="str">
        <x:v>University of Victoria</x:v>
      </x:c>
      <x:c r="C78" s="17" t="str">
        <x:v>Canada</x:v>
      </x:c>
      <x:c r="D78" s="17" t="str">
        <x:v>API quota reached</x:v>
      </x:c>
      <x:c r="E78" s="17" t="str"/>
      <x:c r="F78" s="17" t="str"/>
      <x:c r="G78" s="39"/>
      <x:c r="H78" s="17" t="str"/>
      <x:c r="I78" s="17" t="str"/>
      <x:c r="J78" s="30" t="str"/>
      <x:c r="K78" s="30" t="str"/>
      <x:c r="L78" s="39"/>
      <x:c r="M78" s="39"/>
      <x:c r="N78" s="39"/>
      <x:c r="O78" s="39"/>
      <x:c r="P78" s="39"/>
      <x:c r="Q78" s="39"/>
      <x:c r="R78" s="17" t="str"/>
      <x:c r="S78" s="30" t="str"/>
      <x:c r="T78" s="30" t="str"/>
      <x:c r="U78" s="17" t="str">
        <x:v>Collection error | HTTPError: HTTP Error 429: Too Many Requests</x:v>
      </x:c>
    </x:row>
    <x:row r="79">
      <x:c r="A79" s="17" t="n">
        <x:v>76</x:v>
      </x:c>
      <x:c r="B79" s="17" t="str">
        <x:v>Central Queensland University</x:v>
      </x:c>
      <x:c r="C79" s="17" t="str">
        <x:v>Australia</x:v>
      </x:c>
      <x:c r="D79" s="17" t="str">
        <x:v>API quota reached</x:v>
      </x:c>
      <x:c r="E79" s="17" t="str"/>
      <x:c r="F79" s="17" t="str"/>
      <x:c r="G79" s="39"/>
      <x:c r="H79" s="17" t="str"/>
      <x:c r="I79" s="17" t="str"/>
      <x:c r="J79" s="30" t="str"/>
      <x:c r="K79" s="30" t="str"/>
      <x:c r="L79" s="39"/>
      <x:c r="M79" s="39"/>
      <x:c r="N79" s="39"/>
      <x:c r="O79" s="39"/>
      <x:c r="P79" s="39"/>
      <x:c r="Q79" s="39"/>
      <x:c r="R79" s="17" t="str"/>
      <x:c r="S79" s="30" t="str"/>
      <x:c r="T79" s="30" t="str"/>
      <x:c r="U79" s="17" t="str">
        <x:v>Collection error | HTTPError: HTTP Error 429: Too Many Requests</x:v>
      </x:c>
    </x:row>
    <x:row r="80">
      <x:c r="A80" s="17" t="n">
        <x:v>77</x:v>
      </x:c>
      <x:c r="B80" s="17" t="str">
        <x:v>University of Newcastle</x:v>
      </x:c>
      <x:c r="C80" s="17" t="str">
        <x:v>Australia</x:v>
      </x:c>
      <x:c r="D80" s="17" t="str">
        <x:v>API quota reached</x:v>
      </x:c>
      <x:c r="E80" s="17" t="str"/>
      <x:c r="F80" s="17" t="str"/>
      <x:c r="G80" s="39"/>
      <x:c r="H80" s="17" t="str"/>
      <x:c r="I80" s="17" t="str"/>
      <x:c r="J80" s="30" t="str"/>
      <x:c r="K80" s="30" t="str"/>
      <x:c r="L80" s="39"/>
      <x:c r="M80" s="39"/>
      <x:c r="N80" s="39"/>
      <x:c r="O80" s="39"/>
      <x:c r="P80" s="39"/>
      <x:c r="Q80" s="39"/>
      <x:c r="R80" s="17" t="str"/>
      <x:c r="S80" s="30" t="str"/>
      <x:c r="T80" s="30" t="str"/>
      <x:c r="U80" s="17" t="str">
        <x:v>Collection error | HTTPError: HTTP Error 429: Too Many Requests</x:v>
      </x:c>
    </x:row>
    <x:row r="81">
      <x:c r="A81" s="17" t="n">
        <x:v>78</x:v>
      </x:c>
      <x:c r="B81" s="17" t="str">
        <x:v>Northumbria University</x:v>
      </x:c>
      <x:c r="C81" s="17" t="str">
        <x:v>United Kingdom</x:v>
      </x:c>
      <x:c r="D81" s="17" t="str">
        <x:v>API quota reached</x:v>
      </x:c>
      <x:c r="E81" s="17" t="str"/>
      <x:c r="F81" s="17" t="str"/>
      <x:c r="G81" s="39"/>
      <x:c r="H81" s="17" t="str"/>
      <x:c r="I81" s="17" t="str"/>
      <x:c r="J81" s="30" t="str"/>
      <x:c r="K81" s="30" t="str"/>
      <x:c r="L81" s="39"/>
      <x:c r="M81" s="39"/>
      <x:c r="N81" s="39"/>
      <x:c r="O81" s="39"/>
      <x:c r="P81" s="39"/>
      <x:c r="Q81" s="39"/>
      <x:c r="R81" s="17" t="str"/>
      <x:c r="S81" s="30" t="str"/>
      <x:c r="T81" s="30" t="str"/>
      <x:c r="U81" s="17" t="str">
        <x:v>Collection error | HTTPError: HTTP Error 429: Too Many Requests</x:v>
      </x:c>
    </x:row>
    <x:row r="82">
      <x:c r="A82" s="17" t="n">
        <x:v>79</x:v>
      </x:c>
      <x:c r="B82" s="17" t="str">
        <x:v>University of Indonesia</x:v>
      </x:c>
      <x:c r="C82" s="17" t="str">
        <x:v>Indonesia</x:v>
      </x:c>
      <x:c r="D82" s="17" t="str">
        <x:v>API quota reached</x:v>
      </x:c>
      <x:c r="E82" s="17" t="str"/>
      <x:c r="F82" s="17" t="str"/>
      <x:c r="G82" s="39"/>
      <x:c r="H82" s="17" t="str"/>
      <x:c r="I82" s="17" t="str"/>
      <x:c r="J82" s="30" t="str"/>
      <x:c r="K82" s="30" t="str"/>
      <x:c r="L82" s="39"/>
      <x:c r="M82" s="39"/>
      <x:c r="N82" s="39"/>
      <x:c r="O82" s="39"/>
      <x:c r="P82" s="39"/>
      <x:c r="Q82" s="39"/>
      <x:c r="R82" s="17" t="str"/>
      <x:c r="S82" s="30" t="str"/>
      <x:c r="T82" s="30" t="str"/>
      <x:c r="U82" s="17" t="str">
        <x:v>Collection error | HTTPError: HTTP Error 429: Too Many Requests</x:v>
      </x:c>
    </x:row>
    <x:row r="83">
      <x:c r="A83" s="17" t="n">
        <x:v>80</x:v>
      </x:c>
      <x:c r="B83" s="17" t="str">
        <x:v>An-Najah National University</x:v>
      </x:c>
      <x:c r="C83" s="17" t="str">
        <x:v>Palestine</x:v>
      </x:c>
      <x:c r="D83" s="17" t="str">
        <x:v>API quota reached</x:v>
      </x:c>
      <x:c r="E83" s="17" t="str"/>
      <x:c r="F83" s="17" t="str"/>
      <x:c r="G83" s="39"/>
      <x:c r="H83" s="17" t="str"/>
      <x:c r="I83" s="17" t="str"/>
      <x:c r="J83" s="30" t="str"/>
      <x:c r="K83" s="30" t="str"/>
      <x:c r="L83" s="39"/>
      <x:c r="M83" s="39"/>
      <x:c r="N83" s="39"/>
      <x:c r="O83" s="39"/>
      <x:c r="P83" s="39"/>
      <x:c r="Q83" s="39"/>
      <x:c r="R83" s="17" t="str"/>
      <x:c r="S83" s="30" t="str"/>
      <x:c r="T83" s="30" t="str"/>
      <x:c r="U83" s="17" t="str">
        <x:v>Collection error | HTTPError: HTTP Error 429: Too Many Requests</x:v>
      </x:c>
    </x:row>
    <x:row r="84">
      <x:c r="A84" s="17" t="n">
        <x:v>81</x:v>
      </x:c>
      <x:c r="B84" s="17" t="str">
        <x:v>Arizona State University (Tempe)</x:v>
      </x:c>
      <x:c r="C84" s="17" t="str">
        <x:v>United States</x:v>
      </x:c>
      <x:c r="D84" s="17" t="str">
        <x:v>API quota reached</x:v>
      </x:c>
      <x:c r="E84" s="17" t="str"/>
      <x:c r="F84" s="17" t="str"/>
      <x:c r="G84" s="39"/>
      <x:c r="H84" s="17" t="str"/>
      <x:c r="I84" s="17" t="str"/>
      <x:c r="J84" s="30" t="str"/>
      <x:c r="K84" s="30" t="str"/>
      <x:c r="L84" s="39"/>
      <x:c r="M84" s="39"/>
      <x:c r="N84" s="39"/>
      <x:c r="O84" s="39"/>
      <x:c r="P84" s="39"/>
      <x:c r="Q84" s="39"/>
      <x:c r="R84" s="17" t="str"/>
      <x:c r="S84" s="30" t="str"/>
      <x:c r="T84" s="30" t="str"/>
      <x:c r="U84" s="17" t="str">
        <x:v>Collection error | HTTPError: HTTP Error 429: Too Many Requests</x:v>
      </x:c>
    </x:row>
    <x:row r="85">
      <x:c r="A85" s="17" t="n">
        <x:v>82</x:v>
      </x:c>
      <x:c r="B85" s="17" t="str">
        <x:v>King Faisal University</x:v>
      </x:c>
      <x:c r="C85" s="17" t="str">
        <x:v>Saudi Arabia</x:v>
      </x:c>
      <x:c r="D85" s="17" t="str">
        <x:v>API quota reached</x:v>
      </x:c>
      <x:c r="E85" s="17" t="str"/>
      <x:c r="F85" s="17" t="str"/>
      <x:c r="G85" s="39"/>
      <x:c r="H85" s="17" t="str"/>
      <x:c r="I85" s="17" t="str"/>
      <x:c r="J85" s="30" t="str"/>
      <x:c r="K85" s="30" t="str"/>
      <x:c r="L85" s="39"/>
      <x:c r="M85" s="39"/>
      <x:c r="N85" s="39"/>
      <x:c r="O85" s="39"/>
      <x:c r="P85" s="39"/>
      <x:c r="Q85" s="39"/>
      <x:c r="R85" s="17" t="str"/>
      <x:c r="S85" s="30" t="str"/>
      <x:c r="T85" s="30" t="str"/>
      <x:c r="U85" s="17" t="str">
        <x:v>Collection error | HTTPError: HTTP Error 429: Too Many Requests</x:v>
      </x:c>
    </x:row>
    <x:row r="86">
      <x:c r="A86" s="17" t="n">
        <x:v>83</x:v>
      </x:c>
      <x:c r="B86" s="17" t="str">
        <x:v>Flinders University</x:v>
      </x:c>
      <x:c r="C86" s="17" t="str">
        <x:v>Australia</x:v>
      </x:c>
      <x:c r="D86" s="17" t="str">
        <x:v>API quota reached</x:v>
      </x:c>
      <x:c r="E86" s="17" t="str"/>
      <x:c r="F86" s="17" t="str"/>
      <x:c r="G86" s="39"/>
      <x:c r="H86" s="17" t="str"/>
      <x:c r="I86" s="17" t="str"/>
      <x:c r="J86" s="30" t="str"/>
      <x:c r="K86" s="30" t="str"/>
      <x:c r="L86" s="39"/>
      <x:c r="M86" s="39"/>
      <x:c r="N86" s="39"/>
      <x:c r="O86" s="39"/>
      <x:c r="P86" s="39"/>
      <x:c r="Q86" s="39"/>
      <x:c r="R86" s="17" t="str"/>
      <x:c r="S86" s="30" t="str"/>
      <x:c r="T86" s="30" t="str"/>
      <x:c r="U86" s="17" t="str">
        <x:v>Collection error | HTTPError: HTTP Error 429: Too Many Requests</x:v>
      </x:c>
    </x:row>
    <x:row r="87">
      <x:c r="A87" s="17" t="n">
        <x:v>84</x:v>
      </x:c>
      <x:c r="B87" s="17" t="str">
        <x:v>Amrita Vishwa Vidyapeetham</x:v>
      </x:c>
      <x:c r="C87" s="17" t="str">
        <x:v>India</x:v>
      </x:c>
      <x:c r="D87" s="17" t="str">
        <x:v>API quota reached</x:v>
      </x:c>
      <x:c r="E87" s="17" t="str"/>
      <x:c r="F87" s="17" t="str"/>
      <x:c r="G87" s="39"/>
      <x:c r="H87" s="17" t="str"/>
      <x:c r="I87" s="17" t="str"/>
      <x:c r="J87" s="30" t="str"/>
      <x:c r="K87" s="30" t="str"/>
      <x:c r="L87" s="39"/>
      <x:c r="M87" s="39"/>
      <x:c r="N87" s="39"/>
      <x:c r="O87" s="39"/>
      <x:c r="P87" s="39"/>
      <x:c r="Q87" s="39"/>
      <x:c r="R87" s="17" t="str"/>
      <x:c r="S87" s="30" t="str"/>
      <x:c r="T87" s="30" t="str"/>
      <x:c r="U87" s="17" t="str">
        <x:v>Collection error | HTTPError: HTTP Error 429: Too Many Requests</x:v>
      </x:c>
    </x:row>
    <x:row r="88">
      <x:c r="A88" s="17" t="n">
        <x:v>85</x:v>
      </x:c>
      <x:c r="B88" s="17" t="str">
        <x:v>Queen's University Belfast</x:v>
      </x:c>
      <x:c r="C88" s="17" t="str">
        <x:v>United Kingdom</x:v>
      </x:c>
      <x:c r="D88" s="17" t="str">
        <x:v>API quota reached</x:v>
      </x:c>
      <x:c r="E88" s="17" t="str"/>
      <x:c r="F88" s="17" t="str"/>
      <x:c r="G88" s="39"/>
      <x:c r="H88" s="17" t="str"/>
      <x:c r="I88" s="17" t="str"/>
      <x:c r="J88" s="30" t="str"/>
      <x:c r="K88" s="30" t="str"/>
      <x:c r="L88" s="39"/>
      <x:c r="M88" s="39"/>
      <x:c r="N88" s="39"/>
      <x:c r="O88" s="39"/>
      <x:c r="P88" s="39"/>
      <x:c r="Q88" s="39"/>
      <x:c r="R88" s="17" t="str"/>
      <x:c r="S88" s="30" t="str"/>
      <x:c r="T88" s="30" t="str"/>
      <x:c r="U88" s="17" t="str">
        <x:v>Collection error | HTTPError: HTTP Error 429: Too Many Requests</x:v>
      </x:c>
    </x:row>
    <x:row r="89">
      <x:c r="A89" s="17" t="n">
        <x:v>86</x:v>
      </x:c>
      <x:c r="B89" s="17" t="str">
        <x:v>Near East University</x:v>
      </x:c>
      <x:c r="C89" s="17" t="str">
        <x:v>Northern Cyprus</x:v>
      </x:c>
      <x:c r="D89" s="17" t="str">
        <x:v>API quota reached</x:v>
      </x:c>
      <x:c r="E89" s="17" t="str"/>
      <x:c r="F89" s="17" t="str"/>
      <x:c r="G89" s="39"/>
      <x:c r="H89" s="17" t="str"/>
      <x:c r="I89" s="17" t="str"/>
      <x:c r="J89" s="30" t="str"/>
      <x:c r="K89" s="30" t="str"/>
      <x:c r="L89" s="39"/>
      <x:c r="M89" s="39"/>
      <x:c r="N89" s="39"/>
      <x:c r="O89" s="39"/>
      <x:c r="P89" s="39"/>
      <x:c r="Q89" s="39"/>
      <x:c r="R89" s="17" t="str"/>
      <x:c r="S89" s="30" t="str"/>
      <x:c r="T89" s="30" t="str"/>
      <x:c r="U89" s="17" t="str">
        <x:v>Collection error | HTTPError: HTTP Error 429: Too Many Requests</x:v>
      </x:c>
    </x:row>
    <x:row r="90">
      <x:c r="A90" s="17" t="n">
        <x:v>87</x:v>
      </x:c>
      <x:c r="B90" s="17" t="str">
        <x:v>University of Johannesburg</x:v>
      </x:c>
      <x:c r="C90" s="17" t="str">
        <x:v>South Africa</x:v>
      </x:c>
      <x:c r="D90" s="17" t="str">
        <x:v>API quota reached</x:v>
      </x:c>
      <x:c r="E90" s="17" t="str"/>
      <x:c r="F90" s="17" t="str"/>
      <x:c r="G90" s="39"/>
      <x:c r="H90" s="17" t="str"/>
      <x:c r="I90" s="17" t="str"/>
      <x:c r="J90" s="30" t="str"/>
      <x:c r="K90" s="30" t="str"/>
      <x:c r="L90" s="39"/>
      <x:c r="M90" s="39"/>
      <x:c r="N90" s="39"/>
      <x:c r="O90" s="39"/>
      <x:c r="P90" s="39"/>
      <x:c r="Q90" s="39"/>
      <x:c r="R90" s="17" t="str"/>
      <x:c r="S90" s="30" t="str"/>
      <x:c r="T90" s="30" t="str"/>
      <x:c r="U90" s="17" t="str">
        <x:v>Collection error | HTTPError: HTTP Error 429: Too Many Requests</x:v>
      </x:c>
    </x:row>
    <x:row r="91">
      <x:c r="A91" s="17" t="n">
        <x:v>88</x:v>
      </x:c>
      <x:c r="B91" s="17" t="str">
        <x:v>Universitas Gadjah Mada</x:v>
      </x:c>
      <x:c r="C91" s="17" t="str">
        <x:v>Indonesia</x:v>
      </x:c>
      <x:c r="D91" s="17" t="str">
        <x:v>API quota reached</x:v>
      </x:c>
      <x:c r="E91" s="17" t="str"/>
      <x:c r="F91" s="17" t="str"/>
      <x:c r="G91" s="39"/>
      <x:c r="H91" s="17" t="str"/>
      <x:c r="I91" s="17" t="str"/>
      <x:c r="J91" s="30" t="str"/>
      <x:c r="K91" s="30" t="str"/>
      <x:c r="L91" s="39"/>
      <x:c r="M91" s="39"/>
      <x:c r="N91" s="39"/>
      <x:c r="O91" s="39"/>
      <x:c r="P91" s="39"/>
      <x:c r="Q91" s="39"/>
      <x:c r="R91" s="17" t="str"/>
      <x:c r="S91" s="30" t="str"/>
      <x:c r="T91" s="30" t="str"/>
      <x:c r="U91" s="17" t="str">
        <x:v>Collection error | HTTPError: HTTP Error 429: Too Many Requests</x:v>
      </x:c>
    </x:row>
    <x:row r="92">
      <x:c r="A92" s="17" t="n">
        <x:v>89</x:v>
      </x:c>
      <x:c r="B92" s="17" t="str">
        <x:v>University of Wollongong</x:v>
      </x:c>
      <x:c r="C92" s="17" t="str">
        <x:v>Australia</x:v>
      </x:c>
      <x:c r="D92" s="17" t="str">
        <x:v>API quota reached</x:v>
      </x:c>
      <x:c r="E92" s="17" t="str"/>
      <x:c r="F92" s="17" t="str"/>
      <x:c r="G92" s="39"/>
      <x:c r="H92" s="17" t="str"/>
      <x:c r="I92" s="17" t="str"/>
      <x:c r="J92" s="30" t="str"/>
      <x:c r="K92" s="30" t="str"/>
      <x:c r="L92" s="39"/>
      <x:c r="M92" s="39"/>
      <x:c r="N92" s="39"/>
      <x:c r="O92" s="39"/>
      <x:c r="P92" s="39"/>
      <x:c r="Q92" s="39"/>
      <x:c r="R92" s="17" t="str"/>
      <x:c r="S92" s="30" t="str"/>
      <x:c r="T92" s="30" t="str"/>
      <x:c r="U92" s="17" t="str">
        <x:v>Collection error | HTTPError: HTTP Error 429: Too Many Requests</x:v>
      </x:c>
    </x:row>
    <x:row r="93">
      <x:c r="A93" s="17" t="n">
        <x:v>90</x:v>
      </x:c>
      <x:c r="B93" s="17" t="str">
        <x:v>Yonsei University (Seoul campus)</x:v>
      </x:c>
      <x:c r="C93" s="17" t="str">
        <x:v>South Korea</x:v>
      </x:c>
      <x:c r="D93" s="17" t="str">
        <x:v>API quota reached</x:v>
      </x:c>
      <x:c r="E93" s="17" t="str"/>
      <x:c r="F93" s="17" t="str"/>
      <x:c r="G93" s="39"/>
      <x:c r="H93" s="17" t="str"/>
      <x:c r="I93" s="17" t="str"/>
      <x:c r="J93" s="30" t="str"/>
      <x:c r="K93" s="30" t="str"/>
      <x:c r="L93" s="39"/>
      <x:c r="M93" s="39"/>
      <x:c r="N93" s="39"/>
      <x:c r="O93" s="39"/>
      <x:c r="P93" s="39"/>
      <x:c r="Q93" s="39"/>
      <x:c r="R93" s="17" t="str"/>
      <x:c r="S93" s="30" t="str"/>
      <x:c r="T93" s="30" t="str"/>
      <x:c r="U93" s="17" t="str">
        <x:v>Collection error | HTTPError: HTTP Error 429: Too Many Requests</x:v>
      </x:c>
    </x:row>
    <x:row r="94">
      <x:c r="A94" s="17" t="n">
        <x:v>91</x:v>
      </x:c>
      <x:c r="B94" s="17" t="str">
        <x:v>Sunway University</x:v>
      </x:c>
      <x:c r="C94" s="17" t="str">
        <x:v>Malaysia</x:v>
      </x:c>
      <x:c r="D94" s="17" t="str">
        <x:v>API quota reached</x:v>
      </x:c>
      <x:c r="E94" s="17" t="str"/>
      <x:c r="F94" s="17" t="str"/>
      <x:c r="G94" s="39"/>
      <x:c r="H94" s="17" t="str"/>
      <x:c r="I94" s="17" t="str"/>
      <x:c r="J94" s="30" t="str"/>
      <x:c r="K94" s="30" t="str"/>
      <x:c r="L94" s="39"/>
      <x:c r="M94" s="39"/>
      <x:c r="N94" s="39"/>
      <x:c r="O94" s="39"/>
      <x:c r="P94" s="39"/>
      <x:c r="Q94" s="39"/>
      <x:c r="R94" s="17" t="str"/>
      <x:c r="S94" s="30" t="str"/>
      <x:c r="T94" s="30" t="str"/>
      <x:c r="U94" s="17" t="str">
        <x:v>Collection error | HTTPError: HTTP Error 429: Too Many Requests</x:v>
      </x:c>
    </x:row>
    <x:row r="95">
      <x:c r="A95" s="17" t="n">
        <x:v>92</x:v>
      </x:c>
      <x:c r="B95" s="17" t="str">
        <x:v>Thammasat University</x:v>
      </x:c>
      <x:c r="C95" s="17" t="str">
        <x:v>Thailand</x:v>
      </x:c>
      <x:c r="D95" s="17" t="str">
        <x:v>API quota reached</x:v>
      </x:c>
      <x:c r="E95" s="17" t="str"/>
      <x:c r="F95" s="17" t="str"/>
      <x:c r="G95" s="39"/>
      <x:c r="H95" s="17" t="str"/>
      <x:c r="I95" s="17" t="str"/>
      <x:c r="J95" s="30" t="str"/>
      <x:c r="K95" s="30" t="str"/>
      <x:c r="L95" s="39"/>
      <x:c r="M95" s="39"/>
      <x:c r="N95" s="39"/>
      <x:c r="O95" s="39"/>
      <x:c r="P95" s="39"/>
      <x:c r="Q95" s="39"/>
      <x:c r="R95" s="17" t="str"/>
      <x:c r="S95" s="30" t="str"/>
      <x:c r="T95" s="30" t="str"/>
      <x:c r="U95" s="17" t="str">
        <x:v>Collection error | HTTPError: HTTP Error 429: Too Many Requests</x:v>
      </x:c>
    </x:row>
    <x:row r="96">
      <x:c r="A96" s="17" t="n">
        <x:v>93</x:v>
      </x:c>
      <x:c r="B96" s="17" t="str">
        <x:v>Walailak University</x:v>
      </x:c>
      <x:c r="C96" s="17" t="str">
        <x:v>Thailand</x:v>
      </x:c>
      <x:c r="D96" s="17" t="str">
        <x:v>API quota reached</x:v>
      </x:c>
      <x:c r="E96" s="17" t="str"/>
      <x:c r="F96" s="17" t="str"/>
      <x:c r="G96" s="39"/>
      <x:c r="H96" s="17" t="str"/>
      <x:c r="I96" s="17" t="str"/>
      <x:c r="J96" s="30" t="str"/>
      <x:c r="K96" s="30" t="str"/>
      <x:c r="L96" s="39"/>
      <x:c r="M96" s="39"/>
      <x:c r="N96" s="39"/>
      <x:c r="O96" s="39"/>
      <x:c r="P96" s="39"/>
      <x:c r="Q96" s="39"/>
      <x:c r="R96" s="17" t="str"/>
      <x:c r="S96" s="30" t="str"/>
      <x:c r="T96" s="30" t="str"/>
      <x:c r="U96" s="17" t="str">
        <x:v>Collection error | HTTPError: HTTP Error 429: Too Many Requests</x:v>
      </x:c>
    </x:row>
    <x:row r="97">
      <x:c r="A97" s="17" t="n">
        <x:v>94</x:v>
      </x:c>
      <x:c r="B97" s="17" t="str">
        <x:v>King Abdullah University of Science and Technology (KAUST)</x:v>
      </x:c>
      <x:c r="C97" s="17" t="str">
        <x:v>Saudi Arabia</x:v>
      </x:c>
      <x:c r="D97" s="17" t="str">
        <x:v>API quota reached</x:v>
      </x:c>
      <x:c r="E97" s="17" t="str"/>
      <x:c r="F97" s="17" t="str"/>
      <x:c r="G97" s="39"/>
      <x:c r="H97" s="17" t="str"/>
      <x:c r="I97" s="17" t="str"/>
      <x:c r="J97" s="30" t="str"/>
      <x:c r="K97" s="30" t="str"/>
      <x:c r="L97" s="39"/>
      <x:c r="M97" s="39"/>
      <x:c r="N97" s="39"/>
      <x:c r="O97" s="39"/>
      <x:c r="P97" s="39"/>
      <x:c r="Q97" s="39"/>
      <x:c r="R97" s="17" t="str"/>
      <x:c r="S97" s="30" t="str"/>
      <x:c r="T97" s="30" t="str"/>
      <x:c r="U97" s="17" t="str">
        <x:v>Collection error | HTTPError: HTTP Error 429: Too Many Requests</x:v>
      </x:c>
    </x:row>
    <x:row r="98">
      <x:c r="A98" s="17" t="n">
        <x:v>95</x:v>
      </x:c>
      <x:c r="B98" s="17" t="str">
        <x:v>Chiang Mai University</x:v>
      </x:c>
      <x:c r="C98" s="17" t="str">
        <x:v>Thailand</x:v>
      </x:c>
      <x:c r="D98" s="17" t="str">
        <x:v>API quota reached</x:v>
      </x:c>
      <x:c r="E98" s="17" t="str"/>
      <x:c r="F98" s="17" t="str"/>
      <x:c r="G98" s="39"/>
      <x:c r="H98" s="17" t="str"/>
      <x:c r="I98" s="17" t="str"/>
      <x:c r="J98" s="30" t="str"/>
      <x:c r="K98" s="30" t="str"/>
      <x:c r="L98" s="39"/>
      <x:c r="M98" s="39"/>
      <x:c r="N98" s="39"/>
      <x:c r="O98" s="39"/>
      <x:c r="P98" s="39"/>
      <x:c r="Q98" s="39"/>
      <x:c r="R98" s="17" t="str"/>
      <x:c r="S98" s="30" t="str"/>
      <x:c r="T98" s="30" t="str"/>
      <x:c r="U98" s="17" t="str">
        <x:v>Collection error | HTTPError: HTTP Error 429: Too Many Requests</x:v>
      </x:c>
    </x:row>
    <x:row r="99">
      <x:c r="A99" s="17" t="n">
        <x:v>96</x:v>
      </x:c>
      <x:c r="B99" s="17" t="str">
        <x:v>Jeonbuk National University</x:v>
      </x:c>
      <x:c r="C99" s="17" t="str">
        <x:v>South Korea</x:v>
      </x:c>
      <x:c r="D99" s="17" t="str">
        <x:v>API quota reached</x:v>
      </x:c>
      <x:c r="E99" s="17" t="str"/>
      <x:c r="F99" s="17" t="str"/>
      <x:c r="G99" s="39"/>
      <x:c r="H99" s="17" t="str"/>
      <x:c r="I99" s="17" t="str"/>
      <x:c r="J99" s="30" t="str"/>
      <x:c r="K99" s="30" t="str"/>
      <x:c r="L99" s="39"/>
      <x:c r="M99" s="39"/>
      <x:c r="N99" s="39"/>
      <x:c r="O99" s="39"/>
      <x:c r="P99" s="39"/>
      <x:c r="Q99" s="39"/>
      <x:c r="R99" s="17" t="str"/>
      <x:c r="S99" s="30" t="str"/>
      <x:c r="T99" s="30" t="str"/>
      <x:c r="U99" s="17" t="str">
        <x:v>Collection error | HTTPError: HTTP Error 429: Too Many Requests</x:v>
      </x:c>
    </x:row>
    <x:row r="100">
      <x:c r="A100" s="17" t="n">
        <x:v>97</x:v>
      </x:c>
      <x:c r="B100" s="17" t="str">
        <x:v>National Yang Ming Chiao Tung University (NYCU Taiwan)</x:v>
      </x:c>
      <x:c r="C100" s="17" t="str">
        <x:v>Taiwan</x:v>
      </x:c>
      <x:c r="D100" s="17" t="str">
        <x:v>API quota reached</x:v>
      </x:c>
      <x:c r="E100" s="17" t="str"/>
      <x:c r="F100" s="17" t="str"/>
      <x:c r="G100" s="39"/>
      <x:c r="H100" s="17" t="str"/>
      <x:c r="I100" s="17" t="str"/>
      <x:c r="J100" s="30" t="str"/>
      <x:c r="K100" s="30" t="str"/>
      <x:c r="L100" s="39"/>
      <x:c r="M100" s="39"/>
      <x:c r="N100" s="39"/>
      <x:c r="O100" s="39"/>
      <x:c r="P100" s="39"/>
      <x:c r="Q100" s="39"/>
      <x:c r="R100" s="17" t="str"/>
      <x:c r="S100" s="30" t="str"/>
      <x:c r="T100" s="30" t="str"/>
      <x:c r="U100" s="17" t="str">
        <x:v>Collection error | HTTPError: HTTP Error 429: Too Many Requests</x:v>
      </x:c>
    </x:row>
  </x:sheetData>
  <x:mergeCells>
    <x:mergeCell ref="A1:U1"/>
    <x:mergeCell ref="A2:U2"/>
  </x:mergeCells>
  <x:conditionalFormatting sqref="D5:D100">
    <x:cfRule type="containsText" dxfId="10" priority="1" operator="containsText" text="Collected"/>
    <x:cfRule type="containsText" dxfId="11" priority="2" operator="containsText" text="quota"/>
    <x:cfRule type="containsText" dxfId="12" priority="3" operator="containsText" text="No reliable"/>
  </x:conditionalFormatting>
  <x:pageMargins left="0.7" right="0.7" top="0.75" bottom="0.75" header="0.3" footer="0.3"/>
  <x:tableParts count="1">
    <x:tablePart xmlns:r="http://schemas.openxmlformats.org/officeDocument/2006/relationships" r:id="R0200446aed2e454b"/>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7" hidden="0" customWidth="1"/>
    <x:col min="2" max="2" width="34" hidden="0" customWidth="1"/>
    <x:col min="3" max="3" width="16" hidden="0" customWidth="1"/>
    <x:col min="4" max="4" width="48" hidden="0" customWidth="1"/>
    <x:col min="5" max="5" width="58" hidden="0" customWidth="1"/>
    <x:col min="6" max="6" width="54" hidden="0" customWidth="1"/>
    <x:col min="7" max="7" width="45" hidden="0" customWidth="1"/>
    <x:col min="8" max="8" width="58" hidden="0" customWidth="1"/>
    <x:col min="9" max="9" width="72" hidden="0" customWidth="1"/>
    <x:col min="10" max="10" width="56" hidden="0" customWidth="1"/>
    <x:col min="11" max="11" width="56" hidden="0" customWidth="1"/>
    <x:col min="12" max="12" width="16" hidden="0" customWidth="1"/>
    <x:col min="13" max="13" width="56" hidden="0" customWidth="1"/>
    <x:col min="14" max="14" width="42" hidden="0" customWidth="1"/>
    <x:col min="15" max="15" width="58" hidden="0" customWidth="1"/>
    <x:col min="16" max="16" width="52" hidden="0" customWidth="1"/>
    <x:col min="17" max="17" width="58" hidden="0" customWidth="1"/>
    <x:col min="18" max="18" width="15" hidden="0" customWidth="1"/>
    <x:col min="19" max="19" width="54" hidden="0" customWidth="1"/>
    <x:col min="20" max="20" width="66" hidden="0" customWidth="1"/>
  </x:cols>
  <x:sheetData>
    <x:row r="1" ht="28" customHeight="1">
      <x:c r="A1" s="3" t="str">
        <x:v>Program Details from Official University Sources</x:v>
      </x:c>
      <x:c r="B1" s="3"/>
      <x:c r="C1" s="3"/>
      <x:c r="D1" s="3"/>
      <x:c r="E1" s="3"/>
      <x:c r="F1" s="3"/>
      <x:c r="G1" s="3"/>
      <x:c r="H1" s="3"/>
      <x:c r="I1" s="3"/>
      <x:c r="J1" s="3"/>
      <x:c r="K1" s="3"/>
      <x:c r="L1" s="3"/>
      <x:c r="M1" s="3"/>
      <x:c r="N1" s="3"/>
      <x:c r="O1" s="3"/>
      <x:c r="P1" s="3"/>
      <x:c r="Q1" s="3"/>
      <x:c r="R1" s="3"/>
      <x:c r="S1" s="3"/>
      <x:c r="T1" s="3"/>
    </x:row>
    <x:row r="2" ht="36" customHeight="1">
      <x:c r="A2" s="7" t="str">
        <x:v>English-language evidence table covering cost, duration, delivery, language, curriculum, experiential learning, culminating work, thesis, class size, and placement. NA means no internship/fieldwork was identified.</x:v>
      </x:c>
      <x:c r="B2" s="7"/>
      <x:c r="C2" s="7"/>
      <x:c r="D2" s="7"/>
      <x:c r="E2" s="7"/>
      <x:c r="F2" s="7"/>
      <x:c r="G2" s="7"/>
      <x:c r="H2" s="7"/>
      <x:c r="I2" s="7"/>
      <x:c r="J2" s="7"/>
      <x:c r="K2" s="7"/>
      <x:c r="L2" s="7"/>
      <x:c r="M2" s="7"/>
      <x:c r="N2" s="7"/>
      <x:c r="O2" s="7"/>
      <x:c r="P2" s="7"/>
      <x:c r="Q2" s="7"/>
      <x:c r="R2" s="7"/>
      <x:c r="S2" s="7"/>
      <x:c r="T2" s="7"/>
    </x:row>
    <x:row r="4" ht="36" customHeight="1">
      <x:c r="A4" s="13" t="str">
        <x:v>ID</x:v>
      </x:c>
      <x:c r="B4" s="13" t="str">
        <x:v>Institution</x:v>
      </x:c>
      <x:c r="C4" s="13" t="str">
        <x:v>Country</x:v>
      </x:c>
      <x:c r="D4" s="13" t="str">
        <x:v>Program</x:v>
      </x:c>
      <x:c r="E4" s="13" t="str">
        <x:v>Tuition / Fees</x:v>
      </x:c>
      <x:c r="F4" s="13" t="str">
        <x:v>Duration</x:v>
      </x:c>
      <x:c r="G4" s="13" t="str">
        <x:v>Study Mode / Delivery</x:v>
      </x:c>
      <x:c r="H4" s="13" t="str">
        <x:v>Language Requirements</x:v>
      </x:c>
      <x:c r="I4" s="13" t="str">
        <x:v>Curriculum Focus</x:v>
      </x:c>
      <x:c r="J4" s="13" t="str">
        <x:v>Internship / Fieldwork</x:v>
      </x:c>
      <x:c r="K4" s="13" t="str">
        <x:v>Capstone / Project</x:v>
      </x:c>
      <x:c r="L4" s="13" t="str">
        <x:v>Thesis Option</x:v>
      </x:c>
      <x:c r="M4" s="13" t="str">
        <x:v>Thesis Evidence</x:v>
      </x:c>
      <x:c r="N4" s="13" t="str">
        <x:v>Class Size (if available)</x:v>
      </x:c>
      <x:c r="O4" s="13" t="str">
        <x:v>Placement Outcomes (if available)</x:v>
      </x:c>
      <x:c r="P4" s="13" t="str">
        <x:v>Official Program URL</x:v>
      </x:c>
      <x:c r="Q4" s="13" t="str">
        <x:v>Additional Official Sources</x:v>
      </x:c>
      <x:c r="R4" s="13" t="str">
        <x:v>Retrieved Date</x:v>
      </x:c>
      <x:c r="S4" s="13" t="str">
        <x:v>Extraction Status</x:v>
      </x:c>
      <x:c r="T4" s="13" t="str">
        <x:v>Review Notes</x:v>
      </x:c>
    </x:row>
    <x:row r="5" ht="84" customHeight="1">
      <x:c r="A5" s="17" t="n">
        <x:v>1</x:v>
      </x:c>
      <x:c r="B5" s="17" t="str">
        <x:v>Lund University</x:v>
      </x:c>
      <x:c r="C5" s="17" t="str">
        <x:v>Sweden</x:v>
      </x:c>
      <x:c r="D5" s="17" t="str">
        <x:v>MSc Environmental Studies and Sustainability Science (LUMES)</x:v>
      </x:c>
      <x:c r="E5" s="17" t="str">
        <x:v>Tuition fees, payments and exemptions | Full programme/course tuition fee: SEK 300,000 | First payment: SEK 75,000</x:v>
      </x:c>
      <x:c r="F5" s="17" t="str">
        <x:v>Environmental Studies and Sustainability Science - Master of Science programme | Master's programme • 2 years • 120 credits | Understanding and tackling complex societal and environmental challenges has never been more crucial. This master’s programme equips you with skills and tools to understand today’s complex sustainability problems and create pathways to a better tomorrow. || Duration | 2 years | Level || The master’s programme in Environmental Studies and Sustainability Science (LUMES) is an interdisciplinary, international programme that tackles local and global sustainability challenges through a systems perspective. | For almost 30 years, the LUMES programme has attracted passionate students from around the world to Lund, Sweden. The programme trains you to understand and analyse present societal systems and the environmental pro</x:v>
      </x:c>
      <x:c r="G5" s="17" t="str">
        <x:v>Closed for applications. | Lund - Full time 100% | Apply now || Pace | Full time | Language</x:v>
      </x:c>
      <x:c r="H5" s="17" t="str">
        <x:v>Close answer | I don't understand what documents I need to submit to prove that I meet the general entry requirements and the English language requirement | If you have a question about which documents (and how to submit your documents) to prove that you meet the general entry requirements and the English language requirement, you should first thoroughly review the University Admissions in Sweden webpage and then contact University Admissions in Sweden directly if necessary – refer to the Admiss || I don't understand what documents I need to submit to prove that I meet the general entry requirements and the English language requirement | If you have a question about which documents (and how to submit your documents) to prove that you meet the general entry requirements and the English language requirement, you should first thoroughly review the University Admissions in Sweden webpage and then contact University Admissions in Sweden directly if necessary – refer to the Admissions suppor</x:v>
      </x:c>
      <x:c r="I5" s="17" t="str">
        <x:v>Overall, you will develop the ability to integrate knowledge across disciplines and critically evaluate assumptions underlying various processes and policies. The programme also trains you to work in cross-cultural and interdisciplinary teams. You develop interpersonal and academic skills through group work, presentations, academic writing, and interactions with society. | Programme structure | Career prospects || Programme structure | The programme spans two years and is divided into four semesters.</x:v>
      </x:c>
      <x:c r="J5" s="17" t="str">
        <x:v>NA</x:v>
      </x:c>
      <x:c r="K5" s="17" t="str">
        <x:v>Not stated on reviewed official page</x:v>
      </x:c>
      <x:c r="L5" s="17" t="str">
        <x:v>Yes</x:v>
      </x:c>
      <x:c r="M5" s="17" t="str">
        <x:v>7.5 | Environmental Studies and Sustainability Science: Master's Thesis | Compulsory</x:v>
      </x:c>
      <x:c r="N5" s="17" t="str">
        <x:v>Not stated on reviewed official page</x:v>
      </x:c>
      <x:c r="O5" s="17" t="str">
        <x:v>Not stated on reviewed official page</x:v>
      </x:c>
      <x:c r="P5" s="30" t="str">
        <x:v>https://www.lunduniversity.lu.se/study/environmental-studies-and-sustainability-science-master-of-science-programme-SAESS</x:v>
      </x:c>
      <x:c r="Q5" s="30" t="str">
        <x:v>https://www.lunduniversity.lu.se/study/environmental-studies-and-sustainability-science-master-of-science-programme-SAESS/programme-structure</x:v>
      </x:c>
      <x:c r="R5" s="17" t="str">
        <x:v>2026-07-18</x:v>
      </x:c>
      <x:c r="S5" s="17" t="str">
        <x:v>Official program page retrieved; 2 official page(s) reviewed; 6/10 requested evidence groups found.</x:v>
      </x:c>
      <x:c r="T5" s="17" t="str">
        <x:v>Automated evidence extraction from official pages. Manually confirm year-specific tuition, language score applicability, and optional-versus-required curriculum elements before analysis.</x:v>
      </x:c>
    </x:row>
    <x:row r="6" ht="84" customHeight="1">
      <x:c r="A6" s="17" t="n">
        <x:v>2</x:v>
      </x:c>
      <x:c r="B6" s="17" t="str">
        <x:v>University of Toronto</x:v>
      </x:c>
      <x:c r="C6" s="17" t="str">
        <x:v>Canada</x:v>
      </x:c>
      <x:c r="D6" s="17" t="str">
        <x:v>Master of Environment &amp; Sustainability</x:v>
      </x:c>
      <x:c r="E6" s="17" t="str">
        <x:v>MES Admission Requirements | Tuition &amp; Funding | Application Procedure || Tuition &amp; Funding | School of the Environment | Skip to main content || Master of Environment &amp; Sustainability (MES) | Tuition &amp; Funding | Tuition Fees and Funding</x:v>
      </x:c>
      <x:c r="F6" s="17" t="str">
        <x:v>Applicants are admitted under the General Regulations of the School of Graduate Studies and must also satisfy the School of the Environment’s admission requirements stated below: | An appropriate honours bachelor’s degree (typically a 4-year HBSc, HBA, or equivalent) that includes at least a minor in environment, sustainability, or a closely related field, from a recognized university with a minimum standing equivalent to a University of Toronto B+ in each of the final two years of study. Meetin</x:v>
      </x:c>
      <x:c r="G6" s="17" t="str">
        <x:v>Not stated on reviewed official page</x:v>
      </x:c>
      <x:c r="H6" s="17" t="str">
        <x:v>Not stated on reviewed official page</x:v>
      </x:c>
      <x:c r="I6" s="17" t="str">
        <x:v>Experiential Learning &amp; Research | Curriculum &amp; Courses Current Courses | Exciting Electives || Curriculum &amp; Courses | School of the Environment | Skip to main content || Undergraduate | Curriculum &amp; Courses | In This Section || Current &amp; Prospective Students | Curriculum &amp; Courses Current Courses | Exciting Electives</x:v>
      </x:c>
      <x:c r="J6" s="17" t="str">
        <x:v>Environment &amp; Health | Internship Guidelines | Research Paper &amp; Thesis Guidelines</x:v>
      </x:c>
      <x:c r="K6" s="17" t="str">
        <x:v>Not stated on reviewed official page</x:v>
      </x:c>
      <x:c r="L6" s="17" t="str">
        <x:v>Not stated on reviewed official page</x:v>
      </x:c>
      <x:c r="M6" s="17" t="str">
        <x:v>Not stated on reviewed official page</x:v>
      </x:c>
      <x:c r="N6" s="17" t="str">
        <x:v>Not stated on reviewed official page</x:v>
      </x:c>
      <x:c r="O6" s="17" t="str">
        <x:v>Not stated on reviewed official page</x:v>
      </x:c>
      <x:c r="P6" s="30" t="str">
        <x:v>https://www.environment.utoronto.ca/graduate/mes</x:v>
      </x:c>
      <x:c r="Q6" s="30" t="str">
        <x:v>https://www.environment.utoronto.ca/graduate/mes/tuition-funding; https://www.environment.utoronto.ca/graduate/mes/mes-admission-requirements; https://www.environment.utoronto.ca/undergraduate/curriculum-courses</x:v>
      </x:c>
      <x:c r="R6" s="17" t="str">
        <x:v>2026-07-18</x:v>
      </x:c>
      <x:c r="S6" s="17" t="str">
        <x:v>Official program page retrieved; 4 official page(s) reviewed; 4/10 requested evidence groups found.</x:v>
      </x:c>
      <x:c r="T6" s="17" t="str">
        <x:v>Automated evidence extraction from official pages. Manually confirm year-specific tuition, language score applicability, and optional-versus-required curriculum elements before analysis.</x:v>
      </x:c>
    </x:row>
    <x:row r="7" ht="84" customHeight="1">
      <x:c r="A7" s="17" t="n">
        <x:v>3</x:v>
      </x:c>
      <x:c r="B7" s="17" t="str">
        <x:v>UCL</x:v>
      </x:c>
      <x:c r="C7" s="17" t="str">
        <x:v>United Kingdom</x:v>
      </x:c>
      <x:c r="D7" s="17" t="str">
        <x:v>Sustainable Resources: Economics, Policy and Transitions MSc</x:v>
      </x:c>
      <x:c r="E7" s="17" t="str">
        <x:v>Full-time Part-time Flexible | UK tuition fees (2026/27) | £21,500 || Programme also available on a modular (flexible) basis . | Overseas tuition fees (2026/27) | £39,200 || Part-time | Tuition fees (2026/27) | £21,500</x:v>
      </x:c>
      <x:c r="F7" s="17" t="str">
        <x:v>Full-time | Full-time students complete the course in one year and can expect to study for 37.5 hours per week during term time. | You take four core modules in Term 1, followed by two core module and two optional modules in Term 2. The dissertation skills module runs across Terms 1 and 2. In Term 3 students work on their dissertation. || Part-time | Part-time students complete the full course over two years. | As a part-time student, in your first year you will take two modules in Terms 1 and 2. In your second year you take two modules in Term 1, two modules in Term 2, and complete your dissertation research in Term 3. Some term 2 modules may have pre-requisites. || Flexible | The flexible option allows you to complete your studies within five years. Study is undertaken on a module-by-module basis, with the student accumulating credit by</x:v>
      </x:c>
      <x:c r="G7" s="17" t="str">
        <x:v>International students | Study mode | Full-time Part-time Flexible || Study mode | Full-time Part-time Flexible | UK tuition fees (2026/27) || Throughout your degree you will be assessed through written examinations, coursework, group work including class presentations, and a dissertation. | In Terms 1 and 2, full-time students can typically expect between 8 and 15 contact hours per teaching week. The remainder of the week (approximately 22-29 hours) should be dedicated towards self-directed study. In Term 3, you should be in regular contact with your dissertation supervisor and otherwise work independently on your dissertation. | Modu</x:v>
      </x:c>
      <x:c r="H7" s="17" t="str">
        <x:v>A minimum of an upper second-class Bachelor's degree from a UK university or an overseas qualification of an equivalent standard in an appropriate subject (earth science, economics, political sciences, geography, physical sciences, law, engineering or related subject). These requirements may be relaxed for students who can demonstrate considerable and relevant aptitude and experience, for example, in business or government. Please clearly state in your personal statement how your educational or  || English language requirements | The English language level for this course is: Level 2 | UCL Pre-Master's and Pre-sessional English courses are for international students who are aiming to study for a postgraduate degree at UCL. The courses will develop your academic English and academic skills required to succeed at postgraduate level. || UCL Pre-Master's and Pre-sessional English courses are for international students who are aiming to study for a postgraduate degree at UCL. The courses wi</x:v>
      </x:c>
      <x:c r="I7" s="17" t="str">
        <x:v>London, Bloomsbury | Globally we are unsustainably using our natural resources, causing major environmental, social and political challenges. This master’s degree in sustainability equips you with the skills and knowledge for a career driving change across business and policy, promoting efficient, circular, equitable and sustainable resource use. Our interdisciplinary curriculum focuses on the environmental, social, and economic aspects of managing resources from public policy and business persp || Full-time students complete the course in one year and can expect to study for 37.5 hours per week during term time. | You take four core modules in Term 1, followed by two core module and two optional modules in Term 2. The dissertation skills module runs across Terms 1 and 2. In Term 3 students work on their dissertation. | Our Term 1 core modules provide essential knowledge in: || You take four core modules in Term 1, followed by two core module and two optional modules in Term 2. The dissertation skills module runs across Terms 1 and 2. In Term 3 students work on their dissertation. | </x:v>
      </x:c>
      <x:c r="J7" s="17" t="str">
        <x:v>Entry requirements | A minimum of an upper second-class Bachelor's degree from a UK university or an overseas qualification of an equivalent standard in an appropriate subject (earth science, economics, political sciences, geography, physical sciences, law, engineering or related subject). These requirements may be relaxed for students who can demonstrate considerable and relevant aptitude and experience, for example, in business or government. Please clearly state in your personal statement how || Students undertake modules to the value of 180 credits. Upon successful completion of 180 credits, you will be awarded an MSc in Sustainable Resources: Economics, Policy and Transitions. | Fieldwork | Depending on your module choices you may have the opportunity to attend optional site visits to explore relevant sustainable resource challenges in-situ. These site visits will not contribute tow</x:v>
      </x:c>
      <x:c r="K7" s="17" t="str">
        <x:v>Networking | We provide numerous networking opportunities to foster invaluable connections for our students. Many modules in this master’s degree feature guest speakers, industry leaders, and experts, offering students the chance to build professional relationships. During the dissertation module, students collaborate with UCL Institute for Sustainable Resources academic team and benefit from their extensive industry contacts. Our Institute's strong industry ties ensure that you will gain real-w || The course is delivered using a diverse array of teaching techniques. Lectures provide foundational knowledge and expert insights, often featuring presentations from visiting speakers. Seminars and tutorials foster active participation and critical discussion amongst you and your peers, enhancing your analytical skills and deepening understanding. Collaborative group projects promote teamwork </x:v>
      </x:c>
      <x:c r="L7" s="17" t="str">
        <x:v>Not stated on reviewed official page</x:v>
      </x:c>
      <x:c r="M7" s="17" t="str">
        <x:v>Not stated on reviewed official page</x:v>
      </x:c>
      <x:c r="N7" s="17" t="str">
        <x:v>Not stated on reviewed official page</x:v>
      </x:c>
      <x:c r="O7" s="17" t="str">
        <x:v>The foundation of your career | 95.6% of Sustainable Resources: Economics, Policy and Transitions MSc students were in work or further study within 15 months of graduating ( HESA Graduate Outcomes Survey 2017-2023 ). | Our alumni work in a broad range of sustainability-related career roles. Some examples include Environmental, Social and Governance Consultant, Strategy Consultant, Research Analyst, Innovation Officer, Environmental Economist, Environmental Scientist, Specialist in Environmental  || Our alumni work in a broad range of sustainability-related career roles. Some examples include Environmental, Social and Governance Consultant, Strategy Consultant, Research Analyst, Innovation Officer, Environmental Economist, Environmental Scientist, Specialist in Environmental Law, Business Development Lead, and Policy &amp; Public Affairs Officer. | Notable organisations where our graduates wo</x:v>
      </x:c>
      <x:c r="P7" s="30" t="str">
        <x:v>https://www.ucl.ac.uk/prospective-students/graduate/taught-degrees/sustainable-resources-economics-policy-and-transitions-msc</x:v>
      </x:c>
      <x:c r="Q7" s="30" t="str">
        <x:v>https://www.ucl.ac.uk/study/prospective-students/graduate/how-apply/english-language-requirements</x:v>
      </x:c>
      <x:c r="R7" s="17" t="str">
        <x:v>2026-07-18</x:v>
      </x:c>
      <x:c r="S7" s="17" t="str">
        <x:v>Official program page retrieved; 4 official page(s) reviewed; 8/10 requested evidence groups found.</x:v>
      </x:c>
      <x:c r="T7" s="17" t="str">
        <x:v>Automated evidence extraction from official pages. Manually confirm year-specific tuition, language score applicability, and optional-versus-required curriculum elements before analysis.</x:v>
      </x:c>
    </x:row>
    <x:row r="8" ht="84" customHeight="1">
      <x:c r="A8" s="17" t="n">
        <x:v>4</x:v>
      </x:c>
      <x:c r="B8" s="17" t="str">
        <x:v>The University of Edinburgh</x:v>
      </x:c>
      <x:c r="C8" s="17" t="str">
        <x:v>United Kingdom</x:v>
      </x:c>
      <x:c r="D8" s="17" t="str">
        <x:v>MSc Global Strategy and Sustainability</x:v>
      </x:c>
      <x:c r="E8" s="17" t="str">
        <x:v>Not stated on reviewed official page</x:v>
      </x:c>
      <x:c r="F8" s="17" t="str">
        <x:v>How old your English language tests can be | Tests no more than two years old | The following English language tests must be no more than two years old on the 1st of the month in which your programme starts, regardless of your nationality: || Tests no more than two years old | The following English language tests must be no more than two years old on the 1st of the month in which your programme starts, regardless of your nationality: | IELTS Academic || How old your degree can be | If you are not a national of a majority English-speaking country, then your degree must be no more than five years old on the 1st of the month in which your programme starts. | This time limit does not apply to your degree if you are a national of a majority English-speaking country.</x:v>
      </x:c>
      <x:c r="G8" s="17" t="str">
        <x:v>Not stated on reviewed official page</x:v>
      </x:c>
      <x:c r="H8" s="17" t="str">
        <x:v>International qualifications | English language requirements | The minimum academic requirement is a UK 2:1 honours degree in a related subject or an equivalent international qualification . || A conditional offer can be made if you are waiting for a final degree result or a language test result. | Regardless of your nationality or country of residence, you must demonstrate a level of English language competency which will enable you to succeed in your studies. | English language tests we accept || Regardless of your nationality or country of residence, you must demonstrate a level of English language competency which will enable you to succeed in your studies. | English language tests we accept | We accept any of the following English language tests, at the specified grade or higher: || English language tests we accept | We accept any of the following English language tests, at the specified grade or higher: | IELTS Academic : total 7.0 with at least 6.0 in each component. We do not a</x:v>
      </x:c>
      <x:c r="I8" s="17" t="str">
        <x:v>Entry requirements | Programme structure | Find an overview of the typical structure of our MSc Global Strategy and Sustainability programme, including information on compulsory and option courses. || Find an overview of the typical structure of our MSc Global Strategy and Sustainability programme, including information on compulsory and option courses. | View programme structure | Career development || GSS programme structure – University of Edinburgh Business School | This site uses cookies || Study overview - MSc Global Strategy and Sustainabilty | GSS programme structure | An overview of the MSc in Global Strategy and Sustainability programme structure, including details of the course information for semester 1 and semester 2.</x:v>
      </x:c>
      <x:c r="J8" s="17" t="str">
        <x:v>NA</x:v>
      </x:c>
      <x:c r="K8" s="17" t="str">
        <x:v>Develop Your Talent | Dissertation executive summaries | Contact || Through the selection of various option courses, you can tailor your studies towards your career interests. | Finally, your MSc dissertation brings all of the year’s learning together in a piece of work unique to you. | To give you an idea of what the programme structure and courses might consist of, the below information details the structure and courses for this programme in 2026/27.* || May–August | Dissertation | Dissertation (Global Strategy and Sustainability)</x:v>
      </x:c>
      <x:c r="L8" s="17" t="str">
        <x:v>Not stated on reviewed official page</x:v>
      </x:c>
      <x:c r="M8" s="17" t="str">
        <x:v>Not stated on reviewed official page</x:v>
      </x:c>
      <x:c r="N8" s="17" t="str">
        <x:v>Not stated on reviewed official page</x:v>
      </x:c>
      <x:c r="O8" s="17" t="str">
        <x:v>Career Development | Career Outcomes | Accommodation</x:v>
      </x:c>
      <x:c r="P8" s="30" t="str">
        <x:v>https://www.business-school.ed.ac.uk/msc/global-strategy-sustainability</x:v>
      </x:c>
      <x:c r="Q8" s="30" t="str">
        <x:v>https://www.business-school.ed.ac.uk/msc/global-strategy-sustainability/entry-requirements; https://www.business-school.ed.ac.uk/msc/global-strategy-sustainability/overview/programme-structure</x:v>
      </x:c>
      <x:c r="R8" s="17" t="str">
        <x:v>2026-07-18</x:v>
      </x:c>
      <x:c r="S8" s="17" t="str">
        <x:v>Official program page retrieved; 3 official page(s) reviewed; 5/10 requested evidence groups found.</x:v>
      </x:c>
      <x:c r="T8" s="17" t="str">
        <x:v>Automated evidence extraction from official pages. Manually confirm year-specific tuition, language score applicability, and optional-versus-required curriculum elements before analysis.</x:v>
      </x:c>
    </x:row>
    <x:row r="9" ht="84" customHeight="1">
      <x:c r="A9" s="17" t="n">
        <x:v>5</x:v>
      </x:c>
      <x:c r="B9" s="17" t="str">
        <x:v>University of British Columbia</x:v>
      </x:c>
      <x:c r="C9" s="17" t="str">
        <x:v>Canada</x:v>
      </x:c>
      <x:c r="D9" s="17" t="str">
        <x:v>Master of Engineering Leadership in Clean Energy Engineering</x:v>
      </x:c>
      <x:c r="E9" s="17" t="str">
        <x:v>Home | Tuition and Finance | A professional master’s degree from UBC is an investment in your future. || The decision to invest in a master’s degree is a significant commitment, and understanding the costs involved is essential for planning your educational journey. | On this page, you’ll find detailed information about tuition fees for full-time and part-time study options, student fees, and available financing resources—including student loans and potential external funding opportunities—to help you make an informed decision about your education investment. | Tuition and student fees || On this page, you’ll find detailed information about tuition fees for full-time and part-time study options, student fees, and available financing resources—including student loans and potential external funding opportunities—to help you make an informed</x:v>
      </x:c>
      <x:c r="F9" s="17" t="str">
        <x:v>English proficiency test scores | If you are required to complete an English language proficiency test you must take the test within 24 months of the date you submit your application and you must attain specific scores for each component of the test. | To succeed in the UBC Master of Engineering Leadership and Master of Health Leadership and Policy you need to be able to speak, listen, read and write in English at a high academic level. || IELTS : On your IELTS application form, indicate that you would like to send your results to “The University of British Columbia – Graduate School Admissions.” You will select this on the drop-down menu. The address is 170-6371 Crescent Road, Vancouver, BC, V6T 1Z2. | Please allow us one week to receive your official English language proficiency scores and to see this reflected on MyApplication . You wi</x:v>
      </x:c>
      <x:c r="G9" s="17" t="str">
        <x:v>The decision to invest in a master’s degree is a significant commitment, and understanding the costs involved is essential for planning your educational journey. | On this page, you’ll find detailed information about tuition fees for full-time and part-time study options, student fees, and available financing resources—including student loans and potential external funding opportunities—to help you make an informed decision about your education investment. | Tuition and student fees || Tuition and student fees | Understand the tuition and student fees for the full-time MEL and MHLP programs. | Explore Tuition Details</x:v>
      </x:c>
      <x:c r="H9" s="17" t="str">
        <x:v>Eligibility | English language proficiency | To succeed in the UBC Master of Engineering Leadership and Master of Health Leadership and Policy you need to be able to speak, listen, read and write in English at a high academic level. || To succeed in the UBC Master of Engineering Leadership and Master of Health Leadership and Policy you need to be able to speak, listen, read and write in English at a high academic level. | If you completed your degree at a university in a country where English is an official language and was the language of instruction for your degree, you do not need to show proof of your English language proficiency. | If you completed your degree at a university in a country where English is not the only off || If you completed your degree at a university in a country where English is an official language and was the language of instruction for your degree, you do not need to show proof of your English language proficiency. | If you completed your degree at a univers</x:v>
      </x:c>
      <x:c r="I9" s="17" t="str">
        <x:v>Not stated on reviewed official page</x:v>
      </x:c>
      <x:c r="J9" s="17" t="str">
        <x:v>NA</x:v>
      </x:c>
      <x:c r="K9" s="17" t="str">
        <x:v>Not stated on reviewed official page</x:v>
      </x:c>
      <x:c r="L9" s="17" t="str">
        <x:v>Not stated on reviewed official page</x:v>
      </x:c>
      <x:c r="M9" s="17" t="str">
        <x:v>Not stated on reviewed official page</x:v>
      </x:c>
      <x:c r="N9" s="17" t="str">
        <x:v>Not stated on reviewed official page</x:v>
      </x:c>
      <x:c r="O9" s="17" t="str">
        <x:v>Not stated on reviewed official page</x:v>
      </x:c>
      <x:c r="P9" s="30" t="str">
        <x:v>https://apscpp.ubc.ca/programs/mel/clean-energy-engineering</x:v>
      </x:c>
      <x:c r="Q9" s="30" t="str">
        <x:v>https://apscpp.ubc.ca/tuition-finance; https://apscpp.ubc.ca/eligibility/english-language-proficiency</x:v>
      </x:c>
      <x:c r="R9" s="17" t="str">
        <x:v>2026-07-18</x:v>
      </x:c>
      <x:c r="S9" s="17" t="str">
        <x:v>Official program page retrieved; 3 official page(s) reviewed; 4/10 requested evidence groups found.</x:v>
      </x:c>
      <x:c r="T9" s="17" t="str">
        <x:v>Automated evidence extraction from official pages. Manually confirm year-specific tuition, language score applicability, and optional-versus-required curriculum elements before analysis.</x:v>
      </x:c>
    </x:row>
    <x:row r="10" ht="84" customHeight="1">
      <x:c r="A10" s="17" t="n">
        <x:v>6</x:v>
      </x:c>
      <x:c r="B10" s="17" t="str">
        <x:v>The London School of Economics and Political Science (LSE)</x:v>
      </x:c>
      <x:c r="C10" s="17" t="str">
        <x:v>United Kingdom</x:v>
      </x:c>
      <x:c r="D10" s="17" t="str">
        <x:v>MSc Environmental Policy and Regulation</x:v>
      </x:c>
      <x:c r="E10" s="17" t="str">
        <x:v>Places are limited on some courses and/or subject to specific entry requirements so we cannot therefore guarantee you a place. | Changes to programmes and courses may be made after you’ve accepted your offer of a place – normally due to developments in the discipline or as a consequence of student feedback. We may also make changes to course content, teaching formats or assessment methods but these are made to improve the learning experience. | For || The | table of fees shows the latest tuition fees for all programmes. | You're charged a fee for your programme. At LSE, your tuition fee covers registration and examination fees payable to the School, lectures, classes and individual supervision, lectures given at other colleges under intercollegiate arrangements and, under current arrangements, membership of the Students' Union. It doesn't</x:v>
      </x:c>
      <x:c r="F10" s="17" t="str">
        <x:v>Study mode / Programme availability | Home full-time students ( 12 months ) Closed | Home part-time students ( 24 months ) Closed || Home full-time students ( 12 months ) Closed | Home part-time students ( 24 months ) Closed | Overseas full-time students ( 12 months ) Closed || Home part-time students ( 24 months ) Closed | Overseas full-time students ( 12 months ) Closed | Academic year 2026/27</x:v>
      </x:c>
      <x:c r="G10" s="17" t="str">
        <x:v>Key information | Study mode / Programme availability | Home full-time students ( 12 months ) Closed || Study mode / Programme availability | Home full-time students ( 12 months ) Closed | Home part-time students ( 24 months ) Closed || Home full-time students ( 12 months ) Closed | Home part-time students ( 24 months ) Closed | Overseas full-time students ( 12 months ) Closed</x:v>
      </x:c>
      <x:c r="H10" s="17" t="str">
        <x:v>Select a country Search for a country | English language requirements | The English language requirement for this programme is Standard . Read more about our English language requirements . || English language requirements | The English language requirement for this programme is Standard . Read more about our English language requirements . | Competition for places at LSE is strong. So, even if you meet the minimum entry requirements, this doesn't guarantee you an offer of a place. || See further information on supporting documents . | You may need to provide evidence of your English language proficiency. See our English language requirements . | This programme is available as part of an ESRC-funded pathway onto a PhD programme .</x:v>
      </x:c>
      <x:c r="I10" s="17" t="str">
        <x:v>Entry requirements | Programme content | Why study with us || However, please don’t feel deterred from applying – we want to hear from all suitably qualified students. Think carefully about how you can put together the strongest possible application to help you stand out. | Programme content | Year 1 || Places are limited on some courses and/or subject to specific entry requirements so we cannot therefore guarantee you a place. | Changes to programmes and courses may be made after you’ve accepted your offer of a place – normally due to developments in the discipline or as a consequence of student feedback. We may also make changes to course content, teaching formats or assessment methods but these are made to improve the learning experience. | For</x:v>
      </x:c>
      <x:c r="J10" s="17" t="str">
        <x:v>table of fees shows the latest tuition fees for all programmes. | You're charged a fee for your programme. At LSE, your tuition fee covers registration and examination fees payable to the School, lectures, classes and individual supervision, lectures given at other colleges under intercollegiate arrangements and, under current arrangements, membership of the Students' Union. It doesn't cover living costs or travel or fieldwork. | Home</x:v>
      </x:c>
      <x:c r="K10" s="17" t="str">
        <x:v>Year 1 | You'll take one compulsory course, a dissertation, and two and a half units of optional courses. | If you're planning to apply for a PhD within the department, please be advised that you need to take some methods training as part of the MSc. Contact your MSc programme director and the Director of Graduate studies to discuss this requirement. || One unit | Dissertation - Environment Programme - MSc Environmental Economics and Climate Change, MSc Environmental Policy and Regulation and MSc Environment and Development | Courses to the value of one unit from the following list (you can either choose GY473 or GY474): || Contact hours and independent study | You can expect to receive approximately 120 hours of contact time excluding the dissertation. Teaching is mainly through lectures and graduate level seminars. Hours vary according to courses you can view indicative details in the </x:v>
      </x:c>
      <x:c r="L10" s="17" t="str">
        <x:v>Not stated on reviewed official page</x:v>
      </x:c>
      <x:c r="M10" s="17" t="str">
        <x:v>Not stated on reviewed official page</x:v>
      </x:c>
      <x:c r="N10" s="17" t="str">
        <x:v>Not stated on reviewed official page</x:v>
      </x:c>
      <x:c r="O10" s="17" t="str">
        <x:v>Other Professional, Scientific and Technical Activities | This data is drawn from the 2022/23 Graduate Outcomes Survey, conducted by the Higher Education Statistics Agency (HESA). Where included, median salaries are based on respondents in full-time employment who were paid in UK pounds sterling. Graduates from 2022/23 were the sixth and final cohort to take part in the Graduate Outcomes Survey. For data aggregated across the past five years, please visit the LSE Careers website . | Career suppo</x:v>
      </x:c>
      <x:c r="P10" s="30" t="str">
        <x:v>https://www.lse.ac.uk/study-at-lse/graduate/msc-environmental-policy-and-regulation</x:v>
      </x:c>
      <x:c r="Q10" s="30" t="str"/>
      <x:c r="R10" s="17" t="str">
        <x:v>2026-07-18</x:v>
      </x:c>
      <x:c r="S10" s="17" t="str">
        <x:v>Official program page retrieved; 3 official page(s) reviewed; 8/10 requested evidence groups found.</x:v>
      </x:c>
      <x:c r="T10" s="17" t="str">
        <x:v>Automated evidence extraction from official pages. Manually confirm year-specific tuition, language score applicability, and optional-versus-required curriculum elements before analysis.</x:v>
      </x:c>
    </x:row>
    <x:row r="11" ht="84" customHeight="1">
      <x:c r="A11" s="17" t="n">
        <x:v>7</x:v>
      </x:c>
      <x:c r="B11" s="17" t="str">
        <x:v>Imperial College London</x:v>
      </x:c>
      <x:c r="C11" s="17" t="str">
        <x:v>United Kingdom</x:v>
      </x:c>
      <x:c r="D11" s="17" t="str">
        <x:v>MSc Climate Change, Management &amp; Finance</x:v>
      </x:c>
      <x:c r="E11" s="17" t="str">
        <x:v>Elective modules in management and finance allow for customisation based on career interests. You will select seven elective modules (subject to availability), with the option to specialise in either management or finance. Regardless of the specialisation, you will take two electives from the alternative pathway to ensure a well-rounded education. Alternately, a more balanced route involves taking three modules from one pathway and four from the other. Upon graduation, all students receive the s || Requests submitted after 15th June 2026 will only be approved in exceptional circumstances. | Please note deferrals are considered on a case by case basis and in order to be considered for a deferral, payment of the tuition fees deposit is required. | If you already paid your deposit for the current admissions cycle, this will be carried over t</x:v>
      </x:c>
      <x:c r="F11" s="17" t="str">
        <x:v>Duration: | 12 months | Next application deadline: || Programme content | Our MSc Climate Change, Management &amp; Finance is a one year, full-time programme. The programme content is informed by our expert advisory board of industry leaders. | During the programme, you will be exposed to priority areas and issues experienced in climate change and finance. Our collaboration with the Grantham Institute offers connections to industry, policymakers, and cutting-edge research. You’ll also level up your learning by combining lectures, seminars, discussions, || Elective modules in management and finance allow for customisation based on career interests. You will select seven elective modules (subject to availability), with the option to specialise in either management or finance. Regardless of the specialisation, you will take two electives from th</x:v>
      </x:c>
      <x:c r="G11" s="17" t="str">
        <x:v>Programme content | Our MSc Climate Change, Management &amp; Finance is a one year, full-time programme. The programme content is informed by our expert advisory board of industry leaders. | During the programme, you will be exposed to priority areas and issues experienced in climate change and finance. Our collaboration with the Grantham Institute offers connections to industry, policymakers, and cutting-edge research. You’ll also level up your learning by combining lectures, seminars, discussions, || Induction week | On campus | | September || | September | Your MSc Climate Change, Management &amp; Finance induction will be spent at our vibrant South Kensington campus in London. You’ll be invited to a welcome event, designed to help forge new connections and get a taste of life at Imperial. Here, you can meet and network with your fellow studen</x:v>
      </x:c>
      <x:c r="H11" s="17" t="str">
        <x:v>You can apply to be considered for one programme each year. We will take your areas of interest and eligibility into account when considering you for alternative programmes. | Do I need to submit evidence of my English language proficiency with my application? | It is not compulsory to submit the results of an approved English language test with your application. However, it is strongly encouraged. It will add weight to your application if you are able to show that you have met the language requ || Do I need to submit evidence of my English language proficiency with my application? | It is not compulsory to submit the results of an approved English language test with your application. However, it is strongly encouraged. It will add weight to your application if you are able to show that you have met the language requirement prior to applying. | Read about detailed information regarding the Business School’s language requirements and the tests that we accept || It is not compulsory to s</x:v>
      </x:c>
      <x:c r="I11" s="17" t="str">
        <x:v>Overview | Programme content | Admissions || Advisory board | Our Advisory Board reviews and informs the direction of the programme to ensure our curriculum aligns with industry. The board is composed of industry leaders such as the Sustainability Director for Google and the Founder and CEO at Octopus. | Leading in entrepreneurship || Discover the Imperial advantage | Programme content | Our MSc Climate Change, Management &amp; Finance is a one year, full-time programme. The programme content is informed by our expert advisory board of industry leaders. || Programme content | Our MSc Climate Change, Management &amp; Finance is a one year, full-time programme. The programme content is informed by our expert advisory board of industry leaders. | During the programme, you will be exposed to priority areas and issues experienced in climate change and finance. Our collaboration with the Grantham Institute offers connections to industry, policymakers, and cutting-edge research. You’ll also level up your learning by combining lectures, seminars, discussions,</x:v>
      </x:c>
      <x:c r="J11" s="17" t="str">
        <x:v>Extended Work Placement | With the Extended Work Placement you will access additional work placement opportunities. This includes longer summer internships in the UK and worldwide. | You will gain deeper work experience credentials and boost your marketability with potential future employers. The Extended Work Placement contributes to the development of your managerial potential by applying problem solving techniques to a challenging business situation in which you are fully immersed. The focus  || I’ve been put on a waiting list, when will I receive a final decision? | Unfortunately, we are unable to confirm when you will receive a decision on your application. We will be in touch via email as soon as there is an update. You do not need to provide any additional information unless you think it will add significant weight to your application. For example, updated transcripts, relevant in</x:v>
      </x:c>
      <x:c r="K11" s="17" t="str">
        <x:v>Read more | In the summer term, you can choose between a group-based consulting project, individual work placement or individual research project. | Consulting project || In the summer term, you can choose between a group-based consulting project, individual work placement or individual research project. | Consulting project | Summer || Summer | The consulting project will be delivered for a real client. You will combine the material from the programme with a specific problem and deliver it as part of a team. | You can take the opportunity to complete your project abroad. This will allow you to experience the corporate environment in a country other than the UK. We work closely with the Grantham Institute to offer a wide network of organisations to help students secure placements.</x:v>
      </x:c>
      <x:c r="L11" s="17" t="str">
        <x:v>Not stated on reviewed official page</x:v>
      </x:c>
      <x:c r="M11" s="17" t="str">
        <x:v>Not stated on reviewed official page</x:v>
      </x:c>
      <x:c r="N11" s="17" t="str">
        <x:v>Not stated on reviewed official page</x:v>
      </x:c>
      <x:c r="O11" s="17" t="str">
        <x:v>95% | employed within six months (Class of 2024) | nationalities (Class of 2026) || Employment outcomes below refer to the Class of 2024. | employed within six months | employed in the UK || employed in finance | Find out more about career outcomes | What our students say</x:v>
      </x:c>
      <x:c r="P11" s="30" t="str">
        <x:v>https://www.imperial.ac.uk/business-school/masters/climate-change-management-finance/</x:v>
      </x:c>
      <x:c r="Q11" s="30" t="str">
        <x:v>https://www.imperial.ac.uk/business-school/undergraduate/bpes/</x:v>
      </x:c>
      <x:c r="R11" s="17" t="str">
        <x:v>2026-07-18</x:v>
      </x:c>
      <x:c r="S11" s="17" t="str">
        <x:v>Official program page retrieved; 3 official page(s) reviewed; 8/10 requested evidence groups found.</x:v>
      </x:c>
      <x:c r="T11" s="17" t="str">
        <x:v>Automated evidence extraction from official pages. Manually confirm year-specific tuition, language score applicability, and optional-versus-required curriculum elements before analysis.</x:v>
      </x:c>
    </x:row>
    <x:row r="12" ht="84" customHeight="1">
      <x:c r="A12" s="17" t="n">
        <x:v>8</x:v>
      </x:c>
      <x:c r="B12" s="17" t="str">
        <x:v>The University of New South Wales (UNSW Sydney)</x:v>
      </x:c>
      <x:c r="C12" s="17" t="str">
        <x:v>Australia</x:v>
      </x:c>
      <x:c r="D12" s="17" t="str">
        <x:v>Master of Environmental Management</x:v>
      </x:c>
      <x:c r="E12" s="17" t="str">
        <x:v>Indicative fees are a guide for comparison only based on current conditions and available data. You should not rely on indicative fees. More information on fees can be found at the UNSW fees website . | Indicative first year fees are for tuition only. Indicative fees to complete the degree/program include tuition plus an estimate of study-related costs of approximately $1,000 per year and have been calculated based on percentage increase for every year of the degree/program, noting that actual f</x:v>
      </x:c>
      <x:c r="F12" s="17" t="str">
        <x:v>Degree duration may vary depending on which intake you commence prior to 2028. Click below to check your specific degree duration and what it means for you. | 1 - 2 Year(s) | View Academic Calendar info || For all three streams, you will need to meet the following admission requirements to be considered for entry into the program: | For the 1 year stream (A) | Honours degree or Graduate Diploma (or equivalent qualification) in a relevant discipline with a record of academic achievement equivalent to a UNSW credit average (65%) || Honours degree or Graduate Diploma (or equivalent qualification) in a relevant discipline with a record of academic achievement equivalent to a UNSW credit average (65%) | Bachelor degree (or equivalent qualification) in a relevant discipline with a record of academic achievement equivalent to a UNSW credit avera</x:v>
      </x:c>
      <x:c r="G12" s="17" t="str">
        <x:v>View Academic Calendar info | Delivery Mode | Distance (online with some face-to-face), Face-to-face (includes blended) || Delivery Mode | Distance (online with some face-to-face), Face-to-face (includes blended) | Campus || Tailor your study to your lifestyle | Choose from a flexible mix of in-person seminars, evening classes, field-based learning, creative exploration and online access. Shape your study with electives that match your background, passions and career goals, while connecting with a diverse, supportive community of changemakers. | Fast-track your degree</x:v>
      </x:c>
      <x:c r="H12" s="17" t="str">
        <x:v>UNSW also offers a Graduate Certificate and Graduate Diploma in Environmental Management . Completion of either of these programs with a credit average or higher, will allow you admission into the Master’s with full credit for courses already completed. | English language requirements | You may be asked to provide evidence of your English proficiency to study at UNSW depending on your educational background and citizenship. English language skills are vitally important for coping with lectures,  || English language requirements | You may be asked to provide evidence of your English proficiency to study at UNSW depending on your educational background and citizenship. English language skills are vitally important for coping with lectures, tutorials, assignments and examinations - this is why UNSW requires a minimum English language competency for enrolment. | If you’re completing an Australian Year 12 qualification (e.g. NSW HSC or equivalent), you do not need to provide anything extra </x:v>
      </x:c>
      <x:c r="I12" s="17" t="str">
        <x:v>What will I study? | Program structure | You’ll study the social, cultural and ecological drivers of today’s environmental challenges, combining insights from science, humanities and the social sciences. You’ll also build practical and experiential skills to lead ethical, restorative sustainability initiatives at local and global levels. || Foundational courses are designed and taught by passionate educators from across disciplines, giving you both depth and flexibility in your study. You can tailor your learning through core transdisciplinary seminars, field courses, independent research, internships and a wide range of electives. | Full program structure | Students must complete 96 units of credit (UOC) when taken as a standalone program. || Environmental Management A – 1 year stream (48 UOC) | Core Courses (18 UOC) | Disciplinary Knowledge Courses (at least 24 UOC) || Environmental Management B – 1.7 year stream (72 UOC) | Core Courses (18 UOC) | Disciplinary Knowledge Courses (at least 42 UOC)</x:v>
      </x:c>
      <x:c r="J12" s="17" t="str">
        <x:v>Build your professional network | Benefit from UNSW’s strong industry connections, partnerships and internship opportunities. You’ll also gain lifelong access to a global alumni network, helping you build professional relationships that support your career – long after graduation. | Program Code || You’ll study the social, cultural and ecological drivers of today’s environmental challenges, combining insights from science, humanities and the social sciences. You’ll also build practical and experiential skills to lead ethical, restorative sustainability initiatives at local and global levels. | Foundational courses are designed and taught by passionate educators from across disciplines, giving you both depth and flexibility in your study. You can tailor your learning through core transdisci || Remaking Worlds: Creative &amp; Critical Paradigm Shifts in Environment &amp; Society | Alongside semina</x:v>
      </x:c>
      <x:c r="K12" s="17" t="str">
        <x:v>Not stated on reviewed official page</x:v>
      </x:c>
      <x:c r="L12" s="17" t="str">
        <x:v>Not stated on reviewed official page</x:v>
      </x:c>
      <x:c r="M12" s="17" t="str">
        <x:v>Not stated on reviewed official page</x:v>
      </x:c>
      <x:c r="N12" s="17" t="str">
        <x:v>Not stated on reviewed official page</x:v>
      </x:c>
      <x:c r="O12" s="17" t="str">
        <x:v>Accelerate your career | Join the university recognised for producing Australia’s most employable graduates seven years in a row (AFR Top100 Future Leaders &amp; Graduate Employers Awards, 2020–2026) and ranked #1 in Australia for #46 globally for employment outcomes (QS World University Rankings, 2027). Graduate with the skills and experience to lead in the sustainability sector. | Build your professional network || Winner of the AFR Most Employable University Award seven years in a row | AFR Top100 Future Leaders &amp; Graduate Employers Awards, 2020–2026 | Australia's #1 for Innovation</x:v>
      </x:c>
      <x:c r="P12" s="30" t="str">
        <x:v>https://www.unsw.edu.au/study/postgraduate/master-of-environmental-management</x:v>
      </x:c>
      <x:c r="Q12" s="30" t="str"/>
      <x:c r="R12" s="17" t="str">
        <x:v>2026-07-18</x:v>
      </x:c>
      <x:c r="S12" s="17" t="str">
        <x:v>Official program page retrieved; 1 official page(s) reviewed; 7/10 requested evidence groups found.</x:v>
      </x:c>
      <x:c r="T12" s="17" t="str">
        <x:v>Automated evidence extraction from official pages. Manually confirm year-specific tuition, language score applicability, and optional-versus-required curriculum elements before analysis.</x:v>
      </x:c>
    </x:row>
    <x:row r="13" ht="84" customHeight="1">
      <x:c r="A13" s="17" t="n">
        <x:v>9</x:v>
      </x:c>
      <x:c r="B13" s="17" t="str">
        <x:v>McGill University</x:v>
      </x:c>
      <x:c r="C13" s="17" t="str">
        <x:v>Canada</x:v>
      </x:c>
      <x:c r="D13" s="17" t="str">
        <x:v>MSc Geography - Sustainability Science and Environmental Management research theme</x:v>
      </x:c>
      <x:c r="E13" s="17" t="str">
        <x:v>Not stated on reviewed official page</x:v>
      </x:c>
      <x:c r="F13" s="17" t="str">
        <x:v>Not stated on reviewed official page</x:v>
      </x:c>
      <x:c r="G13" s="17" t="str">
        <x:v>Not stated on reviewed official page</x:v>
      </x:c>
      <x:c r="H13" s="17" t="str">
        <x:v>Each program has specific admission requirements including required application documents. Please visit the program website for more details. | Visit our Educational credentials and grade equivalencies and English language proficiency webpages for additional information. | Program Website</x:v>
      </x:c>
      <x:c r="I13" s="17" t="str">
        <x:v>Not stated on reviewed official page</x:v>
      </x:c>
      <x:c r="J13" s="17" t="str">
        <x:v>NA</x:v>
      </x:c>
      <x:c r="K13" s="17" t="str">
        <x:v>Not stated on reviewed official page</x:v>
      </x:c>
      <x:c r="L13" s="17" t="str">
        <x:v>Not stated on reviewed official page</x:v>
      </x:c>
      <x:c r="M13" s="17" t="str">
        <x:v>Not stated on reviewed official page</x:v>
      </x:c>
      <x:c r="N13" s="17" t="str">
        <x:v>Not stated on reviewed official page</x:v>
      </x:c>
      <x:c r="O13" s="17" t="str">
        <x:v>Not stated on reviewed official page</x:v>
      </x:c>
      <x:c r="P13" s="30" t="str">
        <x:v>https://www.mcgill.ca/gradapplicants/program/geography-msc</x:v>
      </x:c>
      <x:c r="Q13" s="30" t="str"/>
      <x:c r="R13" s="17" t="str">
        <x:v>2026-07-18</x:v>
      </x:c>
      <x:c r="S13" s="17" t="str">
        <x:v>Official program page retrieved; 1 official page(s) reviewed; 1/10 requested evidence groups found.</x:v>
      </x:c>
      <x:c r="T13" s="17" t="str">
        <x:v>Automated evidence extraction from official pages. Manually confirm year-specific tuition, language score applicability, and optional-versus-required curriculum elements before analysis.</x:v>
      </x:c>
    </x:row>
    <x:row r="14" ht="84" customHeight="1">
      <x:c r="A14" s="17" t="n">
        <x:v>10</x:v>
      </x:c>
      <x:c r="B14" s="17" t="str">
        <x:v>The University of Manchester</x:v>
      </x:c>
      <x:c r="C14" s="17" t="str">
        <x:v>United Kingdom</x:v>
      </x:c>
      <x:c r="D14" s="17" t="str">
        <x:v>MSc Environmental Governance</x:v>
      </x:c>
      <x:c r="E14" s="17" t="str">
        <x:v>International student CAS deposit | Self-funded international applicants are required to pay a deposit of £2500 towards their tuition fees before a confirmation of acceptance for studies (CAS) is issued. Some applicants will be required to pay a higher deposit. More information on tuition fee deposits | Policy on additional costs || How much you need to pay | The minimum deposit is GBP 2,500. You can pay up to the full tuition fee for your programme if you wish. | Applicants who live in certain countries - currently Bangladesh, Ghana and Pakistan - will need to pay a higher deposit before a CAS can be issued. This is part of the University's process to help confirm applications are genuine. If this applies to you, you'll receive a separate email following your offer with all the details and next steps. || Paying in instalments | We recomm</x:v>
      </x:c>
      <x:c r="F14" s="17" t="str">
        <x:v>Year of entry: 2026 | Duration: 1 year | MSc || For the latest information on demonstrating your English proficiency for those whose first language is not English, please see our language requirements | This programme also accepts successful completion of the 6 and 10 Week Pre-sessional English Language course. We accept the following qualifications which must be valid on the start date of the Master's course. | Pre-sessional 6 Week Course Requirement: || This programme also accepts successful completion of the 6 and 10 Week Pre-sessional English Language course. We accept the following qualifications which must be valid on the start date of the Master's course. | Pre-sessional 6 Week Course Requirement: | IELTS Academic or UKVI - 6.0 Overall with 6.0 in Writing, no more than one sub-skill at 5.5 and no other sub-skill below 5.5</x:v>
      </x:c>
      <x:c r="G14" s="17" t="str">
        <x:v>Postgraduate certificates and diplomas | Online and blended learning | Continuing professional development courses || MSc | Full-time: In person | Due to high demand for this course, we operate a staged admissions process with multiple selection deadlines throughout the year, to maintain a fair and transparent approach. || Meet us | Join us online or in person to learn more about the University and our courses. | Learn more</x:v>
      </x:c>
      <x:c r="H14" s="17" t="str">
        <x:v>When assessing your academic record we take into account the grades you have achieved and the standing of the institution where you studied your qualification. | English language | For the latest information on demonstrating your English proficiency for those whose first language is not English, please see our language requirements || English language | For the latest information on demonstrating your English proficiency for those whose first language is not English, please see our language requirements | This programme also accepts successful completion of the 6 and 10 Week Pre-sessional English Language course. We accept the following qualifications which must be valid on the start date of the Master's course. || For the latest information on demonstrating your English proficiency for those whose first language is not English, please see our language requirements | This programme also accepts successful completion of the 6 and 10 Week Pre-sessional English Language course. We accept </x:v>
      </x:c>
      <x:c r="I14" s="17" t="str">
        <x:v>Preparation, attendance and conduct | Attendance at preparatory classes is a compulsory pre-requisite of the fieldwork and placements to ensure safety and learning outcomes are met. | Students who do not attend the compulsory preparatory classes may be prevented from participating in the fieldwork or placement. It is the duty of students to discuss any attendance issues with the field course or placement convenor. || Course unit list | The course unit details given below are subject to change, and are the latest example of the curriculum available on this course of study. | Title</x:v>
      </x:c>
      <x:c r="J14" s="17" t="str">
        <x:v>And where better to study Geography than Manchester? Once the world’s first industrial city, today it’s a thriving 21st-century hub surrounded by three National Parks. | The city, and its surroundings, provide a rich and diverse setting for hands-on fieldwork throughout your course. | Aims || Teaching and learning | Important notice: factors affecting fieldwork and placements | The School of Environment, Education and Development (SEED) recognises the value of fieldwork and placements. However, the safety and wellbeing of our students and staff remains our priority. || Important notice: factors affecting fieldwork and placements | The School of Environment, Education and Development (SEED) recognises the value of fieldwork and placements. However, the safety and wellbeing of our students and staff remains our priority. | The School will assess on a regular basis the viability of any trav</x:v>
      </x:c>
      <x:c r="K14" s="17" t="str">
        <x:v>Coursework is designed to allow you to pursue your particular areas of interest. | In the summer semester, you work independently to undertake dissertation work based on primary and/or secondary data, or else a more philosophical/theoretical dissertation. | We encourage you develop research in collaboration with members of the Society and Environment Research Group (SERG) and external organisations. || Mandatory | Dissertation (Environmental Governance) | GEOG70930</x:v>
      </x:c>
      <x:c r="L14" s="17" t="str">
        <x:v>Not stated on reviewed official page</x:v>
      </x:c>
      <x:c r="M14" s="17" t="str">
        <x:v>Not stated on reviewed official page</x:v>
      </x:c>
      <x:c r="N14" s="17" t="str">
        <x:v>Not stated on reviewed official page</x:v>
      </x:c>
      <x:c r="O14" s="17" t="str">
        <x:v>Not stated on reviewed official page</x:v>
      </x:c>
      <x:c r="P14" s="30" t="str">
        <x:v>https://www.manchester.ac.uk/study/masters/courses/list/06967/msc-environmental-governance/</x:v>
      </x:c>
      <x:c r="Q14" s="30" t="str">
        <x:v>https://www.manchester.ac.uk/study/masters/fees-and-funding/international-student-fees/tuition-fee-deposits/</x:v>
      </x:c>
      <x:c r="R14" s="17" t="str">
        <x:v>2026-07-18</x:v>
      </x:c>
      <x:c r="S14" s="17" t="str">
        <x:v>Official program page retrieved; 3 official page(s) reviewed; 7/10 requested evidence groups found.</x:v>
      </x:c>
      <x:c r="T14" s="17" t="str">
        <x:v>Automated evidence extraction from official pages. Manually confirm year-specific tuition, language score applicability, and optional-versus-required curriculum elements before analysis.</x:v>
      </x:c>
    </x:row>
    <x:row r="15" ht="84" customHeight="1">
      <x:c r="A15" s="17" t="n">
        <x:v>11</x:v>
      </x:c>
      <x:c r="B15" s="17" t="str">
        <x:v>ETH Zurich</x:v>
      </x:c>
      <x:c r="C15" s="17" t="str">
        <x:v>Switzerland</x:v>
      </x:c>
      <x:c r="D15" s="17" t="str">
        <x:v>MSc Environmental Sciences</x:v>
      </x:c>
      <x:c r="E15" s="17" t="str">
        <x:v>Not stated on reviewed official page</x:v>
      </x:c>
      <x:c r="F15" s="17" t="str">
        <x:v>Credits | duration | 120 ECTS | 2 years | Academic title</x:v>
      </x:c>
      <x:c r="G15" s="17" t="str">
        <x:v>Not stated on reviewed official page</x:v>
      </x:c>
      <x:c r="H15" s="17" t="str">
        <x:v>Not stated on reviewed official page</x:v>
      </x:c>
      <x:c r="I15" s="17" t="str">
        <x:v>Not stated on reviewed official page</x:v>
      </x:c>
      <x:c r="J15" s="17" t="str">
        <x:v>NA</x:v>
      </x:c>
      <x:c r="K15" s="17" t="str">
        <x:v>Not stated on reviewed official page</x:v>
      </x:c>
      <x:c r="L15" s="17" t="str">
        <x:v>Not stated on reviewed official page</x:v>
      </x:c>
      <x:c r="M15" s="17" t="str">
        <x:v>Not stated on reviewed official page</x:v>
      </x:c>
      <x:c r="N15" s="17" t="str">
        <x:v>Not stated on reviewed official page</x:v>
      </x:c>
      <x:c r="O15" s="17" t="str">
        <x:v>Not stated on reviewed official page</x:v>
      </x:c>
      <x:c r="P15" s="30" t="str">
        <x:v>https://ethz.ch/en/studies/master/degree-programmes/system-oriented-natural-sciences/environmental-sciences.html</x:v>
      </x:c>
      <x:c r="Q15" s="30" t="str"/>
      <x:c r="R15" s="17" t="str">
        <x:v>2026-07-18</x:v>
      </x:c>
      <x:c r="S15" s="17" t="str">
        <x:v>Official program page retrieved; 1 official page(s) reviewed; 1/10 requested evidence groups found.</x:v>
      </x:c>
      <x:c r="T15" s="17" t="str">
        <x:v>Automated evidence extraction from official pages. Manually confirm year-specific tuition, language score applicability, and optional-versus-required curriculum elements before analysis.</x:v>
      </x:c>
    </x:row>
    <x:row r="16" ht="84" customHeight="1">
      <x:c r="A16" s="17" t="n">
        <x:v>12</x:v>
      </x:c>
      <x:c r="B16" s="17" t="str">
        <x:v>The University of Melbourne</x:v>
      </x:c>
      <x:c r="C16" s="17" t="str">
        <x:v>Australia</x:v>
      </x:c>
      <x:c r="D16" s="17" t="str">
        <x:v>Master of Environment</x:v>
      </x:c>
      <x:c r="E16" s="17" t="str">
        <x:v>Commonwealth Supported Places (CSPs) are available; the reviewed program page links to fees and scholarships but does not display a fixed amount.</x:v>
      </x:c>
      <x:c r="F16" s="17" t="str">
        <x:v>2 years full-time / 4 years part-time.</x:v>
      </x:c>
      <x:c r="G16" s="17" t="str">
        <x:v>On campus (Parkville); full-time or part-time.</x:v>
      </x:c>
      <x:c r="H16" s="17" t="str">
        <x:v>Not stated on reviewed official page</x:v>
      </x:c>
      <x:c r="I16" s="17" t="str">
        <x:v>Two core subjects followed by a specialisation or tailored study plan. Options include climate change, waste management, and conservation and restoration.</x:v>
      </x:c>
      <x:c r="J16" s="17" t="str">
        <x:v>Available: overseas field subjects, industry internships, and work-integrated internships.</x:v>
      </x:c>
      <x:c r="K16" s="17" t="str">
        <x:v>Tailored capstone option: an industry internship or major research project.</x:v>
      </x:c>
      <x:c r="L16" s="17" t="str">
        <x:v>Not stated on reviewed official page</x:v>
      </x:c>
      <x:c r="M16" s="17" t="str">
        <x:v>Not stated on reviewed official page</x:v>
      </x:c>
      <x:c r="N16" s="17" t="str">
        <x:v>Not stated on reviewed official page</x:v>
      </x:c>
      <x:c r="O16" s="17" t="str">
        <x:v>Not stated on reviewed official page</x:v>
      </x:c>
      <x:c r="P16" s="30" t="str">
        <x:v>https://study.unimelb.edu.au/find/courses/graduate/master-of-environment/</x:v>
      </x:c>
      <x:c r="Q16" s="30" t="str">
        <x:v>https://study.unimelb.edu.au/find/courses/graduate/master-of-environment/</x:v>
      </x:c>
      <x:c r="R16" s="17" t="str">
        <x:v>2026-07-18</x:v>
      </x:c>
      <x:c r="S16" s="17" t="str">
        <x:v>Manually completed from current official indexed content after the automated page request was blocked or incomplete.</x:v>
      </x:c>
      <x:c r="T16" s="17" t="str">
        <x:v>Official source content was manually reviewed. Reconfirm year-specific tuition and linked university-wide requirements before final statistical analysis.</x:v>
      </x:c>
    </x:row>
    <x:row r="17" ht="84" customHeight="1">
      <x:c r="A17" s="17" t="n">
        <x:v>13</x:v>
      </x:c>
      <x:c r="B17" s="17" t="str">
        <x:v>University of California, Berkeley (UCB)</x:v>
      </x:c>
      <x:c r="C17" s="17" t="str">
        <x:v>United States</x:v>
      </x:c>
      <x:c r="D17" s="17" t="str">
        <x:v>Master of Climate Solutions</x:v>
      </x:c>
      <x:c r="E17" s="17" t="str">
        <x:v>Not stated on reviewed official page</x:v>
      </x:c>
      <x:c r="F17" s="17" t="str">
        <x:v>Earn Your Master | of Climate Solutions In Just One Year | Unleash your impact: Discover how to empower communities, foster resilience, and cultivate a sustainable future with environmental and climate justice. || Hands-on learning built into the curriculum to help you connect with real-world climate solutions | Designed for professionals with a minimum of 3 years of work experience, our program can be completed in just one year. | Opportunities for concurrent degree with other UC Berkeley programs || 1,300 | EY announced that it plans to hire 1,300 new employees over three years as it launches EYCarbon, “a new sustainability offering to support businesses preparing for net-zero.” | 1.2B</x:v>
      </x:c>
      <x:c r="G17" s="17" t="str">
        <x:v>The MCS Program at a Glance | In-person on the UC Berkeley campus in the San Francisco Bay Area | Built for students with a wide range of educational and technical backgrounds || Application Timeline | Applications open in September 2025 for the Fall 2026 term (full-time only, no spring admissions). | Submission Guidelines || Note: These instructions apply only to the Master of Climate Solutions application. | If you are applying to the joint MBA/MCS program, please follow the standard full-time MBA application process through the Haas School of Business. | Admissions Requirements</x:v>
      </x:c>
      <x:c r="H17" s="17" t="str">
        <x:v>Test Scores | English Language Proficiency Requirement | Applicants who earned their degree in a country where English is not the official language must submit official proof of English language proficiency. || English Language Proficiency Requirement | Applicants who earned their degree in a country where English is not the official language must submit official proof of English language proficiency. | This includes degrees from countries such as: || You may satisfy the English proficiency requirement by submitting scores from one of the following: | TOEFL (Test of English as a Foreign Language) | IELTS (International English Language Testing System) || TOEFL (Test of English as a Foreign Language) | IELTS (International English Language Testing System) | TOEFL Requirements</x:v>
      </x:c>
      <x:c r="I17" s="17" t="str">
        <x:v>Built for students with a wide range of educational and technical backgrounds | Hands-on learning built into the curriculum to help you connect with real-world climate solutions | Designed for professionals with a minimum of 3 years of work experience, our program can be completed in just one year. || Become a Climate Leader | Critical leadership skills are integrated within a compact curriculum, preparing you to be a proficient, conscientious leader in addressing climate challenges. A central change making course, Organizational, Political, and Societal Change for Climate Solutions , equips you with a framework for enacting change within organizations and across society. The year-long capstone program includes training in key management skills. All courses reinforce lessons in communication, || Unlocking Change for a Sustainable Tomorrow | A low-carbon future requires change across society and within organizations. Our unique leadership course Organizational, Political, and Societal Change for Climate Solutions prepares you to be a change agent across sectors like businesses, civil </x:v>
      </x:c>
      <x:c r="J17" s="17" t="str">
        <x:v>NA</x:v>
      </x:c>
      <x:c r="K17" s="17" t="str">
        <x:v>Become a Climate Leader | Critical leadership skills are integrated within a compact curriculum, preparing you to be a proficient, conscientious leader in addressing climate challenges. A central change making course, Organizational, Political, and Societal Change for Climate Solutions , equips you with a framework for enacting change within organizations and across society. The year-long capstone program includes training in key management skills. All courses reinforce lessons in communication, || Immersive Learning | The goal of the MCS is to both train you in new skills and to connect you to the real world. The program will connect you with sustainability leaders via guest presentations, fireside chats, and excursions. The program also includes a yearlong immersive capstone experience that pairs small groups of students with a real partner organization seeking help in creating a clima</x:v>
      </x:c>
      <x:c r="L17" s="17" t="str">
        <x:v>Not stated on reviewed official page</x:v>
      </x:c>
      <x:c r="M17" s="17" t="str">
        <x:v>Not stated on reviewed official page</x:v>
      </x:c>
      <x:c r="N17" s="17" t="str">
        <x:v>Not stated on reviewed official page</x:v>
      </x:c>
      <x:c r="O17" s="17" t="str">
        <x:v>Not stated on reviewed official page</x:v>
      </x:c>
      <x:c r="P17" s="30" t="str">
        <x:v>https://climatesolutions.berkeley.edu/</x:v>
      </x:c>
      <x:c r="Q17" s="30" t="str">
        <x:v>https://climatesolutions.berkeley.edu/mcs/mcs-admissions-overview/</x:v>
      </x:c>
      <x:c r="R17" s="17" t="str">
        <x:v>2026-07-18</x:v>
      </x:c>
      <x:c r="S17" s="17" t="str">
        <x:v>Official program page retrieved; 2 official page(s) reviewed; 5/10 requested evidence groups found.</x:v>
      </x:c>
      <x:c r="T17" s="17" t="str">
        <x:v>Automated evidence extraction from official pages. Manually confirm year-specific tuition, language score applicability, and optional-versus-required curriculum elements before analysis.</x:v>
      </x:c>
    </x:row>
    <x:row r="18" ht="84" customHeight="1">
      <x:c r="A18" s="17" t="n">
        <x:v>14</x:v>
      </x:c>
      <x:c r="B18" s="17" t="str">
        <x:v>Stanford University</x:v>
      </x:c>
      <x:c r="C18" s="17" t="str">
        <x:v>United States</x:v>
      </x:c>
      <x:c r="D18" s="17" t="str">
        <x:v>MS Sustainability Science and Practice</x:v>
      </x:c>
      <x:c r="E18" s="17" t="str">
        <x:v>Transfer and Test Credit | Tuition and Fees | Veterans and Military Benefits || Academic Calendar | Tuition &amp; Fees | Enrolling in Courses || Tuition &amp; Fees | Main navigation</x:v>
      </x:c>
      <x:c r="F18" s="17" t="str">
        <x:v>Not stated on reviewed official page</x:v>
      </x:c>
      <x:c r="G18" s="17" t="str">
        <x:v>Elective courses for the master’s program must be selected from the program’s pre-approved list. | Blended Arts and Sciences Elective Courses (50% / 50%) | These course units are designated 50% in the arts and 50% in the sciences.</x:v>
      </x:c>
      <x:c r="H18" s="17" t="str">
        <x:v>Not stated on reviewed official page</x:v>
      </x:c>
      <x:c r="I18" s="17" t="str">
        <x:v>Program Policies | Learning Outcomes | Program Overview || The Sustainability Science and Practice program (SUST for short) is an interdisciplinary coterminal master’s program hosted by the Stanford Doerr School of Sustainability. The program prepares leaders to radically accelerate the transition to a sustainable and just society. As the global human population climbs toward 10 billion, consumption demands increase, and disparities in wealth and opportunity persist, humanity must learn to equitably meet existing needs in ways that do not forgo possibil || Courses in the natural sciences enable students to understand Earth and the planetary changes occurring, while courses in the social sciences and arts develop students’ understanding of the social, economic, and policy factors that influence human capacity to drive transformative change. Theoretical frameworks prepare students to analyze complex social-environmental systems and conceptualize the nature of human-environment interactions. To learn how sustainability works (or does not work) in pra || Sustainability Leadership Practic</x:v>
      </x:c>
      <x:c r="J18" s="17" t="str">
        <x:v>Students develop an understanding of how to intervene in complex systems for transformative impact by exploring frameworks and tools from systems thinking, design thinking, social cognitive theory, behavioral economics, and partnership strategies. They develop practical skills to understand complexity, analyze root causes, and design high-leverage intervention pathways that realign systems with the goal of intergenerational well-being. | Sustainability Leadership Practicum | To integrate and int || Sustainability Leadership Practicum | To integrate and internalize core lessons from the SUST curriculum, each student completes a 120-hour practicum project of their design, collaborating on a complex sustainability challenge with an outside partner and working through the constraints often faced by decision-makers and leaders. Students apply the curriculum’s leadership mindsets, knowledge, a</x:v>
      </x:c>
      <x:c r="K18" s="17" t="str">
        <x:v>Not stated on reviewed official page</x:v>
      </x:c>
      <x:c r="L18" s="17" t="str">
        <x:v>Not stated on reviewed official page</x:v>
      </x:c>
      <x:c r="M18" s="17" t="str">
        <x:v>Not stated on reviewed official page</x:v>
      </x:c>
      <x:c r="N18" s="17" t="str">
        <x:v>Not stated on reviewed official page</x:v>
      </x:c>
      <x:c r="O18" s="17" t="str">
        <x:v>Not stated on reviewed official page</x:v>
      </x:c>
      <x:c r="P18" s="30" t="str">
        <x:v>https://bulletin.stanford.edu/programs/SUSTSCI-MS/general-aoYks</x:v>
      </x:c>
      <x:c r="Q18" s="30" t="str">
        <x:v>https://studentservices.stanford.edu/my-finances/tuition-fees</x:v>
      </x:c>
      <x:c r="R18" s="17" t="str">
        <x:v>2026-07-18</x:v>
      </x:c>
      <x:c r="S18" s="17" t="str">
        <x:v>Official program page retrieved; 2 official page(s) reviewed; 4/10 requested evidence groups found.</x:v>
      </x:c>
      <x:c r="T18" s="17" t="str">
        <x:v>Automated evidence extraction from official pages. Manually confirm year-specific tuition, language score applicability, and optional-versus-required curriculum elements before analysis.</x:v>
      </x:c>
    </x:row>
    <x:row r="19" ht="84" customHeight="1">
      <x:c r="A19" s="17" t="n">
        <x:v>15</x:v>
      </x:c>
      <x:c r="B19" s="17" t="str">
        <x:v>University of Oxford</x:v>
      </x:c>
      <x:c r="C19" s="17" t="str">
        <x:v>United Kingdom</x:v>
      </x:c>
      <x:c r="D19" s="17" t="str">
        <x:v>MSc in Sustainability, Enterprise and the Environment</x:v>
      </x:c>
      <x:c r="E19" s="17" t="str">
        <x:v>During the week-long trip, you will visit a selected region to connect with individual companies and their supply chains in order to bring to life critical concepts and apply your learning. | Field trip costs are included in the course fee, and any specific accessibility issues will be taken into account when planning the visits. | Assessments will consist of either written examination and/or coursework which may include written and/or oral tasks. You will also be assessed on your individual dis || What students say about this course | Student feedback plays a crucial role in refining the course and is gathered at the end of each term. A survey conducted in May revealed that 100% of students from the most recent cohort were satisfied with their experience. Furthermore, 76% of graduating students stated the course greatly exceeded their ex</x:v>
      </x:c>
      <x:c r="F19" s="17" t="str">
        <x:v>Duration | 12 months | Time commitment || Teaching is delivered by academic staff from the Smith School and School of Geography and the Environment as well as other departments across the University. In addition, guest lectures from enterprise, such as the Smith School’s Business Fellows, add to the breadth of teaching expertise. | The course is structured across three terms, progressing from broad-based concepts and skills to increased application and engagement: | Michaelmas Term || Module Four takes place in Michaelmas Term, where the focus is on understanding the nature of the net-zero sustainable development (NZSD) conundrum. This module considers the macro forces and drivers that are shaping, disrupting and re-shaping economic, social and environmental relationships, and the implications of ‘glocalization’ for NZSD. The module analy</x:v>
      </x:c>
      <x:c r="G19" s="17" t="str">
        <x:v>Time commitment | Full time | Location || Open | For the 2025-26 academic year, likely costs for full-time study is between £1,425 and £2,035 for each month spent in Oxford. Full information, including a breakdown of costs in Oxford for items such as food, accommodation and study costs, is available on the University’s living costs page . | Scholarships || Oxford FirstRand Scholarships | Applicants for the MSc in Sustainability, Enterprise and the Environment, ordinarily resident in South Africa, and have not previously studied at a university outside of South Africa. The successful applicant will demonstrate the potential to be a destiny changer, to rise to a position of leadership and influence. This scholarship is for full-time study only and offers full course fees, plus maintenance expenses for a single postgraduate living in College</x:v>
      </x:c>
      <x:c r="H19" s="17" t="str">
        <x:v>You should demonstrate an interest in sustainable development and net zero, and intersections with enterprise. Evidence of any relevant practice experience should be outlined, but is not required. | See English language requirement by visiting this page English at the University’s higher level . | Candidates will be asked to provide:</x:v>
      </x:c>
      <x:c r="I19" s="17" t="str">
        <x:v>The MSEE comprises: | 10 core modules | Two electives || During Michaelmas and Hilary terms (weeks 1 to 8), a typical study week includes an average of 16 contact hours: | 2 hours of lectures for each of the five core modules. | 2 hours per elective. || This module takes place in Hilary Term, where the focus is on how to tackle the Net-Zero, Sustainable Development challenge. This is done by integrated assessment of potential solutions and pathways. It provides students with foundational knowledge in the emerging theories and practice of sustainable finance and investment. | Learning Outcomes: | 1. To develop sufficient understanding to navigate and critically analyse the key aspects and developments in sustainable finance and investment. || Participation in this course will equip students with a foundational understanding of some of the key normative frameworks regarding the natural world and their influence on different actors, enabling critical evaluation of social and policy decisions. Students will also deepen their understanding of transdisciplinarity as a method for addressing</x:v>
      </x:c>
      <x:c r="J19" s="17" t="str">
        <x:v>Engage in benchmarking and comparative exercises, through case studies, to critically analyse both successful and less successful transitions and interventions and derive practical takeaways from their example. | This module manifests as eight consecutive two-hour sessions over the term, incorporating a mix of information dissemination (i.e., lectures with slides), classroom discussion and debate, and interactive exercises (‘practicums’). Example sessions in this module can be as follows: | Soci</x:v>
      </x:c>
      <x:c r="K19" s="17" t="str">
        <x:v>Two electives | A 15,000-word dissertation. | Our approach combines directed teaching, self-regulated learning, structured engagement with enterprise and formal assessment. || Field trip costs are included in the course fee, and any specific accessibility issues will be taken into account when planning the visits. | Assessments will consist of either written examination and/or coursework which may include written and/or oral tasks. You will also be assessed on your individual dissertation, which will have been produced independently and contain original work. | An independent and original dissertation is an integral component of the course. We offer a suite of trainin || Assessments will consist of either written examination and/or coursework which may include written and/or oral tasks. You will also be assessed on your individual dissertation, which will have been produced independently</x:v>
      </x:c>
      <x:c r="L19" s="17" t="str">
        <x:v>Not stated on reviewed official page</x:v>
      </x:c>
      <x:c r="M19" s="17" t="str">
        <x:v>Not stated on reviewed official page</x:v>
      </x:c>
      <x:c r="N19" s="17" t="str">
        <x:v>Not stated on reviewed official page</x:v>
      </x:c>
      <x:c r="O19" s="17" t="str">
        <x:v>Not stated on reviewed official page</x:v>
      </x:c>
      <x:c r="P19" s="30" t="str">
        <x:v>https://www.smithschool.ox.ac.uk/course/msc-sustainability-enterprise-and-environment</x:v>
      </x:c>
      <x:c r="Q19" s="30" t="str"/>
      <x:c r="R19" s="17" t="str">
        <x:v>2026-07-18</x:v>
      </x:c>
      <x:c r="S19" s="17" t="str">
        <x:v>Official program page retrieved; 2 official page(s) reviewed; 7/10 requested evidence groups found.</x:v>
      </x:c>
      <x:c r="T19" s="17" t="str">
        <x:v>Automated evidence extraction from official pages. Manually confirm year-specific tuition, language score applicability, and optional-versus-required curriculum elements before analysis.</x:v>
      </x:c>
    </x:row>
    <x:row r="20" ht="84" customHeight="1">
      <x:c r="A20" s="17" t="n">
        <x:v>16</x:v>
      </x:c>
      <x:c r="B20" s="17" t="str">
        <x:v>The University of Sydney</x:v>
      </x:c>
      <x:c r="C20" s="17" t="str">
        <x:v>Australia</x:v>
      </x:c>
      <x:c r="D20" s="17" t="str">
        <x:v>Master of Sustainability</x:v>
      </x:c>
      <x:c r="E20" s="17" t="str">
        <x:v>Not stated on reviewed official page</x:v>
      </x:c>
      <x:c r="F20" s="17" t="str">
        <x:v>Not stated on reviewed official page</x:v>
      </x:c>
      <x:c r="G20" s="17" t="str">
        <x:v>Not stated on reviewed official page</x:v>
      </x:c>
      <x:c r="H20" s="17" t="str">
        <x:v>Not stated on reviewed official page</x:v>
      </x:c>
      <x:c r="I20" s="17" t="str">
        <x:v>Not stated on reviewed official page</x:v>
      </x:c>
      <x:c r="J20" s="17" t="str">
        <x:v>NA</x:v>
      </x:c>
      <x:c r="K20" s="17" t="str">
        <x:v>Not stated on reviewed official page</x:v>
      </x:c>
      <x:c r="L20" s="17" t="str">
        <x:v>Not stated on reviewed official page</x:v>
      </x:c>
      <x:c r="M20" s="17" t="str">
        <x:v>Not stated on reviewed official page</x:v>
      </x:c>
      <x:c r="N20" s="17" t="str">
        <x:v>Not stated on reviewed official page</x:v>
      </x:c>
      <x:c r="O20" s="17" t="str">
        <x:v>Not stated on reviewed official page</x:v>
      </x:c>
      <x:c r="P20" s="30" t="str">
        <x:v>https://www.sydney.edu.au/courses/courses/pc/master-of-sustainability.html</x:v>
      </x:c>
      <x:c r="Q20" s="30" t="str"/>
      <x:c r="R20" s="17" t="str">
        <x:v>2026-07-18</x:v>
      </x:c>
      <x:c r="S20" s="17" t="str">
        <x:v>Official program page retrieved; 1 official page(s) reviewed; 0/10 requested evidence groups found.</x:v>
      </x:c>
      <x:c r="T20" s="17" t="str">
        <x:v>Automated evidence extraction from official pages. Manually confirm year-specific tuition, language score applicability, and optional-versus-required curriculum elements before analysis.</x:v>
      </x:c>
    </x:row>
    <x:row r="21" ht="84" customHeight="1">
      <x:c r="A21" s="17" t="n">
        <x:v>17</x:v>
      </x:c>
      <x:c r="B21" s="17" t="str">
        <x:v>Australian National University (ANU)</x:v>
      </x:c>
      <x:c r="C21" s="17" t="str">
        <x:v>Australia</x:v>
      </x:c>
      <x:c r="D21" s="17" t="str">
        <x:v>Master of Climate Change</x:v>
      </x:c>
      <x:c r="E21" s="17" t="str">
        <x:v>2026 annual indicative fee for international students: AUD 56,120. Domestic Tuition Fees (DTF) vary; Services and Amenities Fee also applies.</x:v>
      </x:c>
      <x:c r="F21" s="17" t="str">
        <x:v>1.5 years full-time; minimum 72 units.</x:v>
      </x:c>
      <x:c r="G21" s="17" t="str">
        <x:v>In person (MCLIM); a separate online plan (MCLIMO) is also published by ANU.</x:v>
      </x:c>
      <x:c r="H21" s="17" t="str">
        <x:v>Applicants must meet ANU English language admission requirements; a program-specific score was not stated on the reviewed page.</x:v>
      </x:c>
      <x:c r="I21" s="17" t="str">
        <x:v>Climate impacts, adaptation, mitigation, climate economics, law, policy, governance, research methods, and practical application; 72 units with at least 30 units of climate-change courses.</x:v>
      </x:c>
      <x:c r="J21" s="17" t="str">
        <x:v>NA</x:v>
      </x:c>
      <x:c r="K21" s="17" t="str">
        <x:v>Not stated on reviewed official page</x:v>
      </x:c>
      <x:c r="L21" s="17" t="str">
        <x:v>Not stated on reviewed official page</x:v>
      </x:c>
      <x:c r="M21" s="17" t="str">
        <x:v>Not stated on reviewed official page</x:v>
      </x:c>
      <x:c r="N21" s="17" t="str">
        <x:v>Not stated on reviewed official page</x:v>
      </x:c>
      <x:c r="O21" s="17" t="str">
        <x:v>Not stated on reviewed official page</x:v>
      </x:c>
      <x:c r="P21" s="30" t="str">
        <x:v>https://programsandcourses.anu.edu.au/program/MCLCH</x:v>
      </x:c>
      <x:c r="Q21" s="30" t="str">
        <x:v>https://programsandcourses.anu.edu.au/2026/program/MCLIM</x:v>
      </x:c>
      <x:c r="R21" s="17" t="str">
        <x:v>2026-07-18</x:v>
      </x:c>
      <x:c r="S21" s="17" t="str">
        <x:v>Manually completed from current official indexed content after the automated page request was blocked or incomplete.</x:v>
      </x:c>
      <x:c r="T21" s="17" t="str">
        <x:v>Official source content was manually reviewed. Reconfirm year-specific tuition and linked university-wide requirements before final statistical analysis.</x:v>
      </x:c>
    </x:row>
    <x:row r="22" ht="84" customHeight="1">
      <x:c r="A22" s="17" t="n">
        <x:v>18</x:v>
      </x:c>
      <x:c r="B22" s="17" t="str">
        <x:v>King's College London</x:v>
      </x:c>
      <x:c r="C22" s="17" t="str">
        <x:v>United Kingdom</x:v>
      </x:c>
      <x:c r="D22" s="17" t="str">
        <x:v>Environment, Politics and Development MSc</x:v>
      </x:c>
      <x:c r="E22" s="17" t="str">
        <x:v>Not stated on reviewed official page</x:v>
      </x:c>
      <x:c r="F22" s="17" t="str">
        <x:v>Climate Change: Environment, Science and Policy MSc | One year full-time, two years part-time, September to September | Multiple study modes available || Environmental Science for Sustainability MSc | Full-time: one year; part-time: two years | Multiple study modes available || Geopolitics, Resources and Territory MA | One year full-time, September to September, two years part-time | Multiple study modes available</x:v>
      </x:c>
      <x:c r="G22" s="17" t="str">
        <x:v>Climate Change: Environment, Science and Policy MSc | One year full-time, two years part-time, September to September | Multiple study modes available || One year full-time, two years part-time, September to September | Multiple study modes available | In person || Multiple study modes available | In person | Environmental Science for Sustainability MSc</x:v>
      </x:c>
      <x:c r="H22" s="17" t="str">
        <x:v>Not stated on reviewed official page</x:v>
      </x:c>
      <x:c r="I22" s="17" t="str">
        <x:v>Not stated on reviewed official page</x:v>
      </x:c>
      <x:c r="J22" s="17" t="str">
        <x:v>Develop interdisciplinary understanding of the ways in which the human and physical world is revealed through representations of space, place and landscape. | Access opportunities to carry out original fieldwork either in the UK or overseas for your dissertation. | An optional internship module helps students take their first steps towards employment in a relevant vocational field. || Access opportunities to carry out original fieldwork either in the UK or overseas for your dissertation. | An optional internship module helps students take their first steps towards employment in a relevant vocational field. | I find many attractive things about King’s particularly the huge community of talented global students from whom I have gained invaluable insight into their rich cultural and built lifelong relationships. Kings facilities such as the academic libraries IT services and ext || thesis/r</x:v>
      </x:c>
      <x:c r="K22" s="17" t="str">
        <x:v>Develop interdisciplinary understanding of the ways in which the human and physical world is revealed through representations of space, place and landscape. | Access opportunities to carry out original fieldwork either in the UK or overseas for your dissertation. | An optional internship module helps students take their first steps towards employment in a relevant vocational field. || thesis/report; | • Undertaking effective fieldwork as part of dissertation, if suitable; | • Employing a variety of social survey and interpretative methods for analysing information from the human world.</x:v>
      </x:c>
      <x:c r="L22" s="17" t="str">
        <x:v>Not stated on reviewed official page</x:v>
      </x:c>
      <x:c r="M22" s="17" t="str">
        <x:v>Not stated on reviewed official page</x:v>
      </x:c>
      <x:c r="N22" s="17" t="str">
        <x:v>Not stated on reviewed official page</x:v>
      </x:c>
      <x:c r="O22" s="17" t="str">
        <x:v>Not stated on reviewed official page</x:v>
      </x:c>
      <x:c r="P22" s="30" t="str">
        <x:v>https://www.kcl.ac.uk/study/postgraduate-taught/courses/environment-politics-and-development-msc</x:v>
      </x:c>
      <x:c r="Q22" s="30" t="str"/>
      <x:c r="R22" s="17" t="str">
        <x:v>2026-07-18</x:v>
      </x:c>
      <x:c r="S22" s="17" t="str">
        <x:v>Official program page retrieved; 1 official page(s) reviewed; 4/10 requested evidence groups found.</x:v>
      </x:c>
      <x:c r="T22" s="17" t="str">
        <x:v>Automated evidence extraction from official pages. Manually confirm year-specific tuition, language score applicability, and optional-versus-required curriculum elements before analysis.</x:v>
      </x:c>
    </x:row>
    <x:row r="23" ht="84" customHeight="1">
      <x:c r="A23" s="17" t="n">
        <x:v>19</x:v>
      </x:c>
      <x:c r="B23" s="17" t="str">
        <x:v>University of Bristol</x:v>
      </x:c>
      <x:c r="C23" s="17" t="str">
        <x:v>United Kingdom</x:v>
      </x:c>
      <x:c r="D23" s="17" t="str">
        <x:v>MSc Environmental Policy and Management</x:v>
      </x:c>
      <x:c r="E23" s="17" t="str">
        <x:v>Fees are subject to an annual review. For programmes that last longer than one year, please budget for up to an 8% increase in fees each year. | More about tuition fees, living costs and financial support . | Alumni discount || Alumni discount | University of Bristol students and graduates can benefit from a 25% reduction in tuition fees for postgraduate study. Check your eligibility for an alumni discount. | Funding and scholarships || Student finances | Find out everything you need to know to plan your student finances including tuition fees, living costs, student loans, grants and scholarships. | Scam warning</x:v>
      </x:c>
      <x:c r="F23" s="17" t="str">
        <x:v>Programme duration | One year full-time; | Two years part-time. || One year full-time; | Two years part-time. | Start date || You will typically need an upper second-class honours degree or international equivalent in Anthropology, History, Literature, Philosophy, Biology/Natural Sciences, Chemistry, Ecology, Engineering (any type), Environmental Science, Mathematics, Physics, Zoology, Business Studies, Economics, Environmental Studies, Geography, Human Geography, Politics/Political Science or Sociology. | We will also consider applicants with other degree subjects on a case-by-case basis if they have at least one year</x:v>
      </x:c>
      <x:c r="G23" s="17" t="str">
        <x:v>Programme duration | One year full-time; | Two years part-time. || One year full-time; | Two years part-time. | Start date || Delivery method | On-Campus | Location</x:v>
      </x:c>
      <x:c r="H23" s="17" t="str">
        <x:v>Go to admissions statement | English language requirements If English is not your first language, you will need to reach the requirements outlined in our profile level E. | Further information about English language requirements and profile levels . || English language requirements If English is not your first language, you will need to reach the requirements outlined in our profile level E. | Further information about English language requirements and profile levels . | Fees and funding</x:v>
      </x:c>
      <x:c r="I23" s="17" t="str">
        <x:v>The programme is closely affiliated with the University's Cabot Institute , which promotes multidisciplinary research around global environmental change and benefits from our location in the city of Bristol, the UK's first ever European Green Capital and a vibrant hub of environmental activism and technological innovation. | Through a demanding academic curriculum and practice-based learning opportunities, you will develop the skills and knowledge needed for employment in the public, private and || Find out more | Programme structure | The programme consists of six taught units and a dissertation research project. Some units are taught by natural scientists, covering subjects like climate science and the analysis of remotely sensed data. Others are delivered by social scientists, focusing on areas like environmental governance, policy analysis and research methods and design. A policy-focused unit provides an opportunity to develop practical experience through the completion of an extended || We will also consider your application if your final overall achieved grade is slightly lowe</x:v>
      </x:c>
      <x:c r="J23" s="17" t="str">
        <x:v>NA</x:v>
      </x:c>
      <x:c r="K23" s="17" t="str">
        <x:v>Programme structure | The programme consists of six taught units and a dissertation research project. Some units are taught by natural scientists, covering subjects like climate science and the analysis of remotely sensed data. Others are delivered by social scientists, focusing on areas like environmental governance, policy analysis and research methods and design. A policy-focused unit provides an opportunity to develop practical experience through the completion of an extended team-based proj || The programme consists of six taught units and a dissertation research project. Some units are taught by natural scientists, covering subjects like climate science and the analysis of remotely sensed data. Others are delivered by social scientists, focusing on areas like environmental governance, policy analysis and research methods and design. A policy-focused unit provides an opportunity to </x:v>
      </x:c>
      <x:c r="L23" s="17" t="str">
        <x:v>Not stated on reviewed official page</x:v>
      </x:c>
      <x:c r="M23" s="17" t="str">
        <x:v>Not stated on reviewed official page</x:v>
      </x:c>
      <x:c r="N23" s="17" t="str">
        <x:v>Not stated on reviewed official page</x:v>
      </x:c>
      <x:c r="O23" s="17" t="str">
        <x:v>Not stated on reviewed official page</x:v>
      </x:c>
      <x:c r="P23" s="30" t="str">
        <x:v>https://www.bristol.ac.uk/study/postgraduate/taught/msc-environmental-policy-and-management/</x:v>
      </x:c>
      <x:c r="Q23" s="30" t="str">
        <x:v>https://www.bristol.ac.uk/students/support/finances/</x:v>
      </x:c>
      <x:c r="R23" s="17" t="str">
        <x:v>2026-07-18</x:v>
      </x:c>
      <x:c r="S23" s="17" t="str">
        <x:v>Official program page retrieved; 3 official page(s) reviewed; 6/10 requested evidence groups found.</x:v>
      </x:c>
      <x:c r="T23" s="17" t="str">
        <x:v>Automated evidence extraction from official pages. Manually confirm year-specific tuition, language score applicability, and optional-versus-required curriculum elements before analysis.</x:v>
      </x:c>
    </x:row>
    <x:row r="24" ht="84" customHeight="1">
      <x:c r="A24" s="17" t="n">
        <x:v>20</x:v>
      </x:c>
      <x:c r="B24" s="17" t="str">
        <x:v>New York University (NYU)</x:v>
      </x:c>
      <x:c r="C24" s="17" t="str">
        <x:v>United States</x:v>
      </x:c>
      <x:c r="D24" s="17" t="str">
        <x:v>MS in Environmental Policy and Sustainability Management</x:v>
      </x:c>
      <x:c r="E24" s="17" t="str">
        <x:v>Federal Pell Grants provide assistance to undergraduate students who demonstrate financial need according to requirements established by the federal government. To be eligible, you must enroll in a degree program and must be matriculated for your first bachelor's degree. You are automatically considered for the Pell Grant upon filing the FAFSA . Amounts can change yearly. The maximum Pell Grant award is $7,395 for the 2025–2026 award year. | The Tuition Assistance Program is a grant awarded to r</x:v>
      </x:c>
      <x:c r="F24" s="17" t="str">
        <x:v>$19,400 | full-time bachelor’s (12 credits) per semester | $15,734 || $15,734 | part-time bachelor’s (6-10 credits) per semester | $765 || The Tuition Assistance Program is a grant awarded to residents of the state of New York who are enrolled in a full-time degree program. An annual TAP award can be up to $5,665. TAP is based on financial need, and you must file a FAFSA and a separate TAP application . If you qualify for TAP, the TAP application instructions will be included in your FAFSA results. | Aid for Part-Time Study (APTS) is a grant program that offers New York state residents pursuing part-time undergraduate degree study </x:v>
      </x:c>
      <x:c r="G24" s="17" t="str">
        <x:v>$19,400 | full-time bachelor’s (12 credits) per semester | $15,734 || $15,734 | part-time bachelor’s (6-10 credits) per semester | $765 || Federal Pell Grants provide assistance to undergraduate students who demonstrate financial need according to requirements established by the federal government. To be eligible, you must enroll in a degree program and must be matriculated for your first bachelor's degree. You are automatically considered for the Pell Grant upon filing the FAFSA . Amounts can change yearly. The maximum Pell Grant award is $7,395 for the 2025–2026 award year. | The Tuition Assistance Program is a grant awarded to r</x:v>
      </x:c>
      <x:c r="H24" s="17" t="str">
        <x:v>Not stated on reviewed official page</x:v>
      </x:c>
      <x:c r="I24" s="17" t="str">
        <x:v>Not stated on reviewed official page</x:v>
      </x:c>
      <x:c r="J24" s="17" t="str">
        <x:v>NA</x:v>
      </x:c>
      <x:c r="K24" s="17" t="str">
        <x:v>Not stated on reviewed official page</x:v>
      </x:c>
      <x:c r="L24" s="17" t="str">
        <x:v>Not stated on reviewed official page</x:v>
      </x:c>
      <x:c r="M24" s="17" t="str">
        <x:v>Not stated on reviewed official page</x:v>
      </x:c>
      <x:c r="N24" s="17" t="str">
        <x:v>Not stated on reviewed official page</x:v>
      </x:c>
      <x:c r="O24" s="17" t="str">
        <x:v>Not stated on reviewed official page</x:v>
      </x:c>
      <x:c r="P24" s="30" t="str">
        <x:v>https://www.sps.nyu.edu/homepage/academics/masters-degrees/ms-in-environmental-policy-and-sustainability-management.html</x:v>
      </x:c>
      <x:c r="Q24" s="30" t="str">
        <x:v>https://www.sps.nyu.edu/join/undergraduate-admissions/tuition-and-financial-aid.html</x:v>
      </x:c>
      <x:c r="R24" s="17" t="str">
        <x:v>2026-07-18</x:v>
      </x:c>
      <x:c r="S24" s="17" t="str">
        <x:v>Official program page retrieved; 2 official page(s) reviewed; 3/10 requested evidence groups found.</x:v>
      </x:c>
      <x:c r="T24" s="17" t="str">
        <x:v>Automated evidence extraction from official pages. Manually confirm year-specific tuition, language score applicability, and optional-versus-required curriculum elements before analysis.</x:v>
      </x:c>
    </x:row>
    <x:row r="25" ht="84" customHeight="1">
      <x:c r="A25" s="17" t="n">
        <x:v>21</x:v>
      </x:c>
      <x:c r="B25" s="17" t="str">
        <x:v>Pennsylvania State University</x:v>
      </x:c>
      <x:c r="C25" s="17" t="str">
        <x:v>United States</x:v>
      </x:c>
      <x:c r="D25" s="17" t="str">
        <x:v>Master of Professional Studies in Renewable Energy and Sustainability Systems</x:v>
      </x:c>
      <x:c r="E25" s="17" t="str">
        <x:v>Not stated on reviewed official page</x:v>
      </x:c>
      <x:c r="F25" s="17" t="str">
        <x:v>Not stated on reviewed official page</x:v>
      </x:c>
      <x:c r="G25" s="17" t="str">
        <x:v>EMS Museum &amp; Art Gallery | The John A. Dutton Institute of Teaching and Learning Experience has helped faculty develop more than 185 fully online courses. | Undergraduate || Renewable Energy and Sustainability Systems M.P.S. | Prepare yourself to serve as a leader of the emerging green economy through the Renewable Energy and Sustainability Systems (RESS) master's degree program. This online program provides you with the technical depth in areas related to renewable energy. You can also gain a comprehensive understanding of the applications of technology in society, the energy economics, and the project development process. | Careers</x:v>
      </x:c>
      <x:c r="H25" s="17" t="str">
        <x:v>Not stated on reviewed official page</x:v>
      </x:c>
      <x:c r="I25" s="17" t="str">
        <x:v>Working Teams | Curriculum and Education | Environmental Justice || Sustainability in EMS Curriculum and Education | Penn State College of Earth and Mineral Sciences | Skip to main content || Sustainability | Sustainability In EMS Curriculum and Education | Sustainability in EMS Curriculum and Education || Sustainability In EMS Curriculum and Education | Sustainability in EMS Curriculum and Education | With courses and programs in diverse areas like energy resources, earth systems, human-environment interactions, weather and climate, and materials, our students are well-positioned to solve the challenges of creating a more sustainable future. Across the college, at both the graduate and undergraduate levels, we’re exploring a wide range of topics through a sustainability lens to provide students w</x:v>
      </x:c>
      <x:c r="J25" s="17" t="str">
        <x:v>NA</x:v>
      </x:c>
      <x:c r="K25" s="17" t="str">
        <x:v>Not stated on reviewed official page</x:v>
      </x:c>
      <x:c r="L25" s="17" t="str">
        <x:v>Not stated on reviewed official page</x:v>
      </x:c>
      <x:c r="M25" s="17" t="str">
        <x:v>Not stated on reviewed official page</x:v>
      </x:c>
      <x:c r="N25" s="17" t="str">
        <x:v>Not stated on reviewed official page</x:v>
      </x:c>
      <x:c r="O25" s="17" t="str">
        <x:v>Hear from our Students | Where our Graduates Go | Events for Future Students</x:v>
      </x:c>
      <x:c r="P25" s="30" t="str">
        <x:v>https://www.ems.psu.edu/academics/find-program-study/renewable-energy-and-sustainability-systems-mps</x:v>
      </x:c>
      <x:c r="Q25" s="30" t="str">
        <x:v>https://www.ems.psu.edu/about/strategic-initiatives/sustainability/sustainability-ems-curriculum-and-education</x:v>
      </x:c>
      <x:c r="R25" s="17" t="str">
        <x:v>2026-07-18</x:v>
      </x:c>
      <x:c r="S25" s="17" t="str">
        <x:v>Official program page retrieved; 2 official page(s) reviewed; 3/10 requested evidence groups found.</x:v>
      </x:c>
      <x:c r="T25" s="17" t="str">
        <x:v>Automated evidence extraction from official pages. Manually confirm year-specific tuition, language score applicability, and optional-versus-required curriculum elements before analysis.</x:v>
      </x:c>
    </x:row>
    <x:row r="26" ht="84" customHeight="1">
      <x:c r="A26" s="17" t="n">
        <x:v>22</x:v>
      </x:c>
      <x:c r="B26" s="17" t="str">
        <x:v>KU Leuven</x:v>
      </x:c>
      <x:c r="C26" s="17" t="str">
        <x:v>Belgium</x:v>
      </x:c>
      <x:c r="D26" s="17" t="str">
        <x:v>Master of Sustainable Development</x:v>
      </x:c>
      <x:c r="E26" s="17" t="str">
        <x:v>Check the official and current admission requirements ​​​​ | Tuition fees, study costs &amp; scholarships | Tuition fees || Tuition fees, study costs &amp; scholarships | Tuition fees | The fees for any individual student are contingent upon their academic programme and the nationality of the student. || The fees for any individual student are contingent upon their academic programme and the nationality of the student. | For the most recent – and only official – information on tuition fees, check the tuition fee calculator . | Study costs</x:v>
      </x:c>
      <x:c r="F26" s="17" t="str">
        <x:v>Master's | 120 ECTS credits | English || Next year | This course is taught every three years (check the course description to know in which academic year). | External course || Optional Courses | Students must select as many as needed optional courses to reach the required minimum of 120 credits for the master’s programme. This may include any relevant KU Leuven courses approved by the master thesis promotor or the programme director. | PDF/print</x:v>
      </x:c>
      <x:c r="G26" s="17" t="str">
        <x:v>Location independent | Location independent with evaluation on campus | Strengthening Courses</x:v>
      </x:c>
      <x:c r="H26" s="17" t="str">
        <x:v>We expect successful applicants to have achieved excellent academic results in their previous studies. | Language requirements | All applicants must prove their proficiency in English. The accepted English proficiency tests are: || All applicants must prove their proficiency in English. The accepted English proficiency tests are: | - TOEFL iBT: minimum overall score of 94, with minimum subscores of 19 for Reading, 18 for Listening, 19 for Speaking and 21 for Writing. New TOEFL score scale: minimum overall score of 4.5, with minimum subscores of 4 for Reading, 4 for Listening, 3.5 for Speaking, 4,5 for Writing. | - IELTS Academic test: minimum overall score of 7.0, with minimum subscores of 6.5 for Reading, 6.0 for Listenin || - TOEFL iBT: minimum overall score of 94, with minimum subscores of 19 for Reading, 18 for Listening, 19 for Speaking and 21 for Writing. New TOEFL score scale: minimum overall score of 4.5, with minimum subscores of 4 for Reading, 4 for Listening, 3.5 for Speakin</x:v>
      </x:c>
      <x:c r="I26" s="17" t="str">
        <x:v>Discover the programme | Programme structure | Admission requirements || ICP Master of Science in Sustainable Development (Leuven) - Programme structure | | KU Leuven || Apply now | Programme structure | keyboard_arrow_down</x:v>
      </x:c>
      <x:c r="J26" s="17" t="str">
        <x:v>(120 sp.) | Future sustainability leaders come here to enjoy hands-on experience in real-world settings, combining rigorous academic training with practical fieldwork in the Global South through an innovative Living Lab platform. Students can specialise in either societal sustainability challenges or biodiversity conservation. | Leuven || Quality of education | Master of Sustainable Development Discover the Master of Sustainable Development at KU Leuven in Belgium. Specialise in space &amp; society and ecology. Engage in real-world sustainability challenges through the Sustainable Development Living Lab, a field trip in the Global South, an internship, and a thesis. https://plone.icts.kuleuven.be/plone6/opleidingsaanbod/programmes/master-sustainable-development/index.html https://plone.icts.kuleuven.be/plone6/opleidingsaanbod/++resou || Its key strength lies in its interdisciplinary approach</x:v>
      </x:c>
      <x:c r="K26" s="17" t="str">
        <x:v>Additional requirements | In your motivation letter, please motivate you specialisation choice (‘Ecology’ or ‘Space and Society’) and indicate your research interests/possible topics for your dissertation (with maximum 500 words). So please make sure you select your track correctly. More information can be found here and here . | Final version: 30/09/2026 || Additional requirements | In your motivation letter, please motivate you specialisation choice (‘Ecology’ or ‘Space and Society’) and indicate your research interests/possible topics for your dissertation (with maximum 500 words). So please make sure you select your track correctly. More information can be found here and here . | PDF/print</x:v>
      </x:c>
      <x:c r="L26" s="17" t="str">
        <x:v>Yes</x:v>
      </x:c>
      <x:c r="M26" s="17" t="str">
        <x:v>H02N1A | Master's Thesis | The Master's Thesis is compulsory. || Master's Thesis | The Master's Thesis is compulsory. | ECTS || G0I83A | Master's Thesis | The Master's Thesis is compulsory.</x:v>
      </x:c>
      <x:c r="N26" s="17" t="str">
        <x:v>Not stated on reviewed official page</x:v>
      </x:c>
      <x:c r="O26" s="17" t="str">
        <x:v>Not stated on reviewed official page</x:v>
      </x:c>
      <x:c r="P26" s="30" t="str">
        <x:v>https://www.kuleuven.be/programmes/master-sustainable-development</x:v>
      </x:c>
      <x:c r="Q26" s="30" t="str">
        <x:v>https://onderwijsaanbod.kuleuven.be/opleidingen/e/SC_53903372/diploma_omschrijving; https://onderwijsaanbod.kuleuven.be/opleidingen/e/SC_53903372; https://onderwijsaanbod.kuleuven.be/opleidingen/e/SC_53903372/toelatingsvoorwaarden</x:v>
      </x:c>
      <x:c r="R26" s="17" t="str">
        <x:v>2026-07-18</x:v>
      </x:c>
      <x:c r="S26" s="17" t="str">
        <x:v>Official program page retrieved; 4 official page(s) reviewed; 8/10 requested evidence groups found.</x:v>
      </x:c>
      <x:c r="T26" s="17" t="str">
        <x:v>Automated evidence extraction from official pages. Manually confirm year-specific tuition, language score applicability, and optional-versus-required curriculum elements before analysis.</x:v>
      </x:c>
    </x:row>
    <x:row r="27" ht="84" customHeight="1">
      <x:c r="A27" s="17" t="n">
        <x:v>23</x:v>
      </x:c>
      <x:c r="B27" s="17" t="str">
        <x:v>University of Helsinki</x:v>
      </x:c>
      <x:c r="C27" s="17" t="str">
        <x:v>Finland</x:v>
      </x:c>
      <x:c r="D27" s="17" t="str">
        <x:v>Master's Programme in Environmental Change and Global Sustainability</x:v>
      </x:c>
      <x:c r="E27" s="17" t="str">
        <x:v>Finnish, English, Swedish | Tuition fee per year (only non-EU/EEA citizens) | 13 000 EUR</x:v>
      </x:c>
      <x:c r="F27" s="17" t="str">
        <x:v>Scope of studies and length | 120 ECTS credits, 2 years | Degree level</x:v>
      </x:c>
      <x:c r="G27" s="17" t="str">
        <x:v>Not stated on reviewed official page</x:v>
      </x:c>
      <x:c r="H27" s="17" t="str">
        <x:v>Not stated on reviewed official page</x:v>
      </x:c>
      <x:c r="I27" s="17" t="str">
        <x:v>You can choose from two study tracks: the Environmental Change study track in natural sciences and the Global Sustainability study track in social sciences. Within your study track, you will have the opportunity to deepen your knowledge and develop expertise in a chosen field of interest. | Find out more about the programme structure, content and courses from the link below. | Basic information</x:v>
      </x:c>
      <x:c r="J27" s="17" t="str">
        <x:v>NA</x:v>
      </x:c>
      <x:c r="K27" s="17" t="str">
        <x:v>Not stated on reviewed official page</x:v>
      </x:c>
      <x:c r="L27" s="17" t="str">
        <x:v>Not stated on reviewed official page</x:v>
      </x:c>
      <x:c r="M27" s="17" t="str">
        <x:v>Not stated on reviewed official page</x:v>
      </x:c>
      <x:c r="N27" s="17" t="str">
        <x:v>Not stated on reviewed official page</x:v>
      </x:c>
      <x:c r="O27" s="17" t="str">
        <x:v>Not stated on reviewed official page</x:v>
      </x:c>
      <x:c r="P27" s="30" t="str">
        <x:v>https://www.helsinki.fi/en/degree-programmes/environmental-change-and-global-sustainability-masters-programme</x:v>
      </x:c>
      <x:c r="Q27" s="30" t="str"/>
      <x:c r="R27" s="17" t="str">
        <x:v>2026-07-18</x:v>
      </x:c>
      <x:c r="S27" s="17" t="str">
        <x:v>Official program page retrieved; 1 official page(s) reviewed; 3/10 requested evidence groups found.</x:v>
      </x:c>
      <x:c r="T27" s="17" t="str">
        <x:v>Automated evidence extraction from official pages. Manually confirm year-specific tuition, language score applicability, and optional-versus-required curriculum elements before analysis.</x:v>
      </x:c>
    </x:row>
    <x:row r="28" ht="84" customHeight="1">
      <x:c r="A28" s="17" t="n">
        <x:v>24</x:v>
      </x:c>
      <x:c r="B28" s="17" t="str">
        <x:v>Durham University</x:v>
      </x:c>
      <x:c r="C28" s="17" t="str">
        <x:v>United Kingdom</x:v>
      </x:c>
      <x:c r="D28" s="17" t="str">
        <x:v>MSc Climate Change, Environmental Processes and Sustainable Futures</x:v>
      </x:c>
      <x:c r="E28" s="17" t="str">
        <x:v>Graham Earp Scholarship in Sustainability &amp; the IHRR scholarship in Risk | Apply for our Graham Earp Scholarship in Sustainability or the Institute of Hazard, Risk and Resilience scholarship in Risk. Each scholarship provides GBP 7000 towards tuition fees for up to six international students (three per scholarship) starting one of the Geography Masters in September 2026. | Read more about scholarships here</x:v>
      </x:c>
      <x:c r="F28" s="17" t="str">
        <x:v>Not stated on reviewed official page</x:v>
      </x:c>
      <x:c r="G28" s="17" t="str">
        <x:v>Not stated on reviewed official page</x:v>
      </x:c>
      <x:c r="H28" s="17" t="str">
        <x:v>Not stated on reviewed official page</x:v>
      </x:c>
      <x:c r="I28" s="17" t="str">
        <x:v>Not stated on reviewed official page</x:v>
      </x:c>
      <x:c r="J28" s="17" t="str">
        <x:v>Student Life | Fieldwork | Student Voices</x:v>
      </x:c>
      <x:c r="K28" s="17" t="str">
        <x:v>Research Masters | Available Research Projects | Doctoral Study || Read more about scholarships here | Student Dissertation | See an example of the world class outputs from our postgraduate students: || Social Sciences International Brochure | The stories presented in our International Brochure demonstrate sustained and positive engagement with international partners, particularly around work with social justice in society and the UN s Sustainable Development Goals. Our 8 departments have funded research projects on every continent. | Find out more in our International Brochure</x:v>
      </x:c>
      <x:c r="L28" s="17" t="str">
        <x:v>Not stated on reviewed official page</x:v>
      </x:c>
      <x:c r="M28" s="17" t="str">
        <x:v>Not stated on reviewed official page</x:v>
      </x:c>
      <x:c r="N28" s="17" t="str">
        <x:v>Not stated on reviewed official page</x:v>
      </x:c>
      <x:c r="O28" s="17" t="str">
        <x:v>Not stated on reviewed official page</x:v>
      </x:c>
      <x:c r="P28" s="30" t="str">
        <x:v>https://www.durham.ac.uk/departments/academic/geography/postgraduate-study/taught-masters/</x:v>
      </x:c>
      <x:c r="Q28" s="30" t="str"/>
      <x:c r="R28" s="17" t="str">
        <x:v>2026-07-18</x:v>
      </x:c>
      <x:c r="S28" s="17" t="str">
        <x:v>Official program page retrieved; 1 official page(s) reviewed; 3/10 requested evidence groups found.</x:v>
      </x:c>
      <x:c r="T28" s="17" t="str">
        <x:v>Automated evidence extraction from official pages. Manually confirm year-specific tuition, language score applicability, and optional-versus-required curriculum elements before analysis.</x:v>
      </x:c>
    </x:row>
    <x:row r="29" ht="84" customHeight="1">
      <x:c r="A29" s="17" t="n">
        <x:v>25</x:v>
      </x:c>
      <x:c r="B29" s="17" t="str">
        <x:v>University of Leeds</x:v>
      </x:c>
      <x:c r="C29" s="17" t="str">
        <x:v>United Kingdom</x:v>
      </x:c>
      <x:c r="D29" s="17" t="str">
        <x:v>MSc Sustainability, Environment and Development</x:v>
      </x:c>
      <x:c r="E29" s="17" t="str">
        <x:v>GBP 14,000 (Total) | International fees | GBP 31,000 (Total)</x:v>
      </x:c>
      <x:c r="F29" s="17" t="str">
        <x:v>Duration | 12 Months (Full time) | Entry requirements || Compulsory modules | Global Development and Public Governance – 30 credits | This module aims to equip you to analyse competing ideas and practices of global and local development. It enables you to apply this approach to a range of sectoral issues such as (but not limited to) poverty and inequality, access to services, natural resources allocations and management, economic transformation and livelihoods. It also enables you to explore multi-sectoral and multi-level governance challenges of prod || This module aims to equip you to analyse competing ideas and practices of global and local development. It enables you to apply this approach to a range of sectoral issues such as (but not limited to) poverty and inequality, access to services, natural resources allocations and management</x:v>
      </x:c>
      <x:c r="G29" s="17" t="str">
        <x:v>Delivery type | On campus | Duration || Duration | 12 Months (Full time) | Entry requirements || Our team of experts are active in national and international research and policy, such as the Intergovernmental Platform on Biodiversity and Ecosystem Services , the World Commission on Protected Areas and the Intergovernmental Panel on Climate Change . | On this course, you’ll be taught by our expert academics, from lecturers through to professors. You may also be taught by industry professionals with years of experience, as well as trained postgraduate researchers, connecting you to some of th</x:v>
      </x:c>
      <x:c r="H29" s="17" t="str">
        <x:v>Full entry requirements | English language requirements | IELTS 6.5 overall, with no less than 6.0 in any component || English language requirements | IELTS 6.5 overall, with no less than 6.0 in any component | UK fees || We accept a range of international equivalent qualifications . For more information, please contact the Admissions Team . | English language requirements | IELTS 6.5 overall, with no less than 6.0 in any component. For other English qualifications, read English language equivalent qualifications . || English language requirements | IELTS 6.5 overall, with no less than 6.0 in any component. For other English qualifications, read English language equivalent qualifications . | Improve your English</x:v>
      </x:c>
      <x:c r="I29" s="17" t="str">
        <x:v>You'll then apply your learning to your own individual research project where you’ll work with a dissertation supervisor, producing an original piece of cutting-edge research on a topic of your choice. | Course structure | The list shown below represents typical modules/components studied and may change from time to time. Read more in our terms and conditions.</x:v>
      </x:c>
      <x:c r="J29" s="17" t="str">
        <x:v>NA</x:v>
      </x:c>
      <x:c r="K29" s="17" t="str">
        <x:v>Build your skills in systems thinking, critical analysis, leadership, problem solving, communication and interdisciplinarity. | Conduct your own significant individual research project, taking advantage of our collaborative links with sustainability, environment and development organisations across the UK and internationally. | Experience expert practical and theoretical teaching delivered by a programme team made up of researchers covering the social sciences, economics, development studies, en || Throughout, you'll be taught through lectures, seminars, and workshops and will approach topics from different angles thanks to the interdisciplinary nature of academics from both the School of Earth and Environment and the School of Politics and International Studies. You'll also be able to apply what you have learned thus far to real-world scenarios through case study work in class and the f</x:v>
      </x:c>
      <x:c r="L29" s="17" t="str">
        <x:v>Not stated on reviewed official page</x:v>
      </x:c>
      <x:c r="M29" s="17" t="str">
        <x:v>Not stated on reviewed official page</x:v>
      </x:c>
      <x:c r="N29" s="17" t="str">
        <x:v>Not stated on reviewed official page</x:v>
      </x:c>
      <x:c r="O29" s="17" t="str">
        <x:v>Not stated on reviewed official page</x:v>
      </x:c>
      <x:c r="P29" s="30" t="str">
        <x:v>https://courses.leeds.ac.uk/j985/sustainability-environment-and-development-msc</x:v>
      </x:c>
      <x:c r="Q29" s="30" t="str"/>
      <x:c r="R29" s="17" t="str">
        <x:v>2026-07-18</x:v>
      </x:c>
      <x:c r="S29" s="17" t="str">
        <x:v>Official program page retrieved; 3 official page(s) reviewed; 6/10 requested evidence groups found.</x:v>
      </x:c>
      <x:c r="T29" s="17" t="str">
        <x:v>Automated evidence extraction from official pages. Manually confirm year-specific tuition, language score applicability, and optional-versus-required curriculum elements before analysis.</x:v>
      </x:c>
    </x:row>
    <x:row r="30" ht="84" customHeight="1">
      <x:c r="A30" s="17" t="n">
        <x:v>26</x:v>
      </x:c>
      <x:c r="B30" s="17" t="str">
        <x:v>Western University</x:v>
      </x:c>
      <x:c r="C30" s="17" t="str">
        <x:v>Canada</x:v>
      </x:c>
      <x:c r="D30" s="17" t="str">
        <x:v>Master of Environment and Sustainability</x:v>
      </x:c>
      <x:c r="E30" s="17" t="str">
        <x:v>What it Costs | Expenses usually include tuition, fees, housing, food and other necessities. | Learn more about MES tuition and fees, as well as the fee schedule. || Expenses usually include tuition, fees, housing, food and other necessities. | Learn more about MES tuition and fees, as well as the fee schedule. | Tuition and Fees || Learn more about MES tuition and fees, as well as the fee schedule. | Tuition and Fees | Financial Support</x:v>
      </x:c>
      <x:c r="F30" s="17" t="str">
        <x:v>Master of Environment and Sustainability | In one year, you'll gain the knowledge, skills and professional experience needed for today’s rapidly evolving environment and sustainability sector. | Top 15 || Apply Now | Graduate in 12 Months | With 8 months of coursework and 4 months of industry co-op experience, you'll be ready to launch a high-impact environment and sustainability career in just one year. || Graduate in 12 Months | With 8 months of coursework and 4 months of industry co-op experience, you'll be ready to launch a high-impact environment and sustainability career in just one year. | Explore Program Format</x:v>
      </x:c>
      <x:c r="G30" s="17" t="str">
        <x:v>Who is exempt from submitted an English Language Proficiency test score? | Applicants are automatically exempted from our English language proficiency requirement if their first language is English or they have completed at least two full-time years of post-secondary education in a degree program in an English-speaking institution located in a country whose primary language is English . | The list of eligible countries is as follows: Australia, Barbados, Botswana, Canada, Ghana, Guyana, Ireland, || Does the university provide financial assistance? | MES is a one-year, course-based professional science master's program with a co-operative education term component. Students do not complete a research thesis and therefore, do not receive Teaching Assistantships or Research Assistantships. Students may apply for on-campus work study positions</x:v>
      </x:c>
      <x:c r="H30" s="17" t="str">
        <x:v>Employment and/or volunteer list (maximum 6 entries) | English Language Proficiency (ELP) Test Score, if required** | Application fee payment ($170 CAD) || Sign Up | English Language Proficiency | Strong English proficiency is essential for success in the MES program. You'll use communication skills daily through class participation, written work, group projects and presentations. Group work and in-class participation also require advanced listening skills and a high level of language comprehension. || ELP Documentation Requirements (if English is not your first language) | All applicants whose first language is not English must provide formal documentation demonstrating that they meet or exceed the MES program's English Language Proficiency requirements. | Specific documentation, test options and performance requirements are as follows: || Completed two or more years of high school plus a four-year undergraduate degree in Canada or the USA: Exempt from ELP requirement - not required t</x:v>
      </x:c>
      <x:c r="I30" s="17" t="str">
        <x:v>Not stated on reviewed official page</x:v>
      </x:c>
      <x:c r="J30" s="17" t="str">
        <x:v>NA</x:v>
      </x:c>
      <x:c r="K30" s="17" t="str">
        <x:v>Not stated on reviewed official page</x:v>
      </x:c>
      <x:c r="L30" s="17" t="str">
        <x:v>Not stated on reviewed official page</x:v>
      </x:c>
      <x:c r="M30" s="17" t="str">
        <x:v>Not stated on reviewed official page</x:v>
      </x:c>
      <x:c r="N30" s="17" t="str">
        <x:v>Not stated on reviewed official page</x:v>
      </x:c>
      <x:c r="O30" s="17" t="str">
        <x:v>Not stated on reviewed official page</x:v>
      </x:c>
      <x:c r="P30" s="30" t="str">
        <x:v>https://www.uwo.ca/mes/</x:v>
      </x:c>
      <x:c r="Q30" s="30" t="str">
        <x:v>https://www.uwo.ca/mes/admissions/index.html</x:v>
      </x:c>
      <x:c r="R30" s="17" t="str">
        <x:v>2026-07-18</x:v>
      </x:c>
      <x:c r="S30" s="17" t="str">
        <x:v>Official program page retrieved; 2 official page(s) reviewed; 4/10 requested evidence groups found.</x:v>
      </x:c>
      <x:c r="T30" s="17" t="str">
        <x:v>Automated evidence extraction from official pages. Manually confirm year-specific tuition, language score applicability, and optional-versus-required curriculum elements before analysis.</x:v>
      </x:c>
    </x:row>
    <x:row r="31" ht="84" customHeight="1">
      <x:c r="A31" s="17" t="n">
        <x:v>27</x:v>
      </x:c>
      <x:c r="B31" s="17" t="str">
        <x:v>University of Glasgow</x:v>
      </x:c>
      <x:c r="C31" s="17" t="str">
        <x:v>United Kingdom</x:v>
      </x:c>
      <x:c r="D31" s="17" t="str">
        <x:v>MSc Environment &amp; Sustainable Development</x:v>
      </x:c>
      <x:c r="E31" s="17" t="str">
        <x:v>The Adam Smith Business School seeks curious, creative and globally minded individuals ready to drive innovation and make a positive impact in their communities and beyond. | This award offers a £15,000 tuition fee discount to support the next generation of purpose-driven leaders. | ASBS Entrepreneurial Leaders Award || The Adam Smith Business School Indian Achievers Award recognises outstanding students from India who demonstrate academic excellence, leadership potential and a commitment to creating positive change. | Open to Indian applicants for all eligible ASBS PGT programmes, this award offers a £15,000 tuition fee discount to support future business leaders in achieving their ambitions. | ASBS India Achievers Award || The Adam Smith Business School Chinese Pathway to Purpose Award recognises exceptional students from China who demo</x:v>
      </x:c>
      <x:c r="F31" s="17" t="str">
        <x:v>MSc: | 12 months full-time | Register your interest for more information || cause significant delays or prevent payment altogether. | We will aim to issue the deposit refund within 8 weeks of receipt of | information per point 2 above. At peak times this may be longer. || Beit-Glasgow Scholarship | One year Scholarship for an MSc in developmental subjects only. The Beit-UoG Scholarship does not cover MBA, PG Diploma, PG Certificate or CPD Online distance learning programmes. | Please see Beit Trust Postgraduate Scholarships for more details.</x:v>
      </x:c>
      <x:c r="G31" s="17" t="str">
        <x:v>MSc: | 12 months full-time | Register your interest for more information || Recent graduates have been employed as development practitioners and environmental policy analysts for organisations such as BP, Royal Society for the Protection of Birds and public sector bodies. | We have a dedicated careers and employability team who provide 1-2-1 support and advice, group workshops, employer events on campus and networking opportunities throughout the year to help you with your career prospects. | See our alumni success stories || Home &amp; RUK | Full-time fee: GBP 11,943 | International &amp; EU</x:v>
      </x:c>
      <x:c r="H31" s="17" t="str">
        <x:v>After the second deferral standard conditions will apply. | There is still time to meet the English language test requirement before | the final upload date. Please see section a) 4. || in partnership with Qualification | Check to check academic qualifications. English language qualifications | are verified with the provider. || International College , who offer a range of pre-Masters courses. | English language requirements | For applicants from non-English speaking countries, as defined by the UK Government , the University sets a minimum English Language proficiency level. || English language requirements | For applicants from non-English speaking countries, as defined by the UK Government , the University sets a minimum English Language proficiency level. | International English Language Testing System (IELTS) Academic and Academic Online (not General Training)</x:v>
      </x:c>
      <x:c r="I31" s="17" t="str">
        <x:v>Adam Smith Business School is triple accredited | Programme structure | You will take four core and two optional courses, and complete a dissertation. || You will take four core and two optional courses, and complete a dissertation. | Core courses | Environmental Economics || The MBA-MSc Euro-Asian programme is an exciting partnership designed in collaboration with Universiti Sains Malaysia (USM) and Universiti Malaya (UM), Malaysia. | The 2-year programme aims to provide you with a rigorous and comprehensive general management curriculum from the perspectives of Southeast Asian and European academics and practitioners, including a minimum of one-month work placement with our industry partners in Malaysia. | Find out more: MBA-MSc Euro-Asian programme</x:v>
      </x:c>
      <x:c r="J31" s="17" t="str">
        <x:v>NA</x:v>
      </x:c>
      <x:c r="K31" s="17" t="str">
        <x:v>Experience practical learning with real business challenges. Network, collaborate, and make a real-world impact through competitive, merit-based industry projects . * | * Industry Projects are not guaranteed. All applications are subject to availability and review processes. We will support candidates with their applications before the deadline but if unsuccessful, they can opt for a research proposal for their dissertation. Students can also secure their own projects with approval from academic || Programme structure | You will take four core and two optional courses, and complete a dissertation. | Core courses || The Economics of Migration | Research project | Dissertation GCDS or Economics PGT External Partner Project</x:v>
      </x:c>
      <x:c r="L31" s="17" t="str">
        <x:v>Not stated on reviewed official page</x:v>
      </x:c>
      <x:c r="M31" s="17" t="str">
        <x:v>Not stated on reviewed official page</x:v>
      </x:c>
      <x:c r="N31" s="17" t="str">
        <x:v>Not stated on reviewed official page</x:v>
      </x:c>
      <x:c r="O31" s="17" t="str">
        <x:v>Not stated on reviewed official page</x:v>
      </x:c>
      <x:c r="P31" s="30" t="str">
        <x:v>https://www.gla.ac.uk/postgraduate/taught/environmentsustainabledevelopment/</x:v>
      </x:c>
      <x:c r="Q31" s="30" t="str"/>
      <x:c r="R31" s="17" t="str">
        <x:v>2026-07-18</x:v>
      </x:c>
      <x:c r="S31" s="17" t="str">
        <x:v>Official program page retrieved; 3 official page(s) reviewed; 6/10 requested evidence groups found.</x:v>
      </x:c>
      <x:c r="T31" s="17" t="str">
        <x:v>Automated evidence extraction from official pages. Manually confirm year-specific tuition, language score applicability, and optional-versus-required curriculum elements before analysis.</x:v>
      </x:c>
    </x:row>
    <x:row r="32" ht="84" customHeight="1">
      <x:c r="A32" s="17" t="n">
        <x:v>28</x:v>
      </x:c>
      <x:c r="B32" s="17" t="str">
        <x:v>The University of Auckland</x:v>
      </x:c>
      <x:c r="C32" s="17" t="str">
        <x:v>New Zealand</x:v>
      </x:c>
      <x:c r="D32" s="17" t="str">
        <x:v>Master of Environmental Science</x:v>
      </x:c>
      <x:c r="E32" s="17" t="str">
        <x:v>NZ$55,484 * | Fees are set in advance of each calendar year and will be updated on this website. Fees are inclusive of 15% GST, but do not include the Student Services Fee, course books, travel and health insurance, or living costs. Amounts shown are indicative only. In addition to the tuition fees, there is a Student Services Fee of $9.44 per point, estimated at $1,132.80 for full-time study (120 points). Fees will be confirmed upon completion of enrolment into courses. | *Please note: amounts </x:v>
      </x:c>
      <x:c r="F32" s="17" t="str">
        <x:v>Duration | Full-time: 18 months | Part-time: Varies || Next start date | 2026 Semester Two – 20 July | 2027 Semester One – 1 March || 2026 Semester Two – 20 July | 2027 Semester One – 1 March | Available locations</x:v>
      </x:c>
      <x:c r="G32" s="17" t="str">
        <x:v>Duration | Full-time: 18 months | Part-time: Varies || Full-time: 18 months | Part-time: Varies | Next start date || NZ$55,484 * | Fees are set in advance of each calendar year and will be updated on this website. Fees are inclusive of 15% GST, but do not include the Student Services Fee, course books, travel and health insurance, or living costs. Amounts shown are indicative only. In addition to the tuition fees, there is a Student Services Fee of $9.44 per point, estimated at $1,132.80 for full-time study (120 points). Fees will be confirmed upon completion of enrolment into courses. | *Please note: amounts </x:v>
      </x:c>
      <x:c r="H32" s="17" t="str">
        <x:v>Qualification | IELTS Academic | International English Language Testing System || IELTS Academic | International English Language Testing System | Score required || No bands less than 6.0 | See alternative English language requirements | Calculate your Grade Point Equivalent (GPE) || Find out more | English language requirements | Learn more about the University's English language requirements.</x:v>
      </x:c>
      <x:c r="I32" s="17" t="str">
        <x:v>Graduates of the MEnvSci will have developed the crucial conceptual and practical skills required of professional environmental scientists in research and industry. | Programme structure | Entry requirements || Key dates | Programme structure | All students are initially enrolled in the taught masters. Transfer to the research masters is possible after the first semester. || All students are initially enrolled in the taught masters. Transfer to the research masters is possible after the first semester. | Explore the courses you can take in the Master of Environmental Science in the Curriculum Catalogue. | Master of Environmental Science (MEnvSci) || You'll also need to meet other requirements, including time limits and total points limits. See Postgraduate enrolment . | For detailed information about a specific programme, including its courses and regulations, visit the Curriculum Catalogue . For the general university requirements for admission, enrolment and fees, visit the University Calendar . | 2026 entry requirements</x:v>
      </x:c>
      <x:c r="J32" s="17" t="str">
        <x:v>NA</x:v>
      </x:c>
      <x:c r="K32" s="17" t="str">
        <x:v>Not stated on reviewed official page</x:v>
      </x:c>
      <x:c r="L32" s="17" t="str">
        <x:v>Not stated on reviewed official page</x:v>
      </x:c>
      <x:c r="M32" s="17" t="str">
        <x:v>Not stated on reviewed official page</x:v>
      </x:c>
      <x:c r="N32" s="17" t="str">
        <x:v>Not stated on reviewed official page</x:v>
      </x:c>
      <x:c r="O32" s="17" t="str">
        <x:v>Not stated on reviewed official page</x:v>
      </x:c>
      <x:c r="P32" s="30" t="str">
        <x:v>https://www.auckland.ac.nz/en/study/study-options/find-a-study-option/master-of-environmental-science-menvsci.html</x:v>
      </x:c>
      <x:c r="Q32" s="30" t="str">
        <x:v>https://www.auckland.ac.nz/en/study/applications-and-admissions/entry-requirements.html</x:v>
      </x:c>
      <x:c r="R32" s="17" t="str">
        <x:v>2026-07-18</x:v>
      </x:c>
      <x:c r="S32" s="17" t="str">
        <x:v>Official program page retrieved; 4 official page(s) reviewed; 5/10 requested evidence groups found.</x:v>
      </x:c>
      <x:c r="T32" s="17" t="str">
        <x:v>Automated evidence extraction from official pages. Manually confirm year-specific tuition, language score applicability, and optional-versus-required curriculum elements before analysis.</x:v>
      </x:c>
    </x:row>
    <x:row r="33" ht="84" customHeight="1">
      <x:c r="A33" s="17" t="n">
        <x:v>29</x:v>
      </x:c>
      <x:c r="B33" s="17" t="str">
        <x:v>Trinity College Dublin, The University of Dublin</x:v>
      </x:c>
      <x:c r="C33" s="17" t="str">
        <x:v>Ireland</x:v>
      </x:c>
      <x:c r="D33" s="17" t="str">
        <x:v>MSc Environmental Sciences</x:v>
      </x:c>
      <x:c r="E33" s="17" t="str">
        <x:v>All applicants to Trinity are required to provide official evidence of proficiency in the English language. Applicants to this course are required to meet Band B (Standard Entry) English language requirements. For more details of qualifications that meet Band B, see the English Language Requirements page here. | Course Fees | For a full list of postgraduate fees, click here . || • Up to date CV required. | Course Fees | Click Here for a full list of postgraduate fees.</x:v>
      </x:c>
      <x:c r="F33" s="17" t="str">
        <x:v>NFQ Level 9 | 1 year full-time | 30 Places || Course Structure | The Environmental Sciences programme is delivered full-time over one year and carries 90 ECTS (60 ECTS of teaching component, plus 30 ECTS in a written dissertation). The taught component of this course comprises formal lectures, seminars, laboratory and desk-based practical work, fieldwork and independent study. | Most taught modules in this course are in two to three week blocks. This provides a concentrated period of uninterrupted study, during which time students can immer || The Environmental Sciences programme is delivered full-time over one year and carries 90 ECTS (60 ECTS of teaching component, plus 30 ECTS in a written dissertation). The taught component of this course comprises formal lectures, seminars, laboratory and desk-based practical work, fieldwork and inde</x:v>
      </x:c>
      <x:c r="G33" s="17" t="str">
        <x:v>NFQ Level 9 | 1 year full-time | 30 Places || Is This Course For Me? | This full-time, intensive course is intended for administrative and scientific workers and new graduates with an appropriate environmental science related background, although applications from graduates with different backgrounds are also welcomed. Our students have an excellent success rate in finding career paths in the field of environmental science following our program. We have had students from many different backgrounds that have successfully completed this progr || Course Structure | The Environmental Sciences programme is delivered full-time over one year and carries 90 ECTS (60 ECTS of teaching component, plus 30 ECTS in a written dissertation). The taught component of this course comprises formal lectures, seminars, laboratory and desk-based practical work,</x:v>
      </x:c>
      <x:c r="H33" s="17" t="str">
        <x:v>Two academic references, or reference letters from industry for candidates who left academia several years ago. | English Language Requirements | All applicants to Trinity are required to provide official evidence of proficiency in the English language. Applicants to this course are required to meet Band B (Standard Entry) English language requirements. For more details of qualifications that meet Band B, see the English Language Requirements page here. || English Language Requirements | All applicants to Trinity are required to provide official evidence of proficiency in the English language. Applicants to this course are required to meet Band B (Standard Entry) English language requirements. For more details of qualifications that meet Band B, see the English Language Requirements page here. | Course Fees || Applicants should be currently working with older adults in any setting or managing a service. | Applicants need to have a fluent command of the English language. | What will I l</x:v>
      </x:c>
      <x:c r="I33" s="17" t="str">
        <x:v>Many graduates have gone on to do further research in a range of environmentally related disciplines. Graduates from the course have pursued their interests in environmental sciences throughout the world. | Course Structure | The Environmental Sciences programme is delivered full-time over one year and carries 90 ECTS (60 ECTS of teaching component, plus 30 ECTS in a written dissertation). The taught component of this course comprises formal lectures, seminars, laboratory and desk-based practica || Most taught modules in this course are in two to three week blocks. This provides a concentrated period of uninterrupted study, during which time students can immerse themselves in the subject matter and ensure they have addressed any gaps in their knowledge. Assessment for each module will usually take place during these blocks unless otherwise stated in the module outline. To complete the programme a candidate must design and execute an individual research project. | Course Content | Students </x:v>
      </x:c>
      <x:c r="J33" s="17" t="str">
        <x:v>Course Structure | The Environmental Sciences programme is delivered full-time over one year and carries 90 ECTS (60 ECTS of teaching component, plus 30 ECTS in a written dissertation). The taught component of this course comprises formal lectures, seminars, laboratory and desk-based practical work, fieldwork and independent study. | Most taught modules in this course are in two to three week blocks. This provides a concentrated period of uninterrupted study, during which time students can immer</x:v>
      </x:c>
      <x:c r="K33" s="17" t="str">
        <x:v>Course Overview | The degree in Environmental Sciences, the first of its kind in Ireland, has an established pedigree, attracting students with diverse academic backgrounds from Ireland and abroad. It comprises a series of taught modules encompassing a variety of current environmental themes, followed by a five-month research project. There is also the possibility to opt for a Postgraduate Diploma in Environmental Sciences, consisting of the taught modules only. | The aims of this course are to  || The aims of this course are to promote an understanding of environmental science, and the capability to apply that knowledge to current environmental issues and sound environmental management; to develop the necessary intellectual skills and practical expertise to design and execute independent research; and to cultivate skilled communicators able to organise ideas and disseminate them through</x:v>
      </x:c>
      <x:c r="L33" s="17" t="str">
        <x:v>Not stated on reviewed official page</x:v>
      </x:c>
      <x:c r="M33" s="17" t="str">
        <x:v>Not stated on reviewed official page</x:v>
      </x:c>
      <x:c r="N33" s="17" t="str">
        <x:v>Not stated on reviewed official page</x:v>
      </x:c>
      <x:c r="O33" s="17" t="str">
        <x:v>Not stated on reviewed official page</x:v>
      </x:c>
      <x:c r="P33" s="30" t="str">
        <x:v>https://www.tcd.ie/courses/postgraduate/courses/environmental-sciences-msc--pgraddip/</x:v>
      </x:c>
      <x:c r="Q33" s="30" t="str">
        <x:v>https://www.tcd.ie/courses/microcredentials/by-school/micro-credentials---medicine/assessment-amp-management-of-frailty-in-ageing-adults---mc-module/</x:v>
      </x:c>
      <x:c r="R33" s="17" t="str">
        <x:v>2026-07-18</x:v>
      </x:c>
      <x:c r="S33" s="17" t="str">
        <x:v>Official program page retrieved; 3 official page(s) reviewed; 7/10 requested evidence groups found.</x:v>
      </x:c>
      <x:c r="T33" s="17" t="str">
        <x:v>Automated evidence extraction from official pages. Manually confirm year-specific tuition, language score applicability, and optional-versus-required curriculum elements before analysis.</x:v>
      </x:c>
    </x:row>
    <x:row r="34" ht="84" customHeight="1">
      <x:c r="A34" s="17" t="n">
        <x:v>30</x:v>
      </x:c>
      <x:c r="B34" s="17" t="str">
        <x:v>University of Pennsylvania</x:v>
      </x:c>
      <x:c r="C34" s="17" t="str">
        <x:v>United States</x:v>
      </x:c>
      <x:c r="D34" s="17" t="str">
        <x:v>Master of Environmental Studies</x:v>
      </x:c>
      <x:c r="E34" s="17" t="str">
        <x:v>Application Deadlines and Requirements | Tuition and Fees | Financial Aid || Courses and Curriculum | Tuition and Fees | Financial Aid || Academic Calendar | Tuition and Fees | Faculty, Staff, and Affiliates</x:v>
      </x:c>
      <x:c r="F34" s="17" t="str">
        <x:v>Program duration: | 2 years full-time | 3-4 years part-time || 2 years full-time | 3-4 years part-time | Required credits:</x:v>
      </x:c>
      <x:c r="G34" s="17" t="str">
        <x:v>Undergraduate courses | Penn LPS Online courses | Penn Summer Sessions courses || Penn Summer Sessions courses | Massive open online courses (MOOCs) | Professional Programming || Program duration: | 2 years full-time | 3-4 years part-time</x:v>
      </x:c>
      <x:c r="H34" s="17" t="str">
        <x:v>Request Information | English Language Programs | International Guest Student Program || English Language Programs (ELP) at The University of Pennsylvania | Skip to main content || How to Apply | Welcome to the University of Pennsylvania’s English Language Programs (ELP) | The ELP offers unparalleled opportunities to immerse yourself in the language and culture of the US in Philadelphia, Pennsylvania || The ELP offers unparalleled opportunities to immerse yourself in the language and culture of the US in Philadelphia, Pennsylvania | The University of Pennsylvania's English Language Programs (ELP) | Welcome to the University of Pennsylvania’s English Language Programs (ELP)</x:v>
      </x:c>
      <x:c r="I34" s="17" t="str">
        <x:v>Bachelor of Fine Arts | Courses and Curriculum | Tuition and Fees || Application Overview | Courses and Curriculum | Program Features || Application Deadlines and Requirements | Courses and Curriculum | Tuition and Fees || Submatriculation | Courses and Curriculum | Faculty Bios</x:v>
      </x:c>
      <x:c r="J34" s="17" t="str">
        <x:v>Navigating a future in sustainable water management | Field work at the intersection of ecology and technology | Making connections and improving communities</x:v>
      </x:c>
      <x:c r="K34" s="17" t="str">
        <x:v>Program Format &amp; Schedule | Capstones | Capstones - 2024 || Capstones | Capstones - 2024 | Capstones - 2023 || Capstones - 2024 | Capstones - 2023 | Capstones - 2022</x:v>
      </x:c>
      <x:c r="L34" s="17" t="str">
        <x:v>Not stated on reviewed official page</x:v>
      </x:c>
      <x:c r="M34" s="17" t="str">
        <x:v>Not stated on reviewed official page</x:v>
      </x:c>
      <x:c r="N34" s="17" t="str">
        <x:v>Exposure to the US university system | Small class sizes (average of 8–14 students) | Cross-cultural exchange opportunities with Penn students</x:v>
      </x:c>
      <x:c r="O34" s="17" t="str">
        <x:v>Not stated on reviewed official page</x:v>
      </x:c>
      <x:c r="P34" s="30" t="str">
        <x:v>https://www.lps.upenn.edu/degree-programs/mes</x:v>
      </x:c>
      <x:c r="Q34" s="30" t="str">
        <x:v>https://www.elp.upenn.edu/</x:v>
      </x:c>
      <x:c r="R34" s="17" t="str">
        <x:v>2026-07-18</x:v>
      </x:c>
      <x:c r="S34" s="17" t="str">
        <x:v>Official program page retrieved; 4 official page(s) reviewed; 8/10 requested evidence groups found.</x:v>
      </x:c>
      <x:c r="T34" s="17" t="str">
        <x:v>Automated evidence extraction from official pages. Manually confirm year-specific tuition, language score applicability, and optional-versus-required curriculum elements before analysis.</x:v>
      </x:c>
    </x:row>
    <x:row r="35" ht="84" customHeight="1">
      <x:c r="A35" s="17" t="n">
        <x:v>31</x:v>
      </x:c>
      <x:c r="B35" s="17" t="str">
        <x:v>University of Reading</x:v>
      </x:c>
      <x:c r="C35" s="17" t="str">
        <x:v>United Kingdom</x:v>
      </x:c>
      <x:c r="D35" s="17" t="str">
        <x:v>MSc Environment, Climate Change and Development</x:v>
      </x:c>
      <x:c r="E35" s="17" t="str">
        <x:v>GBP 26,450 . If you study part time over two years, your fees will be calculated at 50% of the annual full-time fee in each year. Fees will increase each year according to inflation (up to 4%) and will be rounded up to the nearest GBP 50. | Tuition fee information | The fees listed are for full-time study, unless otherwise stated. Fee information will be confirmed in offer letters sent out to successful applicants. You can find further information, including information for part-time study, thro || The fees listed are for full-time study, unless otherwise stated. Fee information will be confirmed in offer letters sent out to successful applicants. You can find further information, including information for part-time study, through our dedicated fees and funding page . | EU student fees | With effect from 1 August 2021, new EU students wil</x:v>
      </x:c>
      <x:c r="F35" s="17" t="str">
        <x:v>Course duration | Full Time: 12 months | Part Time: 24 months || Full Time: 12 months | Part Time: 24 months | Year of entry || Full Time: 12 months | Part Time: 24 months | Overview</x:v>
      </x:c>
      <x:c r="G35" s="17" t="str">
        <x:v>Course duration | Full Time: 12 months | Part Time: 24 months || Full Time: 12 months | Part Time: 24 months | Year of entry || Full Time: 12 months | Part Time: 24 months | Overview</x:v>
      </x:c>
      <x:c r="H35" s="17" t="str">
        <x:v>Engineering | English Language and Applied Linguistics | English Literature || Your personal statement needs to show us that you understand the goal of the course, and your interest in climate change. It needs to demonstrate that you understand what the course is about, your motivation for studying, and what you would like to get out of your studies. You may reflect on paid or unpaid experience in the field to help support your personal statement. | Language requirements | Applicants may need to provide evidence of their ability to study in English (if required by UK Visa  || Language requirements | Applicants may need to provide evidence of their ability to study in English (if required by UK Visa and Immigration). Our online list of English language tests and qualifications is routinely updated, so please check to see if you already have an acceptable qualification or test, and for the most recent changes to language requirements. | If you have any questions about your evidence of En</x:v>
      </x:c>
      <x:c r="I35" s="17" t="str">
        <x:v>Not stated on reviewed official page</x:v>
      </x:c>
      <x:c r="J35" s="17" t="str">
        <x:v>Your MSc Environment, Climate Change and Development degree will prepare you for opportunities in a wide variety of environmental and developmental settings. These include aid agencies, NGOs, and relevant government departments - especially those focused on energy policy and climate change issues. | A wide variety of visiting speakers and field trips means you ll have many opportunities for networking, while competitive internships, placements, and research dissertations provide opportunities to</x:v>
      </x:c>
      <x:c r="K35" s="17" t="str">
        <x:v>Dive into the interconnected world, examining the relationship between environmental change and social justice. Through conceptual frameworks and engaging case studies, you'll develop expertise in understanding and addressing socio-environmental challenges. | Dissertation | Explore and independently research a topic of your choice, integrating your course knowledge with guidance from an academic supervisor. || Research for Development | Learn how to design and undertake meaningful and effective research for development. This will help prepare you to undertake both your dissertation and research as part of your future career. | Ecosystem Services and Nature-based Solutions || Your MSc Environment, Climate Change and Development degree will prepare you for opportunities in a wide variety of environmental and developmental settings. These include aid agencies, NGOs, and relevant government </x:v>
      </x:c>
      <x:c r="L35" s="17" t="str">
        <x:v>Not stated on reviewed official page</x:v>
      </x:c>
      <x:c r="M35" s="17" t="str">
        <x:v>Not stated on reviewed official page</x:v>
      </x:c>
      <x:c r="N35" s="17" t="str">
        <x:v>Not stated on reviewed official page</x:v>
      </x:c>
      <x:c r="O35" s="17" t="str">
        <x:v>We offer targeted careers support with a focus on careers that may be of interest to English language and applied linguistics students. In particular, support addresses the needs of students from under-represented groups. | 100% of graduates from English Language and Applied Linguistics are in work or further study within 15 months of graduation. (Three-year average, based on our analysis of HESA data, Graduate Outcomes Surveys 2021/22 to 2022/23. Includes full-time, UK domiciled, first degree E</x:v>
      </x:c>
      <x:c r="P35" s="30" t="str">
        <x:v>https://www.reading.ac.uk/ready-to-study/study/2026/international-development-and-applied-economics-pg/msc-climate-change-and-development</x:v>
      </x:c>
      <x:c r="Q35" s="30" t="str">
        <x:v>https://www.reading.ac.uk/ready-to-study/study/2026/english-language-and-applied-linguistics-ug</x:v>
      </x:c>
      <x:c r="R35" s="17" t="str">
        <x:v>2026-07-18</x:v>
      </x:c>
      <x:c r="S35" s="17" t="str">
        <x:v>Official program page retrieved; 3 official page(s) reviewed; 7/10 requested evidence groups found.</x:v>
      </x:c>
      <x:c r="T35" s="17" t="str">
        <x:v>Automated evidence extraction from official pages. Manually confirm year-specific tuition, language score applicability, and optional-versus-required curriculum elements before analysis.</x:v>
      </x:c>
    </x:row>
    <x:row r="36" ht="84" customHeight="1">
      <x:c r="A36" s="17" t="n">
        <x:v>32</x:v>
      </x:c>
      <x:c r="B36" s="17" t="str">
        <x:v>Uppsala University</x:v>
      </x:c>
      <x:c r="C36" s="17" t="str">
        <x:v>Sweden</x:v>
      </x:c>
      <x:c r="D36" s="17" t="str">
        <x:v>Master's Programme in Sustainable Development</x:v>
      </x:c>
      <x:c r="E36" s="17" t="str">
        <x:v>Fees | If you are not a citizen of a European Union (EU) or European Economic Area (EEA) country, or Switzerland, you are required to pay application and tuition fees. First tuition fee instalment: SEK 82,500 | Total tuition fee: SEK 330,000 || If you are not a citizen of a European Union (EU) or European Economic Area (EEA) country, or Switzerland, you are required to pay application and tuition fees. First tuition fee instalment: SEK 82,500 | Total tuition fee: SEK 330,000 | Read more about fees.</x:v>
      </x:c>
      <x:c r="F36" s="17" t="str">
        <x:v>Master's Programme in Sustainable Development | 120 credits | Do you want to gain the knowledge and skills required to deal with complex challenges towards sustainable development? Are you interested in conducting your studies with a diverse group of international students? Do you aspire to co-create sustainable futures? The Master's Programme in Sustainable Development is built on the three pillars - interdisciplinarity, systems thinking and future orientation - that permeate our courses. || Degree | The programme leads to the degree of Master of Science (120 credits) with Sustainable Development as the main field of study. After one year of study, it is possible to obtain a degree of Master of Science (60 credits). | Content</x:v>
      </x:c>
      <x:c r="G36" s="17" t="str">
        <x:v>Expand the information below to show details on entry requirements, programme-specific documents, selection criteria and tuition fees. | Autumn 2026 Autumn 2026, Uppsala, 100%, On-campus, English | Location || Teaching form | On-campus | Instructional time</x:v>
      </x:c>
      <x:c r="H36" s="17" t="str">
        <x:v>A Bachelor's degree, equivalent to a Swedish Kandidatexamen, from an internationally recognised university. | Language requirements | Proficiency in English equivalent to the Swedish upper secondary course English 6. This requirement can be met either by achieving the required score on an internationally recognised test, or by previous upper secondary or university studies in some countries.</x:v>
      </x:c>
      <x:c r="I36" s="17" t="str">
        <x:v>Not stated on reviewed official page</x:v>
      </x:c>
      <x:c r="J36" s="17" t="str">
        <x:v>develop and analyse different scenarios for the future, thus improving your critical thinking about opportunities and challenges for achieving sustainable development | As a student in the programme, you will contribute to creating a sustainable future. You will be a part of a very diverse group of international students with different academic backgrounds. The programme gives you practical experience through in-depth methodology courses and internships. You will also use a systems approach to a</x:v>
      </x:c>
      <x:c r="K36" s="17" t="str">
        <x:v>Not stated on reviewed official page</x:v>
      </x:c>
      <x:c r="L36" s="17" t="str">
        <x:v>Not stated on reviewed official page</x:v>
      </x:c>
      <x:c r="M36" s="17" t="str">
        <x:v>Not stated on reviewed official page</x:v>
      </x:c>
      <x:c r="N36" s="17" t="str">
        <x:v>Not stated on reviewed official page</x:v>
      </x:c>
      <x:c r="O36" s="17" t="str">
        <x:v>Not stated on reviewed official page</x:v>
      </x:c>
      <x:c r="P36" s="30" t="str">
        <x:v>https://www.uu.se/en/study/programme/masters-programme-sustainable-development.html</x:v>
      </x:c>
      <x:c r="Q36" s="30" t="str"/>
      <x:c r="R36" s="17" t="str">
        <x:v>2026-07-18</x:v>
      </x:c>
      <x:c r="S36" s="17" t="str">
        <x:v>Official program page retrieved; 1 official page(s) reviewed; 5/10 requested evidence groups found.</x:v>
      </x:c>
      <x:c r="T36" s="17" t="str">
        <x:v>Automated evidence extraction from official pages. Manually confirm year-specific tuition, language score applicability, and optional-versus-required curriculum elements before analysis.</x:v>
      </x:c>
    </x:row>
    <x:row r="37" ht="84" customHeight="1">
      <x:c r="A37" s="17" t="n">
        <x:v>33</x:v>
      </x:c>
      <x:c r="B37" s="17" t="str">
        <x:v>Ghent University</x:v>
      </x:c>
      <x:c r="C37" s="17" t="str">
        <x:v>Belgium</x:v>
      </x:c>
      <x:c r="D37" s="17" t="str">
        <x:v>International MSc in Sustainable and Innovative Natural Resource Management (SINReM)</x:v>
      </x:c>
      <x:c r="E37" s="17" t="str">
        <x:v>Not stated on reviewed official page</x:v>
      </x:c>
      <x:c r="F37" s="17" t="str">
        <x:v>Not stated on reviewed official page</x:v>
      </x:c>
      <x:c r="G37" s="17" t="str">
        <x:v>Not stated on reviewed official page</x:v>
      </x:c>
      <x:c r="H37" s="17" t="str">
        <x:v>Not stated on reviewed official page</x:v>
      </x:c>
      <x:c r="I37" s="17" t="str">
        <x:v>Not stated on reviewed official page</x:v>
      </x:c>
      <x:c r="J37" s="17" t="str">
        <x:v>NA</x:v>
      </x:c>
      <x:c r="K37" s="17" t="str">
        <x:v>Not stated on reviewed official page</x:v>
      </x:c>
      <x:c r="L37" s="17" t="str">
        <x:v>Not stated on reviewed official page</x:v>
      </x:c>
      <x:c r="M37" s="17" t="str">
        <x:v>Not stated on reviewed official page</x:v>
      </x:c>
      <x:c r="N37" s="17" t="str">
        <x:v>Not stated on reviewed official page</x:v>
      </x:c>
      <x:c r="O37" s="17" t="str">
        <x:v>Not stated on reviewed official page</x:v>
      </x:c>
      <x:c r="P37" s="30" t="str">
        <x:v>https://studiekiezer.ugent.be/infobrochure/en/IMSINR/2026</x:v>
      </x:c>
      <x:c r="Q37" s="30" t="str"/>
      <x:c r="R37" s="17" t="str">
        <x:v>2026-07-18</x:v>
      </x:c>
      <x:c r="S37" s="17" t="str">
        <x:v>Official program page retrieved; 1 official page(s) reviewed; 0/10 requested evidence groups found.</x:v>
      </x:c>
      <x:c r="T37" s="17" t="str">
        <x:v>Automated evidence extraction from official pages. Manually confirm year-specific tuition, language score applicability, and optional-versus-required curriculum elements before analysis.</x:v>
      </x:c>
    </x:row>
    <x:row r="38" ht="84" customHeight="1">
      <x:c r="A38" s="17" t="n">
        <x:v>34</x:v>
      </x:c>
      <x:c r="B38" s="17" t="str">
        <x:v>The University of Sheffield</x:v>
      </x:c>
      <x:c r="C38" s="17" t="str">
        <x:v>United Kingdom</x:v>
      </x:c>
      <x:c r="D38" s="17" t="str">
        <x:v>MSc Environmental Change and International Development</x:v>
      </x:c>
      <x:c r="E38" s="17" t="str">
        <x:v>£3,000 scholarships for international students | Overseas fee-paying students joining in September 2026 will automatically receive a £3,000 tuition fee discount (subject to eligibility) - no separate application form required. | Save up to £2,500 on your course fees || Overseas fee-paying students joining in September 2026 will automatically receive a £3,000 tuition fee discount (subject to eligibility) - no separate application form required. | Save up to £2,500 on your course fees | Are you a Sheffield graduate? You could save up to £2,500 on your postgraduate taught course fees, subject to eligibility . || Save up to £2,500 on your course fees | Are you a Sheffield graduate? You could save up to £2,500 on your postgraduate taught course fees, subject to eligibility . | Apply</x:v>
      </x:c>
      <x:c r="F38" s="17" t="str">
        <x:v>Duration | 1 year | Attendance || You will have time to learn how to manipulate and analyse spatial data, automating workflows using open-source Python libraries. The module will progress through core Python and geospatial concepts through to real-world scenarios addressing environmental and socio-spatial issues. Teaching includes interactive lectures, coding sessions, and guided projects, with no prior programming experience required. The module aims to equip you with essential geospatial data science skills for environmental m || You will be able to engage with current research on topics such as climate modelling, observations of glacier change, and environmental monitoring. This is achieved through attendance at a series of research presentations by experts in the appropriate fields, and discussion of background concepts through paper </x:v>
      </x:c>
      <x:c r="G38" s="17" t="str">
        <x:v>Attendance | Full-time | Course fee || Duration | 1 year full-time | Teaching || Fees and funding | We have a fixed fee guarantee in place for postgraduate taught home and postgraduate taught overseas students, meaning that your tuition fee will not increase during your studies. The fee listed is for the advertised mode of study. If you're studying for an alternative qualification (eg PG Certificate, Diploma) or via a different mode of study (eg full-time, part-time) then the fee could be different. Use our fee calculator or contact the Student Fees team to check. | Fee stat</x:v>
      </x:c>
      <x:c r="H38" s="17" t="str">
        <x:v>Entry requirements for international students | English language requirements | IELTS 6.5 (with 6 in each component) or University equivalent || English language requirements | IELTS 6.5 (with 6 in each component) or University equivalent | Other English language qualifications we accept || IELTS 6.5 (with 6 in each component) or University equivalent | Other English language qualifications we accept | Other requirements || Pathway programme for international students | If you're an international student who does not meet the entry requirements for this course, you have the opportunity to apply for a pre-masters programme in Business, Social Sciences and Humanities at the University of Sheffield International College . This course is designed to develop your English language and academic skills. Upon successful completion, you can progress to degree level study at the University of Sheffield. | If you have any ques</x:v>
      </x:c>
      <x:c r="I38" s="17" t="str">
        <x:v>Year Long Modules | Core modules: | Geospatial Programming Essentials || 15 credits | Core modules: | Machine Learning for Environmental Data || The Dissertation/Research Project module will run throughout the year covering autumn, spring and summer semesters. | Core module: | Advanced Research Project</x:v>
      </x:c>
      <x:c r="J38" s="17" t="str">
        <x:v>This course will build your knowledge of key environmental systems and processes while developing your ability to engage critically with contemporary environmental debates. Lectures, seminars and interactive discussions will provide you with a strong theoretical foundation. Building on this, the course focuses on developing enhanced data skills so that you can collect and analyse complex environmental data to back up hypotheses with scientific insight. | Hands-on learning will form a key element || The Designing Environmental Research module provides you with the opportunity to develop essential skills to design and plan research projects. It offers a thorough introduction to the research process, focussing on the core elements necessary for a successful dissertation. | The module will begin by exploring the origins of research problems and how individual topics contribute to broader sci</x:v>
      </x:c>
      <x:c r="K38" s="17" t="str">
        <x:v>This course will build your knowledge of key environmental systems and processes while developing your ability to engage critically with contemporary environmental debates. Lectures, seminars and interactive discussions will provide you with a strong theoretical foundation. Building on this, the course focuses on developing enhanced data skills so that you can collect and analyse complex environmental data to back up hypotheses with scientific insight. | Hands-on learning will form a key element || Hands-on learning will form a key element of your study experience - computer labs, fieldwork and laboratory sessions will give you practical experience in geospatial analysis, environmental monitoring and quantitative methods. You’ll apply these skills in real-world contexts and gain confidence in designing and conducting independent research projects under expert supervision. | An advanced r</x:v>
      </x:c>
      <x:c r="L38" s="17" t="str">
        <x:v>Not stated on reviewed official page</x:v>
      </x:c>
      <x:c r="M38" s="17" t="str">
        <x:v>Not stated on reviewed official page</x:v>
      </x:c>
      <x:c r="N38" s="17" t="str">
        <x:v>Not stated on reviewed official page</x:v>
      </x:c>
      <x:c r="O38" s="17" t="str">
        <x:v>Not stated on reviewed official page</x:v>
      </x:c>
      <x:c r="P38" s="30" t="str">
        <x:v>https://www.sheffield.ac.uk/postgraduate/taught/courses/2026/environmental-change-and-international-development-msc</x:v>
      </x:c>
      <x:c r="Q38" s="30" t="str">
        <x:v>https://sheffield.ac.uk/postgraduate/taught/courses/2026/environmental-science-and-data-msc</x:v>
      </x:c>
      <x:c r="R38" s="17" t="str">
        <x:v>2026-07-18</x:v>
      </x:c>
      <x:c r="S38" s="17" t="str">
        <x:v>Official program page retrieved; 3 official page(s) reviewed; 7/10 requested evidence groups found.</x:v>
      </x:c>
      <x:c r="T38" s="17" t="str">
        <x:v>Automated evidence extraction from official pages. Manually confirm year-specific tuition, language score applicability, and optional-versus-required curriculum elements before analysis.</x:v>
      </x:c>
    </x:row>
    <x:row r="39" ht="84" customHeight="1">
      <x:c r="A39" s="17" t="n">
        <x:v>35</x:v>
      </x:c>
      <x:c r="B39" s="17" t="str">
        <x:v>Delft University of Technology</x:v>
      </x:c>
      <x:c r="C39" s="17" t="str">
        <x:v>Netherlands</x:v>
      </x:c>
      <x:c r="D39" s="17" t="str">
        <x:v>MSc Industrial Ecology (joint Leiden University-TU Delft)</x:v>
      </x:c>
      <x:c r="E39" s="17" t="str">
        <x:v>Dutch, EU/EEA, Swiss and Surinamese nationals | The tuition fee for this programme is €2,694 for the academic year 2026-2027 (statutory fee). | The tuition fee for this programme is €2,601 for the academic year 2025-2026 (statutory fee). || The tuition fee for this programme is €2,694 for the academic year 2026-2027 (statutory fee). | The tuition fee for this programme is €2,601 for the academic year 2025-2026 (statutory fee). | This tuition fee applies if this is your first master’s programme and you are a national of one of the following countries: || Other nationalities | The tuition fee for this programme is €22,500 for the academic year 2026-2027 (institutional tuition fee). | The tuition fee for this programme is €21,800 for the academic year 2025-2026 (institutional tuition fee).</x:v>
      </x:c>
      <x:c r="F39" s="17" t="str">
        <x:v>demonstrable knowledge of environmental sustainability challenges on an academic or professional level, with a focus on climate change and mitigation, design and assessment of sustainable systems, society’s metabolism, circular economy, or sustainable innovation and transitions. This knowledge can be demonstrated through, for instance, successfully completed (elective) academic courses, a minor, major, a (thesis) research project, internship or work experience; and | passed one or multiple cours || You need to have a demonstrable knowledge of environmental sustainability challenges on an academic or professional level, with a focus on climate change and mitigation, design and assessment of sustainable systems, society’s metabolism, circular economy, or sustainable innovation and transitions. This knowledge can be demonstrated through, for</x:v>
      </x:c>
      <x:c r="G39" s="17" t="str">
        <x:v>Italy | The fee applies for both full-time and part-time study. | Other nationalities || The tuition fee for this programme is €21,800 for the academic year 2025-2026 (institutional tuition fee). | If you are not a national of an EEA country, Suriname or Switzerland, generally speaking you will have to pay an institutional tuition fee. This fee applies for both full-time and part-time study. | However, if, on the basis of your Dutch residence permit, you are eligible for student finance from the Dutch education agency (DUO) you are entitled to pay the statutory tuition fee. Informat || We are not able to accept The TOEFL IBT Home Edition™, except in the following situation only: | You are unable to take an in-person test on location because test centres are inaccessible or closed due to unsafe conditions in a country. | We do not accept t</x:v>
      </x:c>
      <x:c r="H39" s="17" t="str">
        <x:v>You need to have passed one or multiple courses that included a minimum of 8 ECTS of mathematics or programming or statistics, or a combination of these three topics. | Language requirements | English language requirements || Language requirements | English language requirements | English language proficiency || English language requirements | English language proficiency | The following requirements apply*: || The following requirements apply*: | IELTS Academic modules only, on paper or on computer : 6.5 overall, with at least 6.0 for each separate component score. | We do not accept IELTS Academic online .</x:v>
      </x:c>
      <x:c r="I39" s="17" t="str">
        <x:v>Programme structure - Leiden University | Skip to main content || About the programme | Programme structure | Industrial Ecology (MSc) || About the programme | Programme structure | Extra-curricular || Industrial Ecology (MSc) | Programme structure | In the interdisciplinary introductory courses taught by experts from both universities you will gain a sound basic knowledge in the field of Industrial Ecology. Further on in the programme, you can follow specialisation courses that fit in with your personal interests. You will delve into important topics such as sustainable resource management, the energy transition, circular economy, and environmental ethics. Upon graduation, you will be a susta</x:v>
      </x:c>
      <x:c r="J39" s="17" t="str">
        <x:v>If you have a bachelor’s degree in any of the Natural Sciences, Engineering Sciences, or Social Sciences from any research university in the Netherlands, you are eligible to apply under the condition that you have | demonstrable experience with multi- or interdisciplinary education and research on an academic or professional level. Relevant to this criterion is experience in an interdisciplinary or multidisciplinary bachelor’s programme (or equivalent), an interdisciplinary research project or m || demonstrable experience with multi- or interdisciplinary education and research on an academic or professional level. Relevant to this criterion is experience in an interdisciplinary or multidisciplinary bachelor’s programme (or equivalent), an interdisciplinary research project or minor, or work experience in an area relevant to environmental sustainability challenges together with profession</x:v>
      </x:c>
      <x:c r="K39" s="17" t="str">
        <x:v>Second year, third and fourth quarter | Thesis Research Project (30 EC) | In your thesis you will demonstrate that you are able to independently conduct research that contributes to the field of Industrial Ecology by addressing a specific research question or problem within the context of sustainability challenges. || If you have a bachelor’s degree in any of the Natural Sciences, Engineering Sciences, or Social Sciences from any research university in the Netherlands, you are eligible to apply under the condition that you have | demonstrable experience with multi- or interdisciplinary education and research on an academic or professional level. Relevant to this criterion is experience in an interdisciplinary or multidisciplinary bachelor’s programme (or equivalent), an interdisciplinary research project or m || demonstrable experience with multi- or interdisciplinary education and resea</x:v>
      </x:c>
      <x:c r="L39" s="17" t="str">
        <x:v>Not stated on reviewed official page</x:v>
      </x:c>
      <x:c r="M39" s="17" t="str">
        <x:v>Not stated on reviewed official page</x:v>
      </x:c>
      <x:c r="N39" s="17" t="str">
        <x:v>Not stated on reviewed official page</x:v>
      </x:c>
      <x:c r="O39" s="17" t="str">
        <x:v>Not stated on reviewed official page</x:v>
      </x:c>
      <x:c r="P39" s="30" t="str">
        <x:v>https://www.universiteitleiden.nl/en/education/study-programmes/master/industrial-ecology/about-the-programme/programme-structure</x:v>
      </x:c>
      <x:c r="Q39" s="30" t="str">
        <x:v>https://www.universiteitleiden.nl/en/education/study-programmes/master/industrial-ecology/admission-and-application/tuition-fees; https://www.universiteitleiden.nl/en/education/study-programmes/master/industrial-ecology/admission-and-application/admission-requirements</x:v>
      </x:c>
      <x:c r="R39" s="17" t="str">
        <x:v>2026-07-18</x:v>
      </x:c>
      <x:c r="S39" s="17" t="str">
        <x:v>Official program page retrieved; 4 official page(s) reviewed; 7/10 requested evidence groups found.</x:v>
      </x:c>
      <x:c r="T39" s="17" t="str">
        <x:v>Automated evidence extraction from official pages. Manually confirm year-specific tuition, language score applicability, and optional-versus-required curriculum elements before analysis.</x:v>
      </x:c>
    </x:row>
    <x:row r="40" ht="84" customHeight="1">
      <x:c r="A40" s="17" t="n">
        <x:v>36</x:v>
      </x:c>
      <x:c r="B40" s="17" t="str">
        <x:v>Michigan State University</x:v>
      </x:c>
      <x:c r="C40" s="17" t="str">
        <x:v>United States</x:v>
      </x:c>
      <x:c r="D40" s="17" t="str">
        <x:v>MS Community Sustainability</x:v>
      </x:c>
      <x:c r="E40" s="17" t="str">
        <x:v>Not stated on reviewed official page</x:v>
      </x:c>
      <x:c r="F40" s="17" t="str">
        <x:v>Not stated on reviewed official page</x:v>
      </x:c>
      <x:c r="G40" s="17" t="str">
        <x:v>Not stated on reviewed official page</x:v>
      </x:c>
      <x:c r="H40" s="17" t="str">
        <x:v>Not stated on reviewed official page</x:v>
      </x:c>
      <x:c r="I40" s="17" t="str">
        <x:v>Not stated on reviewed official page</x:v>
      </x:c>
      <x:c r="J40" s="17" t="str">
        <x:v>NA</x:v>
      </x:c>
      <x:c r="K40" s="17" t="str">
        <x:v>Not stated on reviewed official page</x:v>
      </x:c>
      <x:c r="L40" s="17" t="str">
        <x:v>Not stated on reviewed official page</x:v>
      </x:c>
      <x:c r="M40" s="17" t="str">
        <x:v>Not stated on reviewed official page</x:v>
      </x:c>
      <x:c r="N40" s="17" t="str">
        <x:v>Not stated on reviewed official page</x:v>
      </x:c>
      <x:c r="O40" s="17" t="str">
        <x:v>Not stated on reviewed official page</x:v>
      </x:c>
      <x:c r="P40" s="30" t="str">
        <x:v>https://www.canr.msu.edu/csus/graduate/programs/</x:v>
      </x:c>
      <x:c r="Q40" s="30" t="str"/>
      <x:c r="R40" s="17" t="str">
        <x:v>2026-07-18</x:v>
      </x:c>
      <x:c r="S40" s="17" t="str">
        <x:v>Official program page retrieved; 1 official page(s) reviewed; 0/10 requested evidence groups found.</x:v>
      </x:c>
      <x:c r="T40" s="17" t="str">
        <x:v>Automated evidence extraction from official pages. Manually confirm year-specific tuition, language score applicability, and optional-versus-required curriculum elements before analysis.</x:v>
      </x:c>
    </x:row>
    <x:row r="41" ht="84" customHeight="1">
      <x:c r="A41" s="17" t="n">
        <x:v>37</x:v>
      </x:c>
      <x:c r="B41" s="17" t="str">
        <x:v>Monash University</x:v>
      </x:c>
      <x:c r="C41" s="17" t="str">
        <x:v>Australia</x:v>
      </x:c>
      <x:c r="D41" s="17" t="str">
        <x:v>Master of Environment and Sustainability</x:v>
      </x:c>
      <x:c r="E41" s="17" t="str">
        <x:v>2026 full fee: AUD 46,400 per 48 credit points (a standard full-time annual load). Fees are subject to annual change.</x:v>
      </x:c>
      <x:c r="F41" s="17" t="str">
        <x:v>Entry level dependent: 2, 1.5, or 1 year full-time; corresponding part-time durations are 4, 3, or 2 years.</x:v>
      </x:c>
      <x:c r="G41" s="17" t="str">
        <x:v>On campus at Clayton, full-time or part-time; selected flexible online options are available.</x:v>
      </x:c>
      <x:c r="H41" s="17" t="str">
        <x:v>Applicants must meet Monash English language requirements; the program page links to the university requirements but does not state a score.</x:v>
      </x:c>
      <x:c r="I41" s="17" t="str">
        <x:v>Five specialisations: corporate environmental and sustainability management; environment and governance; environmental security; international development and environment; leadership for sustainable development.</x:v>
      </x:c>
      <x:c r="J41" s="17" t="str">
        <x:v>NA</x:v>
      </x:c>
      <x:c r="K41" s="17" t="str">
        <x:v>Not stated on reviewed official page</x:v>
      </x:c>
      <x:c r="L41" s="17" t="str">
        <x:v>Not stated on reviewed official page</x:v>
      </x:c>
      <x:c r="M41" s="17" t="str">
        <x:v>Not stated on reviewed official page</x:v>
      </x:c>
      <x:c r="N41" s="17" t="str">
        <x:v>Not stated on reviewed official page</x:v>
      </x:c>
      <x:c r="O41" s="17" t="str">
        <x:v>89.5% of alumni were working in environmental and sustainability fields upon graduation (official program-page statement).</x:v>
      </x:c>
      <x:c r="P41" s="30" t="str">
        <x:v>https://www.monash.edu/study/courses/find-a-course/environment-and-sustainability-s6002</x:v>
      </x:c>
      <x:c r="Q41" s="30" t="str">
        <x:v>https://www.monash.edu/study/courses/find-a-course/environment-and-sustainability-s6002</x:v>
      </x:c>
      <x:c r="R41" s="17" t="str">
        <x:v>2026-07-18</x:v>
      </x:c>
      <x:c r="S41" s="17" t="str">
        <x:v>Manually completed from current official indexed content after the automated page request was blocked or incomplete.</x:v>
      </x:c>
      <x:c r="T41" s="17" t="str">
        <x:v>Official source content was manually reviewed. Reconfirm year-specific tuition and linked university-wide requirements before final statistical analysis.</x:v>
      </x:c>
    </x:row>
    <x:row r="42" ht="84" customHeight="1">
      <x:c r="A42" s="17" t="n">
        <x:v>38</x:v>
      </x:c>
      <x:c r="B42" s="17" t="str">
        <x:v>Seoul National University</x:v>
      </x:c>
      <x:c r="C42" s="17" t="str">
        <x:v>South Korea</x:v>
      </x:c>
      <x:c r="D42" s="17" t="str">
        <x:v>Graduate School of Environmental Studies - Environmental Management</x:v>
      </x:c>
      <x:c r="E42" s="17" t="str">
        <x:v>Not stated on reviewed official page</x:v>
      </x:c>
      <x:c r="F42" s="17" t="str">
        <x:v>Not stated on reviewed official page</x:v>
      </x:c>
      <x:c r="G42" s="17" t="str">
        <x:v>Not stated on reviewed official page</x:v>
      </x:c>
      <x:c r="H42" s="17" t="str">
        <x:v>Not stated on reviewed official page</x:v>
      </x:c>
      <x:c r="I42" s="17" t="str">
        <x:v>Not stated on reviewed official page</x:v>
      </x:c>
      <x:c r="J42" s="17" t="str">
        <x:v>NA</x:v>
      </x:c>
      <x:c r="K42" s="17" t="str">
        <x:v>Not stated on reviewed official page</x:v>
      </x:c>
      <x:c r="L42" s="17" t="str">
        <x:v>Not stated on reviewed official page</x:v>
      </x:c>
      <x:c r="M42" s="17" t="str">
        <x:v>Not stated on reviewed official page</x:v>
      </x:c>
      <x:c r="N42" s="17" t="str">
        <x:v>Not stated on reviewed official page</x:v>
      </x:c>
      <x:c r="O42" s="17" t="str">
        <x:v>Not stated on reviewed official page</x:v>
      </x:c>
      <x:c r="P42" s="30" t="str">
        <x:v>https://gses.snu.ac.kr/</x:v>
      </x:c>
      <x:c r="Q42" s="30" t="str"/>
      <x:c r="R42" s="17" t="str">
        <x:v>2026-07-18</x:v>
      </x:c>
      <x:c r="S42" s="17" t="str">
        <x:v>Official program page retrieved; 1 official page(s) reviewed; 0/10 requested evidence groups found.</x:v>
      </x:c>
      <x:c r="T42" s="17" t="str">
        <x:v>Automated evidence extraction from official pages. Manually confirm year-specific tuition, language score applicability, and optional-versus-required curriculum elements before analysis.</x:v>
      </x:c>
    </x:row>
    <x:row r="43" ht="84" customHeight="1">
      <x:c r="A43" s="17" t="n">
        <x:v>39</x:v>
      </x:c>
      <x:c r="B43" s="17" t="str">
        <x:v>University of Nottingham</x:v>
      </x:c>
      <x:c r="C43" s="17" t="str">
        <x:v>United Kingdom</x:v>
      </x:c>
      <x:c r="D43" s="17" t="str">
        <x:v>MSc Environmental Leadership and Management</x:v>
      </x:c>
      <x:c r="E43" s="17" t="str">
        <x:v>£14,600 | International fees: | £28,700 || Alongside the core modules you can specialise in a particular environmental topic by selecting from 20-credit optional modules under the various specialisms. | The programme also incorporates ILM tuition delivered in collaboration with GWA Ltd - an ILM Approved Centre. It will provide students the opportunity to obtain professional qualification of a Level 5 Certificate in Leadership and Management. | Through the completion of an individual project with an emphasis on environmental practice, you || All students will need at least one device to approve security access requests via Multi-Factor Authentication (MFA). We also recommend students have a suitable laptop to work both on and off-campus. For more information, please check the equipment advice . | As a student on this course, you should fac</x:v>
      </x:c>
      <x:c r="F43" s="17" t="str">
        <x:v>Full-time: | 12 months | Part-time:</x:v>
      </x:c>
      <x:c r="G43" s="17" t="str">
        <x:v>Environmental Leadership and Management MSc | Full-time: | 12 months || 12 months | Part-time: | Not available || you won't need to retake IELTS or equivalent. | For on-campus presessional English courses, you must take IELTS for UKVI | to meet visa regulations. For online presessional courses, see our CELE</x:v>
      </x:c>
      <x:c r="H43" s="17" t="str">
        <x:v>For information on entry requirements from your country, see our country pages . | IELTS 6.5 (no less than 6.0 in each element) | English language requirements As well as IELTS (listed above), we also accept other English language qualifications . This includes TOEFL iBT, Pearson PTE, GCSE, IB and O level English. || IELTS 6.5 (no less than 6.0 in each element) | English language requirements As well as IELTS (listed above), we also accept other English language qualifications . This includes TOEFL iBT, Pearson PTE, GCSE, IB and O level English. | Meeting our English language requirements || English language requirements As well as IELTS (listed above), we also accept other English language qualifications . This includes TOEFL iBT, Pearson PTE, GCSE, IB and O level English. | Meeting our English language requirements | If you need support to meet the required level, you may be able to attend a presessional English course. || If you need support to meet the required level, you may be ab</x:v>
      </x:c>
      <x:c r="I43" s="17" t="str">
        <x:v>Course overview | Course content | Learning and assessment || The course develops professionals who blend scientific insight with strategic thinking, and who can inspire and implement solutions across sectors and scales. Whether influencing policy in government agencies, driving innovation in businesses, shaping sustainability strategies in consultancies, or leading conservation efforts in NGOs, graduates of this course are prepared to make a tangible difference. | Core modules build a strong foundation in environmental processes and the ways contemporary  || River and catchment management | Our curriculum is informed by our advisory board of sector professionals and our strong links with organisations including: | Environment Agency || in climate, ecosystems or water | Curriculum informed | by a professional advisory board of sector experts</x:v>
      </x:c>
      <x:c r="J43" s="17" t="str">
        <x:v>Expert staff can help you research career options and job vacancies, build your CV or résumé, develop your interview skills and meet employers. | Each year 1,100 employers advertise graduate jobs and internships through our online vacancy service. We host regular careers fairs, including specialist fairs for different sectors. | International students who complete an eligible degree programme</x:v>
      </x:c>
      <x:c r="K43" s="17" t="str">
        <x:v>The course is accredited by ISEP: The Institute of Sustainability and Environmental Professionals. | You can also gain a Level 5 professional qualification in leadership and management from the Institute of Leadership and Management. In the summer term, you will design and deliver an independent research project in collaboration with an external partner. This is an opportunity to apply your skills to a real world challenge, strengthen your leadership and management portfolio, and build valuable  || The programme also incorporates ILM tuition delivered in collaboration with GWA Ltd - an ILM Approved Centre. It will provide students the opportunity to obtain professional qualification of a Level 5 Certificate in Leadership and Management. | Through the completion of an individual project with an emphasis on environmental practice, you will also acquire the skills needed for effective desig</x:v>
      </x:c>
      <x:c r="L43" s="17" t="str">
        <x:v>Not stated on reviewed official page</x:v>
      </x:c>
      <x:c r="M43" s="17" t="str">
        <x:v>Not stated on reviewed official page</x:v>
      </x:c>
      <x:c r="N43" s="17" t="str">
        <x:v>Not stated on reviewed official page</x:v>
      </x:c>
      <x:c r="O43" s="17" t="str">
        <x:v>92.9% of postgraduates from the School of Geography secured graduate level employment or further study within 15 months of graduation.* | * HESA Graduate Outcomes 2020/21-2021/22. | ISEP University Partner</x:v>
      </x:c>
      <x:c r="P43" s="30" t="str">
        <x:v>https://www.nottingham.ac.uk/pgstudy/course/taught/environmental-leadership-and-management-msc</x:v>
      </x:c>
      <x:c r="Q43" s="30" t="str"/>
      <x:c r="R43" s="17" t="str">
        <x:v>2026-07-18</x:v>
      </x:c>
      <x:c r="S43" s="17" t="str">
        <x:v>Official program page retrieved; 3 official page(s) reviewed; 8/10 requested evidence groups found.</x:v>
      </x:c>
      <x:c r="T43" s="17" t="str">
        <x:v>Automated evidence extraction from official pages. Manually confirm year-specific tuition, language score applicability, and optional-versus-required curriculum elements before analysis.</x:v>
      </x:c>
    </x:row>
    <x:row r="44" ht="84" customHeight="1">
      <x:c r="A44" s="17" t="n">
        <x:v>40</x:v>
      </x:c>
      <x:c r="B44" s="17" t="str">
        <x:v>University of York</x:v>
      </x:c>
      <x:c r="C44" s="17" t="str">
        <x:v>United Kingdom</x:v>
      </x:c>
      <x:c r="D44" s="17" t="str">
        <x:v>MSc Corporate Sustainability and Environmental Management</x:v>
      </x:c>
      <x:c r="E44" s="17" t="str">
        <x:v>Fees and funding | Annual tuition fees for 2026/27 | Study mode || Fees information | UK (home) or international fees? The level of fee that you will be asked to pay depends on whether you're classed as a UK (home) or international student. Check your fee status . | Find out more information about tuition fees and how to pay them. || UK (home) or international fees? The level of fee that you will be asked to pay depends on whether you're classed as a UK (home) or international student. Check your fee status . | Find out more information about tuition fees and how to pay them. | Postgraduate taught fees and expenses</x:v>
      </x:c>
      <x:c r="F44" s="17" t="str">
        <x:v>Length | 1 year full-time | School/department || International and EU | Full-time (1 year) | £13,900 || Chevening Scholarships | We are pleased to work with Chevening Scholars to offer funding for our Masters programmes. Chevening Scholarships provide one year of fully-funded postgraduate study in the UK for international (including EU) students. The scholarships are open to early and mid-career professionals who have the potential to become future leaders. | Living costs</x:v>
      </x:c>
      <x:c r="G44" s="17" t="str">
        <x:v>Length | 1 year full-time | School/department || Meet us | Join us online or in person to find out more about postgraduate study at York. | Upcoming events || Annual tuition fees for 2026/27 | Study mode | UK (home)</x:v>
      </x:c>
      <x:c r="H44" s="17" t="str">
        <x:v>Equivalent qualifications from your country | English language | If English isn't your first language you may need to provide evidence of your English language ability. We accept the following qualifications: || English language | If English isn't your first language you may need to provide evidence of your English language ability. We accept the following qualifications: | Qualification || Minimum requirement | IELTS (Academic and Indicator) | 6.5, minimum 6.0 in each component || 6.5, minimum 6.0 in each component | Cambridge CEFR | B2 First: 176, with 169 in each component</x:v>
      </x:c>
      <x:c r="I44" s="17" t="str">
        <x:v>Overview | Course content | Fees and funding || The University has been ranked 15th in the UK and 39th globally in the QS Sustainability Rankings 2026. These rankings assess 1,994 universities worldwide on their impact in addressing Environmental, Social and Governance (ESG) challenges, in which York achieved the joint number one global position for governance. | Course content | Corporate sustainability takes its cue from the convergence of environmental management and corporate social responsibility disciplines, examining connections betwee || Corporate sustainability takes its cue from the convergence of environmental management and corporate social responsibility disciplines, examining connections between businesses, society and the natural world as we move from responsibility to resilience and to regeneration. | Through core modules, you'll receive a solid grounding in corporate sustainability principles and practices, alongside an employability-skills focused corporate environmental management training. Financial, marketing and ac || Modules | Core modules | Introduction to Sus</x:v>
      </x:c>
      <x:c r="J44" s="17" t="str">
        <x:v>NA</x:v>
      </x:c>
      <x:c r="K44" s="17" t="str">
        <x:v>Through core modules, you'll receive a solid grounding in corporate sustainability principles and practices, alongside an employability-skills focused corporate environmental management training. Financial, marketing and accountability option modules enable you to tailor a degree to your interests. | You'll be trained in research methods and relevant ethical issues, while practising these skills through a variety of team and individual projects. In particular, as an alternative to a University-b || Modules | Dissertation | Modules || Our modules may change to reflect the latest academic thinking and expertise of our staff, and in line with Department/School academic planning. | Dissertation | Either Dissertation or Dissertation with Placement</x:v>
      </x:c>
      <x:c r="L44" s="17" t="str">
        <x:v>Not stated on reviewed official page</x:v>
      </x:c>
      <x:c r="M44" s="17" t="str">
        <x:v>Not stated on reviewed official page</x:v>
      </x:c>
      <x:c r="N44" s="17" t="str">
        <x:v>Not stated on reviewed official page</x:v>
      </x:c>
      <x:c r="O44" s="17" t="str">
        <x:v>Not stated on reviewed official page</x:v>
      </x:c>
      <x:c r="P44" s="30" t="str">
        <x:v>https://www.york.ac.uk/study/postgraduate-taught/courses/msc-corporate-sustainability-environment/</x:v>
      </x:c>
      <x:c r="Q44" s="30" t="str"/>
      <x:c r="R44" s="17" t="str">
        <x:v>2026-07-18</x:v>
      </x:c>
      <x:c r="S44" s="17" t="str">
        <x:v>Official program page retrieved; 3 official page(s) reviewed; 6/10 requested evidence groups found.</x:v>
      </x:c>
      <x:c r="T44" s="17" t="str">
        <x:v>Automated evidence extraction from official pages. Manually confirm year-specific tuition, language score applicability, and optional-versus-required curriculum elements before analysis.</x:v>
      </x:c>
    </x:row>
    <x:row r="45" ht="84" customHeight="1">
      <x:c r="A45" s="17" t="n">
        <x:v>41</x:v>
      </x:c>
      <x:c r="B45" s="17" t="str">
        <x:v>Boston University</x:v>
      </x:c>
      <x:c r="C45" s="17" t="str">
        <x:v>United States</x:v>
      </x:c>
      <x:c r="D45" s="17" t="str">
        <x:v>MS Innovation &amp; Entrepreneurship - Sustainability concentration</x:v>
      </x:c>
      <x:c r="E45" s="17" t="str">
        <x:v>No GRE/GMAT | Tuition &amp; Fees—Part-Time Study*: $29,700 | *Based on 2026–2027 Boston University tuition and fees. Merit scholarship may reduce cost.</x:v>
      </x:c>
      <x:c r="F45" s="17" t="str">
        <x:v>32 Units | 8–16 Months to Completion | 11 Core Faculty || Complimentary Analytics Labs: Two levels of self-paced analytics laboratories offer access to advanced tools and provide opportunities to hone analytics skills using cases that are populated with realistic data. | OPT Designated: Eligible graduates on student visas have access to an Optional Practical Training (OPT) of 12 months. | 24:1 Average Class Ratio: Enjoy an exceptional student-to-instructor ratio, ensuring close interaction with faculty and access to support. || (Two courses/8 units) | Students have the option to complete a master’s thesis in addition to the program’s eight course (32 unit) requirements. The thesis must be completed within 12 months and is available to master’s candidates who have completed at least five courses toward their degree and have a GPA of 3.7 or</x:v>
      </x:c>
      <x:c r="G45" s="17" t="str">
        <x:v>Program at a Glance | Top-Ranked Online Program | On Campus and Online || Top-Ranked Online Program | On Campus and Online | Part-Time or Full-Time Study || On Campus and Online | Part-Time or Full-Time Study | 32 Units</x:v>
      </x:c>
      <x:c r="H45" s="17" t="str">
        <x:v>Not stated on reviewed official page</x:v>
      </x:c>
      <x:c r="I45" s="17" t="str">
        <x:v>Back to Programs Curriculum Faculty Cost Apply Now Request Information | Learn to Integrate Sustainability with Business Innovation || BU MET graduate certificate programs can serve as building blocks to a master’s degree. The Graduate Certificate in International Business Management , the Graduate Certificate in Global Marketing Management , the Graduate Certificate in Innovation &amp; Entrepreneurship , and the Graduate Certificate in Supply Chain Management share specific courses with the MS in Innovation &amp; Entrepreneurship concentration in Sustainability. Students currently enrolled in a graduate certificate who are interested  || A total of eight courses (32 units) is required. | Students are required to finish the four core courses and the Sustainability concentration requirements. | Core Courses || Students are required to finish the four core courses and the Sustainability concentration requirements. | Core Courses | (four courses/16 units)</x:v>
      </x:c>
      <x:c r="J45" s="17" t="str">
        <x:v>NA</x:v>
      </x:c>
      <x:c r="K45" s="17" t="str">
        <x:v>Sprg ‘27 | Prerequisites: Six completed program courses. An extensive research project culminating in a written paper and oral defense. Research is conducted under intensive faculty supervision. Requires department approval and thesis supervisor from full-time faculty. [ Var cr. ] | MET AD 801 Master's Thesis 2 || Sprg ‘27 | Prerequisites: MET AD 800. The second course of an extensive research project culminating in a written paper and oral defense. Research is conducted under intensive faculty supervision. Requires department approval and thesis supervisor from full-time faculty. [ Var cr. ] | Fall 2026</x:v>
      </x:c>
      <x:c r="L45" s="17" t="str">
        <x:v>Yes</x:v>
      </x:c>
      <x:c r="M45" s="17" t="str">
        <x:v>Why Consider BU’s Innovation &amp; Entrepreneurship Degree? | Active Learning Environment: The master s in Innovation &amp; Entrepreneurship at BU MET provides practical, hands-on education that you can apply on the job. A research thesis option is available for those interested in a deeper pursuit of academic research. | Entrepreneurial Development Opportunities: Innovate@BU programs such as Innovation Pathway , Summer Accelerator , and New Venture Competition -among others-provide complementary pitch  || How are cities responding to the defining challenge of our time—climate change? This course explores how urban areas can both reduce their impact on the planet and adapt to the changes already underway. You’ll learn how climate change affects people, infrastructure, and systems at the local leve</x:v>
      </x:c>
      <x:c r="N45" s="17" t="str">
        <x:v>Not stated on reviewed official page</x:v>
      </x:c>
      <x:c r="O45" s="17" t="str">
        <x:v>Not stated on reviewed official page</x:v>
      </x:c>
      <x:c r="P45" s="30" t="str">
        <x:v>https://www.bu.edu/met/degrees-certificates/ms-innovation-entrepreneurship-sustainability/</x:v>
      </x:c>
      <x:c r="Q45" s="30" t="str"/>
      <x:c r="R45" s="17" t="str">
        <x:v>2026-07-18</x:v>
      </x:c>
      <x:c r="S45" s="17" t="str">
        <x:v>Official program page retrieved; 3 official page(s) reviewed; 6/10 requested evidence groups found.</x:v>
      </x:c>
      <x:c r="T45" s="17" t="str">
        <x:v>Automated evidence extraction from official pages. Manually confirm year-specific tuition, language score applicability, and optional-versus-required curriculum elements before analysis.</x:v>
      </x:c>
    </x:row>
    <x:row r="46" ht="84" customHeight="1">
      <x:c r="A46" s="17" t="n">
        <x:v>42</x:v>
      </x:c>
      <x:c r="B46" s="17" t="str">
        <x:v>Johns Hopkins University</x:v>
      </x:c>
      <x:c r="C46" s="17" t="str">
        <x:v>United States</x:v>
      </x:c>
      <x:c r="D46" s="17" t="str">
        <x:v>MS in Energy Policy and Climate</x:v>
      </x:c>
      <x:c r="E46" s="17" t="str">
        <x:v>Current program tuition and fees: USD 50,650-51,650 total; USD 5,065 per course.</x:v>
      </x:c>
      <x:c r="F46" s="17" t="str">
        <x:v>Usually 12-24 months; students may take up to five years to complete the degree.</x:v>
      </x:c>
      <x:c r="G46" s="17" t="str">
        <x:v>On campus in Washington, D.C. or 100% online; full-time or part-time; modalities may be combined.</x:v>
      </x:c>
      <x:c r="H46" s="17" t="str">
        <x:v>Not stated on reviewed official page</x:v>
      </x:c>
      <x:c r="I46" s="17" t="str">
        <x:v>10 courses / 30 credits with five focus areas: Climate Change, Energy, Policy, Social Perspectives in Climate and Energy, and Modeling.</x:v>
      </x:c>
      <x:c r="J46" s="17" t="str">
        <x:v>Optional immersive field courses; recent destinations included coastal Louisiana, California, China, Luxembourg, and Australia.</x:v>
      </x:c>
      <x:c r="K46" s="17" t="str">
        <x:v>Required capstone project addressing a real-world environmental problem.</x:v>
      </x:c>
      <x:c r="L46" s="17" t="str">
        <x:v>No thesis option stated; the official page specifies a capstone project.</x:v>
      </x:c>
      <x:c r="M46" s="17" t="str">
        <x:v>Capstone project is stated; thesis is not stated.</x:v>
      </x:c>
      <x:c r="N46" s="17" t="str">
        <x:v>Not stated on reviewed official page</x:v>
      </x:c>
      <x:c r="O46" s="17" t="str">
        <x:v>Not stated on reviewed official page</x:v>
      </x:c>
      <x:c r="P46" s="30" t="str">
        <x:v>https://advanced.jhu.edu/academics/graduate/ms-energy-policy-climate/</x:v>
      </x:c>
      <x:c r="Q46" s="30" t="str">
        <x:v>https://advanced.jhu.edu/academics/graduate/ms-energy-policy-climate/</x:v>
      </x:c>
      <x:c r="R46" s="17" t="str">
        <x:v>2026-07-18</x:v>
      </x:c>
      <x:c r="S46" s="17" t="str">
        <x:v>Manually completed from current official indexed content after the automated page request was blocked or incomplete.</x:v>
      </x:c>
      <x:c r="T46" s="17" t="str">
        <x:v>Official source content was manually reviewed. Reconfirm year-specific tuition and linked university-wide requirements before final statistical analysis.</x:v>
      </x:c>
    </x:row>
    <x:row r="47" ht="84" customHeight="1">
      <x:c r="A47" s="17" t="n">
        <x:v>43</x:v>
      </x:c>
      <x:c r="B47" s="17" t="str">
        <x:v>Massachusetts Institute of Technology (MIT)</x:v>
      </x:c>
      <x:c r="C47" s="17" t="str">
        <x:v>United States</x:v>
      </x:c>
      <x:c r="D47" s="17" t="str">
        <x:v>Master in City Planning - Environmental Policy and Planning focus</x:v>
      </x:c>
      <x:c r="E47" s="17" t="str">
        <x:v>How would you rate the relationship between faculty &amp; graduate students?: 78% responded "good", "very good", or "excellent." | 2025-2026 Tuition and Fees In State Residents, per full-time academic year: $ 64,310 | Out of State Residents, per full-time academic year $ 64,310</x:v>
      </x:c>
      <x:c r="F47" s="17" t="str">
        <x:v>Degree requirements (MCP) | A collection of subjects and requirements to be taken during the students two years in the MCP program constitute a core experience viewed as central to the professional program and consisting of an integrated set of subjects and modules designed to introduce planning practices, methods, contemporary challenges, and the economic and social institutions within which planners work. | The core subjects and requirements include the following: || Through lectures, case studies, and hands-on experience, students become familiar with theories of planning and their application in professional practice. Students are encouraged to take one of the Department's many workshop and studio subjects that engage planning issues in real-world settings. Entering students with significant knowledge in Microeconomics, Data Managemen</x:v>
      </x:c>
      <x:c r="G47" s="17" t="str">
        <x:v>Under special circumstances, admission may be granted to a limited number candidates seeking a one-year Master of Science (SM) degree. The SM is a non-professional degree intended for professionals with a number of years of distinguished practice in city planning or related fields who: have a clear idea of the courses they want to take at MIT, the thesis they want to write and the DUSP faculty member with whom they wish to work. That faculty member must be prepared to advise the candidate when a || How would you rate the relationship between faculty &amp; graduate students?: 78% responded "good", "very good", or "excellent." | 2025-2026 Tuition and Fees In State Residents, per full-time academic year: $ 64,310 | Out of State Residents, per full-time academic year $ 64,310 || 2025-2026 Tuition and Fees In State Residents, per full-time academi</x:v>
      </x:c>
      <x:c r="H47" s="17" t="str">
        <x:v>Not stated on reviewed official page</x:v>
      </x:c>
      <x:c r="I47" s="17" t="str">
        <x:v>Housing | This curricular pathway prepares and supports students interested in understanding, creating, and sustaining housing. It explores history, politics, policy, design, development, land use regulation, and economics related to housing, and their relationships to healthy, environmentally and socially sustainable communities and thriving economies, with special attention to innovative approaches to the topic. It also addresses how housing discrimination, housing insecurity, lack of safe and || Under special circumstances, admission may be granted to a limited number candidates seeking a one-year Master of Science (SM) degree. The SM is a non-professional degree intended for professionals with a number of years of distinguished practice in city planning or related fields who: have a clear idea of the courses they want to take at MIT, the thesis they want to write and the DUSP faculty member with whom they wish to work. That faculty member must be prepared to advise the candidate when a || Urban Design Certificate The Department of Architecture and the Department of Urban Studies </x:v>
      </x:c>
      <x:c r="J47" s="17" t="str">
        <x:v>MCP Curricular Pathways | Field Work and Internships (MCP) | Master of Science in Urban Studies and Planning (SM) || Additional Requirements | A practicum course-- complete one of several designated courses that provide the opportunity to synthesize planning solutions within the constraints of client-based project | A thesis clinic and signed thesis proposal completed in the third term of study || Thesis (MCP) | The fourth semester is devoted to completing a thesis and rounding out course work leading to graduation. A thesis in the MCP program may take one of several forms: an independent scholarly research project guided by an advisor and readers; a directed thesis contributing to a larger research effort directed by a faculty member; or a professionally oriented thesis developed in the context of a studio or practicum course. In all cases the thesis must be a piece of original, creativ</x:v>
      </x:c>
      <x:c r="K47" s="17" t="str">
        <x:v>Thesis (MCP) | The fourth semester is devoted to completing a thesis and rounding out course work leading to graduation. A thesis in the MCP program may take one of several forms: an independent scholarly research project guided by an advisor and readers; a directed thesis contributing to a larger research effort directed by a faculty member; or a professionally oriented thesis developed in the context of a studio or practicum course. In all cases the thesis must be a piece of original, creative</x:v>
      </x:c>
      <x:c r="L47" s="17" t="str">
        <x:v>Not stated on reviewed official page</x:v>
      </x:c>
      <x:c r="M47" s="17" t="str">
        <x:v>Not stated on reviewed official page</x:v>
      </x:c>
      <x:c r="N47" s="17" t="str">
        <x:v>Not stated on reviewed official page</x:v>
      </x:c>
      <x:c r="O47" s="17" t="str">
        <x:v>Not stated on reviewed official page</x:v>
      </x:c>
      <x:c r="P47" s="30" t="str">
        <x:v>https://dusp.mit.edu/masters</x:v>
      </x:c>
      <x:c r="Q47" s="30" t="str"/>
      <x:c r="R47" s="17" t="str">
        <x:v>2026-07-18</x:v>
      </x:c>
      <x:c r="S47" s="17" t="str">
        <x:v>Official program page retrieved; 1 official page(s) reviewed; 6/10 requested evidence groups found.</x:v>
      </x:c>
      <x:c r="T47" s="17" t="str">
        <x:v>Automated evidence extraction from official pages. Manually confirm year-specific tuition, language score applicability, and optional-versus-required curriculum elements before analysis.</x:v>
      </x:c>
    </x:row>
    <x:row r="48" ht="84" customHeight="1">
      <x:c r="A48" s="17" t="n">
        <x:v>44</x:v>
      </x:c>
      <x:c r="B48" s="17" t="str">
        <x:v>University of Birmingham</x:v>
      </x:c>
      <x:c r="C48" s="17" t="str">
        <x:v>United Kingdom</x:v>
      </x:c>
      <x:c r="D48" s="17" t="str">
        <x:v>MSc Environment, Development and Politics</x:v>
      </x:c>
      <x:c r="E48" s="17" t="str">
        <x:v>Scholarships worth £4,000 with additional wrap-around support for students from under-represented backgrounds beginning a Masters in 2026 | Value: £4,000 tuition fee discount and additional support | Application deadline: 31 July 2026 || Alumni Scholarship | £2,000 tuition fee discounts for our returning undergraduate alumni commencing their Masters in 2026 | Value: £2,000 tuition fee discount || £2,000 tuition fee discounts for our returning undergraduate alumni commencing their Masters in 2026 | Value: £2,000 tuition fee discount | Application deadline: 31 July 2026</x:v>
      </x:c>
      <x:c r="F48" s="17" t="str">
        <x:v>Duration | 12 months full time, 24 months part time (part time options only available to UK students) | Award || Course Structure | This course will run over 12 months in a full-time-mode. There is also scope to undertake the programme on a part-time basis for Home students. | First Term : 10 Weeks || This course will run over 12 months in a full-time-mode. There is also scope to undertake the programme on a part-time basis for Home students. | First Term : 10 Weeks | Students will take a combination of 60 credits of compulsory/optional modules across various areas of International Development, Politics and International Relations. Examinations will take place throughout the term as courseworks, written exams and/or presentations.</x:v>
      </x:c>
      <x:c r="G48" s="17" t="str">
        <x:v>Delivery format | In person | Start date || Duration | 12 months full time, 24 months part time (part time options only available to UK students) | Award || Fees (UK/Ireland) | £12,150 (full-time) / £6,075 (part-time) | Fee details</x:v>
      </x:c>
      <x:c r="H48" s="17" t="str">
        <x:v>Or Lower 2:1 Honours degree with excellent work experience | English language requirements | If you are an international student, you will need to demonstrate you have a suitable level of English proficiency, usually through the form of an IELTS or equivalent qualification or a Presessional English course. || English language requirements | If you are an international student, you will need to demonstrate you have a suitable level of English proficiency, usually through the form of an IELTS or equivalent qualification or a Presessional English course. | For this course we require IELTS 6.5 with no less than 6.0 in any band, which is equivalent to: || If you are an international student, you will need to demonstrate you have a suitable level of English proficiency, usually through the form of an IELTS or equivalent qualification or a Presessional English course. | For this course we require IELTS 6.5 with no less than 6.0 in any band, which is equivalent to: | TOEFL iBT taken before Jan</x:v>
      </x:c>
      <x:c r="I48" s="17" t="str">
        <x:v>Favour Nunoo International Development Department postgraduate student | Course Structure | This course will run over 12 months in a full-time-mode. There is also scope to undertake the programme on a part-time basis for Home students. || Module information | A Masters programme is made up of 180 credits in total. For this programme, you'll take three core modules (60 credits) and a dissertation (60 credits), and then choose three optional modules (60 credits) that reflect your own interests. | The modules listed below are an indication only and may be subject to change. Occasionally, it may be necessary to make changes to modules, for example, to ensure they remain current and relevant. || 2026/27 Session | The following core modules are included in your programme: | Module Title || Global opportunities and life experience | Careers in the curriculum | Your careers toolkit</x:v>
      </x:c>
      <x:c r="J48" s="17" t="str">
        <x:v>Course overview | Explore our MSc in Environment, Development, and Politics, where we integrate power dynamics into environmental decision-making. Gain practical insights and skills highly valued by employers, alongside international fieldwork opportunities, flexible modules, and robust academic support within our diverse and vibrant community. | I completed my undergraduate degree in Political Science, but I had always been eager to transition into the field of development. Being offered a scho || Summer Term | During this term, you will be completing assignments and focusing on your 60-credit dissertation, which may be undertaken with individual fieldwork. | Join our mailing list || Course highlights | Our MSc Environment, Development, and Politics stands out by integrating power dynamics into environmental decision-making and offering a collaborative, interdisciplinary approach in ass</x:v>
      </x:c>
      <x:c r="K48" s="17" t="str">
        <x:v>Summer Term | During this term, you will be completing assignments and focusing on your 60-credit dissertation, which may be undertaken with individual fieldwork. | Join our mailing list || Module information | A Masters programme is made up of 180 credits in total. For this programme, you'll take three core modules (60 credits) and a dissertation (60 credits), and then choose three optional modules (60 credits) that reflect your own interests. | The modules listed below are an indication only and may be subject to change. Occasionally, it may be necessary to make changes to modules, for example, to ensure they remain current and relevant. || Credits | Dissertation (International Development) | Environment and Sustainable Development</x:v>
      </x:c>
      <x:c r="L48" s="17" t="str">
        <x:v>Not stated on reviewed official page</x:v>
      </x:c>
      <x:c r="M48" s="17" t="str">
        <x:v>Not stated on reviewed official page</x:v>
      </x:c>
      <x:c r="N48" s="17" t="str">
        <x:v>Not stated on reviewed official page</x:v>
      </x:c>
      <x:c r="O48" s="17" t="str">
        <x:v>Top 2 | We're consistently one of the top UK universities targeted by leading graduate employers | 'The Graduate Market in 2026' High Fliers report || Your careers toolkit | We are consistently one of the top universities targeted by graduate employers | We are one of the most consistently targeted UK universities by top graduate employers (High Fliers report, The Graduate Market 2026). Read more about the achievements of our alumni and the way their university experience shaped their journey. || We are consistently one of the top universities targeted by graduate employers | We are one of the most consistently targeted UK universities by top graduate employers (High Fliers report, The Graduate Market 2026). Read more about the achievements of our alumni and the way their university experience shaped their journey. | Meet our graduates</x:v>
      </x:c>
      <x:c r="P48" s="30" t="str">
        <x:v>https://www.birmingham.ac.uk/study/postgraduate/subjects/politics-development-and-international-relations-courses/environment-development-and-politics-msc</x:v>
      </x:c>
      <x:c r="Q48" s="30" t="str"/>
      <x:c r="R48" s="17" t="str">
        <x:v>2026-07-18</x:v>
      </x:c>
      <x:c r="S48" s="17" t="str">
        <x:v>Official program page retrieved; 4 official page(s) reviewed; 8/10 requested evidence groups found.</x:v>
      </x:c>
      <x:c r="T48" s="17" t="str">
        <x:v>Automated evidence extraction from official pages. Manually confirm year-specific tuition, language score applicability, and optional-versus-required curriculum elements before analysis.</x:v>
      </x:c>
    </x:row>
    <x:row r="49" ht="84" customHeight="1">
      <x:c r="A49" s="17" t="n">
        <x:v>45</x:v>
      </x:c>
      <x:c r="B49" s="17" t="str">
        <x:v>Université Paris-Saclay</x:v>
      </x:c>
      <x:c r="C49" s="17" t="str">
        <x:v>France</x:v>
      </x:c>
      <x:c r="D49" s="17" t="str">
        <x:v>M1 Corporate Social Responsibility and Environment</x:v>
      </x:c>
      <x:c r="E49" s="17" t="str">
        <x:v>The amounts may vary depending on the programme and your personal circumstances. | More information on tuition fees | More information on scholarships || admission | Tuition fees | Print this article || Par mail | Find information about tuition fees, payment methods, and the conditions for fee waivers or refunds. | National fees</x:v>
      </x:c>
      <x:c r="F49" s="17" t="str">
        <x:v>Not stated on reviewed official page</x:v>
      </x:c>
      <x:c r="G49" s="17" t="str">
        <x:v>Specialisation Science de la durabilité | Full-time academic programmes | French</x:v>
      </x:c>
      <x:c r="H49" s="17" t="str">
        <x:v>Not stated on reviewed official page</x:v>
      </x:c>
      <x:c r="I49" s="17" t="str">
        <x:v>All transcripts of the years / semesters validated since the high school diploma at the date of application. | Curriculum Vitae. | Additional supporting documents</x:v>
      </x:c>
      <x:c r="J49" s="17" t="str">
        <x:v>NA</x:v>
      </x:c>
      <x:c r="K49" s="17" t="str">
        <x:v>Not stated on reviewed official page</x:v>
      </x:c>
      <x:c r="L49" s="17" t="str">
        <x:v>Not stated on reviewed official page</x:v>
      </x:c>
      <x:c r="M49" s="17" t="str">
        <x:v>Not stated on reviewed official page</x:v>
      </x:c>
      <x:c r="N49" s="17" t="str">
        <x:v>Not stated on reviewed official page</x:v>
      </x:c>
      <x:c r="O49" s="17" t="str">
        <x:v>Not stated on reviewed official page</x:v>
      </x:c>
      <x:c r="P49" s="30" t="str">
        <x:v>https://www.universite-paris-saclay.fr/en/education/masters-degree/science-de-la-durabilite/m1-responsabilite-societale-des-entreprises-et-environnement-rsee</x:v>
      </x:c>
      <x:c r="Q49" s="30" t="str">
        <x:v>https://www.universite-paris-saclay.fr/en/admission/tuition-fees</x:v>
      </x:c>
      <x:c r="R49" s="17" t="str">
        <x:v>2026-07-18</x:v>
      </x:c>
      <x:c r="S49" s="17" t="str">
        <x:v>Official program page retrieved; 2 official page(s) reviewed; 3/10 requested evidence groups found.</x:v>
      </x:c>
      <x:c r="T49" s="17" t="str">
        <x:v>Automated evidence extraction from official pages. Manually confirm year-specific tuition, language score applicability, and optional-versus-required curriculum elements before analysis.</x:v>
      </x:c>
    </x:row>
    <x:row r="50" ht="84" customHeight="1">
      <x:c r="A50" s="17" t="n">
        <x:v>46</x:v>
      </x:c>
      <x:c r="B50" s="17" t="str">
        <x:v>Universität Hamburg</x:v>
      </x:c>
      <x:c r="C50" s="17" t="str">
        <x:v>Germany</x:v>
      </x:c>
      <x:c r="D50" s="17" t="str">
        <x:v>MSc Integrated Climate System Sciences</x:v>
      </x:c>
      <x:c r="E50" s="17" t="str">
        <x:v>Taught in English | No tuition fees | Application possible between February 15 and March 31 every year</x:v>
      </x:c>
      <x:c r="F50" s="17" t="str">
        <x:v>International: 75 % students with an international background | Excellent career prospects: more than 80 % of our graduates go into academia, NGOs, or consulting within less than 6 months of graduating | Access to an international research environment at Germany’s climate research network || Course of studies | The two-year curriculum is subdivided into nine modules. During the first semester a common foundation (research skills, mathematical and physical basics, functioning and variability of the climate system, principles of economic and social sciences) is established. The second semester is designed to broaden interdisciplinary knowledge; students are free to design their own individual tailor-made study plan. In the last two semesters in-depth knowledge in one of the four foci </x:v>
      </x:c>
      <x:c r="G50" s="17" t="str">
        <x:v>Not stated on reviewed official page</x:v>
      </x:c>
      <x:c r="H50" s="17" t="str">
        <x:v>Introduction | The English language M.Sc. program “Integrated Climate System Sciences” (ICSS) is part of the School of Integrated Climate and Earth System Sciences (SICSS) at the Universität Hamburg. It has been established at the Department of Earth Sciences within the Faculty of Mathematics, Informatics and Natural Sciences (MIN) in close collaboration with the Faculty of Economics and Social Sciences. | Structure</x:v>
      </x:c>
      <x:c r="I50" s="17" t="str">
        <x:v>Climate-Related Social Sciences | You will study all four foci during your first semester. After the second semester, you can give your personal curriculum either an in-depth focus on one of the four foci, or an interdisciplinary approach whereby you combine various courses from the four foci. | Additionally, the ICSS program also offers many technical skills elective courses , which provide you with working knowledge in tools used for scientific programming and data analysis or software develop || Course of studies | The two-year curriculum is subdivided into nine modules. During the first semester a common foundation (research skills, mathematical and physical basics, functioning and variability of the climate system, principles of economic and social sciences) is established. The second semester is designed to broaden interdisciplinary knowledge; students are free to design their own individual tailor-made study plan. In the last two semesters in-depth knowledge in one of the four foci </x:v>
      </x:c>
      <x:c r="J50" s="17" t="str">
        <x:v>NA</x:v>
      </x:c>
      <x:c r="K50" s="17" t="str">
        <x:v>Not stated on reviewed official page</x:v>
      </x:c>
      <x:c r="L50" s="17" t="str">
        <x:v>Not stated on reviewed official page</x:v>
      </x:c>
      <x:c r="M50" s="17" t="str">
        <x:v>Not stated on reviewed official page</x:v>
      </x:c>
      <x:c r="N50" s="17" t="str">
        <x:v>Not stated on reviewed official page</x:v>
      </x:c>
      <x:c r="O50" s="17" t="str">
        <x:v>Not stated on reviewed official page</x:v>
      </x:c>
      <x:c r="P50" s="30" t="str">
        <x:v>https://www.geo.uni-hamburg.de/en/studium/master/msc-icss.html</x:v>
      </x:c>
      <x:c r="Q50" s="30" t="str">
        <x:v>https://www.geo.uni-hamburg.de/en/studium/master/msc-icss/module-handbook.html</x:v>
      </x:c>
      <x:c r="R50" s="17" t="str">
        <x:v>2026-07-18</x:v>
      </x:c>
      <x:c r="S50" s="17" t="str">
        <x:v>Official program page retrieved; 2 official page(s) reviewed; 4/10 requested evidence groups found.</x:v>
      </x:c>
      <x:c r="T50" s="17" t="str">
        <x:v>Automated evidence extraction from official pages. Manually confirm year-specific tuition, language score applicability, and optional-versus-required curriculum elements before analysis.</x:v>
      </x:c>
    </x:row>
    <x:row r="51" ht="84" customHeight="1">
      <x:c r="A51" s="17" t="n">
        <x:v>47</x:v>
      </x:c>
      <x:c r="B51" s="17" t="str">
        <x:v>University College Dublin</x:v>
      </x:c>
      <x:c r="C51" s="17" t="str">
        <x:v>Ireland</x:v>
      </x:c>
      <x:c r="D51" s="17" t="str">
        <x:v>MSc Environmental Policy, Strategy &amp; Leadership</x:v>
      </x:c>
      <x:c r="E51" s="17" t="str">
        <x:v>Not stated on reviewed official page</x:v>
      </x:c>
      <x:c r="F51" s="17" t="str">
        <x:v>Not stated on reviewed official page</x:v>
      </x:c>
      <x:c r="G51" s="17" t="str">
        <x:v>Not stated on reviewed official page</x:v>
      </x:c>
      <x:c r="H51" s="17" t="str">
        <x:v>Not stated on reviewed official page</x:v>
      </x:c>
      <x:c r="I51" s="17" t="str">
        <x:v>Not stated on reviewed official page</x:v>
      </x:c>
      <x:c r="J51" s="17" t="str">
        <x:v>NA</x:v>
      </x:c>
      <x:c r="K51" s="17" t="str">
        <x:v>Not stated on reviewed official page</x:v>
      </x:c>
      <x:c r="L51" s="17" t="str">
        <x:v>Not stated on reviewed official page</x:v>
      </x:c>
      <x:c r="M51" s="17" t="str">
        <x:v>Not stated on reviewed official page</x:v>
      </x:c>
      <x:c r="N51" s="17" t="str">
        <x:v>Not stated on reviewed official page</x:v>
      </x:c>
      <x:c r="O51" s="17" t="str">
        <x:v>Not stated on reviewed official page</x:v>
      </x:c>
      <x:c r="P51" s="30" t="str">
        <x:v>https://www.ucd.ie/envpolicy/study/</x:v>
      </x:c>
      <x:c r="Q51" s="30" t="str"/>
      <x:c r="R51" s="17" t="str">
        <x:v>2026-07-18</x:v>
      </x:c>
      <x:c r="S51" s="17" t="str">
        <x:v>Official program page retrieved; 1 official page(s) reviewed; 0/10 requested evidence groups found.</x:v>
      </x:c>
      <x:c r="T51" s="17" t="str">
        <x:v>Automated evidence extraction from official pages. Manually confirm year-specific tuition, language score applicability, and optional-versus-required curriculum elements before analysis.</x:v>
      </x:c>
    </x:row>
    <x:row r="52" ht="84" customHeight="1">
      <x:c r="A52" s="17" t="n">
        <x:v>48</x:v>
      </x:c>
      <x:c r="B52" s="17" t="str">
        <x:v>The University of Tokyo</x:v>
      </x:c>
      <x:c r="C52" s="17" t="str">
        <x:v>Japan</x:v>
      </x:c>
      <x:c r="D52" s="17" t="str">
        <x:v>Graduate Program in Sustainability Science - Global Leadership Initiative</x:v>
      </x:c>
      <x:c r="E52" s="17" t="str">
        <x:v>Not stated on reviewed official page</x:v>
      </x:c>
      <x:c r="F52" s="17" t="str">
        <x:v>Not stated on reviewed official page</x:v>
      </x:c>
      <x:c r="G52" s="17" t="str">
        <x:v>Not stated on reviewed official page</x:v>
      </x:c>
      <x:c r="H52" s="17" t="str">
        <x:v>Not stated on reviewed official page</x:v>
      </x:c>
      <x:c r="I52" s="17" t="str">
        <x:v>Not stated on reviewed official page</x:v>
      </x:c>
      <x:c r="J52" s="17" t="str">
        <x:v>NA</x:v>
      </x:c>
      <x:c r="K52" s="17" t="str">
        <x:v>Not stated on reviewed official page</x:v>
      </x:c>
      <x:c r="L52" s="17" t="str">
        <x:v>Not stated on reviewed official page</x:v>
      </x:c>
      <x:c r="M52" s="17" t="str">
        <x:v>Not stated on reviewed official page</x:v>
      </x:c>
      <x:c r="N52" s="17" t="str">
        <x:v>Not stated on reviewed official page</x:v>
      </x:c>
      <x:c r="O52" s="17" t="str">
        <x:v>Not stated on reviewed official page</x:v>
      </x:c>
      <x:c r="P52" s="30" t="str">
        <x:v>https://www.sustainability.k.u-tokyo.ac.jp/</x:v>
      </x:c>
      <x:c r="Q52" s="30" t="str"/>
      <x:c r="R52" s="17" t="str">
        <x:v>2026-07-18</x:v>
      </x:c>
      <x:c r="S52" s="17" t="str">
        <x:v>Official program page retrieved; 1 official page(s) reviewed; 0/10 requested evidence groups found.</x:v>
      </x:c>
      <x:c r="T52" s="17" t="str">
        <x:v>Automated evidence extraction from official pages. Manually confirm year-specific tuition, language score applicability, and optional-versus-required curriculum elements before analysis.</x:v>
      </x:c>
    </x:row>
    <x:row r="53" ht="84" customHeight="1">
      <x:c r="A53" s="17" t="n">
        <x:v>49</x:v>
      </x:c>
      <x:c r="B53" s="17" t="str">
        <x:v>University of Exeter</x:v>
      </x:c>
      <x:c r="C53" s="17" t="str">
        <x:v>United Kingdom</x:v>
      </x:c>
      <x:c r="D53" s="17" t="str">
        <x:v>MSc Global Sustainability Solutions</x:v>
      </x:c>
      <x:c r="E53" s="17" t="str">
        <x:v>GBP 14,300 full-time; GBP 7,150 part-time | International fees per year: | GBP 30,100 full-time; GBP 15,050 part-time || University of Exeter Alumni Scholarship | We are pleased to offer the University of Exeter Alumni Scholarship , a scholarship for University of Exeter alumni beginning a standalone postgraduate programme in 2026/27 with us a scholarship worth 20% of the cost of your first year tuition fees. | Terms and conditions, including deadlines, apply. || Terms and conditions, including deadlines, apply. | Find out more about tuition fees and funding | I love that the course has an interdisciplinary approach and together across a range of subjects we can work to create sustainability solutions. Each of our lecturers are the best in their field.</x:v>
      </x:c>
      <x:c r="F53" s="17" t="str">
        <x:v>Duration | 1 year full time | 2 years part time || 1 year full time | 2 years part time | Entry year || I ve really enjoyed meeting new people from all over the world and being able to come together to brainstorm and learn about subjects that we re all really motivated about. I ve also enjoyed working on real-world challenges as well as having a dissertation project that has the potential to encourage positive change. | I m a mature student who, after completing my first degree 11 years ago, decided to return to part-time study with the aim of learning about and helping to create solutions for som</x:v>
      </x:c>
      <x:c r="G53" s="17" t="str">
        <x:v>Duration | 1 year full time | 2 years part time || 1 year full time | 2 years part time | Entry year || Select programme | Full time | Part time</x:v>
      </x:c>
      <x:c r="H53" s="17" t="str">
        <x:v>Entry requirements for international students | English language requirements | International students need to show they have the required level of English language to study this course. || English language requirements | International students need to show they have the required level of English language to study this course. | The required IELTS test scores for this course fall under Profile B1 . || International students need to show they have the required level of English language to study this course. | The required IELTS test scores for this course fall under Profile B1 . | Please visit our English language requirements page to view the required test scores and equivalencies from your country. || The required IELTS test scores for this course fall under Profile B1 . | Please visit our English language requirements page to view the required test scores and equivalencies from your country. | The knowledge that I have gained from the MSc Global Sustainability Solutions has been inva</x:v>
      </x:c>
      <x:c r="I53" s="17" t="str">
        <x:v>Entry requirements | Course content | Fees || The knowledge that I have gained from the MSc Global Sustainability Solutions has been invaluable to inform the research that I now do into climate science and policy research in my role as Sustainability Analyst at ITV. | In terms of course content, I really enjoyed learning about the policy landscape within the Innovation and the Science-Policy Interface module, particularly the group work aspect of creating a report on a new policy proposal. But candidly, one of the most enjoyable parts of th || MSc Global Sustainability Solutions | Course content | Our impacts on the Earth system are at such a scale that we have become a geological force. If we are to not just survive but to flourish, we urgently need to create robust and practical solutions to a set of interacting and complex global challenges.</x:v>
      </x:c>
      <x:c r="J53" s="17" t="str">
        <x:v>The programme addresses global sustainability challenges, equipping you to apply systems thinking to solve complex problems in a wide variety of environments and contexts and develop a deeper understanding of the interface between science, policy and practice. Additionally, you can tailor the programme to meet your areas of interest and passion by choosing 30 credits of optional modules. | You can choose to focus your dissertation ( Solutions Project ) on a piece of original academic research or || Every year we have part-time students studying this programme who are an important part of our community. For part-time study we recommend that you complete 75 credits in year one, and 105 credits in year two (of which 60 credits is your dissertation). This means you will be taking approximately two core 15-credit modules per term and one optional 15-credit module, but there is flexibility if </x:v>
      </x:c>
      <x:c r="K53" s="17" t="str">
        <x:v>We offer immersive learning experiences which provide an opportunity for interactive learning of fundamental skills and approaches to understanding and solving challenges. | You have the opportunity to undertake a work placement as part of a module, and a research project within an organisation as an alternative to a traditional academic dissertation. | Your learning is underpinned by the latest research undertaken by world-leading scholars and the Global Systems Institute community. || MSc Global Sustainability Solutions graduate | I ve really enjoyed meeting new people from all over the world and being able to come together to brainstorm and learn about subjects that we re all really motivated about. I ve also enjoyed working on real-world challenges as well as having a dissertation project that has the potential to encourage positive change. | I m a mature student who, after completin</x:v>
      </x:c>
      <x:c r="L53" s="17" t="str">
        <x:v>Not stated on reviewed official page</x:v>
      </x:c>
      <x:c r="M53" s="17" t="str">
        <x:v>Not stated on reviewed official page</x:v>
      </x:c>
      <x:c r="N53" s="17" t="str">
        <x:v>Not stated on reviewed official page</x:v>
      </x:c>
      <x:c r="O53" s="17" t="str">
        <x:v>Not stated on reviewed official page</x:v>
      </x:c>
      <x:c r="P53" s="30" t="str">
        <x:v>https://www.exeter.ac.uk/masters-degrees/msc-global-sustainability-solutions/</x:v>
      </x:c>
      <x:c r="Q53" s="30" t="str"/>
      <x:c r="R53" s="17" t="str">
        <x:v>2026-07-18</x:v>
      </x:c>
      <x:c r="S53" s="17" t="str">
        <x:v>Official program page retrieved; 4 official page(s) reviewed; 7/10 requested evidence groups found.</x:v>
      </x:c>
      <x:c r="T53" s="17" t="str">
        <x:v>Automated evidence extraction from official pages. Manually confirm year-specific tuition, language score applicability, and optional-versus-required curriculum elements before analysis.</x:v>
      </x:c>
    </x:row>
    <x:row r="54" ht="84" customHeight="1">
      <x:c r="A54" s="17" t="n">
        <x:v>50</x:v>
      </x:c>
      <x:c r="B54" s="17" t="str">
        <x:v>The University of Queensland</x:v>
      </x:c>
      <x:c r="C54" s="17" t="str">
        <x:v>Australia</x:v>
      </x:c>
      <x:c r="D54" s="17" t="str">
        <x:v>Master of Environmental Management</x:v>
      </x:c>
      <x:c r="E54" s="17" t="str">
        <x:v>Indicative annual fee | Approximate yearly cost of tuition (16 units). Your fees will vary according to your selected courses and study load. Fees are reviewed each year and may increase. | $9,630 || Learn more about postgraduate fees | Approximate yearly cost of full-time tuition (16 units). Your fees will vary according to your study load. Fees are reviewed each year and may increase. | AUD $56,800 || Domestic places in the Master of Environmental Management are Commonwealth supported, as long as you meet all Commonwealth supported place eligibility requirements . | This means the cost of your education is shared between you and the Australian Government. Instead of tuition fees, Commonwealth supported students pay what are called student contribution amounts. | If you have a Commonwealth supported place, you may also be eligible for HE</x:v>
      </x:c>
      <x:c r="F54" s="17" t="str">
        <x:v>Get the guide | Get ready in 6 months | Contact us || Get the guide | Get ready in 6 months | Master of || Duration | 1.5 Years full-time (or part-time equivalent) | 2 Years full-time (or part-time equivalent)</x:v>
      </x:c>
      <x:c r="G54" s="17" t="str">
        <x:v>Duration | 1.5 Years full-time (or part-time equivalent) | 2 Years full-time (or part-time equivalent) || 1.5 Years full-time (or part-time equivalent) | 2 Years full-time (or part-time equivalent) | Start Semester || Duration | 1.5 Years full-time (only available as full-time study) | 2 Years full-time (only available as full-time study)</x:v>
      </x:c>
      <x:c r="H54" s="17" t="str">
        <x:v>Graduate Certificate in Environmental Management | English language requirements | IELTS overall 6.5; reading 6; writing 6; speaking 6; listening 6. For other English Language Proficiency Tests and Scores approved for UQ || English language requirements | IELTS overall 6.5; reading 6; writing 6; speaking 6; listening 6. For other English Language Proficiency Tests and Scores approved for UQ | TOEFL iBT (including Paper Edition) - Overall 87, listening 19, reading 19, writing 21 and speaking 19. || IELTS overall 6.5; reading 6; writing 6; speaking 6; listening 6. For other English Language Proficiency Tests and Scores approved for UQ | TOEFL iBT (including Paper Edition) - Overall 87, listening 19, reading 19, writing 21 and speaking 19. | PTE Academic - Overall Score of 64 and 60 in all sub bands. || TOEFL iBT (including Paper Edition) - Overall 87, listening 19, reading 19, writing 21 and speaking 19. | PTE Academic - Overall Score of 64 and 60 in all sub bands. | BE - A minimum overa</x:v>
      </x:c>
      <x:c r="I54" s="17" t="str">
        <x:v>How you'll learn | Your learning experiences are designed to best suit the learning outcomes of the courses you choose. | Lectures || Fieldwork | What you'll study | At UQ, degrees are called 'programs' and subjects are called 'courses'. Here's a sample of the courses you could study in this program: || At UQ, degrees are called 'programs' and subjects are called 'courses'. Here's a sample of the courses you could study in this program: | Environmental Problem Solving [Core course] | Applied Research Methods [Core course] || Environmental Problem Solving [Core course] | Applied Research Methods [Core course] | People, Fire &amp; Environment [Elective]</x:v>
      </x:c>
      <x:c r="J54" s="17" t="str">
        <x:v>coastal processes and management. | Take part in international study opportunities, research projects and industry placements to give yourself a professional advantage. | This program is ideal if you want to enhance your skills and technical expertise – even if you haven't previously studied environmental management. || Research experience | Fieldwork | What you'll study || Master of Environmental Management | I chose to study at UQ because of its reputation as one of the world’s best universities for environmental studies, and the opportunities to gain vital skills, field work experience and environmental management expertise. | Monica Alvarez Malvido</x:v>
      </x:c>
      <x:c r="K54" s="17" t="str">
        <x:v>coastal processes and management. | Take part in international study opportunities, research projects and industry placements to give yourself a professional advantage. | This program is ideal if you want to enhance your skills and technical expertise – even if you haven't previously studied environmental management.</x:v>
      </x:c>
      <x:c r="L54" s="17" t="str">
        <x:v>Not stated on reviewed official page</x:v>
      </x:c>
      <x:c r="M54" s="17" t="str">
        <x:v>Not stated on reviewed official page</x:v>
      </x:c>
      <x:c r="N54" s="17" t="str">
        <x:v>Not stated on reviewed official page</x:v>
      </x:c>
      <x:c r="O54" s="17" t="str">
        <x:v>Not stated on reviewed official page</x:v>
      </x:c>
      <x:c r="P54" s="30" t="str">
        <x:v>https://study.uq.edu.au/study-options/programs/master-environmental-management-5609</x:v>
      </x:c>
      <x:c r="Q54" s="30" t="str"/>
      <x:c r="R54" s="17" t="str">
        <x:v>2026-07-18</x:v>
      </x:c>
      <x:c r="S54" s="17" t="str">
        <x:v>Official program page retrieved; 2 official page(s) reviewed; 7/10 requested evidence groups found.</x:v>
      </x:c>
      <x:c r="T54" s="17" t="str">
        <x:v>Automated evidence extraction from official pages. Manually confirm year-specific tuition, language score applicability, and optional-versus-required curriculum elements before analysis.</x:v>
      </x:c>
    </x:row>
    <x:row r="55" ht="84" customHeight="1">
      <x:c r="A55" s="17" t="n">
        <x:v>51</x:v>
      </x:c>
      <x:c r="B55" s="17" t="str">
        <x:v>University of Gothenburg</x:v>
      </x:c>
      <x:c r="C55" s="17" t="str">
        <x:v>Sweden</x:v>
      </x:c>
      <x:c r="D55" s="17" t="str">
        <x:v>Master's Programme in Environmental Sciences</x:v>
      </x:c>
      <x:c r="E55" s="17" t="str">
        <x:v>GU-12005 | Tuition | Full education cost: 290 000 SEK || No fees are charged for EU and EEA citizens, Swedish residence permit holders and exchange students. | More information about tuition fees | Application closed || GU-12007 | Tuition | Full education cost: 290 000 SEK</x:v>
      </x:c>
      <x:c r="F55" s="17" t="str">
        <x:v>N2MVN | 2 years | 120 credits (ECTS) || 2 years | 120 credits (ECTS) | Offered by the || Selection | Selection is based upon the number of credits from previous university studies, maximum 165 credits. | After graduation</x:v>
      </x:c>
      <x:c r="G55" s="17" t="str">
        <x:v>Not stated on reviewed official page</x:v>
      </x:c>
      <x:c r="H55" s="17" t="str">
        <x:v>Entry requirements | Bachelor of Science (in environmental science with emphasis on natural science, biology, chemistry, earth science, geography with emphasis on natural science, physics, or equivalent) from a university, including at least 15 HEC in Environmental science. These prerequisites can be waived if an applicant has verifiable equivalent knowledge/skills. Applicants must prove their knowledge of English corresponding to English 6/English B from Swedish Upper Secondary School. For more</x:v>
      </x:c>
      <x:c r="I55" s="17" t="str">
        <x:v>About | Programme structure and content | Who should apply? || Exploring different types of mitigation, adaptation and solution possibilities to tackle environmental problems, e.g. through international agreements, policy making, company strategies, technological development, etc | Programme structure and content | The program begins with a mandatory semester including four advanced environmental science courses, each worth 7.5 HEC:</x:v>
      </x:c>
      <x:c r="J55" s="17" t="str">
        <x:v>Exchange opportunities | Internship | Study at The University of Gothenburg || Teaching is conducted in the Natrium building, on Medicinareberget in Gothenburg (Medicinaregatan 7B), but can also be conducted in other buildings, for example at the School of Business, Economics and Law. | Teaching is conducted in relatively small classes with close teacher contact. It is both theoretically and practically oriented, and takes the form of lectures as well as more interactive exercises, data analyses, group work and seminars. Individual courses also include study visits and int || You have good opportunities to participate in an international exchange during a term. We have established contacts and exchange programs with several prominent universities abroad. | Internship | Practical projects are key components in some courses, providing opportunities to work with companies and authorities. S</x:v>
      </x:c>
      <x:c r="K55" s="17" t="str">
        <x:v>Not stated on reviewed official page</x:v>
      </x:c>
      <x:c r="L55" s="17" t="str">
        <x:v>Not stated on reviewed official page</x:v>
      </x:c>
      <x:c r="M55" s="17" t="str">
        <x:v>Not stated on reviewed official page</x:v>
      </x:c>
      <x:c r="N55" s="17" t="str">
        <x:v>Not stated on reviewed official page</x:v>
      </x:c>
      <x:c r="O55" s="17" t="str">
        <x:v>Not stated on reviewed official page</x:v>
      </x:c>
      <x:c r="P55" s="30" t="str">
        <x:v>https://www.gu.se/en/study-gothenburg/environmental-sciences-n2mvn</x:v>
      </x:c>
      <x:c r="Q55" s="30" t="str"/>
      <x:c r="R55" s="17" t="str">
        <x:v>2026-07-18</x:v>
      </x:c>
      <x:c r="S55" s="17" t="str">
        <x:v>Official program page retrieved; 2 official page(s) reviewed; 5/10 requested evidence groups found.</x:v>
      </x:c>
      <x:c r="T55" s="17" t="str">
        <x:v>Automated evidence extraction from official pages. Manually confirm year-specific tuition, language score applicability, and optional-versus-required curriculum elements before analysis.</x:v>
      </x:c>
    </x:row>
    <x:row r="56" ht="84" customHeight="1">
      <x:c r="A56" s="17" t="n">
        <x:v>52</x:v>
      </x:c>
      <x:c r="B56" s="17" t="str">
        <x:v>Griffith University</x:v>
      </x:c>
      <x:c r="C56" s="17" t="str">
        <x:v>Australia</x:v>
      </x:c>
      <x:c r="D56" s="17" t="str">
        <x:v>Master of Global Development - Sustainable Development major</x:v>
      </x:c>
      <x:c r="E56" s="17" t="str">
        <x:v>Not stated on reviewed official page</x:v>
      </x:c>
      <x:c r="F56" s="17" t="str">
        <x:v>Not stated on reviewed official page</x:v>
      </x:c>
      <x:c r="G56" s="17" t="str">
        <x:v>Not stated on reviewed official page</x:v>
      </x:c>
      <x:c r="H56" s="17" t="str">
        <x:v>Not stated on reviewed official page</x:v>
      </x:c>
      <x:c r="I56" s="17" t="str">
        <x:v>Not stated on reviewed official page</x:v>
      </x:c>
      <x:c r="J56" s="17" t="str">
        <x:v>NA</x:v>
      </x:c>
      <x:c r="K56" s="17" t="str">
        <x:v>Not stated on reviewed official page</x:v>
      </x:c>
      <x:c r="L56" s="17" t="str">
        <x:v>Not stated on reviewed official page</x:v>
      </x:c>
      <x:c r="M56" s="17" t="str">
        <x:v>Not stated on reviewed official page</x:v>
      </x:c>
      <x:c r="N56" s="17" t="str">
        <x:v>Not stated on reviewed official page</x:v>
      </x:c>
      <x:c r="O56" s="17" t="str">
        <x:v>Not stated on reviewed official page</x:v>
      </x:c>
      <x:c r="P56" s="30" t="str">
        <x:v>https://www.griffith.edu.au/study/degrees/master-of-global-development-5724</x:v>
      </x:c>
      <x:c r="Q56" s="30" t="str"/>
      <x:c r="R56" s="17" t="str">
        <x:v>2026-07-18</x:v>
      </x:c>
      <x:c r="S56" s="17" t="str">
        <x:v>Manual review required: official program page retrieval failed (403).</x:v>
      </x:c>
      <x:c r="T56" s="17" t="str">
        <x:v>Automated evidence extraction from official pages. Manually confirm year-specific tuition, language score applicability, and optional-versus-required curriculum elements before analysis.</x:v>
      </x:c>
    </x:row>
    <x:row r="57" ht="84" customHeight="1">
      <x:c r="A57" s="17" t="n">
        <x:v>53</x:v>
      </x:c>
      <x:c r="B57" s="17" t="str">
        <x:v>Western Sydney University</x:v>
      </x:c>
      <x:c r="C57" s="17" t="str">
        <x:v>Australia</x:v>
      </x:c>
      <x:c r="D57" s="17" t="str">
        <x:v>Master of Sustainable Tourism, Hospitality and Event Management</x:v>
      </x:c>
      <x:c r="E57" s="17" t="str">
        <x:v>"}}' id="text-e58d65c472" class="cmp-text"&gt; | Study and save: Discounted student fees are available through Commonwealth Supported Places (CSPs) when undertaking this course in 2026. | The Master of Sustainable Tourism, Hospitality and Event Management provides students with the specialist knowledge and skills required to shape the future of the tourism, hospitality, and event management sectors in Australia and overseas. || UAC 950855 | Domestic Student Fees | Indicative annual fee from $11,885 || Not a permanent resident of Australia. | Admission to Western Sydney University is on the basis of meeting minimum academic and English language requirements . For more information about tuition fees and other costs, visit the Fees and Costs page . | Apply Now</x:v>
      </x:c>
      <x:c r="F57" s="17" t="str">
        <x:v>Duration | Full Time: 1-2 Years (Available Part Time)* | Next Start Date || The program provides many opportunities for applied learning to ensure students develop the practical skills and networks required to secure a job. Throughout the program students engage with industry and government experts and complete fieldtrips | Celebrating 30 years of Tourism at Western | Western Sydney University has been training tourism, hospitality, event and visitor economy practitioners for over 30 years. Our graduates are making exciting contributions to these sectors across the glob || Celebrating 30 years of Tourism at Western | Western Sydney University has been training tourism, hospitality, event and visitor economy practitioners for over 30 years. Our graduates are making exciting contributions to these sectors across the globe. | As a Bachelor o</x:v>
      </x:c>
      <x:c r="G57" s="17" t="str">
        <x:v>Duration | Full Time: 1-2 Years (Available Part Time)* | Next Start Date || Entry requirements for international students | **Please note, if this course lists a part-time option, this is not available to International Students on a Student Visa. | Please consult the handbook for more information regarding entry requirements for this course. || *Fee Disclaimer | The fee estimates provided are indicative only and subject to change. These estimates are based on the current fee structures for a normal full time study load. However, the final fees may vary depending on several factors, including the specific subjects chosen, the duration and timing of study, and annual fee adjustments (subject to Commonwealth student contribution band rates). Please note that these estimates do not include the Student Services and Amenities Fee. We encoura</x:v>
      </x:c>
      <x:c r="H57" s="17" t="str">
        <x:v>Pathway Programs | English Language Programs | Workplace Skilling || Not a permanent resident of Australia. | Admission to Western Sydney University is on the basis of meeting minimum academic and English language requirements . For more information about tuition fees and other costs, visit the Fees and Costs page . | Apply Now || English Language Programs | The College | Western Sydney University || Contact Us | English Language Programs | The College offers internationally-acclaimed English Language Programs that are designed to give you every chance of success. Whether you want to improve your general communication skills, work in Australia or study at Western Sydney University, our teachers are dedicated to you.</x:v>
      </x:c>
      <x:c r="I57" s="17" t="str">
        <x:v>What you can expect to study | The program structure is outlined in | our handbook . Here you can view all of the subjects</x:v>
      </x:c>
      <x:c r="J57" s="17" t="str">
        <x:v>The Master of Sustainable Tourism, Hospitality and Event Management is taught by staff with a wide range of expertise in the tourism, hospitality and events sectors. The teaching team are recognised internationally for the quality of their research and teaching. They pride themselves on taking a student-centred approach to teaching and enjoy working with students to achieve their ambitions. | Student Placements (Internships) | Students complete a placement (internship) in the final year of the p || Student Placements (Internships) | Students complete a placement (internship) in the final year of the program. The placement provides a stepping-stone to ongoing employment in the tourism, event, hospitality and/or visitor economy sectors. | Fieldtrips and Industry Engagement || How many hours of placement do I complete in the Bachelor of Tourism and Event Management? Do I get to choose where</x:v>
      </x:c>
      <x:c r="K57" s="17" t="str">
        <x:v>Not stated on reviewed official page</x:v>
      </x:c>
      <x:c r="L57" s="17" t="str">
        <x:v>Not stated on reviewed official page</x:v>
      </x:c>
      <x:c r="M57" s="17" t="str">
        <x:v>Not stated on reviewed official page</x:v>
      </x:c>
      <x:c r="N57" s="17" t="str">
        <x:v>Not stated on reviewed official page</x:v>
      </x:c>
      <x:c r="O57" s="17" t="str">
        <x:v>Not stated on reviewed official page</x:v>
      </x:c>
      <x:c r="P57" s="30" t="str">
        <x:v>https://www.westernsydney.edu.au/future/study/courses/postgraduate/master-of-sustainable-tourism-hospitality-and-event-management</x:v>
      </x:c>
      <x:c r="Q57" s="30" t="str">
        <x:v>https://www.westernsydney.edu.au/future/study/application-pathways/the-college/english-programs</x:v>
      </x:c>
      <x:c r="R57" s="17" t="str">
        <x:v>2026-07-18</x:v>
      </x:c>
      <x:c r="S57" s="17" t="str">
        <x:v>Official program page retrieved; 2 official page(s) reviewed; 6/10 requested evidence groups found.</x:v>
      </x:c>
      <x:c r="T57" s="17" t="str">
        <x:v>Automated evidence extraction from official pages. Manually confirm year-specific tuition, language score applicability, and optional-versus-required curriculum elements before analysis.</x:v>
      </x:c>
    </x:row>
    <x:row r="58" ht="84" customHeight="1">
      <x:c r="A58" s="17" t="n">
        <x:v>54</x:v>
      </x:c>
      <x:c r="B58" s="17" t="str">
        <x:v>Queen's University</x:v>
      </x:c>
      <x:c r="C58" s="17" t="str">
        <x:v>Canada</x:v>
      </x:c>
      <x:c r="D58" s="17" t="str">
        <x:v>Master of Environmental Studies</x:v>
      </x:c>
      <x:c r="E58" s="17" t="str">
        <x:v>Not stated on reviewed official page</x:v>
      </x:c>
      <x:c r="F58" s="17" t="str">
        <x:v>PhD in Environmental Studies | Mandate: to provide outstanding graduate training at the doctoral level in sustainability &amp; sustainable practices, facilitating interdisciplinarity across Queen’s faculties. Degree Level Expectations and Learning Outcomes (PDF, 98KB) . The objectives of this program will be achieved by a combination of courses, independent research, seminars, readings, a comprehensive examination and a thesis. (48 months) | Master's of Environmental Studies (MES) || Research-based Master's | This program follows the traditional sequence of graduate training. Four half-credit courses, the challenge of original research culminating in a thesis, and a formal defense are required (24 months). | Course-based Master's || Course-based Master's | This program emphasizes the development of conceptual thinking and analytical and inter</x:v>
      </x:c>
      <x:c r="G58" s="17" t="str">
        <x:v>Not stated on reviewed official page</x:v>
      </x:c>
      <x:c r="H58" s="17" t="str">
        <x:v>Not stated on reviewed official page</x:v>
      </x:c>
      <x:c r="I58" s="17" t="str">
        <x:v>PhD in Environmental Studies | Mandate: to provide outstanding graduate training at the doctoral level in sustainability &amp; sustainable practices, facilitating interdisciplinarity across Queen’s faculties. Degree Level Expectations and Learning Outcomes (PDF, 98KB) . The objectives of this program will be achieved by a combination of courses, independent research, seminars, readings, a comprehensive examination and a thesis. (48 months) | Master's of Environmental Studies (MES) || Master's of Environmental Studies (MES) | The MES program at Queen's University provides graduate level training in the field of Environmental Sustainability by practicing an interdisciplinary approach to the study of the long-term nature and impacts of environmental change, the connections between today's decisions and tomorrow's welfare, and the strong dependence of human well-being on environmental quality. Degree Level Expectations and Learning Outcomes (PDF, 98KB) | The MES program meets a </x:v>
      </x:c>
      <x:c r="J58" s="17" t="str">
        <x:v>NA</x:v>
      </x:c>
      <x:c r="K58" s="17" t="str">
        <x:v>Not stated on reviewed official page</x:v>
      </x:c>
      <x:c r="L58" s="17" t="str">
        <x:v>Not stated on reviewed official page</x:v>
      </x:c>
      <x:c r="M58" s="17" t="str">
        <x:v>Not stated on reviewed official page</x:v>
      </x:c>
      <x:c r="N58" s="17" t="str">
        <x:v>Not stated on reviewed official page</x:v>
      </x:c>
      <x:c r="O58" s="17" t="str">
        <x:v>Not stated on reviewed official page</x:v>
      </x:c>
      <x:c r="P58" s="30" t="str">
        <x:v>https://www.queensu.ca/ensc/graduate/programs-overview</x:v>
      </x:c>
      <x:c r="Q58" s="30" t="str"/>
      <x:c r="R58" s="17" t="str">
        <x:v>2026-07-18</x:v>
      </x:c>
      <x:c r="S58" s="17" t="str">
        <x:v>Official program page retrieved; 1 official page(s) reviewed; 2/10 requested evidence groups found.</x:v>
      </x:c>
      <x:c r="T58" s="17" t="str">
        <x:v>Automated evidence extraction from official pages. Manually confirm year-specific tuition, language score applicability, and optional-versus-required curriculum elements before analysis.</x:v>
      </x:c>
    </x:row>
    <x:row r="59" ht="84" customHeight="1">
      <x:c r="A59" s="17" t="n">
        <x:v>55</x:v>
      </x:c>
      <x:c r="B59" s="17" t="str">
        <x:v>Universiti Sains Malaysia</x:v>
      </x:c>
      <x:c r="C59" s="17" t="str">
        <x:v>Malaysia</x:v>
      </x:c>
      <x:c r="D59" s="17" t="str">
        <x:v>Master in Sustainable Development Practice</x:v>
      </x:c>
      <x:c r="E59" s="17" t="str">
        <x:v>Not stated on reviewed official page</x:v>
      </x:c>
      <x:c r="F59" s="17" t="str">
        <x:v>INTRODUCTION | Masters in Sustainable Development Practice (MSDP) is a global multi and interdisciplinary graduate degree program that prepares students to better identify and address the challenges of sustainable development. This programme consists of two years of coursework in four intersecting disciplines-health, natural, social, and management sciences-combined with cross-sectoral field training. The multi and interdisciplinary nature of this MSDP programme equips development practitioners  || The duration of studies shown below, | Full-time students: Minimum 4 semesters / Maximum 8 semesters | Part-time students: Minimum 6 semesters / Maximum 10 semester || Full-time students: Minimum 4 semesters / Maximum 8 semesters | Part-time students: Minimum 6 semesters / Maximum 10 semester | Classes are held in person (physical classes) duri</x:v>
      </x:c>
      <x:c r="G59" s="17" t="str">
        <x:v>The duration of studies shown below, | Full-time students: Minimum 4 semesters / Maximum 8 semesters | Part-time students: Minimum 6 semesters / Maximum 10 semester || Full-time students: Minimum 4 semesters / Maximum 8 semesters | Part-time students: Minimum 6 semesters / Maximum 10 semester | Classes are held in person (physical classes) during the weekend for both full-time and part-time students, possibly every fortnightly in Kuala Lumpur (sains@KL). || Part-time students: Minimum 6 semesters / Maximum 10 semester | Classes are held in person (physical classes) during the weekend for both full-time and part-time students, possibly every fortnightly in Kuala Lumpur (sains@KL). | Class venue:</x:v>
      </x:c>
      <x:c r="H59" s="17" t="str">
        <x:v>CGPA below 2.75/4.00 for Bachelor degree with additional requirements | LANGUAGE REQUIREMENTS | (Applicable for International Applicants Only) || (Applicable for International Applicants Only) | A minimum score of 35 in Internet-based TOEFL (Test of English as a Foreign Language); or | A minimum of Band 5 in IELTS (International English Language Testing System); or || A minimum score of 35 in Internet-based TOEFL (Test of English as a Foreign Language); or | A minimum of Band 5 in IELTS (International English Language Testing System); or | A minimum score of 154 in Cambridge English Advance (CAE); or</x:v>
      </x:c>
      <x:c r="I59" s="17" t="str">
        <x:v>The MSDP Programme Educational Objectives are: | Programme Learning Outcomes (PLO) | At the end of the MSDP programme, the students will be able to: || At the end of the MSDP programme, the students will be able to: | PROGRAMME STRUCTURE | Students have to complete a total of 44 units of core courses and electives courses to graduate. The core courses consist of 38 units, while the elective courses consist of 6 units. Both the core and the electives courses are divided into these clusters – General Cluster, Global and Health Cluster, Science and Engineering Clusters, Management Cluster, Social Science Cluster. || PROGRAMME STRUCTURE | Students have to complete a total of 44 units of core courses and electives courses to graduate. The core courses consist of 38 units, while the elective courses consist of 6 units. Both the core and the electives courses are divided into these clusters – General Cluster, Global and Health Cluster, Science and Engineering Clusters, Management Cluster, Social Science Cluster. | The duration of studies shown below, || COURSES | Core courses (38 units) | S</x:v>
      </x:c>
      <x:c r="J59" s="17" t="str">
        <x:v>NA</x:v>
      </x:c>
      <x:c r="K59" s="17" t="str">
        <x:v>Not stated on reviewed official page</x:v>
      </x:c>
      <x:c r="L59" s="17" t="str">
        <x:v>Not stated on reviewed official page</x:v>
      </x:c>
      <x:c r="M59" s="17" t="str">
        <x:v>Not stated on reviewed official page</x:v>
      </x:c>
      <x:c r="N59" s="17" t="str">
        <x:v>Not stated on reviewed official page</x:v>
      </x:c>
      <x:c r="O59" s="17" t="str">
        <x:v>Not stated on reviewed official page</x:v>
      </x:c>
      <x:c r="P59" s="30" t="str">
        <x:v>https://cgss.usm.my/programmes/postgraduate/coursework/masters-in-sustainable-development-practice-msdp</x:v>
      </x:c>
      <x:c r="Q59" s="30" t="str"/>
      <x:c r="R59" s="17" t="str">
        <x:v>2026-07-18</x:v>
      </x:c>
      <x:c r="S59" s="17" t="str">
        <x:v>Official program page retrieved; 1 official page(s) reviewed; 4/10 requested evidence groups found.</x:v>
      </x:c>
      <x:c r="T59" s="17" t="str">
        <x:v>Automated evidence extraction from official pages. Manually confirm year-specific tuition, language score applicability, and optional-versus-required curriculum elements before analysis.</x:v>
      </x:c>
    </x:row>
    <x:row r="60" ht="84" customHeight="1">
      <x:c r="A60" s="17" t="n">
        <x:v>56</x:v>
      </x:c>
      <x:c r="B60" s="17" t="str">
        <x:v>Hanyang University</x:v>
      </x:c>
      <x:c r="C60" s="17" t="str">
        <x:v>South Korea</x:v>
      </x:c>
      <x:c r="D60" s="17" t="str">
        <x:v>Master's majors in Global Climate and Environmental Studies</x:v>
      </x:c>
      <x:c r="E60" s="17" t="str">
        <x:v>Not stated on reviewed official page</x:v>
      </x:c>
      <x:c r="F60" s="17" t="str">
        <x:v>Master’s | (27 Credits) | Major || Major | (22 Credits) | Elective Core General || Research | (5 Credits) | Compulsory Research</x:v>
      </x:c>
      <x:c r="G60" s="17" t="str">
        <x:v>Not stated on reviewed official page</x:v>
      </x:c>
      <x:c r="H60" s="17" t="str">
        <x:v>Note: Subsitution is possible with an official language proficiency certificate | - English (TOEIC, TOEFL, G-TELP, IELTS, GRE, GMAT) | - Korean (TOPIK) || Individuals who meet all of the below criteria: | - Satisfied foreign language requirement | - Completed all prerequisite courses</x:v>
      </x:c>
      <x:c r="I60" s="17" t="str">
        <x:v>학사일정 Academic Calendar | 교육과정 (교과목) Curriculum (Courses) | 학위취득로드맵 Road Map || 학사일정 Academic Calendar | 교육과정 (교과목) Curriculum (Courses) | 국문(KOR) || 학사안내 Academics | 교육과정 (교과목) Curriculum (Courses) | 국문(KOR)</x:v>
      </x:c>
      <x:c r="J60" s="17" t="str">
        <x:v>NA</x:v>
      </x:c>
      <x:c r="K60" s="17" t="str">
        <x:v>Not stated on reviewed official page</x:v>
      </x:c>
      <x:c r="L60" s="17" t="str">
        <x:v>Not stated on reviewed official page</x:v>
      </x:c>
      <x:c r="M60" s="17" t="str">
        <x:v>Not stated on reviewed official page</x:v>
      </x:c>
      <x:c r="N60" s="17" t="str">
        <x:v>Not stated on reviewed official page</x:v>
      </x:c>
      <x:c r="O60" s="17" t="str">
        <x:v>Not stated on reviewed official page</x:v>
      </x:c>
      <x:c r="P60" s="30" t="str">
        <x:v>https://hygce.hanyang.ac.kr/-eng-1</x:v>
      </x:c>
      <x:c r="Q60" s="30" t="str">
        <x:v>https://hygce.hanyang.ac.kr/-kor-</x:v>
      </x:c>
      <x:c r="R60" s="17" t="str">
        <x:v>2026-07-18</x:v>
      </x:c>
      <x:c r="S60" s="17" t="str">
        <x:v>Official program page retrieved; 2 official page(s) reviewed; 3/10 requested evidence groups found.</x:v>
      </x:c>
      <x:c r="T60" s="17" t="str">
        <x:v>Automated evidence extraction from official pages. Manually confirm year-specific tuition, language score applicability, and optional-versus-required curriculum elements before analysis.</x:v>
      </x:c>
    </x:row>
    <x:row r="61" ht="84" customHeight="1">
      <x:c r="A61" s="17" t="n">
        <x:v>57</x:v>
      </x:c>
      <x:c r="B61" s="17" t="str">
        <x:v>Hokkaido University</x:v>
      </x:c>
      <x:c r="C61" s="17" t="str">
        <x:v>Japan</x:v>
      </x:c>
      <x:c r="D61" s="17" t="str">
        <x:v>Master's Program, Graduate School of Environmental Science</x:v>
      </x:c>
      <x:c r="E61" s="17" t="str">
        <x:v>Not stated on reviewed official page</x:v>
      </x:c>
      <x:c r="F61" s="17" t="str">
        <x:v>Not stated on reviewed official page</x:v>
      </x:c>
      <x:c r="G61" s="17" t="str">
        <x:v>Not stated on reviewed official page</x:v>
      </x:c>
      <x:c r="H61" s="17" t="str">
        <x:v>Not stated on reviewed official page</x:v>
      </x:c>
      <x:c r="I61" s="17" t="str">
        <x:v>Syllabus | Curriculum Map | Annual Report || Curriculum Map | Master’s Course (Japanese version only)</x:v>
      </x:c>
      <x:c r="J61" s="17" t="str">
        <x:v>NA</x:v>
      </x:c>
      <x:c r="K61" s="17" t="str">
        <x:v>Not stated on reviewed official page</x:v>
      </x:c>
      <x:c r="L61" s="17" t="str">
        <x:v>Not stated on reviewed official page</x:v>
      </x:c>
      <x:c r="M61" s="17" t="str">
        <x:v>Not stated on reviewed official page</x:v>
      </x:c>
      <x:c r="N61" s="17" t="str">
        <x:v>Not stated on reviewed official page</x:v>
      </x:c>
      <x:c r="O61" s="17" t="str">
        <x:v>Not stated on reviewed official page</x:v>
      </x:c>
      <x:c r="P61" s="30" t="str">
        <x:v>https://www.ees.hokudai.ac.jp/?lang=en</x:v>
      </x:c>
      <x:c r="Q61" s="30" t="str">
        <x:v>https://www.ees.hokudai.ac.jp/?page_id=2891&amp;lang=en</x:v>
      </x:c>
      <x:c r="R61" s="17" t="str">
        <x:v>2026-07-18</x:v>
      </x:c>
      <x:c r="S61" s="17" t="str">
        <x:v>Official program page retrieved; 2 official page(s) reviewed; 1/10 requested evidence groups found.</x:v>
      </x:c>
      <x:c r="T61" s="17" t="str">
        <x:v>Automated evidence extraction from official pages. Manually confirm year-specific tuition, language score applicability, and optional-versus-required curriculum elements before analysis.</x:v>
      </x:c>
    </x:row>
    <x:row r="62" ht="84" customHeight="1">
      <x:c r="A62" s="17" t="n">
        <x:v>58</x:v>
      </x:c>
      <x:c r="B62" s="17" t="str">
        <x:v>Universiti Kebangsaan Malaysia</x:v>
      </x:c>
      <x:c r="C62" s="17" t="str">
        <x:v>Malaysia</x:v>
      </x:c>
      <x:c r="D62" s="17" t="str">
        <x:v>Master of Science / Master of Arts in Environment and Development</x:v>
      </x:c>
      <x:c r="E62" s="17" t="str">
        <x:v>Semester 2 Session 20XX/20XX (March) | Yuran Pengajian/ Tuition Fees | Pelajar Tempatan/ Local Students (Malaysian)</x:v>
      </x:c>
      <x:c r="F62" s="17" t="str">
        <x:v>Ijazah Sarjana Muda dengan kepujian dalam bidang yang berkaitan dari Universiti Kebangsaan Malaysia dengan PNGK atau dari universiti lain yang diiktiraf oleh Senat dengan SEKURANG-KURANGNYA SATU TAHUN PENGALAMAN dalam bidang yang berkaitan. | Bachelor degree with honours in areas of relevance from Universiti Kebangsaan Malaysia with CGPA 2.75 or other universities accredited by the Senate with AT LEAST ONE YEAR EXPERIENCE IN AREAS of relevance. | Tempoh Pengajian / Duration of Study || Sepenuh Masa /Full Time | 4-6 semesters | GOT = 5 semesters || 4-6 semesters | GOT = 5 semesters | Separuh Masa /Part Time*</x:v>
      </x:c>
      <x:c r="G62" s="17" t="str">
        <x:v>Tempoh Pengajian / Duration of Study | Sepenuh Masa /Full Time | 4-6 semesters || GOT = 5 semesters | Separuh Masa /Part Time* | *hanya untuk pelajar warganegara sahaja/ only applicable to Malaysian citizen only || Pelajar Tempatan/ Local Students (Malaysian) | Sepenuh Masa/ Full Time | Separuh Masa / Part Time</x:v>
      </x:c>
      <x:c r="H62" s="17" t="str">
        <x:v>4 – 8 semesters | Syarat Bahasa / Language Requirement | Syarat Keperluan Bahasa (Bagi pelajar Antarabangsa) || PASS Bahasa Melayu courses | Bahasa Inggeris English Language | TOEFL (Paper-Based) 550 || Bahasa Inggeris English Language | TOEFL (Paper-Based) 550 | TOEFL (Internet-Based) 95 || TOEFL (Paper-Based) 550 | TOEFL (Internet-Based) 95 | IELTS 6.0</x:v>
      </x:c>
      <x:c r="I62" s="17" t="str">
        <x:v>Not stated on reviewed official page</x:v>
      </x:c>
      <x:c r="J62" s="17" t="str">
        <x:v>NA</x:v>
      </x:c>
      <x:c r="K62" s="17" t="str">
        <x:v>Not stated on reviewed official page</x:v>
      </x:c>
      <x:c r="L62" s="17" t="str">
        <x:v>Not stated on reviewed official page</x:v>
      </x:c>
      <x:c r="M62" s="17" t="str">
        <x:v>Not stated on reviewed official page</x:v>
      </x:c>
      <x:c r="N62" s="17" t="str">
        <x:v>Not stated on reviewed official page</x:v>
      </x:c>
      <x:c r="O62" s="17" t="str">
        <x:v>Not stated on reviewed official page</x:v>
      </x:c>
      <x:c r="P62" s="30" t="str">
        <x:v>https://www.ukm.my/lestari/program-siswazah/</x:v>
      </x:c>
      <x:c r="Q62" s="30" t="str"/>
      <x:c r="R62" s="17" t="str">
        <x:v>2026-07-18</x:v>
      </x:c>
      <x:c r="S62" s="17" t="str">
        <x:v>Official program page retrieved; 1 official page(s) reviewed; 4/10 requested evidence groups found.</x:v>
      </x:c>
      <x:c r="T62" s="17" t="str">
        <x:v>Automated evidence extraction from official pages. Manually confirm year-specific tuition, language score applicability, and optional-versus-required curriculum elements before analysis.</x:v>
      </x:c>
    </x:row>
    <x:row r="63" ht="84" customHeight="1">
      <x:c r="A63" s="17" t="n">
        <x:v>59</x:v>
      </x:c>
      <x:c r="B63" s="17" t="str">
        <x:v>Institut Agro</x:v>
      </x:c>
      <x:c r="C63" s="17" t="str">
        <x:v>France</x:v>
      </x:c>
      <x:c r="D63" s="17" t="str">
        <x:v>Master's pathway: Transitions in Environmental and Agrifood Systems Management</x:v>
      </x:c>
      <x:c r="E63" s="17" t="str">
        <x:v>Not stated on reviewed official page</x:v>
      </x:c>
      <x:c r="F63" s="17" t="str">
        <x:v>Not stated on reviewed official page</x:v>
      </x:c>
      <x:c r="G63" s="17" t="str">
        <x:v>Not stated on reviewed official page</x:v>
      </x:c>
      <x:c r="H63" s="17" t="str">
        <x:v>Not stated on reviewed official page</x:v>
      </x:c>
      <x:c r="I63" s="17" t="str">
        <x:v>Not stated on reviewed official page</x:v>
      </x:c>
      <x:c r="J63" s="17" t="str">
        <x:v>NA</x:v>
      </x:c>
      <x:c r="K63" s="17" t="str">
        <x:v>Not stated on reviewed official page</x:v>
      </x:c>
      <x:c r="L63" s="17" t="str">
        <x:v>Not stated on reviewed official page</x:v>
      </x:c>
      <x:c r="M63" s="17" t="str">
        <x:v>Not stated on reviewed official page</x:v>
      </x:c>
      <x:c r="N63" s="17" t="str">
        <x:v>Not stated on reviewed official page</x:v>
      </x:c>
      <x:c r="O63" s="17" t="str">
        <x:v>Not stated on reviewed official page</x:v>
      </x:c>
      <x:c r="P63" s="30" t="str">
        <x:v>https://www.institut-agro.fr/fr/nos-formations</x:v>
      </x:c>
      <x:c r="Q63" s="30" t="str"/>
      <x:c r="R63" s="17" t="str">
        <x:v>2026-07-18</x:v>
      </x:c>
      <x:c r="S63" s="17" t="str">
        <x:v>Official program page retrieved; 1 official page(s) reviewed; 0/10 requested evidence groups found.</x:v>
      </x:c>
      <x:c r="T63" s="17" t="str">
        <x:v>Automated evidence extraction from official pages. Manually confirm year-specific tuition, language score applicability, and optional-versus-required curriculum elements before analysis.</x:v>
      </x:c>
    </x:row>
    <x:row r="64" ht="84" customHeight="1">
      <x:c r="A64" s="17" t="n">
        <x:v>60</x:v>
      </x:c>
      <x:c r="B64" s="17" t="str">
        <x:v>National Taiwan University (NTU)</x:v>
      </x:c>
      <x:c r="C64" s="17" t="str">
        <x:v>Taiwan</x:v>
      </x:c>
      <x:c r="D64" s="17" t="str">
        <x:v>Master's Program in Biodiversity</x:v>
      </x:c>
      <x:c r="E64" s="17" t="str">
        <x:v>Dates and Deadlines | Tuition and Scholarships | Ready to Apply?</x:v>
      </x:c>
      <x:c r="F64" s="17" t="str">
        <x:v>Photograph(+) | In color and less than 6 months old, showing a close-up shot of the head and shoulders, and without wearing a hat. | English Proficiency Certificate (see above)</x:v>
      </x:c>
      <x:c r="G64" s="17" t="str">
        <x:v>Not stated on reviewed official page</x:v>
      </x:c>
      <x:c r="H64" s="17" t="str">
        <x:v>The Master's Program in Biodiversity has the minimum admission requirements as follow: | English Proficiency Certificate at CEFR B2 (Vantage) or above | (please refer to English Proficiency Test Comparison Chart )</x:v>
      </x:c>
      <x:c r="I64" s="17" t="str">
        <x:v>The program emphasizes biodiversity theories as a foundation before moving onto more in-depth discussions on the scientific knowledge of biodiversity, sustainable resource utilization and planning, and benefit estimation and sharing. | Therefore, the curriculum covers the methodology and technology required for conducting research. It revolves around two main themes: | 1) Biodiversity Science</x:v>
      </x:c>
      <x:c r="J64" s="17" t="str">
        <x:v>NA</x:v>
      </x:c>
      <x:c r="K64" s="17" t="str">
        <x:v>Not stated on reviewed official page</x:v>
      </x:c>
      <x:c r="L64" s="17" t="str">
        <x:v>Not stated on reviewed official page</x:v>
      </x:c>
      <x:c r="M64" s="17" t="str">
        <x:v>Not stated on reviewed official page</x:v>
      </x:c>
      <x:c r="N64" s="17" t="str">
        <x:v>Not stated on reviewed official page</x:v>
      </x:c>
      <x:c r="O64" s="17" t="str">
        <x:v>Not stated on reviewed official page</x:v>
      </x:c>
      <x:c r="P64" s="30" t="str">
        <x:v>https://mpb.ntu.edu.tw/about/overview</x:v>
      </x:c>
      <x:c r="Q64" s="30" t="str">
        <x:v>https://mpb.ntu.edu.tw/prospective/admission/Requirements</x:v>
      </x:c>
      <x:c r="R64" s="17" t="str">
        <x:v>2026-07-18</x:v>
      </x:c>
      <x:c r="S64" s="17" t="str">
        <x:v>Official program page retrieved; 2 official page(s) reviewed; 4/10 requested evidence groups found.</x:v>
      </x:c>
      <x:c r="T64" s="17" t="str">
        <x:v>Automated evidence extraction from official pages. Manually confirm year-specific tuition, language score applicability, and optional-versus-required curriculum elements before analysis.</x:v>
      </x:c>
    </x:row>
    <x:row r="65" ht="84" customHeight="1">
      <x:c r="A65" s="17" t="n">
        <x:v>61</x:v>
      </x:c>
      <x:c r="B65" s="17" t="str">
        <x:v>University of Alberta</x:v>
      </x:c>
      <x:c r="C65" s="17" t="str">
        <x:v>Canada</x:v>
      </x:c>
      <x:c r="D65" s="17" t="str">
        <x:v>Master of Sustainability</x:v>
      </x:c>
      <x:c r="E65" s="17" t="str">
        <x:v>Not stated on reviewed official page</x:v>
      </x:c>
      <x:c r="F65" s="17" t="str">
        <x:v>Not stated on reviewed official page</x:v>
      </x:c>
      <x:c r="G65" s="17" t="str">
        <x:v>Not stated on reviewed official page</x:v>
      </x:c>
      <x:c r="H65" s="17" t="str">
        <x:v>Not stated on reviewed official page</x:v>
      </x:c>
      <x:c r="I65" s="17" t="str">
        <x:v>Not stated on reviewed official page</x:v>
      </x:c>
      <x:c r="J65" s="17" t="str">
        <x:v>NA</x:v>
      </x:c>
      <x:c r="K65" s="17" t="str">
        <x:v>Effective: 2026-09-01 | SUST 900 - Sustainability Capstone | 6 units (fi 12)(EITHER, 0-6S-0) || 6 units (fi 12)(EITHER, 0-6S-0) | Course-based Master of Sustainability students complete a group capstone project on a sustainability focused project. | University of Alberta logo</x:v>
      </x:c>
      <x:c r="L65" s="17" t="str">
        <x:v>Not stated on reviewed official page</x:v>
      </x:c>
      <x:c r="M65" s="17" t="str">
        <x:v>Not stated on reviewed official page</x:v>
      </x:c>
      <x:c r="N65" s="17" t="str">
        <x:v>Not stated on reviewed official page</x:v>
      </x:c>
      <x:c r="O65" s="17" t="str">
        <x:v>Not stated on reviewed official page</x:v>
      </x:c>
      <x:c r="P65" s="30" t="str">
        <x:v>https://apps.ualberta.ca/catalogue/course/sust</x:v>
      </x:c>
      <x:c r="Q65" s="30" t="str"/>
      <x:c r="R65" s="17" t="str">
        <x:v>2026-07-18</x:v>
      </x:c>
      <x:c r="S65" s="17" t="str">
        <x:v>Official program page retrieved; 1 official page(s) reviewed; 1/10 requested evidence groups found.</x:v>
      </x:c>
      <x:c r="T65" s="17" t="str">
        <x:v>Automated evidence extraction from official pages. Manually confirm year-specific tuition, language score applicability, and optional-versus-required curriculum elements before analysis.</x:v>
      </x:c>
    </x:row>
    <x:row r="66" ht="84" customHeight="1">
      <x:c r="A66" s="17" t="n">
        <x:v>62</x:v>
      </x:c>
      <x:c r="B66" s="17" t="str">
        <x:v>Korea University</x:v>
      </x:c>
      <x:c r="C66" s="17" t="str">
        <x:v>South Korea</x:v>
      </x:c>
      <x:c r="D66" s="17" t="str">
        <x:v>Master's in Climatic Environment</x:v>
      </x:c>
      <x:c r="E66" s="17" t="str">
        <x:v>Not stated on reviewed official page</x:v>
      </x:c>
      <x:c r="F66" s="17" t="str">
        <x:v>Not stated on reviewed official page</x:v>
      </x:c>
      <x:c r="G66" s="17" t="str">
        <x:v>Not stated on reviewed official page</x:v>
      </x:c>
      <x:c r="H66" s="17" t="str">
        <x:v>Not stated on reviewed official page</x:v>
      </x:c>
      <x:c r="I66" s="17" t="str">
        <x:v>Not stated on reviewed official page</x:v>
      </x:c>
      <x:c r="J66" s="17" t="str">
        <x:v>NA</x:v>
      </x:c>
      <x:c r="K66" s="17" t="str">
        <x:v>Not stated on reviewed official page</x:v>
      </x:c>
      <x:c r="L66" s="17" t="str">
        <x:v>Not stated on reviewed official page</x:v>
      </x:c>
      <x:c r="M66" s="17" t="str">
        <x:v>Not stated on reviewed official page</x:v>
      </x:c>
      <x:c r="N66" s="17" t="str">
        <x:v>Not stated on reviewed official page</x:v>
      </x:c>
      <x:c r="O66" s="17" t="str">
        <x:v>Not stated on reviewed official page</x:v>
      </x:c>
      <x:c r="P66" s="30" t="str">
        <x:v>https://gsles.korea.edu/gsles_en/master/subject07.do</x:v>
      </x:c>
      <x:c r="Q66" s="30" t="str"/>
      <x:c r="R66" s="17" t="str">
        <x:v>2026-07-18</x:v>
      </x:c>
      <x:c r="S66" s="17" t="str">
        <x:v>Official program page retrieved; 1 official page(s) reviewed; 0/10 requested evidence groups found.</x:v>
      </x:c>
      <x:c r="T66" s="17" t="str">
        <x:v>Automated evidence extraction from official pages. Manually confirm year-specific tuition, language score applicability, and optional-versus-required curriculum elements before analysis.</x:v>
      </x:c>
    </x:row>
    <x:row r="67" ht="84" customHeight="1">
      <x:c r="A67" s="17" t="n">
        <x:v>63</x:v>
      </x:c>
      <x:c r="B67" s="17" t="str">
        <x:v>Universitas Airlangga</x:v>
      </x:c>
      <x:c r="C67" s="17" t="str">
        <x:v>Indonesia</x:v>
      </x:c>
      <x:c r="D67" s="17" t="str">
        <x:v>Master of Environmental Health</x:v>
      </x:c>
      <x:c r="E67" s="17" t="str">
        <x:v>Not stated on reviewed official page</x:v>
      </x:c>
      <x:c r="F67" s="17" t="str">
        <x:v>Not stated on reviewed official page</x:v>
      </x:c>
      <x:c r="G67" s="17" t="str">
        <x:v>Not stated on reviewed official page</x:v>
      </x:c>
      <x:c r="H67" s="17" t="str">
        <x:v>Not stated on reviewed official page</x:v>
      </x:c>
      <x:c r="I67" s="17" t="str">
        <x:v>Two study interests: Environmental Health Risk Analysis (49 credits) and Environmental Health Management (48 credits). Graduate profiles include manager, leader, communicator, advocate, decision maker, negotiator, and researcher.</x:v>
      </x:c>
      <x:c r="J67" s="17" t="str">
        <x:v>NA</x:v>
      </x:c>
      <x:c r="K67" s="17" t="str">
        <x:v>Not stated on reviewed official page</x:v>
      </x:c>
      <x:c r="L67" s="17" t="str">
        <x:v>Not stated on reviewed official page</x:v>
      </x:c>
      <x:c r="M67" s="17" t="str">
        <x:v>Not stated on reviewed official page</x:v>
      </x:c>
      <x:c r="N67" s="17" t="str">
        <x:v>Not stated on reviewed official page</x:v>
      </x:c>
      <x:c r="O67" s="17" t="str">
        <x:v>Not stated on reviewed official page</x:v>
      </x:c>
      <x:c r="P67" s="30" t="str">
        <x:v>https://s2kesling.fkm.unair.ac.id/</x:v>
      </x:c>
      <x:c r="Q67" s="30" t="str">
        <x:v>https://fkm.unair.ac.id/en/department-of-environmental-health/; https://ppmb.unair.ac.id/en/page1/syarat-khusus-magister</x:v>
      </x:c>
      <x:c r="R67" s="17" t="str">
        <x:v>2026-07-18</x:v>
      </x:c>
      <x:c r="S67" s="17" t="str">
        <x:v>Manually completed from current official indexed content after the automated page request was blocked or incomplete.</x:v>
      </x:c>
      <x:c r="T67" s="17" t="str">
        <x:v>Official source content was manually reviewed. Reconfirm year-specific tuition and linked university-wide requirements before final statistical analysis.</x:v>
      </x:c>
    </x:row>
    <x:row r="68" ht="84" customHeight="1">
      <x:c r="A68" s="17" t="n">
        <x:v>64</x:v>
      </x:c>
      <x:c r="B68" s="17" t="str">
        <x:v>Pusan National University</x:v>
      </x:c>
      <x:c r="C68" s="17" t="str">
        <x:v>South Korea</x:v>
      </x:c>
      <x:c r="D68" s="17" t="str">
        <x:v>Master's programs, Graduate School of Environment</x:v>
      </x:c>
      <x:c r="E68" s="17" t="str">
        <x:v>Not stated on reviewed official page</x:v>
      </x:c>
      <x:c r="F68" s="17" t="str">
        <x:v>Not stated on reviewed official page</x:v>
      </x:c>
      <x:c r="G68" s="17" t="str">
        <x:v>Not stated on reviewed official page</x:v>
      </x:c>
      <x:c r="H68" s="17" t="str">
        <x:v>Not stated on reviewed official page</x:v>
      </x:c>
      <x:c r="I68" s="17" t="str">
        <x:v>Not stated on reviewed official page</x:v>
      </x:c>
      <x:c r="J68" s="17" t="str">
        <x:v>NA</x:v>
      </x:c>
      <x:c r="K68" s="17" t="str">
        <x:v>Not stated on reviewed official page</x:v>
      </x:c>
      <x:c r="L68" s="17" t="str">
        <x:v>Not stated on reviewed official page</x:v>
      </x:c>
      <x:c r="M68" s="17" t="str">
        <x:v>Not stated on reviewed official page</x:v>
      </x:c>
      <x:c r="N68" s="17" t="str">
        <x:v>Not stated on reviewed official page</x:v>
      </x:c>
      <x:c r="O68" s="17" t="str">
        <x:v>Not stated on reviewed official page</x:v>
      </x:c>
      <x:c r="P68" s="30" t="str">
        <x:v>https://www.pusan.ac.kr/eng/CMS/OrganizationMgr/SpecialGraduateInfo.do?gc_code=280000&amp;gc_parent_code=NONE-009&amp;mCode=MN021</x:v>
      </x:c>
      <x:c r="Q68" s="30" t="str"/>
      <x:c r="R68" s="17" t="str">
        <x:v>2026-07-18</x:v>
      </x:c>
      <x:c r="S68" s="17" t="str">
        <x:v>Official program page retrieved; 1 official page(s) reviewed; 0/10 requested evidence groups found.</x:v>
      </x:c>
      <x:c r="T68" s="17" t="str">
        <x:v>Automated evidence extraction from official pages. Manually confirm year-specific tuition, language score applicability, and optional-versus-required curriculum elements before analysis.</x:v>
      </x:c>
    </x:row>
    <x:row r="69" ht="84" customHeight="1">
      <x:c r="A69" s="17" t="n">
        <x:v>65</x:v>
      </x:c>
      <x:c r="B69" s="17" t="str">
        <x:v>University of Tasmania</x:v>
      </x:c>
      <x:c r="C69" s="17" t="str">
        <x:v>Australia</x:v>
      </x:c>
      <x:c r="D69" s="17" t="str">
        <x:v>Master of Environmental Geospatial Science</x:v>
      </x:c>
      <x:c r="E69" s="17" t="str">
        <x:v>2026 domestic CSP indicative annual fee: AUD 9,312. International fee: AUD 42,950 per year; indicative total international tuition: AUD 88,048.</x:v>
      </x:c>
      <x:c r="F69" s="17" t="str">
        <x:v>Minimum 2 years; maximum 5 years. Course structure may be completed in 3 or 4 semesters depending on entry qualifications.</x:v>
      </x:c>
      <x:c r="G69" s="17" t="str">
        <x:v>Full-time or part-time; Hobart. Individual units may be on campus or online/off campus.</x:v>
      </x:c>
      <x:c r="H69" s="17" t="str">
        <x:v>IELTS Academic 6.5 overall, with no band below 6.0, unless the English requirement is met through an approved alternative.</x:v>
      </x:c>
      <x:c r="I69" s="17" t="str">
        <x:v>Environmental and geospatial science, GIS, remote sensing, environmental planning, field skills, and applied decision support; 200 credit points in the four-semester route.</x:v>
      </x:c>
      <x:c r="J69" s="17" t="str">
        <x:v>Compulsory Work Integrated Learning/professional experience placement; one listed unit includes an 80-hour unpaid professional placement. Field skills are embedded in the course.</x:v>
      </x:c>
      <x:c r="K69" s="17" t="str">
        <x:v>Second year includes either an independent Research Thesis Pathway or a Professional Research Pathway.</x:v>
      </x:c>
      <x:c r="L69" s="17" t="str">
        <x:v>Yes</x:v>
      </x:c>
      <x:c r="M69" s="17" t="str">
        <x:v>Optional independent research stream: Research Thesis A and B, producing a 50-credit-point research thesis; first-year average of at least 75% and approvals required.</x:v>
      </x:c>
      <x:c r="N69" s="17" t="str">
        <x:v>Not stated on reviewed official page</x:v>
      </x:c>
      <x:c r="O69" s="17" t="str">
        <x:v>Not stated on reviewed official page</x:v>
      </x:c>
      <x:c r="P69" s="30" t="str">
        <x:v>https://www.utas.edu.au/courses/cse/courses/p7b-master-of-environmental-geospatial-science</x:v>
      </x:c>
      <x:c r="Q69" s="30" t="str">
        <x:v>https://www.utas.edu.au/courses/sci-eng/courses/p7b-master-of-environmental-geospatial-science</x:v>
      </x:c>
      <x:c r="R69" s="17" t="str">
        <x:v>2026-07-18</x:v>
      </x:c>
      <x:c r="S69" s="17" t="str">
        <x:v>Manually completed from current official indexed content after the automated page request was blocked or incomplete.</x:v>
      </x:c>
      <x:c r="T69" s="17" t="str">
        <x:v>Official source content was manually reviewed. Reconfirm year-specific tuition and linked university-wide requirements before final statistical analysis.</x:v>
      </x:c>
    </x:row>
    <x:row r="70" ht="84" customHeight="1">
      <x:c r="A70" s="17" t="n">
        <x:v>66</x:v>
      </x:c>
      <x:c r="B70" s="17" t="str">
        <x:v>McMaster University</x:v>
      </x:c>
      <x:c r="C70" s="17" t="str">
        <x:v>Canada</x:v>
      </x:c>
      <x:c r="D70" s="17" t="str">
        <x:v>No directly qualifying sustainability/environment master's confirmed</x:v>
      </x:c>
      <x:c r="E70" s="17" t="str">
        <x:v>Time Zone: Courses run in the Eastern Time (ET) Zone. | Course Fees: A McMaster Part Time Student fee is included in the cost of academic credit courses. There is no tax on courses unless indicated at the bottom of the schedule chart. | Additional Fees: New students pay a one-time, non-refundable $39 activation fee for their first academic-credit course. Not every program or course requires textbooks. Learn more about textbooks . || Google Pay is available for faster checkout | Payments can be made from a Canadian Financial Institution and can take 2 to 4 business days to arrive in your McMaster student account. Once payment has arrived, you can register for your course. Please note that if the amount of the course fees owing is more than what was transferred to your student account, you will be dropped from the course. | Problem processi</x:v>
      </x:c>
      <x:c r="F70" s="17" t="str">
        <x:v>Not stated on reviewed official page</x:v>
      </x:c>
      <x:c r="G70" s="17" t="str">
        <x:v>Overview | Complete the Sustainability program with our flexible online courses | Whether you want to launch a career in Sustainability or expand your knowledge of sustainable environment, economic and societal best practices, our online program can help. Gain in-demand skills for this rewarding profession. || Complete the Sustainability program with our flexible online courses | Whether you want to launch a career in Sustainability or expand your knowledge of sustainable environment, economic and societal best practices, our online program can help. Gain in-demand skills for this rewarding profession. | Designed with reference to several ISSP-SA (International Society of Sustainability Professionals) core competencies || Gain sustainability skills and knowledge of the best practices | Successfully complete any three out of the four onlin</x:v>
      </x:c>
      <x:c r="H70" s="17" t="str">
        <x:v>To ensure you are successful in your online courses, you are required to have knowledge and skills with general computer applications, such as keyboarding, file management, video conferencing and word processing. | Language Requirements | If English is not your native language, you must meet McMaster University’s English proficiency requirements by either qualifying for an exemption or passing a McMaster-approved English test. You will not need to provide proof of meeting this English requiremen</x:v>
      </x:c>
      <x:c r="I70" s="17" t="str">
        <x:v>Not stated on reviewed official page</x:v>
      </x:c>
      <x:c r="J70" s="17" t="str">
        <x:v>NA</x:v>
      </x:c>
      <x:c r="K70" s="17" t="str">
        <x:v>Not stated on reviewed official page</x:v>
      </x:c>
      <x:c r="L70" s="17" t="str">
        <x:v>Not stated on reviewed official page</x:v>
      </x:c>
      <x:c r="M70" s="17" t="str">
        <x:v>Not stated on reviewed official page</x:v>
      </x:c>
      <x:c r="N70" s="17" t="str">
        <x:v>Not stated on reviewed official page</x:v>
      </x:c>
      <x:c r="O70" s="17" t="str">
        <x:v>Not stated on reviewed official page</x:v>
      </x:c>
      <x:c r="P70" s="30" t="str">
        <x:v>https://continuing.mcmaster.ca/programs/business/sustainability/</x:v>
      </x:c>
      <x:c r="Q70" s="30" t="str"/>
      <x:c r="R70" s="17" t="str">
        <x:v>2026-07-18</x:v>
      </x:c>
      <x:c r="S70" s="17" t="str">
        <x:v>Official program page retrieved; 1 official page(s) reviewed; 3/10 requested evidence groups found.</x:v>
      </x:c>
      <x:c r="T70" s="17" t="str">
        <x:v>Automated evidence extraction from official pages. Manually confirm year-specific tuition, language score applicability, and optional-versus-required curriculum elements before analysis.</x:v>
      </x:c>
    </x:row>
    <x:row r="71" ht="84" customHeight="1">
      <x:c r="A71" s="17" t="n">
        <x:v>67</x:v>
      </x:c>
      <x:c r="B71" s="17" t="str">
        <x:v>Chulalongkorn University</x:v>
      </x:c>
      <x:c r="C71" s="17" t="str">
        <x:v>Thailand</x:v>
      </x:c>
      <x:c r="D71" s="17" t="str">
        <x:v>MA Environment, Development and Sustainability</x:v>
      </x:c>
      <x:c r="E71" s="17" t="str">
        <x:v>Not stated on reviewed official page</x:v>
      </x:c>
      <x:c r="F71" s="17" t="str">
        <x:v>Not stated on reviewed official page</x:v>
      </x:c>
      <x:c r="G71" s="17" t="str">
        <x:v>Not stated on reviewed official page</x:v>
      </x:c>
      <x:c r="H71" s="17" t="str">
        <x:v>Not stated on reviewed official page</x:v>
      </x:c>
      <x:c r="I71" s="17" t="str">
        <x:v>Not stated on reviewed official page</x:v>
      </x:c>
      <x:c r="J71" s="17" t="str">
        <x:v>NA</x:v>
      </x:c>
      <x:c r="K71" s="17" t="str">
        <x:v>Not stated on reviewed official page</x:v>
      </x:c>
      <x:c r="L71" s="17" t="str">
        <x:v>Not stated on reviewed official page</x:v>
      </x:c>
      <x:c r="M71" s="17" t="str">
        <x:v>Not stated on reviewed official page</x:v>
      </x:c>
      <x:c r="N71" s="17" t="str">
        <x:v>Not stated on reviewed official page</x:v>
      </x:c>
      <x:c r="O71" s="17" t="str">
        <x:v>Not stated on reviewed official page</x:v>
      </x:c>
      <x:c r="P71" s="30" t="str">
        <x:v>https://www.eds.grad.chula.ac.th/academics/degree-program/</x:v>
      </x:c>
      <x:c r="Q71" s="30" t="str"/>
      <x:c r="R71" s="17" t="str">
        <x:v>2026-07-18</x:v>
      </x:c>
      <x:c r="S71" s="17" t="str">
        <x:v>Manual review required: official program page retrieval failed (0).</x:v>
      </x:c>
      <x:c r="T71" s="17" t="str">
        <x:v>Automated evidence extraction from official pages. Manually confirm year-specific tuition, language score applicability, and optional-versus-required curriculum elements before analysis.</x:v>
      </x:c>
    </x:row>
    <x:row r="72" ht="84" customHeight="1">
      <x:c r="A72" s="17" t="n">
        <x:v>68</x:v>
      </x:c>
      <x:c r="B72" s="17" t="str">
        <x:v>Kyungpook National University (KNU)</x:v>
      </x:c>
      <x:c r="C72" s="17" t="str">
        <x:v>South Korea</x:v>
      </x:c>
      <x:c r="D72" s="17" t="str">
        <x:v>Graduate major in Environmental and Energy Engineering</x:v>
      </x:c>
      <x:c r="E72" s="17" t="str">
        <x:v>Overseas residents: International Post with address written on application. | Applicants residing in Korea: Pick up by visiting the Office of International Affairs at Kyungpook National University after the tuition payment. | Registration || Number of Selected Applicants | New international students: up to 70 applicants based on 100% tuition payment | Enrolled students: up to 210 applicants based on 100% tuition payment || New international students: up to 70 applicants based on 100% tuition payment | Enrolled students: up to 210 applicants based on 100% tuition payment | Procedure</x:v>
      </x:c>
      <x:c r="F72" s="17" t="str">
        <x:v>Combined Master’s &amp; Doctoral Program(*Applicants should first check with the appropriate department to confirm they are recruiting international students.) | ※ The Graduate School of International Studies has evening classes and has 5 semesters. | SangJu Campus</x:v>
      </x:c>
      <x:c r="G72" s="17" t="str">
        <x:v>All required documents should be submitted to the Office of International Affairs using one of the following methods: | In person | By Post (either express or regular registered post-mail)</x:v>
      </x:c>
      <x:c r="H72" s="17" t="str">
        <x:v>Korean Language &amp; Literature | English Language &amp; Literature | Korean Language &amp; Literature || Korean Language &amp; Literature | English Language &amp; Literature | History || Ethics Education | English Language Education | Social Studies Education || Korean proficiency: A "TOPIK" certificate for level 3 or higher | English proficiency: A score report from a recognized English proficiency test such as - TOEFL 530(CBT 197, iBT 71), IELTS 5.5, CEFR B2, TEPS 600점, TOEIC 700 or higher | Be a native English speaker</x:v>
      </x:c>
      <x:c r="I72" s="17" t="str">
        <x:v>Not stated on reviewed official page</x:v>
      </x:c>
      <x:c r="J72" s="17" t="str">
        <x:v>NA</x:v>
      </x:c>
      <x:c r="K72" s="17" t="str">
        <x:v>Not stated on reviewed official page</x:v>
      </x:c>
      <x:c r="L72" s="17" t="str">
        <x:v>Not stated on reviewed official page</x:v>
      </x:c>
      <x:c r="M72" s="17" t="str">
        <x:v>Not stated on reviewed official page</x:v>
      </x:c>
      <x:c r="N72" s="17" t="str">
        <x:v>Not stated on reviewed official page</x:v>
      </x:c>
      <x:c r="O72" s="17" t="str">
        <x:v>Not stated on reviewed official page</x:v>
      </x:c>
      <x:c r="P72" s="30" t="str">
        <x:v>https://en.knu.ac.kr/admission/foreign02_inc.htm</x:v>
      </x:c>
      <x:c r="Q72" s="30" t="str"/>
      <x:c r="R72" s="17" t="str">
        <x:v>2026-07-18</x:v>
      </x:c>
      <x:c r="S72" s="17" t="str">
        <x:v>Official program page retrieved; 2 official page(s) reviewed; 4/10 requested evidence groups found.</x:v>
      </x:c>
      <x:c r="T72" s="17" t="str">
        <x:v>Automated evidence extraction from official pages. Manually confirm year-specific tuition, language score applicability, and optional-versus-required curriculum elements before analysis.</x:v>
      </x:c>
    </x:row>
    <x:row r="73" ht="84" customHeight="1">
      <x:c r="A73" s="17" t="n">
        <x:v>69</x:v>
      </x:c>
      <x:c r="B73" s="17" t="str">
        <x:v>The Hong Kong University of Science and Technology</x:v>
      </x:c>
      <x:c r="C73" s="17" t="str">
        <x:v>Hong Kong</x:v>
      </x:c>
      <x:c r="D73" s="17" t="str">
        <x:v>MSc in Environmental Engineering and Management</x:v>
      </x:c>
      <x:c r="E73" s="17" t="str">
        <x:v>2026/27 MSc program fee: HKD 210,000 full-time; HKD 180,000 part-time. Additional fees apply beyond the normative period or for extra/repeated courses.</x:v>
      </x:c>
      <x:c r="F73" s="17" t="str">
        <x:v>MSc: 1-1.5 years full-time; 2-2.5 years part-time.</x:v>
      </x:c>
      <x:c r="G73" s="17" t="str">
        <x:v>Full-time or part-time.</x:v>
      </x:c>
      <x:c r="H73" s="17" t="str">
        <x:v>IELTS Academic 6.5 overall with all sub-scores at least 5.5; TOEFL alternatives are listed in the official catalog. Exemptions apply for English first language or an English-medium bachelor's degree.</x:v>
      </x:c>
      <x:c r="I73" s="17" t="str">
        <x:v>30-credit MSc: at least 18 foundation-course credits, electives, and at least three management-related courses; focus on advanced environmental engineering and management of facilities and infrastructure systems.</x:v>
      </x:c>
      <x:c r="J73" s="17" t="str">
        <x:v>NA</x:v>
      </x:c>
      <x:c r="K73" s="17" t="str">
        <x:v>An elective list includes JEVE 6980; a mandatory capstone/project is not stated on the reviewed catalog page.</x:v>
      </x:c>
      <x:c r="L73" s="17" t="str">
        <x:v>Not stated on reviewed official page</x:v>
      </x:c>
      <x:c r="M73" s="17" t="str">
        <x:v>Not stated on reviewed official page</x:v>
      </x:c>
      <x:c r="N73" s="17" t="str">
        <x:v>Not stated on reviewed official page</x:v>
      </x:c>
      <x:c r="O73" s="17" t="str">
        <x:v>Not stated on reviewed official page</x:v>
      </x:c>
      <x:c r="P73" s="30" t="str">
        <x:v>https://cee.hkust.edu.hk/msc-environmental-engineering-and-management</x:v>
      </x:c>
      <x:c r="Q73" s="30" t="str">
        <x:v>https://prog-crs.hkust.edu.hk/pgprog/2026-27/pgd-msc-evem</x:v>
      </x:c>
      <x:c r="R73" s="17" t="str">
        <x:v>2026-07-18</x:v>
      </x:c>
      <x:c r="S73" s="17" t="str">
        <x:v>Manually completed from current official indexed content after the automated page request was blocked or incomplete.</x:v>
      </x:c>
      <x:c r="T73" s="17" t="str">
        <x:v>Official source content was manually reviewed. Reconfirm year-specific tuition and linked university-wide requirements before final statistical analysis.</x:v>
      </x:c>
    </x:row>
    <x:row r="74" ht="84" customHeight="1">
      <x:c r="A74" s="17" t="n">
        <x:v>70</x:v>
      </x:c>
      <x:c r="B74" s="17" t="str">
        <x:v>Lovely Professional University</x:v>
      </x:c>
      <x:c r="C74" s="17" t="str">
        <x:v>India</x:v>
      </x:c>
      <x:c r="D74" s="17" t="str">
        <x:v>MSc Environmental Sciences</x:v>
      </x:c>
      <x:c r="E74" s="17" t="str">
        <x:v>Fiji, Papua New Guinea, Samoa, Tonga, Vanuatu and Solomon Islands | Programme Fee (per semester): | Details || (i.e. 60% of | Programme Fee) | (i.e. 50% of || (i.e. 50% of | Programme Fee) | (i.e. 40% of</x:v>
      </x:c>
      <x:c r="F74" s="17" t="str">
        <x:v>Kazhakstan | Certificate of General Secondary Education + 1 Year foundation or vocational | Course || Joint Exam. For the School certificate &amp; GCE | (11 Year Course) | International Baccalaurate || Research Proposal (Minimum 8 to 10 Pages). | Proof of Minimum 2 years of teaching/ industry experience. | Proof of Proficiency in English Language.</x:v>
      </x:c>
      <x:c r="G74" s="17" t="str">
        <x:v>Inclusivity | On Campus Jobs | Career Enhancement Initiatives || Skill-based Continuous Assessment (CA) is integrated into our curriculum to enhance practical knowledge application and develop essential skills for modern success. This approach fosters an engaging learning environment, preparing students for future careers while enhancing their entrepreneurial competencies and personal growth. | Blended Learning: The Best of Both Worlds | At LPU, blended learning combines in-person engagement and online flexibility, enabling discussions, resource access, and h || Blended Learning: The Best of Both Worlds | At LPU, blended learning combines in-person engagement and online flexibility, enabling discussions, resource access, and hands-on workshops. This approach develops digital literacy and collaboration skills while connecting students with</x:v>
      </x:c>
      <x:c r="H74" s="17" t="str">
        <x:v>Scholarship | English Language Requirement | How to Pay || Short Term Programme | English Language Programmes | Study India Programmes || Copyrights © 2026 All Rights Reserved by Lovely Professional University | English Language requirement for International Students: | All International Applicants are required to satisfy one of the following || as compulsory course in the Eligibility condition; even then he/she has to satisfy one | of the following English Language requirements. | Applicant must have passed English course in 10th or higher examination.</x:v>
      </x:c>
      <x:c r="I74" s="17" t="str">
        <x:v>Interdisciplinary Minors | Curriculum innovations | Guest lectures / Workshops || Programme Details | Curriculum | Fee || Related Programmes | Curriculum | Click on a course name below for viewing || Year | Electives Offered In Curriculum | Note: The Curriculum is subject to changes</x:v>
      </x:c>
      <x:c r="J74" s="17" t="str">
        <x:v>Knowledge is not skill. Knowledge plus 10000 times is skill! | LPU curriculum lets you master your skills. Extensive laboratory work, workshop courses, industry certifications, trainings, live projects and industry internships provide you rigorous hands-on exposure to real life. | Professional development classes</x:v>
      </x:c>
      <x:c r="K74" s="17" t="str">
        <x:v>Not stated on reviewed official page</x:v>
      </x:c>
      <x:c r="L74" s="17" t="str">
        <x:v>Not stated on reviewed official page</x:v>
      </x:c>
      <x:c r="M74" s="17" t="str">
        <x:v>Not stated on reviewed official page</x:v>
      </x:c>
      <x:c r="N74" s="17" t="str">
        <x:v>Not stated on reviewed official page</x:v>
      </x:c>
      <x:c r="O74" s="17" t="str">
        <x:v>Not stated on reviewed official page</x:v>
      </x:c>
      <x:c r="P74" s="30" t="str">
        <x:v>https://www.lpu.in/international/programmes/msc-environmental-sciences</x:v>
      </x:c>
      <x:c r="Q74" s="30" t="str">
        <x:v>https://www.lpu.in/academics/curriculum-innovations.php</x:v>
      </x:c>
      <x:c r="R74" s="17" t="str">
        <x:v>2026-07-18</x:v>
      </x:c>
      <x:c r="S74" s="17" t="str">
        <x:v>Official program page retrieved; 3 official page(s) reviewed; 6/10 requested evidence groups found.</x:v>
      </x:c>
      <x:c r="T74" s="17" t="str">
        <x:v>Automated evidence extraction from official pages. Manually confirm year-specific tuition, language score applicability, and optional-versus-required curriculum elements before analysis.</x:v>
      </x:c>
    </x:row>
    <x:row r="75" ht="84" customHeight="1">
      <x:c r="A75" s="17" t="n">
        <x:v>71</x:v>
      </x:c>
      <x:c r="B75" s="17" t="str">
        <x:v>University of Malaya</x:v>
      </x:c>
      <x:c r="C75" s="17" t="str">
        <x:v>Malaysia</x:v>
      </x:c>
      <x:c r="D75" s="17" t="str">
        <x:v>Master of Sustainability Science</x:v>
      </x:c>
      <x:c r="E75" s="17" t="str">
        <x:v>Not stated on reviewed official page</x:v>
      </x:c>
      <x:c r="F75" s="17" t="str">
        <x:v>Bioethics | Students need to complete a total of 42 credit hours of courses. This includes 30 credits of core courses; and 12 credits of elective courses from one of the following modules - Module 1: Policy and Governance of Science; and Module 2: Sociology and Enculturation of Science. The minimum duration of study is 3 semesters (e.g. 2 regular semesters and 1 special semester during the semester break), while the maximum duration is 8 normal semesters. | Core Courses (30 credits) || Students need to complete a total of 42 credit hours of courses. This includes 30 credits of core courses; and 12 credits of elective courses from one of the following modules - Module 1: Policy and Governance of Science; and Module 2: Sociology and Enculturation of Science. The minimum duration of study is 3 semesters (e.g. 2 regular semesters and 1 specia</x:v>
      </x:c>
      <x:c r="G75" s="17" t="str">
        <x:v>Not stated on reviewed official page</x:v>
      </x:c>
      <x:c r="H75" s="17" t="str">
        <x:v>Is a government servants | English Language Requirement: | Fulfil any one of the following: || B4.0 | IELTS | 6.0 || 6.0 | TOEFL iBT (Centre-based) | TOEFL Essentials (Online) || TOEFL iBT (Centre-based) | TOEFL Essentials (Online) | 8.5</x:v>
      </x:c>
      <x:c r="I75" s="17" t="str">
        <x:v>Bioethics | Students need to complete a total of 42 credit hours of courses. This includes 30 credits of core courses; and 12 credits of elective courses from one of the following modules - Module 1: Policy and Governance of Science; and Module 2: Sociology and Enculturation of Science. The minimum duration of study is 3 semesters (e.g. 2 regular semesters and 1 special semester during the semester break), while the maximum duration is 8 normal semesters. | Core Courses (30 credits) || Students need to complete a total of 42 credit hours of courses. This includes 30 credits of core courses; and 12 credits of elective courses from one of the following modules - Module 1: Policy and Governance of Science; and Module 2: Sociology and Enculturation of Science. The minimum duration of study is 3 semesters (e.g. 2 regular semesters and 1 special semester during the semester break), while the maximum duration is 8 normal semesters. | Core Courses (30 credits) | SQE7015 Research Metho</x:v>
      </x:c>
      <x:c r="J75" s="17" t="str">
        <x:v>NA</x:v>
      </x:c>
      <x:c r="K75" s="17" t="str">
        <x:v>Master's Programme (Coursework) | Dissertation - PhD and Master | Industrial Training || SQE7015 Research Methodology (3 credits) | SQE7028 Research Project (Pre-requisite: SQE7015) (12 credit) | SQE7016 Sociology of Science (3 credits)</x:v>
      </x:c>
      <x:c r="L75" s="17" t="str">
        <x:v>Not stated on reviewed official page</x:v>
      </x:c>
      <x:c r="M75" s="17" t="str">
        <x:v>Not stated on reviewed official page</x:v>
      </x:c>
      <x:c r="N75" s="17" t="str">
        <x:v>Not stated on reviewed official page</x:v>
      </x:c>
      <x:c r="O75" s="17" t="str">
        <x:v>Not stated on reviewed official page</x:v>
      </x:c>
      <x:c r="P75" s="30" t="str">
        <x:v>https://sts.um.edu.my/master-of-sustainability-science.html</x:v>
      </x:c>
      <x:c r="Q75" s="30" t="str"/>
      <x:c r="R75" s="17" t="str">
        <x:v>2026-07-18</x:v>
      </x:c>
      <x:c r="S75" s="17" t="str">
        <x:v>Official program page retrieved; 2 official page(s) reviewed; 4/10 requested evidence groups found.</x:v>
      </x:c>
      <x:c r="T75" s="17" t="str">
        <x:v>Automated evidence extraction from official pages. Manually confirm year-specific tuition, language score applicability, and optional-versus-required curriculum elements before analysis.</x:v>
      </x:c>
    </x:row>
    <x:row r="76" ht="84" customHeight="1">
      <x:c r="A76" s="17" t="n">
        <x:v>72</x:v>
      </x:c>
      <x:c r="B76" s="17" t="str">
        <x:v>Aalborg University</x:v>
      </x:c>
      <x:c r="C76" s="17" t="str">
        <x:v>Denmark</x:v>
      </x:c>
      <x:c r="D76" s="17" t="str">
        <x:v>MSc Engineering in Sustainable Cities</x:v>
      </x:c>
      <x:c r="E76" s="17" t="str">
        <x:v>Not stated on reviewed official page</x:v>
      </x:c>
      <x:c r="F76" s="17" t="str">
        <x:v>It is a priority for us that you have the opportunity to work with external partners, for instance in your semester projects, which can be carried out in cooperation with authorities, companies, NGOs, etc. This way you get to work on real life problems, preparing you for your professional career. | The Sustainable Cities programme is focusing on the developed cities where the programme’s first two semesters are focused on four infrastructure sectors as well as synergies across these sectors. We  || Courses at the 1st semester: | Transitioning from wasteful to sustainable cities (5 ECTS) | The aim of the course is to introduce how the energy and material flows of cities (urban metabolism) can be analysed and to provide students with both an overview of the waste management strategies, technologies and tools applied as well as the necessary</x:v>
      </x:c>
      <x:c r="G76" s="17" t="str">
        <x:v>New Master’s options | We expect that as of 2028 you will be able to take this Master's degree programme as a 2-year programme (full-time study, 120 ECTS credits) and as a 3-year Master's for working professionals (first year full-time and then two years of part-time study in combination with relevant employment) | Learn more about your new master’s options at AAU || What you can offer an employer | How to go about job search in Denmark – both student job, internship and full-time job | Read more about AAU Career here</x:v>
      </x:c>
      <x:c r="H76" s="17" t="str">
        <x:v>Not stated on reviewed official page</x:v>
      </x:c>
      <x:c r="I76" s="17" t="str">
        <x:v>Learn more about your new master’s options at AAU | Programme structure | Academic content and semester descriptions || The bachelor's degree programme which precedes these three Master's programmes is Urban, Energy and Environmental Planning ( By- Energi og Miljøplanlægning ). Unlike the Master's programmes, the bachelor's programme is carried out in Danish. | Curriculum | Find the curriculum for the programme here. || Curriculum | Find the curriculum for the programme here. | Meet Ida and Jule from the programme</x:v>
      </x:c>
      <x:c r="J76" s="17" t="str">
        <x:v>3rd Semester | Internship, study abroad or “prolonged project period” | This semester will provide the student with the option of applying the theoretical and methodological knowledge gained during the 1st and 2nd semesters into practice in real life situations in Denmark or abroad ( Professional Development ). This could take form as an internship within for example a private consultancy firm, a public authority or a private NGO. The choice of internship is made on the basis of your interests.  || Internship, study abroad or “prolonged project period” | This semester will provide the student with the option of applying the theoretical and methodological knowledge gained during the 1st and 2nd semesters into practice in real life situations in Denmark or abroad ( Professional Development ). This could take form as an internship within for example a private consultancy firm, a public auth</x:v>
      </x:c>
      <x:c r="K76" s="17" t="str">
        <x:v>Not stated on reviewed official page</x:v>
      </x:c>
      <x:c r="L76" s="17" t="str">
        <x:v>Yes</x:v>
      </x:c>
      <x:c r="M76" s="17" t="str">
        <x:v>4th Semester | Master's thesis | In the final semester the main focus is on the writing of the Master's Thesis . The students work individually or in small groups, under the guidance of supervisory staff. The Master's Thesis, being the highest level of work undertaken, should aim at synthesising theories and methods in order to perform a potential solution for real life environmental planning and management problems. On the master thesis it can also be beneficial to have a strong link to busines || Master's thesis | In the final semester the main focus is on the writing of the Master's Thesis . The students work individually or in small groups, under the guidance of supervisory staff. The Master's Thesis, being the highest level of work undertaken, should aim at synthesising theories and m</x:v>
      </x:c>
      <x:c r="N76" s="17" t="str">
        <x:v>Not stated on reviewed official page</x:v>
      </x:c>
      <x:c r="O76" s="17" t="str">
        <x:v>Not stated on reviewed official page</x:v>
      </x:c>
      <x:c r="P76" s="30" t="str">
        <x:v>https://www.en.aau.dk/education/master/sustainable-cities</x:v>
      </x:c>
      <x:c r="Q76" s="30" t="str"/>
      <x:c r="R76" s="17" t="str">
        <x:v>2026-07-18</x:v>
      </x:c>
      <x:c r="S76" s="17" t="str">
        <x:v>Official program page retrieved; 2 official page(s) reviewed; 5/10 requested evidence groups found.</x:v>
      </x:c>
      <x:c r="T76" s="17" t="str">
        <x:v>Automated evidence extraction from official pages. Manually confirm year-specific tuition, language score applicability, and optional-versus-required curriculum elements before analysis.</x:v>
      </x:c>
    </x:row>
    <x:row r="77" ht="84" customHeight="1">
      <x:c r="A77" s="17" t="n">
        <x:v>73</x:v>
      </x:c>
      <x:c r="B77" s="17" t="str">
        <x:v>Kyung Hee University</x:v>
      </x:c>
      <x:c r="C77" s="17" t="str">
        <x:v>South Korea</x:v>
      </x:c>
      <x:c r="D77" s="17" t="str">
        <x:v>Graduate pathway in Environmental Science and Engineering</x:v>
      </x:c>
      <x:c r="E77" s="17" t="str">
        <x:v>Not stated on reviewed official page</x:v>
      </x:c>
      <x:c r="F77" s="17" t="str">
        <x:v>To receive the degree of B. Sc. in Environmental Science, a student must | 1) complete a minimum of 136 credit units | 2) satisfy the General Requirements of the School for professional degrees, || To receive the degree of B. Eng. in Environmental Engineering, a student must | 1) complete a minimum of 136 credit units | 2) satisfy the General Requirements of the School for professional degrees,</x:v>
      </x:c>
      <x:c r="G77" s="17" t="str">
        <x:v>Not stated on reviewed official page</x:v>
      </x:c>
      <x:c r="H77" s="17" t="str">
        <x:v>Not stated on reviewed official page</x:v>
      </x:c>
      <x:c r="I77" s="17" t="str">
        <x:v>What is Environmental Science and Engineering? | Environmental Science &amp;Engineering is an area of highly applied science to solve the environmental problems such as destruction of eco-system, water contamination, air pollution, soil contamination and municipal waste treatment. The department curriculum offers environmental management, eco-business, environmental education and toxicology in addition to the general environmental areas. In particular, process designs are the essential courses in th || 2) satisfy the General Requirements of the School for professional degrees, | 3) complete the 12 units of Core Courses for Environmental Science, | 4) complete at least more than 37 units of Elective Courses for Environmental Science. || 2) satisfy the General Requirements of the School for professional degrees, | 3) complete 18 units of Core Courses for Environmental Engineering, | 4) complete 42 units of Elective Courses for Environmental Engineering,</x:v>
      </x:c>
      <x:c r="J77" s="17" t="str">
        <x:v>Year 3 | Environmental Ecology II and Field work , Water Quality Analysis and Lab, Environmental Statistics with computer Applications, Physical and Chemical Wastewater Treatment, Air Quality Analysis and Lab, Solid Waste Treatment Engineering, Management of River Environment, Solid Waste Management and Lab, Aerosol Control Design, Biological wastewater Treatment Design, Waste Gas Control Design. | Year 4</x:v>
      </x:c>
      <x:c r="K77" s="17" t="str">
        <x:v>Not stated on reviewed official page</x:v>
      </x:c>
      <x:c r="L77" s="17" t="str">
        <x:v>Not stated on reviewed official page</x:v>
      </x:c>
      <x:c r="M77" s="17" t="str">
        <x:v>Not stated on reviewed official page</x:v>
      </x:c>
      <x:c r="N77" s="17" t="str">
        <x:v>Not stated on reviewed official page</x:v>
      </x:c>
      <x:c r="O77" s="17" t="str">
        <x:v>Not stated on reviewed official page</x:v>
      </x:c>
      <x:c r="P77" s="30" t="str">
        <x:v>https://eng.khu.ac.kr/eng_eng/user/contents/view.do?menuNo=17200012</x:v>
      </x:c>
      <x:c r="Q77" s="30" t="str"/>
      <x:c r="R77" s="17" t="str">
        <x:v>2026-07-18</x:v>
      </x:c>
      <x:c r="S77" s="17" t="str">
        <x:v>Official program page retrieved; 1 official page(s) reviewed; 3/10 requested evidence groups found.</x:v>
      </x:c>
      <x:c r="T77" s="17" t="str">
        <x:v>Automated evidence extraction from official pages. Manually confirm year-specific tuition, language score applicability, and optional-versus-required curriculum elements before analysis.</x:v>
      </x:c>
    </x:row>
    <x:row r="78" ht="84" customHeight="1">
      <x:c r="A78" s="17" t="n">
        <x:v>74</x:v>
      </x:c>
      <x:c r="B78" s="17" t="str">
        <x:v>University of Victoria</x:v>
      </x:c>
      <x:c r="C78" s="17" t="str">
        <x:v>Canada</x:v>
      </x:c>
      <x:c r="D78" s="17" t="str">
        <x:v>MA/MSc Environmental Studies</x:v>
      </x:c>
      <x:c r="E78" s="17" t="str">
        <x:v>ES 690 Directed Studies | PhD students must register for ES 693 (PhD Candidacy Exam), or ES 699 (PhD Dissertation) if you have already completed ES 693. You must continue to register for these courses every term until you complete them unless you are doing other coursework. You will have full-time student status when registered for either course. If you choose to be a part-time student, you may register for 1.5 units of credit. In this case, you will have part time status. This will reduce your  || How much will the program cost? | Students in graduate programs pay tuition on a program basis, broken into fee instalments. Learn about tuition and costs . | Do I need a study permit? || Finances | Tuition &amp; costs | Estimate your tuition fees</x:v>
      </x:c>
      <x:c r="F78" s="17" t="str">
        <x:v>September: ES 500 (MA/MSc) or 600 (PhD) and | There is no formal residency requirement. However, in practice all students must be living in or near Greater Victoria during their first two terms of study and residency during the first year is encouraged. | Graduate course summary: || Master's program | The master's program is a research degree concluding with the presentation and defense of a thesis. It normally lasts for 24 months, but typically takes from 30-36 months to complete. The maximum time allowed is 60 months. | An MA/MSc student must successfully complete 18 units of course study. Of these 18 units, 7.5 units are required core courses (listed below). Three units are taken as electives, and 7.5 units are taken as thesis. || Key components of graduate program timeline: | formation of a supervisory committee: within 8 months of en</x:v>
      </x:c>
      <x:c r="G78" s="17" t="str">
        <x:v>At least 3.0 elective units must be taken from within, or outside, the School with the permission of the student's supervisor. Up to 1.5 units may be taken at the 400 level. A student's advisory committee may also stipulate additional courses to be taken. Elective courses should be chosen to fill specific gaps in your knowledge or skills or extend your interests into a new domain. We suggest that only one of the two elective courses is a pro forma or Directed Studies (i.e., individual one-on-one || ES 690 Directed Studies | PhD students must register for ES 693 (PhD Candidacy Exam), or ES 699 (PhD Dissertation) if you have already completed ES 693. You must continue to register for these courses every term until you complete them unless you are doing other coursework. You will have full-time student status when registered for either cours</x:v>
      </x:c>
      <x:c r="H78" s="17" t="str">
        <x:v>What language competency is required? | Students must demonstrate English language proficiency to attend UVic. Please visit the Faculty of Graduate Studies page for more information. | How much will the program cost?</x:v>
      </x:c>
      <x:c r="I78" s="17" t="str">
        <x:v>The master's program is a research degree concluding with the presentation and defense of a thesis. It normally lasts for 24 months, but typically takes from 30-36 months to complete. The maximum time allowed is 60 months. | An MA/MSc student must successfully complete 18 units of course study. Of these 18 units, 7.5 units are required core courses (listed below). Three units are taken as electives, and 7.5 units are taken as thesis. | Core Courses (required): || An MA/MSc student must successfully complete 18 units of course study. Of these 18 units, 7.5 units are required core courses (listed below). Three units are taken as electives, and 7.5 units are taken as thesis. | Core Courses (required): | ES 500 (1.5) Perspectives on Environmental Theories, Methods and Skills I || A typical PhD program lasts 4-5 years and focuses mainly on research, concluding with the presentation and defense of a dissertation. The PhD program is normally a 48-month research program. The current average time to completion is closer to 60 months. The maximum time allowed is 84 months. | The University of </x:v>
      </x:c>
      <x:c r="J78" s="17" t="str">
        <x:v>Funding | Sustainability Scholars internship | Co-op || Life happens... let us help you. Through Student Awards and Financial Aid, UVic has an emergency loan fund which provides short term assistance to students experiencing an unanticipated and urgent financial crisis. | Sustainability Scholars internship | The UVic Sustainability Scholars Program offers paid internships for graduate students, pairing them with community, government, Indigenous and not-for-profit partners to work on projects that advance sustainability. This hands-on experience enha || Sustainability Scholars internship | The UVic Sustainability Scholars Program offers paid internships for graduate students, pairing them with community, government, Indigenous and not-for-profit partners to work on projects that advance sustainability. This hands-on experience enhances career prospects and supports community initiatives,</x:v>
      </x:c>
      <x:c r="K78" s="17" t="str">
        <x:v>PhD program | A typical PhD program lasts 4-5 years and focuses mainly on research, concluding with the presentation and defense of a dissertation. The PhD program is normally a 48-month research program. The current average time to completion is closer to 60 months. The maximum time allowed is 84 months. | The University of Victoria requires a minimum of 30 units to obtain a PhD degree (if the student has a master's degree). Core courses contribute 9.0 units toward the 30-unit minimum degree re || ES 693 (3.0) Candidacy Examination - No class time required | ES 699 (21) PhD Dissertation - No class time required | Elective courses: || ES 690 Directed Studies | PhD students must register for ES 693 (PhD Candidacy Exam), or ES 699 (PhD Dissertation) if you have already completed ES 693. You must continue to register for these courses every term until you complete them unless you are doing </x:v>
      </x:c>
      <x:c r="L78" s="17" t="str">
        <x:v>Yes</x:v>
      </x:c>
      <x:c r="M78" s="17" t="str">
        <x:v>ES 593 (1.5) Thesis Proposal Preparation - No class time required | ES 599 (7.5) Masters Thesis - No class time required | ES 500, 501 and 503 are taken in sequence in the first year of study and are required by all students in this program. ES 593 is completed once the research proposal is approved by your committee (by September 30th on your second year of study). || At least 3.0 elective units must be taken from within, or outside, the School with the permission of the student's supervisor. Up to 1.5 units may be taken at the 400 level. A student's advisory committee may also stipulate additional courses to be taken. Elective courses should be chosen to fill specific gaps in your knowledge or skills or extend your interests into a new domain. We suggest that only one of the two elective</x:v>
      </x:c>
      <x:c r="N78" s="17" t="str">
        <x:v>Not stated on reviewed official page</x:v>
      </x:c>
      <x:c r="O78" s="17" t="str">
        <x:v>Not stated on reviewed official page</x:v>
      </x:c>
      <x:c r="P78" s="30" t="str">
        <x:v>https://www.uvic.ca/socialsciences/environmental/programs/graduate/index.php</x:v>
      </x:c>
      <x:c r="Q78" s="30" t="str">
        <x:v>https://www.uvic.ca/graduate/finances/tuition-costs/index.php</x:v>
      </x:c>
      <x:c r="R78" s="17" t="str">
        <x:v>2026-07-18</x:v>
      </x:c>
      <x:c r="S78" s="17" t="str">
        <x:v>Official program page retrieved; 2 official page(s) reviewed; 8/10 requested evidence groups found.</x:v>
      </x:c>
      <x:c r="T78" s="17" t="str">
        <x:v>Automated evidence extraction from official pages. Manually confirm year-specific tuition, language score applicability, and optional-versus-required curriculum elements before analysis.</x:v>
      </x:c>
    </x:row>
    <x:row r="79" ht="84" customHeight="1">
      <x:c r="A79" s="17" t="n">
        <x:v>76</x:v>
      </x:c>
      <x:c r="B79" s="17" t="str">
        <x:v>Central Queensland University</x:v>
      </x:c>
      <x:c r="C79" s="17" t="str">
        <x:v>Australia</x:v>
      </x:c>
      <x:c r="D79" s="17" t="str">
        <x:v>Master of Sustainable Development</x:v>
      </x:c>
      <x:c r="E79" s="17" t="str">
        <x:v>Level 9: Masters Degree (Coursework) | Course Fees | Indicative Year - 2026 || Domestic Fees | International Fees | Course Features</x:v>
      </x:c>
      <x:c r="F79" s="17" t="str">
        <x:v>Duration | 2 years full-time or 4 years part-time | Credit Points that Must be Earned || a completed Australian Qualifications Framework (AQF) Certificate IV or Diploma level qualification, or | a Bachelor level qualification study for a period of at least 2 years fulltime with a minimum overall GPA 4.0. | These qualifications must be completed within Australia, Canada, New Zealand, United Kingdom, South Africa, Ireland, or the United States of America to meet the English language proficiency requirements. || an Occupational English Test with a minimum result of 'B' in each of the four components (listening, reading, writing and speaking). | English test results remain valid for no more than two years between final examination date and the date of commencement of study, and must appear on a single result certificate. | If you are an inter</x:v>
      </x:c>
      <x:c r="G79" s="17" t="str">
        <x:v>Duration | 2 years full-time or 4 years part-time | Credit Points that Must be Earned || Where and when can I start? | Units offered internally at the below campuses may be delivered using a combination of face-to-face and video conferencing style teaching. | Units offered via MIX mode are delivered online and require compulsory attendance of site-specific learning activities such as on-campus residential schools, placements and/or work integrated learning. || Units offered internally at the below campuses may be delivered using a combination of face-to-face and video conferencing style teaching. | Units offered via MIX mode are delivered online and require compulsory attendance of site-specific learning activities such as on-campus residential schools, placements and/or work integrated learning. | See Course Features tab for further info</x:v>
      </x:c>
      <x:c r="H79" s="17" t="str">
        <x:v>a completed Australian Qualifications Framework (AQF) equivalent Bachelor degree, or higher equivalent qualification. | English Language Proficiency Requirements | If you were not born in Australia, Canada, New Zealand, United Kingdom, Ireland, South Africa or the United States of America, you are required to meet the English language proficiency requirements set by the University. || English Language Proficiency Requirements | If you were not born in Australia, Canada, New Zealand, United Kingdom, Ireland, South Africa or the United States of America, you are required to meet the English language proficiency requirements set by the University. | You are required to provide documentation confirming completion of: || a Bachelor level qualification study for a period of at least 2 years fulltime with a minimum overall GPA 4.0. | These qualifications must be completed within Australia, Canada, New Zealand, United Kingdom, South Africa, Ireland, or the United States of America to meet the </x:v>
      </x:c>
      <x:c r="I79" s="17" t="str">
        <x:v>Inherent Requirements | Course Learning Outcomes | Core Structure || Core Structure | Course Structure | Core Structure || The Master of Sustainable Development is designed for professionals seeking to become leaders in the field of sustainability. This comprehensive course offers a holistic approach to sustainability, encompassing environmental, social and economic dimensions. You will delve into advanced topics including sustainable resource management, policy analysis and corporate sustainability strategies. | A distinctive feature of this course is the practical residential school, where you will gain hands-on s || Inherent Requirements | There are Inherent Requirements (IRs) that you need to be aware of, and fulfil, to achieve the core learning outcomes of the units and course. IRs are the essential capabilities, knowledge, behaviours and skills that are needed to complete a unit or course. | Please note that in some instances there may be similarities between course, entry and inherent requirements.</x:v>
      </x:c>
      <x:c r="J79" s="17" t="str">
        <x:v>Compulsory Residential School | Some units in this course require you to attend a compulsory Residential School or Work Integrated Learning. Please see Course Features in the Getting Started tab for further information. | Course Overview || Units offered internally at the below campuses may be delivered using a combination of face-to-face and video conferencing style teaching. | Units offered via MIX mode are delivered online and require compulsory attendance of site-specific learning activities such as on-campus residential schools, placements and/or work integrated learning. | See Course Features tab for further information. Online units are delivered using online resources only. || Click here to view all Residential Schools | Practicum/Work Placement | Not applicable</x:v>
      </x:c>
      <x:c r="K79" s="17" t="str">
        <x:v>9. APPLICATION OF KNOWLEDGE &amp; SKILLS Be able to use high level personal autonomy and accountability | 10 APPLICATION OF KNOWLEDGE &amp; SKILLS Be able to plan and execute a substantial research-based project, capstone experience and/or piece of scholarship. | APPLICATION OF KNOWLEDGE &amp; SKILLS Communicate, interact and collaborate with others effectively in culturally or linguistically diverse contexts in a culturally respectful manner</x:v>
      </x:c>
      <x:c r="L79" s="17" t="str">
        <x:v>Not stated on reviewed official page</x:v>
      </x:c>
      <x:c r="M79" s="17" t="str">
        <x:v>Not stated on reviewed official page</x:v>
      </x:c>
      <x:c r="N79" s="17" t="str">
        <x:v>Not stated on reviewed official page</x:v>
      </x:c>
      <x:c r="O79" s="17" t="str">
        <x:v>Not stated on reviewed official page</x:v>
      </x:c>
      <x:c r="P79" s="30" t="str">
        <x:v>https://handbook.cqu.edu.au/he/courses/view/CM82/HT1/2025</x:v>
      </x:c>
      <x:c r="Q79" s="30" t="str"/>
      <x:c r="R79" s="17" t="str">
        <x:v>2026-07-18</x:v>
      </x:c>
      <x:c r="S79" s="17" t="str">
        <x:v>Official program page retrieved; 3 official page(s) reviewed; 7/10 requested evidence groups found.</x:v>
      </x:c>
      <x:c r="T79" s="17" t="str">
        <x:v>Automated evidence extraction from official pages. Manually confirm year-specific tuition, language score applicability, and optional-versus-required curriculum elements before analysis.</x:v>
      </x:c>
    </x:row>
    <x:row r="80" ht="84" customHeight="1">
      <x:c r="A80" s="17" t="n">
        <x:v>77</x:v>
      </x:c>
      <x:c r="B80" s="17" t="str">
        <x:v>University of Newcastle</x:v>
      </x:c>
      <x:c r="C80" s="17" t="str">
        <x:v>Australia</x:v>
      </x:c>
      <x:c r="D80" s="17" t="str">
        <x:v>Master of Environmental Management and Sustainability</x:v>
      </x:c>
      <x:c r="E80" s="17" t="str">
        <x:v>Indicative annual fee: AUD 49,640 for the indexed international/full-time study option; annual fees are based on an 80-unit full-time load.</x:v>
      </x:c>
      <x:c r="F80" s="17" t="str">
        <x:v>2 years full-time; up to 6 years part-time.</x:v>
      </x:c>
      <x:c r="G80" s="17" t="str">
        <x:v>Online option is published; other location/attendance options depend on the selections made on the official program page.</x:v>
      </x:c>
      <x:c r="H80" s="17" t="str">
        <x:v>Applicants must meet University of Newcastle English Language Proficiency requirements; the program page did not expose the numeric score in the reviewed view.</x:v>
      </x:c>
      <x:c r="I80" s="17" t="str">
        <x:v>Environmental management, sustainability, climate change, policy development and implementation, impact assessment, with specialisation in business management, natural resource management, and/or spatial science.</x:v>
      </x:c>
      <x:c r="J80" s="17" t="str">
        <x:v>NA</x:v>
      </x:c>
      <x:c r="K80" s="17" t="str">
        <x:v>Not stated on reviewed official page</x:v>
      </x:c>
      <x:c r="L80" s="17" t="str">
        <x:v>Not stated on reviewed official page</x:v>
      </x:c>
      <x:c r="M80" s="17" t="str">
        <x:v>Not stated on reviewed official page</x:v>
      </x:c>
      <x:c r="N80" s="17" t="str">
        <x:v>Not stated on reviewed official page</x:v>
      </x:c>
      <x:c r="O80" s="17" t="str">
        <x:v>98.2% employed within four months of graduating (Graduate Outcomes Survey 2022-2024, Postgraduate Agriculture and Environmental Studies).</x:v>
      </x:c>
      <x:c r="P80" s="30" t="str">
        <x:v>https://www.newcastle.edu.au/degrees/master-environmental-management-sustainability</x:v>
      </x:c>
      <x:c r="Q80" s="30" t="str">
        <x:v>https://www.newcastle.edu.au/degrees/master-environmental-management-sustainability</x:v>
      </x:c>
      <x:c r="R80" s="17" t="str">
        <x:v>2026-07-18</x:v>
      </x:c>
      <x:c r="S80" s="17" t="str">
        <x:v>Manually completed from current official indexed content after the automated page request was blocked or incomplete.</x:v>
      </x:c>
      <x:c r="T80" s="17" t="str">
        <x:v>Official source content was manually reviewed. Reconfirm year-specific tuition and linked university-wide requirements before final statistical analysis.</x:v>
      </x:c>
    </x:row>
    <x:row r="81" ht="84" customHeight="1">
      <x:c r="A81" s="17" t="n">
        <x:v>78</x:v>
      </x:c>
      <x:c r="B81" s="17" t="str">
        <x:v>Northumbria University</x:v>
      </x:c>
      <x:c r="C81" s="17" t="str">
        <x:v>United Kingdom</x:v>
      </x:c>
      <x:c r="D81" s="17" t="str">
        <x:v>MSc Disaster Management and Sustainable Development</x:v>
      </x:c>
      <x:c r="E81" s="17" t="str">
        <x:v>Full UK Fee: GBP 12,950 | Tuition fees in the academic year 2027/28* will be GBP 10,050. Fees are set in line with the UK Government's tuition fee cap. The University may increase fees in subsequent years in line with any changes to the tuition fee cap. Increases will be linked to inflation. For example, increases may be linked to RPIX (Retail Price Index excluding mortgage interest payments) Students will be notified of any increase ahead of it taking effect. Student fee loans rise in line with || *if your course is longer than one year | Full International Fee: GBP 22,850 | This is the tuition fee for your first year of study. You should expect to pay tuition fees for every year of study. The University may increase fees in the second and subsequent years of your course at our discretion in line with any inflationary or other uplift. St</x:v>
      </x:c>
      <x:c r="F81" s="17" t="str">
        <x:v>Disaster Management and Sustainable Development MSc | 2 Years Full-Time (with Advanced Practice in Second Year) | September Start | APPLY NOW || Mode of Study | 2 years Full Time (with Advanced Practice in the second year) | 1 other options available || Tuition fees in the academic year 2027/28* will be GBP 10,050. Fees are set in line with the UK Government's tuition fee cap. The University may increase fees in subsequent years in line with any changes to the tuition fee cap. Increases will be linked to inflation. For example, increases may be linked to RPIX (Retail Price Index excluding mortgage interest payments) Students will be notified of any increase ahead of it taking effect. Student fee loans rise in line with the tuition fees cap. | *</x:v>
      </x:c>
      <x:c r="G81" s="17" t="str">
        <x:v>Disaster Management and Sustainable Development MSc | 2 Years Full-Time (with Advanced Practice in Second Year) | September Start | APPLY NOW || Postgraduate | Mode of Study | 2 years Full Time (with Advanced Practice in the second year) || Mode of Study | 2 years Full Time (with Advanced Practice in the second year) | 1 other options available</x:v>
      </x:c>
      <x:c r="H81" s="17" t="str">
        <x:v>Not stated on reviewed official page</x:v>
      </x:c>
      <x:c r="I81" s="17" t="str">
        <x:v>Not stated on reviewed official page</x:v>
      </x:c>
      <x:c r="J81" s="17" t="str">
        <x:v>Research methods covered will include both qualitative and quantitative methods and techniques to explore issues in disaster and development studies, and global development from a human / societal / social processes / organisations / communities perspective. Particular attention will be devoted to evidence-based policy making and “wicked issues”. “Natural” environmental processes will be within the scope of the module as far as a social science-based exploration of “produced nature” is fruitful  || This is an innovative experiential module that will involve you preparing for, taking part in and reflecting on an overseas study visit. Visits will take place in various locations and will draw on the expertise, partnership, and experiences of the teaching staff. You may visit India, Indonesia, Peru, Uganda or other countries where teaching staff maintain well-established research projects an</x:v>
      </x:c>
      <x:c r="K81" s="17" t="str">
        <x:v>More about the UK Government Loan. | In this rapidly expanding field, you will learn through real scenarios and case studies and live research projects, developing your personal and professional responses to disaster and development challenges. | Guided through lectures, seminars and workshops by staff with vast experience in applying expertise to current world issues, you will develop the knowledge and practical skills needed to prepare for, take action within, and recover from a crisis. You wi || In this rapidly expanding field, you will learn through real scenarios and case studies and live research projects, developing your personal and professional responses to disaster and development challenges. | Guided through lectures, seminars and workshops by staff with vast experience in applying expertise to current world issues, you will develop the knowledge and practical skills needed to</x:v>
      </x:c>
      <x:c r="L81" s="17" t="str">
        <x:v>Not stated on reviewed official page</x:v>
      </x:c>
      <x:c r="M81" s="17" t="str">
        <x:v>Not stated on reviewed official page</x:v>
      </x:c>
      <x:c r="N81" s="17" t="str">
        <x:v>Not stated on reviewed official page</x:v>
      </x:c>
      <x:c r="O81" s="17" t="str">
        <x:v>Not stated on reviewed official page</x:v>
      </x:c>
      <x:c r="P81" s="30" t="str">
        <x:v>https://www.northumbria.ac.uk/study-at-northumbria/courses/disaster-management-and-sustainable-development-with-advanced-practice-msc-ft-dtsdds6/</x:v>
      </x:c>
      <x:c r="Q81" s="30" t="str"/>
      <x:c r="R81" s="17" t="str">
        <x:v>2026-07-18</x:v>
      </x:c>
      <x:c r="S81" s="17" t="str">
        <x:v>Official program page retrieved; 4 official page(s) reviewed; 5/10 requested evidence groups found.</x:v>
      </x:c>
      <x:c r="T81" s="17" t="str">
        <x:v>Automated evidence extraction from official pages. Manually confirm year-specific tuition, language score applicability, and optional-versus-required curriculum elements before analysis.</x:v>
      </x:c>
    </x:row>
    <x:row r="82" ht="84" customHeight="1">
      <x:c r="A82" s="17" t="n">
        <x:v>79</x:v>
      </x:c>
      <x:c r="B82" s="17" t="str">
        <x:v>University of Indonesia</x:v>
      </x:c>
      <x:c r="C82" s="17" t="str">
        <x:v>Indonesia</x:v>
      </x:c>
      <x:c r="D82" s="17" t="str">
        <x:v>Master of Environmental Science</x:v>
      </x:c>
      <x:c r="E82" s="17" t="str">
        <x:v>Not stated on reviewed official page</x:v>
      </x:c>
      <x:c r="F82" s="17" t="str">
        <x:v>Learning Outcomes | In accordance with Decree 1311 concerning the 2020 Higher Education Curriculum for the Environmental Science Study Program of the SIL UI Masters Program, the structure of the Masters education curriculum at SIL is in the form of lectures and research with a load of 40 credits taken within a study period of 4-6 semesters. The curriculum consists of 28 credits of compulsory courses and 12 credits of elective courses. The Environmental Science Study Program currently has 3 (thre</x:v>
      </x:c>
      <x:c r="G82" s="17" t="str">
        <x:v>SDGs | Gallery/Life on Campus | ALUMNI</x:v>
      </x:c>
      <x:c r="H82" s="17" t="str">
        <x:v>Not stated on reviewed official page</x:v>
      </x:c>
      <x:c r="I82" s="17" t="str">
        <x:v>Masters who are able to develop knowledge in the field of Environmental Science and are able to conduct (manage) research and are able to identify and solve problems in the field of environmental science through interdisciplinary and multidisciplinary approaches, and are able to write and disseminate research results to the public. | Learning Outcomes | In accordance with Decree 1311 concerning the 2020 Higher Education Curriculum for the Environmental Science Study Program of the SIL UI Masters || Learning Outcomes | In accordance with Decree 1311 concerning the 2020 Higher Education Curriculum for the Environmental Science Study Program of the SIL UI Masters Program, the structure of the Masters education curriculum at SIL is in the form of lectures and research with a load of 40 credits taken within a study period of 4-6 semesters. The curriculum consists of 28 credits of compulsory courses and 12 credits of elective courses. The Environmental Science Study Program currently has 3 (thre</x:v>
      </x:c>
      <x:c r="J82" s="17" t="str">
        <x:v>NA</x:v>
      </x:c>
      <x:c r="K82" s="17" t="str">
        <x:v>Not stated on reviewed official page</x:v>
      </x:c>
      <x:c r="L82" s="17" t="str">
        <x:v>Not stated on reviewed official page</x:v>
      </x:c>
      <x:c r="M82" s="17" t="str">
        <x:v>Not stated on reviewed official page</x:v>
      </x:c>
      <x:c r="N82" s="17" t="str">
        <x:v>Not stated on reviewed official page</x:v>
      </x:c>
      <x:c r="O82" s="17" t="str">
        <x:v>Not stated on reviewed official page</x:v>
      </x:c>
      <x:c r="P82" s="30" t="str">
        <x:v>https://sil.ui.ac.id/en/master-of-environmental-science/</x:v>
      </x:c>
      <x:c r="Q82" s="30" t="str"/>
      <x:c r="R82" s="17" t="str">
        <x:v>2026-07-18</x:v>
      </x:c>
      <x:c r="S82" s="17" t="str">
        <x:v>Official program page retrieved; 1 official page(s) reviewed; 3/10 requested evidence groups found.</x:v>
      </x:c>
      <x:c r="T82" s="17" t="str">
        <x:v>Automated evidence extraction from official pages. Manually confirm year-specific tuition, language score applicability, and optional-versus-required curriculum elements before analysis.</x:v>
      </x:c>
    </x:row>
    <x:row r="83" ht="84" customHeight="1">
      <x:c r="A83" s="17" t="n">
        <x:v>80</x:v>
      </x:c>
      <x:c r="B83" s="17" t="str">
        <x:v>An-Najah National University</x:v>
      </x:c>
      <x:c r="C83" s="17" t="str">
        <x:v>Palestine</x:v>
      </x:c>
      <x:c r="D83" s="17" t="str">
        <x:v>MSc Environmental Sciences</x:v>
      </x:c>
      <x:c r="E83" s="17" t="str">
        <x:v>Not stated on reviewed official page</x:v>
      </x:c>
      <x:c r="F83" s="17" t="str">
        <x:v>Environmental Sciences | Duration: 24 Months (2 Years) | Degree Awarded: MSc || The Masters of Science in Environmental Science at An-Najah National University is a foundation to leadership for environmental professionals. The program was designed by academic leaders in the Water and Environmental Studies Institute at An-Najah National University and benefiting from experts and programs in applied science at regional institutes and universities. The focus of the program is on studying the environmental effects and impacts of current human activities and development on the p || 2003-1 | Student must complete 36 credit hours | Speciality Requirements</x:v>
      </x:c>
      <x:c r="G83" s="17" t="str">
        <x:v>Deanship of Student Affairs | Life on Campus | Student Training and Development || Faculties | Life on Campus | Nablus City || Discover Palestine | Open Online Courses | Nablus, Palestine</x:v>
      </x:c>
      <x:c r="H83" s="17" t="str">
        <x:v>Not stated on reviewed official page</x:v>
      </x:c>
      <x:c r="I83" s="17" t="str">
        <x:v>The Masters of Science in Environmental Science at An-Najah National University is a foundation to leadership for environmental professionals. The program was designed by academic leaders in the Water and Environmental Studies Institute at An-Najah National University and benefiting from experts and programs in applied science at regional institutes and universities. The focus of the program is on studying the environmental effects and impacts of current human activities and development on the p</x:v>
      </x:c>
      <x:c r="J83" s="17" t="str">
        <x:v>NA</x:v>
      </x:c>
      <x:c r="K83" s="17" t="str">
        <x:v>Not stated on reviewed official page</x:v>
      </x:c>
      <x:c r="L83" s="17" t="str">
        <x:v>Not stated on reviewed official page</x:v>
      </x:c>
      <x:c r="M83" s="17" t="str">
        <x:v>Not stated on reviewed official page</x:v>
      </x:c>
      <x:c r="N83" s="17" t="str">
        <x:v>Not stated on reviewed official page</x:v>
      </x:c>
      <x:c r="O83" s="17" t="str">
        <x:v>Not stated on reviewed official page</x:v>
      </x:c>
      <x:c r="P83" s="30" t="str">
        <x:v>https://www.najah.edu/en/academic/postgraduate-programs/program/environmental-sciences/info-card/</x:v>
      </x:c>
      <x:c r="Q83" s="30" t="str">
        <x:v>https://www.najah.edu/en/academic/postgraduate-programs/program/environmental-sciences/study-plan/</x:v>
      </x:c>
      <x:c r="R83" s="17" t="str">
        <x:v>2026-07-18</x:v>
      </x:c>
      <x:c r="S83" s="17" t="str">
        <x:v>Official program page retrieved; 2 official page(s) reviewed; 3/10 requested evidence groups found.</x:v>
      </x:c>
      <x:c r="T83" s="17" t="str">
        <x:v>Automated evidence extraction from official pages. Manually confirm year-specific tuition, language score applicability, and optional-versus-required curriculum elements before analysis.</x:v>
      </x:c>
    </x:row>
    <x:row r="84" ht="84" customHeight="1">
      <x:c r="A84" s="17" t="n">
        <x:v>81</x:v>
      </x:c>
      <x:c r="B84" s="17" t="str">
        <x:v>Arizona State University (Tempe)</x:v>
      </x:c>
      <x:c r="C84" s="17" t="str">
        <x:v>United States</x:v>
      </x:c>
      <x:c r="D84" s="17" t="str">
        <x:v>Master of Sustainability Solutions</x:v>
      </x:c>
      <x:c r="E84" s="17" t="str">
        <x:v>Admission requirements | Tuition information | Application deadlines || In order to promote access, students may submit a GPA petition if they don't meet the 3.00 GPA requirement for admission. More information can be found on the School of Sustainability graduate admission website . | Tuition information ▲ | When it comes to paying for higher education, || everyone’s situation is different. Students can | learn about ASU tuition and financial aid | options to find out which will work best for them.</x:v>
      </x:c>
      <x:c r="F84" s="17" t="str">
        <x:v>a bachelor's and a master's degree in as little | as five years. Accelerated bachelor's plus | master's degree programs are designed for || Degree requirements ▲ | 30 credit hours including the required applied project course (SOS 593) | Required Core (6 credit hours) || 30 credit hours including the required applied project course (SOS 593) | Required Core (6 credit hours) | SOS 508 Pathways to Sustainability (3) or SOS 510 Perspectives on Sustainability (3)</x:v>
      </x:c>
      <x:c r="G84" s="17" t="str">
        <x:v>Session A/C | In Person | 03/01 || and look for the "New Programs" option. | What are online programs? | ASU Online</x:v>
      </x:c>
      <x:c r="H84" s="17" t="str">
        <x:v>Not stated on reviewed official page</x:v>
      </x:c>
      <x:c r="I84" s="17" t="str">
        <x:v>concurrent combinations are not possible due to | high levels of overlap in curriculum; students | should speak with their academic advisor for || master's degree. These programs feature the same | high quality curriculum taught by ASU's | world-renowned faculty. || SOS 593 Applied Project (3) | Additional Curriculum Information | MSUS students specialize in a focus area and take six credit hours of elective coursework related to that area with approval by their academic advisor. || three letters of recommendation | resume or curriculum vitae | proof of English proficiency</x:v>
      </x:c>
      <x:c r="J84" s="17" t="str">
        <x:v>NA</x:v>
      </x:c>
      <x:c r="K84" s="17" t="str">
        <x:v>A distinguishing element of the program is its applied approach. You begin the program with a foundation in sustainability frameworks and methods, then you take electives in an area of interest and ultimately use this knowledge to develop solutions to actual sustainability challenges in real time. | Final courses include learning how to manage and carry-out sustainability projects. In the capstone experience, you collaborate with a company, a government agency, a community or a nongovernmental o</x:v>
      </x:c>
      <x:c r="L84" s="17" t="str">
        <x:v>Not stated on reviewed official page</x:v>
      </x:c>
      <x:c r="M84" s="17" t="str">
        <x:v>Not stated on reviewed official page</x:v>
      </x:c>
      <x:c r="N84" s="17" t="str">
        <x:v>Not stated on reviewed official page</x:v>
      </x:c>
      <x:c r="O84" s="17" t="str">
        <x:v>Not stated on reviewed official page</x:v>
      </x:c>
      <x:c r="P84" s="30" t="str">
        <x:v>https://degrees.apps.asu.edu/masters-phd/major/ASU00/SUSUSOMSUS/sustainability-solutions-msus?init=false&amp;nopassive=true</x:v>
      </x:c>
      <x:c r="Q84" s="30" t="str"/>
      <x:c r="R84" s="17" t="str">
        <x:v>2026-07-18</x:v>
      </x:c>
      <x:c r="S84" s="17" t="str">
        <x:v>Official program page retrieved; 3 official page(s) reviewed; 5/10 requested evidence groups found.</x:v>
      </x:c>
      <x:c r="T84" s="17" t="str">
        <x:v>Automated evidence extraction from official pages. Manually confirm year-specific tuition, language score applicability, and optional-versus-required curriculum elements before analysis.</x:v>
      </x:c>
    </x:row>
    <x:row r="85" ht="84" customHeight="1">
      <x:c r="A85" s="17" t="n">
        <x:v>82</x:v>
      </x:c>
      <x:c r="B85" s="17" t="str">
        <x:v>King Faisal University</x:v>
      </x:c>
      <x:c r="C85" s="17" t="str">
        <x:v>Saudi Arabia</x:v>
      </x:c>
      <x:c r="D85" s="17" t="str">
        <x:v>MSc Agricultural Systems Engineering - Environmental Systems discipline</x:v>
      </x:c>
      <x:c r="E85" s="17" t="str">
        <x:v>Not stated on reviewed official page</x:v>
      </x:c>
      <x:c r="F85" s="17" t="str">
        <x:v>2 years; 30 credit hours.</x:v>
      </x:c>
      <x:c r="G85" s="17" t="str">
        <x:v>Not stated on reviewed official page</x:v>
      </x:c>
      <x:c r="H85" s="17" t="str">
        <x:v>Language of instruction: English. A separate English-test threshold was not stated in the reviewed program document.</x:v>
      </x:c>
      <x:c r="I85" s="17" t="str">
        <x:v>Agricultural systems engineering with three disciplines: Food Processing Engineering, Environmental Systems Engineering, and Field Mechanization Engineering; applies engineering and modern technology to agriculture, food, and environmental fields.</x:v>
      </x:c>
      <x:c r="J85" s="17" t="str">
        <x:v>NA</x:v>
      </x:c>
      <x:c r="K85" s="17" t="str">
        <x:v>Not stated on reviewed official page</x:v>
      </x:c>
      <x:c r="L85" s="17" t="str">
        <x:v>Not stated on reviewed official page</x:v>
      </x:c>
      <x:c r="M85" s="17" t="str">
        <x:v>Not stated on reviewed official page</x:v>
      </x:c>
      <x:c r="N85" s="17" t="str">
        <x:v>Not stated on reviewed official page</x:v>
      </x:c>
      <x:c r="O85" s="17" t="str">
        <x:v>Not stated on reviewed official page</x:v>
      </x:c>
      <x:c r="P85" s="30" t="str">
        <x:v>https://www.kfu.edu.sa/ar/Deans/HigherStudies/Documents/custompages/studyplans/MSc_Agriculture_Engineering_Information.pdf</x:v>
      </x:c>
      <x:c r="Q85" s="30" t="str">
        <x:v>https://www.kfu.edu.sa/en/Deans/HigherStudies/Documents/custompages/studyplans/MSc_Agriculture_Engineering_Information.pdf</x:v>
      </x:c>
      <x:c r="R85" s="17" t="str">
        <x:v>2026-07-18</x:v>
      </x:c>
      <x:c r="S85" s="17" t="str">
        <x:v>Manually completed from current official indexed content after the automated page request was blocked or incomplete.</x:v>
      </x:c>
      <x:c r="T85" s="17" t="str">
        <x:v>Official source content was manually reviewed. Reconfirm year-specific tuition and linked university-wide requirements before final statistical analysis.</x:v>
      </x:c>
    </x:row>
    <x:row r="86" ht="84" customHeight="1">
      <x:c r="A86" s="17" t="n">
        <x:v>83</x:v>
      </x:c>
      <x:c r="B86" s="17" t="str">
        <x:v>Flinders University</x:v>
      </x:c>
      <x:c r="C86" s="17" t="str">
        <x:v>Australia</x:v>
      </x:c>
      <x:c r="D86" s="17" t="str">
        <x:v>Master of Environmental Management and Sustainability</x:v>
      </x:c>
      <x:c r="E86" s="17" t="str">
        <x:v>Find an agent | International fees | Accept your offer</x:v>
      </x:c>
      <x:c r="F86" s="17" t="str">
        <x:v>Master of Environmental Management and Sustainability | Duration: 2 years | Delivery mode: || The course is international in scope, but case study material will draw especially on the experience of Australia and other countries within the Asia-Pacific region. | The course requires 2 years of full-time study (or equivalent part-time). | First year topics</x:v>
      </x:c>
      <x:c r="G86" s="17" t="str">
        <x:v>The Flinders experience | Live on campus | Explore combined degrees || International student services | Live on campus | International Course Guide 2026 || Duration: 2 years | Delivery mode: | In person</x:v>
      </x:c>
      <x:c r="H86" s="17" t="str">
        <x:v>Higher Degree by Research | English language pathways | Academic Pathway Program || Applicants must normally hold a degree in a relevant field of study, or equivalent qualification , from an approved tertiary institution. Relevant fields of study include environmental sciences, environmental studies, development studies, geography, public health, and social sciences. | English language requirements | How to apply</x:v>
      </x:c>
      <x:c r="I86" s="17" t="str">
        <x:v>Further information on fees listed. | What you will study | Entry requirements || Enquire | What you will study | Entry requirements || Learn more | What you will study | The course is designed to provide students with a sound understanding and appreciation of current issues and skills in environmental management. || One important factor I considered when searching for a university course in environmental management was the opportunity to conduct a research project. At Flinders, I was fortunate to contribute to a project focused on developing a filtration method using filamentous algae to treat wastewater and improve water quality. | The course structure was so well organised that it had a perfectly balanced curriculum to learn environmental management approaches, socio-economic aspects, and the impact of st</x:v>
      </x:c>
      <x:c r="J86" s="17" t="str">
        <x:v>NA</x:v>
      </x:c>
      <x:c r="K86" s="17" t="str">
        <x:v>keyboard_arrow_up | The masters degree includes a number of skills-based topics including Environmental Impact Assessment and Geographical Information Systems. Candidates will also undertake a preparatory research topic and a research project in the masters degree. | View study program || Master of Environmental Management &amp; Sustainability | One important factor I considered when searching for a university course in environmental management was the opportunity to conduct a research project. At Flinders, I was fortunate to contribute to a project focused on developing a filtration method using filamentous algae to treat wastewater and improve water quality. | The course structure was so well organised that it had a perfectly balanced curriculum to learn environmental management ap || Associate Professor Udoy Saikia | Udoy Saikia is a Social Demographer with research and teaching expertise</x:v>
      </x:c>
      <x:c r="L86" s="17" t="str">
        <x:v>Not stated on reviewed official page</x:v>
      </x:c>
      <x:c r="M86" s="17" t="str">
        <x:v>Not stated on reviewed official page</x:v>
      </x:c>
      <x:c r="N86" s="17" t="str">
        <x:v>Not stated on reviewed official page</x:v>
      </x:c>
      <x:c r="O86" s="17" t="str">
        <x:v>Not stated on reviewed official page</x:v>
      </x:c>
      <x:c r="P86" s="30" t="str">
        <x:v>https://www.flinders.edu.au/study/courses/postgraduate-environmental-management-sustainability</x:v>
      </x:c>
      <x:c r="Q86" s="30" t="str"/>
      <x:c r="R86" s="17" t="str">
        <x:v>2026-07-18</x:v>
      </x:c>
      <x:c r="S86" s="17" t="str">
        <x:v>Official program page retrieved; 2 official page(s) reviewed; 6/10 requested evidence groups found.</x:v>
      </x:c>
      <x:c r="T86" s="17" t="str">
        <x:v>Automated evidence extraction from official pages. Manually confirm year-specific tuition, language score applicability, and optional-versus-required curriculum elements before analysis.</x:v>
      </x:c>
    </x:row>
    <x:row r="87" ht="84" customHeight="1">
      <x:c r="A87" s="17" t="n">
        <x:v>84</x:v>
      </x:c>
      <x:c r="B87" s="17" t="str">
        <x:v>Amrita Vishwa Vidyapeetham</x:v>
      </x:c>
      <x:c r="C87" s="17" t="str">
        <x:v>India</x:v>
      </x:c>
      <x:c r="D87" s="17" t="str">
        <x:v>No standalone sustainability/environment master's confirmed</x:v>
      </x:c>
      <x:c r="E87" s="17" t="str">
        <x:v>Amritapuri | Program Fee for the Year 2026 Admissions (Semester Wise) | Merit Fees</x:v>
      </x:c>
      <x:c r="F87" s="17" t="str">
        <x:v>B.Sc. (Honours) in Mathematics and Artificial Intelligence | B.Sc. (Hons) Food Science and Nutrition (4 Year) | B.Sc. (Hons) in Chemistry || Ayurveda | Physical Sciences 5 Year Integrated M. Sc. Chemistry with Specialisation in Chemical Biology / Applied Electrochemistry | 5 Year Integrated M.Sc in Data Science || Physical Sciences 5 Year Integrated M. Sc. Chemistry with Specialisation in Chemical Biology / Applied Electrochemistry | 5 Year Integrated M.Sc in Data Science | Integrated M. Sc. Mathematics and Computing</x:v>
      </x:c>
      <x:c r="G87" s="17" t="str">
        <x:v>Spiritual &amp; Cultural Studies | Online Programs | Certificate Programs || Campus | Amrita Vishwa Vidyapeetham's Amritapuri campus located in the pleasing village of Vallikavu is a multi-disciplinary research and teaching institute peacefully blended with science and spirituality | Explore || Ph. D. in Social and Behavioral Sciences | Fellowship Medicine Amrita’s Fetal Cardiology learning ( AFCL) Module – Fetal Heart Hybrid | Clinical Fellowship in Laboratory Genetics &amp; Genomics</x:v>
      </x:c>
      <x:c r="H87" s="17" t="str">
        <x:v>Master of Respiratory Technology (M. RT) | Arts, Humanities &amp; Commerce M. A. (English Language and Literature) | M. A. in Communication || Ph. D. in English and Languages (Offered at Mysuru Campus) | Ph. D. in English Language and Literature | Ph. D. in Humanities and Social Sciences || View all search results | M. A. English Language and Literature | Apply Now || 21ELL635 | Methods of Teaching English Language | 21ELL636</x:v>
      </x:c>
      <x:c r="I87" s="17" t="str">
        <x:v>MCA – Master of Computer Application | Curriculum | Research || Degree Programs | Curriculum | Research Research || Fee Structure | Curriculum | Placements || Teaching and Research, copy editing, translation, PR, HR, Freelance writer, Creative writer, Linguist, UPSC, KPSC, IAS, IPS, Foreign Service, Armed Forces, Railways, Mass Communication, Law, Social Media Marketing, Publishers, Copy writer, MBA (Managerial jobs), Desk jobs in Banks and other organisations. | Curriculum | Semester 1</x:v>
      </x:c>
      <x:c r="J87" s="17" t="str">
        <x:v>NA</x:v>
      </x:c>
      <x:c r="K87" s="17" t="str">
        <x:v>The two-year MA programme offers a variety of courses in the subject, ranging from literary studies to linguistic studies, cultural studies, media studies, global studies, new humanities etc. | In the four semesters of the programme, a student must take mandatory courses, electives, generic electives, value-added and skill enhancement courses. The student will get an opportunity to select a specialized area for study and perform in-depth research in the area, culminating in the publication of ar || Why Literature Programme @ Amrita? | The UG and PG Programmes offered by the Department of English have a well- defined Curricula and Syllabi that reflect the current trends in Language and literature studies. The Department promotes interdisciplinary research projects engaging a range of cultural, aesthetic, historical, geographical, and theoretical concepts to bring out a holistic approach t</x:v>
      </x:c>
      <x:c r="L87" s="17" t="str">
        <x:v>Not stated on reviewed official page</x:v>
      </x:c>
      <x:c r="M87" s="17" t="str">
        <x:v>Not stated on reviewed official page</x:v>
      </x:c>
      <x:c r="N87" s="17" t="str">
        <x:v>Not stated on reviewed official page</x:v>
      </x:c>
      <x:c r="O87" s="17" t="str">
        <x:v>Not stated on reviewed official page</x:v>
      </x:c>
      <x:c r="P87" s="30" t="str">
        <x:v>https://www.amrita.edu/course/environmental-science-and-sustainability-6/</x:v>
      </x:c>
      <x:c r="Q87" s="30" t="str">
        <x:v>https://www.amrita.edu/program/ma-english-language-and-literature/</x:v>
      </x:c>
      <x:c r="R87" s="17" t="str">
        <x:v>2026-07-18</x:v>
      </x:c>
      <x:c r="S87" s="17" t="str">
        <x:v>Official program page retrieved; 3 official page(s) reviewed; 6/10 requested evidence groups found.</x:v>
      </x:c>
      <x:c r="T87" s="17" t="str">
        <x:v>Automated evidence extraction from official pages. Manually confirm year-specific tuition, language score applicability, and optional-versus-required curriculum elements before analysis.</x:v>
      </x:c>
    </x:row>
    <x:row r="88" ht="84" customHeight="1">
      <x:c r="A88" s="17" t="n">
        <x:v>85</x:v>
      </x:c>
      <x:c r="B88" s="17" t="str">
        <x:v>Queen's University Belfast</x:v>
      </x:c>
      <x:c r="C88" s="17" t="str">
        <x:v>United Kingdom</x:v>
      </x:c>
      <x:c r="D88" s="17" t="str">
        <x:v>MSc Leadership for Sustainable Development</x:v>
      </x:c>
      <x:c r="E88" s="17" t="str">
        <x:v>Action Renewables Scholarship | One-off award of £15,000 in 2026/2027, covering full tuition fees (Northern Ireland fee-paying) and a contribution towards living expenses payable in three instalments in line with the School’s established processes. | Eligibility Criteria || How do I fund my study? | The Department for the Economy will provide a tuition fee loan of up to £10,000 per NI / EU student for postgraduate study. Tuition fee loan information . | A postgraduate loans system in the UK offers government-backed student loans of up to £11,836 for taught and research Masters courses in all subject areas (excluding Initial Teacher Education/PGCE, where undergraduate student finance is available). Criteria, eligibility, repayment and application information are ava</x:v>
      </x:c>
      <x:c r="F88" s="17" t="str">
        <x:v>Attendance | 1 year (Full-time) | Places available || Year 1 Core Modules | Leadership and Management for Sustainable Development (20 credits) | Leadership and Management for Sustainable Development || Duration | 12 weeks | Pre-requisite</x:v>
      </x:c>
      <x:c r="G88" s="17" t="str">
        <x:v>software-development-ai-msc | software-development-ai-part-time-msc | introduction-games-technologies-pgcert || software-development-msc | software-development-part-time-msc | sound-music-ma || Attendance | 1 year (Full-time) | Places available</x:v>
      </x:c>
      <x:c r="H88" s="17" t="str">
        <x:v>Zimbabwe | English Language Requirements | Evidence of an IELTS* score of 6.0, with not less than 5.5 in any component, or an equivalent qualification acceptable to the University is required (*taken within the last 2 years). || English Language Requirements | Evidence of an IELTS* score of 6.0, with not less than 5.5 in any component, or an equivalent qualification acceptable to the University is required (*taken within the last 2 years). | International students wishing to apply to Queen's University Belfast (and for whom English is not their first language), must be able to demonstrate their proficiency in English in order to benefit fully from their course of study or research. Non-EEA nationals must also satisfy UK || Evidence of an IELTS* score of 6.0, with not less than 5.5 in any component, or an equivalent qualification acceptable to the University is required (*taken within the last 2 years). | International students wishing to apply to Queen's University Belfast (and for who</x:v>
      </x:c>
      <x:c r="I88" s="17" t="str">
        <x:v>Overview | Course content | Modules || This innovative Masters programme is open to applicants from all subject backgrounds, and is designed to create leaders and sustainability professionals in all fields and subjects. The course will require a high level of independence, adaptability, engagement with both the University and external organisations, and a willingness to be challenged. | Programme content is designed to be holistic, so students will study at intermediate level the broad-ranging fields of leadership and management, env || NEXT | Course content | Course Structure || Course content | Course Structure | Introduction</x:v>
      </x:c>
      <x:c r="J88" s="17" t="str">
        <x:v>applied-cyber-security-pgcert | applied-cyber-security-professional-internship-msc | applied-developmental-psychology-msc || building-information-modelling-project-management-higher-level-apprenticeship-msc | building-information-modelling-project-management-industrial-internship-msc | building-information-modelling-project-management-msc || construction-project-management-higher-level-apprenticeship-msc | construction-project-management-industrial-internship-msc | construction-project-management-msc</x:v>
      </x:c>
      <x:c r="K88" s="17" t="str">
        <x:v>Overview | Research project on sustainable/rural issues conducted whilst on placement (8 weeks full time). Briefing session on sector. Debriefing session. Visit to or from umbrella organisation representative. | Learning Outcomes || Overview | Research project conducted whilst placed within a sector organisation (8 weeks full time). Briefing session on sector. Debriefing session. Visit to NI Assembly or from politician/civil servant. | Learning Outcomes || Overview | Research project conducted whilst placed within a organisation (8 weeks full time). Briefing session on sector. Debriefing session. Visit to or from umbrella organisation representative of Business sector. | Learning Outcomes</x:v>
      </x:c>
      <x:c r="L88" s="17" t="str">
        <x:v>Not stated on reviewed official page</x:v>
      </x:c>
      <x:c r="M88" s="17" t="str">
        <x:v>Not stated on reviewed official page</x:v>
      </x:c>
      <x:c r="N88" s="17" t="str">
        <x:v>Not stated on reviewed official page</x:v>
      </x:c>
      <x:c r="O88" s="17" t="str">
        <x:v>Not stated on reviewed official page</x:v>
      </x:c>
      <x:c r="P88" s="30" t="str">
        <x:v>https://www.qub.ac.uk/courses/postgraduate-taught/leadership-sustainable-development-msc/</x:v>
      </x:c>
      <x:c r="Q88" s="30" t="str"/>
      <x:c r="R88" s="17" t="str">
        <x:v>2026-07-18</x:v>
      </x:c>
      <x:c r="S88" s="17" t="str">
        <x:v>Official program page retrieved; 4 official page(s) reviewed; 7/10 requested evidence groups found.</x:v>
      </x:c>
      <x:c r="T88" s="17" t="str">
        <x:v>Automated evidence extraction from official pages. Manually confirm year-specific tuition, language score applicability, and optional-versus-required curriculum elements before analysis.</x:v>
      </x:c>
    </x:row>
    <x:row r="89" ht="84" customHeight="1">
      <x:c r="A89" s="17" t="n">
        <x:v>86</x:v>
      </x:c>
      <x:c r="B89" s="17" t="str">
        <x:v>Near East University</x:v>
      </x:c>
      <x:c r="C89" s="17" t="str">
        <x:v>Northern Cyprus</x:v>
      </x:c>
      <x:c r="D89" s="17" t="str">
        <x:v>Master's in Environmental Education</x:v>
      </x:c>
      <x:c r="E89" s="17" t="str">
        <x:v>Not stated on reviewed official page</x:v>
      </x:c>
      <x:c r="F89" s="17" t="str">
        <x:v>2 years (4 semesters); 120 ECTS.</x:v>
      </x:c>
      <x:c r="G89" s="17" t="str">
        <x:v>Not stated on reviewed official page</x:v>
      </x:c>
      <x:c r="H89" s="17" t="str">
        <x:v>Language of instruction: Turkish.</x:v>
      </x:c>
      <x:c r="I89" s="17" t="str">
        <x:v>Environmental education, sustainable development, environmental awareness, policy and governance, climate-related challenges, interdisciplinary problem-solving, community engagement, and research methods.</x:v>
      </x:c>
      <x:c r="J89" s="17" t="str">
        <x:v>NA</x:v>
      </x:c>
      <x:c r="K89" s="17" t="str">
        <x:v>Not stated on reviewed official page</x:v>
      </x:c>
      <x:c r="L89" s="17" t="str">
        <x:v>Not stated on reviewed official page</x:v>
      </x:c>
      <x:c r="M89" s="17" t="str">
        <x:v>Not stated on reviewed official page</x:v>
      </x:c>
      <x:c r="N89" s="17" t="str">
        <x:v>Not stated on reviewed official page</x:v>
      </x:c>
      <x:c r="O89" s="17" t="str">
        <x:v>Not stated on reviewed official page</x:v>
      </x:c>
      <x:c r="P89" s="30" t="str">
        <x:v>https://sustainability.neu.edu.tr/education/sustainability-programmes/</x:v>
      </x:c>
      <x:c r="Q89" s="30" t="str">
        <x:v>https://sustainability.neu.edu.tr/education/sustainability-programmes/</x:v>
      </x:c>
      <x:c r="R89" s="17" t="str">
        <x:v>2026-07-18</x:v>
      </x:c>
      <x:c r="S89" s="17" t="str">
        <x:v>Manually completed from current official indexed content after the automated page request was blocked or incomplete.</x:v>
      </x:c>
      <x:c r="T89" s="17" t="str">
        <x:v>Official source content was manually reviewed. Reconfirm year-specific tuition and linked university-wide requirements before final statistical analysis.</x:v>
      </x:c>
    </x:row>
    <x:row r="90" ht="84" customHeight="1">
      <x:c r="A90" s="17" t="n">
        <x:v>87</x:v>
      </x:c>
      <x:c r="B90" s="17" t="str">
        <x:v>University of Johannesburg</x:v>
      </x:c>
      <x:c r="C90" s="17" t="str">
        <x:v>South Africa</x:v>
      </x:c>
      <x:c r="D90" s="17" t="str">
        <x:v>Master's in Sustainability Management</x:v>
      </x:c>
      <x:c r="E90" s="17" t="str">
        <x:v>Not stated on reviewed official page</x:v>
      </x:c>
      <x:c r="F90" s="17" t="str">
        <x:v>2 years.</x:v>
      </x:c>
      <x:c r="G90" s="17" t="str">
        <x:v>Part-time; Auckland Park Kingsway campus.</x:v>
      </x:c>
      <x:c r="H90" s="17" t="str">
        <x:v>Not stated on reviewed official page</x:v>
      </x:c>
      <x:c r="I90" s="17" t="str">
        <x:v>Sustainability management practices for organisational and societal transformation in the 4IR workplace, integrating social, economic, and environmental sustainability with Pan-African sustainable growth and development.</x:v>
      </x:c>
      <x:c r="J90" s="17" t="str">
        <x:v>NA</x:v>
      </x:c>
      <x:c r="K90" s="17" t="str">
        <x:v>Not stated on reviewed official page</x:v>
      </x:c>
      <x:c r="L90" s="17" t="str">
        <x:v>Not stated on reviewed official page</x:v>
      </x:c>
      <x:c r="M90" s="17" t="str">
        <x:v>Not stated on reviewed official page</x:v>
      </x:c>
      <x:c r="N90" s="17" t="str">
        <x:v>Not stated on reviewed official page</x:v>
      </x:c>
      <x:c r="O90" s="17" t="str">
        <x:v>Not stated on reviewed official page</x:v>
      </x:c>
      <x:c r="P90" s="30" t="str">
        <x:v>https://www.uj.ac.za/university-courses/masters-in-sustainability-management/</x:v>
      </x:c>
      <x:c r="Q90" s="30" t="str">
        <x:v>https://www.uj.ac.za/university-courses/masters-in-sustainability-management/</x:v>
      </x:c>
      <x:c r="R90" s="17" t="str">
        <x:v>2026-07-18</x:v>
      </x:c>
      <x:c r="S90" s="17" t="str">
        <x:v>Manually completed from current official indexed content after the automated page request was blocked or incomplete.</x:v>
      </x:c>
      <x:c r="T90" s="17" t="str">
        <x:v>Official source content was manually reviewed. Reconfirm year-specific tuition and linked university-wide requirements before final statistical analysis.</x:v>
      </x:c>
    </x:row>
    <x:row r="91" ht="84" customHeight="1">
      <x:c r="A91" s="17" t="n">
        <x:v>88</x:v>
      </x:c>
      <x:c r="B91" s="17" t="str">
        <x:v>Universitas Gadjah Mada</x:v>
      </x:c>
      <x:c r="C91" s="17" t="str">
        <x:v>Indonesia</x:v>
      </x:c>
      <x:c r="D91" s="17" t="str">
        <x:v>Master in Environmental Science</x:v>
      </x:c>
      <x:c r="E91" s="17" t="str">
        <x:v>Scholarship | Tuition Fee | Admission &amp; Visa Process at UGM || Tuition Fee – Admisi | Tentang UGM || Information | Tuition Fee | 6 November 2025, 22.59</x:v>
      </x:c>
      <x:c r="F91" s="17" t="str">
        <x:v>Graduate (Master’s and Doctoral): Degree Programs generally commence in August and February , providing flexibility for advanced study and research. ⚠️ Note: Not all graduate programs offer the February enrollment option . | Non-Degree Program — Exchange &amp; Immersion Programs : Designed to provide international students with academic exposure and cultural experience in one or two semesters. | Short Non-Degree Programs : Focused on cultural and academic immersion with more flexible duration, rangi</x:v>
      </x:c>
      <x:c r="G91" s="17" t="str">
        <x:v>Not stated on reviewed official page</x:v>
      </x:c>
      <x:c r="H91" s="17" t="str">
        <x:v>Not stated on reviewed official page</x:v>
      </x:c>
      <x:c r="I91" s="17" t="str">
        <x:v>Not stated on reviewed official page</x:v>
      </x:c>
      <x:c r="J91" s="17" t="str">
        <x:v>Short Courses | Internship | Language Course (INCULS)</x:v>
      </x:c>
      <x:c r="K91" s="17" t="str">
        <x:v>Not stated on reviewed official page</x:v>
      </x:c>
      <x:c r="L91" s="17" t="str">
        <x:v>Not stated on reviewed official page</x:v>
      </x:c>
      <x:c r="M91" s="17" t="str">
        <x:v>Not stated on reviewed official page</x:v>
      </x:c>
      <x:c r="N91" s="17" t="str">
        <x:v>Not stated on reviewed official page</x:v>
      </x:c>
      <x:c r="O91" s="17" t="str">
        <x:v>Not stated on reviewed official page</x:v>
      </x:c>
      <x:c r="P91" s="30" t="str">
        <x:v>https://admissions.ugm.ac.id/v26/program-studi/magister-ilmu-lingkungan-master-in-environmental-science/</x:v>
      </x:c>
      <x:c r="Q91" s="30" t="str">
        <x:v>https://admissions.ugm.ac.id/v26/international-applicants-foreign/information/tuition-fee/</x:v>
      </x:c>
      <x:c r="R91" s="17" t="str">
        <x:v>2026-07-18</x:v>
      </x:c>
      <x:c r="S91" s="17" t="str">
        <x:v>Official program page retrieved; 2 official page(s) reviewed; 3/10 requested evidence groups found.</x:v>
      </x:c>
      <x:c r="T91" s="17" t="str">
        <x:v>Automated evidence extraction from official pages. Manually confirm year-specific tuition, language score applicability, and optional-versus-required curriculum elements before analysis.</x:v>
      </x:c>
    </x:row>
    <x:row r="92" ht="84" customHeight="1">
      <x:c r="A92" s="17" t="n">
        <x:v>89</x:v>
      </x:c>
      <x:c r="B92" s="17" t="str">
        <x:v>University of Wollongong</x:v>
      </x:c>
      <x:c r="C92" s="17" t="str">
        <x:v>Australia</x:v>
      </x:c>
      <x:c r="D92" s="17" t="str">
        <x:v>Master of Earth and Environmental Sciences</x:v>
      </x:c>
      <x:c r="E92" s="17" t="str">
        <x:v>Key dates | International Course fees table | Campus || Session fee* | Course fee* | Wollongong || $81696 (2026) | * Session fees are for one session for the year shown. Total course tuition fees shown are indicative, and are based on normal course length and progression. These fees are subject to change from year to year. However, if you receive an offer to study at UOW, your fees will be fully confirmed at the time of your offer. | Tuition fees are reviewed annually: fees payable are dependent on the year of commencement and are subject to increase during the period of study</x:v>
      </x:c>
      <x:c r="F92" s="17" t="str">
        <x:v>Duration | 2 years full-time, or part-time equivalent | Starts || Duration | 4 years full-time, or part-time equivalent | Delivery || Duration | 3 years full-time, or part-time equivalent | Delivery</x:v>
      </x:c>
      <x:c r="G92" s="17" t="str">
        <x:v>Delivery ? | On Campus | Duration || Duration | 2 years full-time, or part-time equivalent | Starts || Other qualifications may also be considered. Full details can be found on our English Language Requirements website. | Workload Full-Time Study Load | As a full-time student, you can expect to commit around 48 hours of study per week. This includes class time and independent study. You may need to factor more time for examination study and practical work &amp; placements.</x:v>
      </x:c>
      <x:c r="H92" s="17" t="str">
        <x:v>A bachelor s degree that includes foundational subjects relevant to this degree. | English Language Requirements The following level of English is required to gain admission to this program: | English Test || Speaking | IELTS Academic | 6.5 || 6.0 | TOEFL (Internet-based) | UOW College: English for Tertiary Studies: Credit (weighted average mark of 65 overall and minimum 50 in Academic Reading and Writing) || UOW College: English for Tertiary Studies: Credit (weighted average mark of 65 overall and minimum 50 in Academic Reading and Writing) | Other qualifications may also be considered. Full details can be found on our English Language Requirements website. | Workload Full-Time Study Load</x:v>
      </x:c>
      <x:c r="I92" s="17" t="str">
        <x:v>Not stated on reviewed official page</x:v>
      </x:c>
      <x:c r="J92" s="17" t="str">
        <x:v>NA</x:v>
      </x:c>
      <x:c r="K92" s="17" t="str">
        <x:v>Not stated on reviewed official page</x:v>
      </x:c>
      <x:c r="L92" s="17" t="str">
        <x:v>Not stated on reviewed official page</x:v>
      </x:c>
      <x:c r="M92" s="17" t="str">
        <x:v>Not stated on reviewed official page</x:v>
      </x:c>
      <x:c r="N92" s="17" t="str">
        <x:v>Not stated on reviewed official page</x:v>
      </x:c>
      <x:c r="O92" s="17" t="str">
        <x:v>Not stated on reviewed official page</x:v>
      </x:c>
      <x:c r="P92" s="30" t="str">
        <x:v>https://www.uow.edu.au/study/courses/master-of-earth-and-environmental-sciences/</x:v>
      </x:c>
      <x:c r="Q92" s="30" t="str"/>
      <x:c r="R92" s="17" t="str">
        <x:v>2026-07-18</x:v>
      </x:c>
      <x:c r="S92" s="17" t="str">
        <x:v>Official program page retrieved; 2 official page(s) reviewed; 4/10 requested evidence groups found.</x:v>
      </x:c>
      <x:c r="T92" s="17" t="str">
        <x:v>Automated evidence extraction from official pages. Manually confirm year-specific tuition, language score applicability, and optional-versus-required curriculum elements before analysis.</x:v>
      </x:c>
    </x:row>
    <x:row r="93" ht="84" customHeight="1">
      <x:c r="A93" s="17" t="n">
        <x:v>90</x:v>
      </x:c>
      <x:c r="B93" s="17" t="str">
        <x:v>Yonsei University (Seoul campus)</x:v>
      </x:c>
      <x:c r="C93" s="17" t="str">
        <x:v>South Korea</x:v>
      </x:c>
      <x:c r="D93" s="17" t="str">
        <x:v>Master of Global Civic Studies - Global Citizenship and Sustainable Development</x:v>
      </x:c>
      <x:c r="E93" s="17" t="str">
        <x:v>Regulations and Bylaws | Tuition &amp; Refund | Transcripts &amp; Certificates || Regulations and Bylaws | Tuition &amp; Refund | Tuition || Tuition &amp; Refund | Tuition | Refund</x:v>
      </x:c>
      <x:c r="F93" s="17" t="str">
        <x:v>1st week of September | 7. Tuition Fee (As of Spring 2026 Semester) | Major</x:v>
      </x:c>
      <x:c r="G93" s="17" t="str">
        <x:v>Faculty | Full-time Professors | Adjunct/Visiting Professors || 5. Total Number of Faculty | 85 (Including Full-time, Adjunct, Visiting) | 6. Application Schedule for International Students</x:v>
      </x:c>
      <x:c r="H93" s="17" t="str">
        <x:v>Not stated on reviewed official page</x:v>
      </x:c>
      <x:c r="I93" s="17" t="str">
        <x:v>Not stated on reviewed official page</x:v>
      </x:c>
      <x:c r="J93" s="17" t="str">
        <x:v>NA</x:v>
      </x:c>
      <x:c r="K93" s="17" t="str">
        <x:v>Not stated on reviewed official page</x:v>
      </x:c>
      <x:c r="L93" s="17" t="str">
        <x:v>Not stated on reviewed official page</x:v>
      </x:c>
      <x:c r="M93" s="17" t="str">
        <x:v>Not stated on reviewed official page</x:v>
      </x:c>
      <x:c r="N93" s="17" t="str">
        <x:v>Not stated on reviewed official page</x:v>
      </x:c>
      <x:c r="O93" s="17" t="str">
        <x:v>Not stated on reviewed official page</x:v>
      </x:c>
      <x:c r="P93" s="30" t="str">
        <x:v>https://lawschool.yonsei.ac.kr/gsis/intro/status.do</x:v>
      </x:c>
      <x:c r="Q93" s="30" t="str"/>
      <x:c r="R93" s="17" t="str">
        <x:v>2026-07-18</x:v>
      </x:c>
      <x:c r="S93" s="17" t="str">
        <x:v>Official program page retrieved; 2 official page(s) reviewed; 3/10 requested evidence groups found.</x:v>
      </x:c>
      <x:c r="T93" s="17" t="str">
        <x:v>Automated evidence extraction from official pages. Manually confirm year-specific tuition, language score applicability, and optional-versus-required curriculum elements before analysis.</x:v>
      </x:c>
    </x:row>
    <x:row r="94" ht="84" customHeight="1">
      <x:c r="A94" s="17" t="n">
        <x:v>91</x:v>
      </x:c>
      <x:c r="B94" s="17" t="str">
        <x:v>Sunway University</x:v>
      </x:c>
      <x:c r="C94" s="17" t="str">
        <x:v>Malaysia</x:v>
      </x:c>
      <x:c r="D94" s="17" t="str">
        <x:v>Master in Sustainable Development Management</x:v>
      </x:c>
      <x:c r="E94" s="17" t="str">
        <x:v>Members of non-governmental organizations, local and international, dedicated to achieving 17 SDGs | Estimated Total Course Fee (Year 2026) | RM55,300</x:v>
      </x:c>
      <x:c r="F94" s="17" t="str">
        <x:v>Duration | Minimum 1 Year | Maximum 3 Years || Minimum 1 Year | Maximum 3 Years | Class Schedule Full-time &amp; Part-time || A Bachelor’s degree (Level 6, MQF) in related fields with a minimum CGPA of 2.00 and not meeting a CGPA of 2.50 can be accepted, subject to a rigorous internal assessment; or | A Bachelor’s degree (Level 6, MQF) in non-related fields with a minimum CGPA of 2.00 as accepted by the HEP Senate and with relevant working experience of at least 2 years of work experience, subject to a rigorous internal assessment; or | A Bachelor’s degree (Level 6, MQF) in non-related fields with a minimum CGPA of 2.0</x:v>
      </x:c>
      <x:c r="G94" s="17" t="str">
        <x:v>Maximum 3 Years | Class Schedule Full-time &amp; Part-time | Career Prospects Innovators</x:v>
      </x:c>
      <x:c r="H94" s="17" t="str">
        <x:v>Other equivalent/related qualifications to a Bachelor’s degree (Level 6, MQF) recognised by the Malaysian Government. | English Language Requirement | International candidates should demonstrate English proficiency sufficient to meet the needs of the programme: || International candidates should demonstrate English proficiency sufficient to meet the needs of the programme: | IELTS: 6.0 / CEFR: B2 | TOEFL: PBT (550) or IBT (75) || IELTS: 6.0 / CEFR: B2 | TOEFL: PBT (550) or IBT (75) | Cambridge English (Advanced): 180 / CEFR: B2 or Cambridge English (Proficiency): 180 / CEFR: C1 || TOEFL: PBT (550) or IBT (75) | Cambridge English (Advanced): 180 / CEFR: B2 or Cambridge English (Proficiency): 180 / CEFR: C1 | PTE Academic: 50</x:v>
      </x:c>
      <x:c r="I94" s="17" t="str">
        <x:v>Postgraduate Programmes 2026 | Programme Structure | Students are required to complete 10 core courses, including Research Projects I &amp; II, and 4 elective courses. || Programme Structure | Students are required to complete 10 core courses, including Research Projects I &amp; II, and 4 elective courses. | Core Courses || Students are required to complete 10 core courses, including Research Projects I &amp; II, and 4 elective courses. | Core Courses | For more information on APEL.C, click here</x:v>
      </x:c>
      <x:c r="J94" s="17" t="str">
        <x:v>NA</x:v>
      </x:c>
      <x:c r="K94" s="17" t="str">
        <x:v>Programme Structure | Students are required to complete 10 core courses, including Research Projects I &amp; II, and 4 elective courses. | Core Courses || Research Methods | Research Project I | Research Project II || Research Project I | Research Project II | Available Electives</x:v>
      </x:c>
      <x:c r="L94" s="17" t="str">
        <x:v>Not stated on reviewed official page</x:v>
      </x:c>
      <x:c r="M94" s="17" t="str">
        <x:v>Not stated on reviewed official page</x:v>
      </x:c>
      <x:c r="N94" s="17" t="str">
        <x:v>Not stated on reviewed official page</x:v>
      </x:c>
      <x:c r="O94" s="17" t="str">
        <x:v>Not stated on reviewed official page</x:v>
      </x:c>
      <x:c r="P94" s="30" t="str">
        <x:v>https://sunwayuniversity.edu.my/jsc/courses/master-sustainable-development-management-0</x:v>
      </x:c>
      <x:c r="Q94" s="30" t="str"/>
      <x:c r="R94" s="17" t="str">
        <x:v>2026-07-18</x:v>
      </x:c>
      <x:c r="S94" s="17" t="str">
        <x:v>Official program page retrieved; 3 official page(s) reviewed; 6/10 requested evidence groups found.</x:v>
      </x:c>
      <x:c r="T94" s="17" t="str">
        <x:v>Automated evidence extraction from official pages. Manually confirm year-specific tuition, language score applicability, and optional-versus-required curriculum elements before analysis.</x:v>
      </x:c>
    </x:row>
    <x:row r="95" ht="84" customHeight="1">
      <x:c r="A95" s="17" t="n">
        <x:v>92</x:v>
      </x:c>
      <x:c r="B95" s="17" t="str">
        <x:v>Thammasat University</x:v>
      </x:c>
      <x:c r="C95" s="17" t="str">
        <x:v>Thailand</x:v>
      </x:c>
      <x:c r="D95" s="17" t="str">
        <x:v>MA Social Innovation and Sustainability</x:v>
      </x:c>
      <x:c r="E95" s="17" t="str">
        <x:v>FOR THAI STUDENTS | The tuition fee for Thai students is 72,000 THB/student/semester , on average, a Pre-Program Orientation fee of 25,000 THB , and an additional fee of 14,500 THB for each summer program enrolled. Note that the abovementioned tuition fees represent only estimates based on the current GSSE curriculum. Additional credit hour fees (3,000 THB/credit) may be charged subject to elective courses enrolled. | FOR INTERNATIONAL STUDENTS || FOR INTERNATIONAL STUDENTS | The tuition fee for international students is 82,000 THB / student / semester (approximately $2,700 USD) on average, a Pre-Program Orientation fee of 25,000 THB , and an additional fee of 19,000 THB for each summer program enrolled (approximately 680 USD). Note that the abovementioned tuition fees represent only estimates based on the current GSSE curriculum. Additio</x:v>
      </x:c>
      <x:c r="F95" s="17" t="str">
        <x:v>Curriculum | 1.5 Years Program | Weekend classes for working professionals || Weekend classes for working professionals | *Maximum study period of 4 years* | Learn More || We have created a dynamic program that emphasises critical and analytical thinking, empathy-building from ethnography and design thinking, evidence-based dialogue, multi-disciplinary collaboration, and active public engagement. Students take a wide array of holistic and multi-disciplinary courses which prepare students for careers in CSR and sustainability management at major corporations, sustainable development at NGOs and international organisations, or social enterprises developing innovatio</x:v>
      </x:c>
      <x:c r="G95" s="17" t="str">
        <x:v>Not stated on reviewed official page</x:v>
      </x:c>
      <x:c r="H95" s="17" t="str">
        <x:v>3. ENGLISH PROFICIENCY TEST SCORE | Please submit one of the following scores for proof of English language proficiency: | - TU-GET paper-based (PBT) 500 and above || - TU-GET computer-based (CBT) 61 and above | - TOEFL paper-based (PBT) 500 and above | - TOEFL Internet-based (IBT) 61 and above || - TOEFL paper-based (PBT) 500 and above | - TOEFL Internet-based (IBT) 61 and above | - TOELF Institution Testing Program (ITP) 500 and above || - TOELF Institution Testing Program (ITP) 500 and above | - IELTS 6.0 and above | - New SAT (Evidence-Based Reading and Writing Part) 450 and above</x:v>
      </x:c>
      <x:c r="I95" s="17" t="str">
        <x:v>ADMISSIONS | CURRICULUM | TUITION || Students can integrate various disciplines for responsible analysis and research , both personally and socially. | Program Learning Outcomes (PLOs) | Curriculum || Program Learning Outcomes (PLOs) | Curriculum | 1.5 Years Program || THE PROGRAM IS DESIGNED FOR WORKING PROFESSIONALS IN ALL CAREER SECTORS WHO ASPIRE TO EXPAND THEIR KNOWLEDGE AND SKILLS AND REALLY MAKE A DIFFERENCE IN OUR COMPLEX WORLD. | Holistic and Multidisciplinary Curriculum | Community Partnerships</x:v>
      </x:c>
      <x:c r="J95" s="17" t="str">
        <x:v>NA</x:v>
      </x:c>
      <x:c r="K95" s="17" t="str">
        <x:v>We have created a dynamic program that emphasises critical and analytical thinking, empathy-building from ethnography and design thinking, evidence-based dialogue, multi-disciplinary collaboration, and active public engagement. Students take a wide array of holistic and multi-disciplinary courses which prepare students for careers in CSR and sustainability management at major corporations, sustainable development at NGOs and international organisations, or social enterprises developing innovatio</x:v>
      </x:c>
      <x:c r="L95" s="17" t="str">
        <x:v>Not stated on reviewed official page</x:v>
      </x:c>
      <x:c r="M95" s="17" t="str">
        <x:v>Not stated on reviewed official page</x:v>
      </x:c>
      <x:c r="N95" s="17" t="str">
        <x:v>Not stated on reviewed official page</x:v>
      </x:c>
      <x:c r="O95" s="17" t="str">
        <x:v>Not stated on reviewed official page</x:v>
      </x:c>
      <x:c r="P95" s="30" t="str">
        <x:v>https://sgs.tu.ac.th/ma-program/</x:v>
      </x:c>
      <x:c r="Q95" s="30" t="str">
        <x:v>https://sgs.tu.ac.th/ba-program/ba-tuition/; https://sgs.tu.ac.th/ba-program/ba-admission-requirements-schedule/</x:v>
      </x:c>
      <x:c r="R95" s="17" t="str">
        <x:v>2026-07-18</x:v>
      </x:c>
      <x:c r="S95" s="17" t="str">
        <x:v>Official program page retrieved; 4 official page(s) reviewed; 5/10 requested evidence groups found.</x:v>
      </x:c>
      <x:c r="T95" s="17" t="str">
        <x:v>Automated evidence extraction from official pages. Manually confirm year-specific tuition, language score applicability, and optional-versus-required curriculum elements before analysis.</x:v>
      </x:c>
    </x:row>
    <x:row r="96" ht="84" customHeight="1">
      <x:c r="A96" s="17" t="n">
        <x:v>93</x:v>
      </x:c>
      <x:c r="B96" s="17" t="str">
        <x:v>Walailak University</x:v>
      </x:c>
      <x:c r="C96" s="17" t="str">
        <x:v>Thailand</x:v>
      </x:c>
      <x:c r="D96" s="17" t="str">
        <x:v>MSc Environmental, Safety Technology and Health</x:v>
      </x:c>
      <x:c r="E96" s="17" t="str">
        <x:v>Self funding: | Tuition fee per trimester 90,000 Thai Baht for Thai student | Tuition fee per trimester 115,000 Thai Baht for International student || Tuition fee per trimester 90,000 Thai Baht for Thai student | Tuition fee per trimester 115,000 Thai Baht for International student | Scholarship (Amount/length): || Self funding: | Tuition fee per trimester 105,000 Thai Baht for Thai student | Tuition fee per trimester 142,500 Thai Baht for International student</x:v>
      </x:c>
      <x:c r="F96" s="17" t="str">
        <x:v>Scholarship (Amount/length): | Full scholarship for 3 years | Contact: || Scholarship (Amount/length): | Full scholarship for 1 years | Contact: || Scholarship (Amount/length): | 1. PE grant for tuitorial fee for 3-4 years | 2. Full scholarship for 3 years</x:v>
      </x:c>
      <x:c r="G96" s="17" t="str">
        <x:v>Not stated on reviewed official page</x:v>
      </x:c>
      <x:c r="H96" s="17" t="str">
        <x:v>Other qualifications as approved by the Commission of Graduate Studies of Program. | Have TOEFL (Paper based) 500 or equivalent | Duration: || PH.D. applicants (Thai or Foreigner) must have a Bachelor s degree in sciences, engineering or other related fields. | Have TOEFL (Paper based) 500 or equivalent | Other qualifications as approved by the Commission of Graduate Studies of Program. || Approved by the Graduate Program Committee | TOEFL (Paper Based) is not lower than 450 | Duration: || Noted: Applicants who meet the Type 1.2 requirements above with the first-class honours degree, or the class s top 10 students, may eligible to study the Type 1.1 automatically. | Applicants from a country where English is not the first language must enclose English Proficiency test result. The result must not be more than two years. The following English proficiency tests are accepted for graduate admission, and a minimum score should be as follows: TOEFL (Paper Based) 500 or TOEFL (Computer Ba</x:v>
      </x:c>
      <x:c r="I96" s="17" t="str">
        <x:v>Required qualifications of candidates | Type 1.1: Holding a Master Degree in Science or equivalent in related programs, and a published scientific paper in national or international journal or at least having work experience in research, with approval depended upon the consent of the curriculum administrative committee. | Type 1.2: Holding a Bachelor Degree in Science or equivalent in related programs, and having GPA of at least 3.50 from the maximum of 4.00, or two published scientific papers i || Type 1.1: Holding a Master Degree in Science or equivalent in related programs, and a published scientific paper in national or international journal or at least having work experience in research, with approval depended upon the consent of the curriculum administrative committee. | Type 1.2: Holding a Bachelor Degree in Science or equivalent in related programs, and having GPA of at least 3.50 from the maximum of 4.00, or two published scientific papers in national or international journal, wit || Required qualifications of candidates | Type 1.1 (Thesis only) and Type 2.1 (Course work and</x:v>
      </x:c>
      <x:c r="J96" s="17" t="str">
        <x:v>Semester exchanges | Internship | International mobility || Semester exchanges | Internship | Prospectus || Walailak University Holds Royal Blessing Ceremony to Mark the Birthday Anniversary of Her Royal Highness Princess Chulabhorn Krom Phra Srisavangavadhana | Walailak University and James Cook University Australia Deepen Partnership Through Scholarships, Fieldwork and Cultural Exchange | Walailak University</x:v>
      </x:c>
      <x:c r="K96" s="17" t="str">
        <x:v>Not stated on reviewed official page</x:v>
      </x:c>
      <x:c r="L96" s="17" t="str">
        <x:v>Not stated on reviewed official page</x:v>
      </x:c>
      <x:c r="M96" s="17" t="str">
        <x:v>Not stated on reviewed official page</x:v>
      </x:c>
      <x:c r="N96" s="17" t="str">
        <x:v>Not stated on reviewed official page</x:v>
      </x:c>
      <x:c r="O96" s="17" t="str">
        <x:v>Not stated on reviewed official page</x:v>
      </x:c>
      <x:c r="P96" s="30" t="str">
        <x:v>https://www.wu.ac.th/en/news/21010/School-College</x:v>
      </x:c>
      <x:c r="Q96" s="30" t="str"/>
      <x:c r="R96" s="17" t="str">
        <x:v>2026-07-18</x:v>
      </x:c>
      <x:c r="S96" s="17" t="str">
        <x:v>Official program page retrieved; 1 official page(s) reviewed; 5/10 requested evidence groups found.</x:v>
      </x:c>
      <x:c r="T96" s="17" t="str">
        <x:v>Automated evidence extraction from official pages. Manually confirm year-specific tuition, language score applicability, and optional-versus-required curriculum elements before analysis.</x:v>
      </x:c>
    </x:row>
    <x:row r="97" ht="84" customHeight="1">
      <x:c r="A97" s="17" t="n">
        <x:v>94</x:v>
      </x:c>
      <x:c r="B97" s="17" t="str">
        <x:v>King Abdullah University of Science and Technology (KAUST)</x:v>
      </x:c>
      <x:c r="C97" s="17" t="str">
        <x:v>Saudi Arabia</x:v>
      </x:c>
      <x:c r="D97" s="17" t="str">
        <x:v>MS Environmental Science and Engineering</x:v>
      </x:c>
      <x:c r="E97" s="17" t="str">
        <x:v>Not stated on reviewed official page</x:v>
      </x:c>
      <x:c r="F97" s="17" t="str">
        <x:v>Duration of Study | 1.5 to 2 years | 3 x 15-week semesters and one Summer for Non-thesis || Duration of Study | 2.5 – 4 years | Maximum of 8 x 15-week semesters and 4 Summers</x:v>
      </x:c>
      <x:c r="G97" s="17" t="str">
        <x:v>Not stated on reviewed official page</x:v>
      </x:c>
      <x:c r="H97" s="17" t="str">
        <x:v>Not stated on reviewed official page</x:v>
      </x:c>
      <x:c r="I97" s="17" t="str">
        <x:v>Mandatory Courses | 4 Core Courses | 2-4 Electives</x:v>
      </x:c>
      <x:c r="J97" s="17" t="str">
        <x:v>NA</x:v>
      </x:c>
      <x:c r="K97" s="17" t="str">
        <x:v>Lab Experience | Doctoral Dissertation Research with your PI | Traveling Scholar for external collaboration || Visit the KAUST Program Guide for detailed information about our graduate degree options. The Program Guide provides prospective and current students with comprehensive information on various aspects of the program. | Within the guide, you will find detailed information on program course and credit requirements, placement tests, Ph.D. proposals, dissertation process guidance and the academic year structure. | The Program Guide will serve as your roadmap to successfully navigate your academic jou</x:v>
      </x:c>
      <x:c r="L97" s="17" t="str">
        <x:v>Yes</x:v>
      </x:c>
      <x:c r="M97" s="17" t="str">
        <x:v>The Environmental Science and Engineering program prepares students to tackle sustainability challenges in water, energy, and food. Focus areas include water treatment, desalination, microbiology, resource recovery, and sustainability management. With | hands-on lab research and both thesis and non-thesis options, students take key courses like aquatic chemistry, applied statistics, and environmental sustainability, equipping them to address global environmental issues. | EnSE MASTER'S DEGREE PR || Lab Experience | Thesis and Non-thesis options | Duration of Study || 1.5 to 2 years | 3 x 15-week semesters and one Summer for Non-thesis | 4 x 15-week semesters and one Summer for Thesis</x:v>
      </x:c>
      <x:c r="N97" s="17" t="str">
        <x:v>Not stated on reviewed official page</x:v>
      </x:c>
      <x:c r="O97" s="17" t="str">
        <x:v>Not stated on reviewed official page</x:v>
      </x:c>
      <x:c r="P97" s="30" t="str">
        <x:v>https://bese.kaust.edu.sa/study/academic-programs/ense</x:v>
      </x:c>
      <x:c r="Q97" s="30" t="str"/>
      <x:c r="R97" s="17" t="str">
        <x:v>2026-07-18</x:v>
      </x:c>
      <x:c r="S97" s="17" t="str">
        <x:v>Official program page retrieved; 1 official page(s) reviewed; 4/10 requested evidence groups found.</x:v>
      </x:c>
      <x:c r="T97" s="17" t="str">
        <x:v>Automated evidence extraction from official pages. Manually confirm year-specific tuition, language score applicability, and optional-versus-required curriculum elements before analysis.</x:v>
      </x:c>
    </x:row>
    <x:row r="98" ht="84" customHeight="1">
      <x:c r="A98" s="17" t="n">
        <x:v>95</x:v>
      </x:c>
      <x:c r="B98" s="17" t="str">
        <x:v>Chiang Mai University</x:v>
      </x:c>
      <x:c r="C98" s="17" t="str">
        <x:v>Thailand</x:v>
      </x:c>
      <x:c r="D98" s="17" t="str">
        <x:v>MSc Environmental Science</x:v>
      </x:c>
      <x:c r="E98" s="17" t="str">
        <x:v>Scholarships and Financial Aid | Tuition &amp; Fees | Faculty of Science, Chiang Mai University || Tuition &amp; Fees: Faculty of Science , Chiang Mai University | Tuition &amp; Fees || Tuition &amp; Fees: Faculty of Science , Chiang Mai University | Tuition &amp; Fees | Bachelor Programs</x:v>
      </x:c>
      <x:c r="F98" s="17" t="str">
        <x:v>B.S. | 8 semesters | M.S. || M.S. | 4 semesters | Ph.D. || Ph.D. | 6 semesters (for students with M.S.) | Ph.D.</x:v>
      </x:c>
      <x:c r="G98" s="17" t="str">
        <x:v>Type 2(Regular): 25,000 | Type 3 (Part time): | 37,500 || Type3 (Regular): 25,000 | Type 2(Part time): | 30,000 || 30,000 | Type 3(Part time): 30,000 | M.S. (Physics)</x:v>
      </x:c>
      <x:c r="H98" s="17" t="str">
        <x:v>Not stated on reviewed official page</x:v>
      </x:c>
      <x:c r="I98" s="17" t="str">
        <x:v>Not stated on reviewed official page</x:v>
      </x:c>
      <x:c r="J98" s="17" t="str">
        <x:v>NA</x:v>
      </x:c>
      <x:c r="K98" s="17" t="str">
        <x:v>Not stated on reviewed official page</x:v>
      </x:c>
      <x:c r="L98" s="17" t="str">
        <x:v>Not stated on reviewed official page</x:v>
      </x:c>
      <x:c r="M98" s="17" t="str">
        <x:v>Not stated on reviewed official page</x:v>
      </x:c>
      <x:c r="N98" s="17" t="str">
        <x:v>Not stated on reviewed official page</x:v>
      </x:c>
      <x:c r="O98" s="17" t="str">
        <x:v>Not stated on reviewed official page</x:v>
      </x:c>
      <x:c r="P98" s="30" t="str">
        <x:v>https://www.science.cmu.ac.th/english/master.php</x:v>
      </x:c>
      <x:c r="Q98" s="30" t="str">
        <x:v>https://www.science.cmu.ac.th/english/tuition-and-fee.php</x:v>
      </x:c>
      <x:c r="R98" s="17" t="str">
        <x:v>2026-07-18</x:v>
      </x:c>
      <x:c r="S98" s="17" t="str">
        <x:v>Official program page retrieved; 3 official page(s) reviewed; 3/10 requested evidence groups found.</x:v>
      </x:c>
      <x:c r="T98" s="17" t="str">
        <x:v>Automated evidence extraction from official pages. Manually confirm year-specific tuition, language score applicability, and optional-versus-required curriculum elements before analysis.</x:v>
      </x:c>
    </x:row>
    <x:row r="99" ht="84" customHeight="1">
      <x:c r="A99" s="17" t="n">
        <x:v>96</x:v>
      </x:c>
      <x:c r="B99" s="17" t="str">
        <x:v>Jeonbuk National University</x:v>
      </x:c>
      <x:c r="C99" s="17" t="str">
        <x:v>South Korea</x:v>
      </x:c>
      <x:c r="D99" s="17" t="str">
        <x:v>Master of Engineering in Environmental Engineering</x:v>
      </x:c>
      <x:c r="E99" s="17" t="str">
        <x:v>Not stated on reviewed official page</x:v>
      </x:c>
      <x:c r="F99" s="17" t="str">
        <x:v>Not stated on reviewed official page</x:v>
      </x:c>
      <x:c r="G99" s="17" t="str">
        <x:v>Not stated on reviewed official page</x:v>
      </x:c>
      <x:c r="H99" s="17" t="str">
        <x:v>Not stated on reviewed official page</x:v>
      </x:c>
      <x:c r="I99" s="17" t="str">
        <x:v>Not stated on reviewed official page</x:v>
      </x:c>
      <x:c r="J99" s="17" t="str">
        <x:v>NA</x:v>
      </x:c>
      <x:c r="K99" s="17" t="str">
        <x:v>Not stated on reviewed official page</x:v>
      </x:c>
      <x:c r="L99" s="17" t="str">
        <x:v>Not stated on reviewed official page</x:v>
      </x:c>
      <x:c r="M99" s="17" t="str">
        <x:v>Not stated on reviewed official page</x:v>
      </x:c>
      <x:c r="N99" s="17" t="str">
        <x:v>Not stated on reviewed official page</x:v>
      </x:c>
      <x:c r="O99" s="17" t="str">
        <x:v>Not stated on reviewed official page</x:v>
      </x:c>
      <x:c r="P99" s="30" t="str">
        <x:v>https://gse.jbnu.ac.kr/gse/1394/subview.do</x:v>
      </x:c>
      <x:c r="Q99" s="30" t="str"/>
      <x:c r="R99" s="17" t="str">
        <x:v>2026-07-18</x:v>
      </x:c>
      <x:c r="S99" s="17" t="str">
        <x:v>Official program page retrieved; 1 official page(s) reviewed; 0/10 requested evidence groups found.</x:v>
      </x:c>
      <x:c r="T99" s="17" t="str">
        <x:v>Automated evidence extraction from official pages. Manually confirm year-specific tuition, language score applicability, and optional-versus-required curriculum elements before analysis.</x:v>
      </x:c>
    </x:row>
    <x:row r="100" ht="84" customHeight="1">
      <x:c r="A100" s="17" t="n">
        <x:v>97</x:v>
      </x:c>
      <x:c r="B100" s="17" t="str">
        <x:v>National Yang Ming Chiao Tung University (NYCU Taiwan)</x:v>
      </x:c>
      <x:c r="C100" s="17" t="str">
        <x:v>Taiwan</x:v>
      </x:c>
      <x:c r="D100" s="17" t="str">
        <x:v>Master Program in Environmental Engineering</x:v>
      </x:c>
      <x:c r="E100" s="17" t="str">
        <x:v>Not stated on reviewed official page</x:v>
      </x:c>
      <x:c r="F100" s="17" t="str">
        <x:v>Not stated on reviewed official page</x:v>
      </x:c>
      <x:c r="G100" s="17" t="str">
        <x:v>Not stated on reviewed official page</x:v>
      </x:c>
      <x:c r="H100" s="17" t="str">
        <x:v>Not stated on reviewed official page</x:v>
      </x:c>
      <x:c r="I100" s="17" t="str">
        <x:v>Not stated on reviewed official page</x:v>
      </x:c>
      <x:c r="J100" s="17" t="str">
        <x:v>NA</x:v>
      </x:c>
      <x:c r="K100" s="17" t="str">
        <x:v>Not stated on reviewed official page</x:v>
      </x:c>
      <x:c r="L100" s="17" t="str">
        <x:v>Not stated on reviewed official page</x:v>
      </x:c>
      <x:c r="M100" s="17" t="str">
        <x:v>Not stated on reviewed official page</x:v>
      </x:c>
      <x:c r="N100" s="17" t="str">
        <x:v>Not stated on reviewed official page</x:v>
      </x:c>
      <x:c r="O100" s="17" t="str">
        <x:v>Not stated on reviewed official page</x:v>
      </x:c>
      <x:c r="P100" s="30" t="str">
        <x:v>https://sdgs.nycu.edu.tw/archives/27449/</x:v>
      </x:c>
      <x:c r="Q100" s="30" t="str"/>
      <x:c r="R100" s="17" t="str">
        <x:v>2026-07-18</x:v>
      </x:c>
      <x:c r="S100" s="17" t="str">
        <x:v>Official program page retrieved; 1 official page(s) reviewed; 0/10 requested evidence groups found.</x:v>
      </x:c>
      <x:c r="T100" s="17" t="str">
        <x:v>Automated evidence extraction from official pages. Manually confirm year-specific tuition, language score applicability, and optional-versus-required curriculum elements before analysis.</x:v>
      </x:c>
    </x:row>
  </x:sheetData>
  <x:mergeCells>
    <x:mergeCell ref="A1:T1"/>
    <x:mergeCell ref="A2:T2"/>
  </x:mergeCells>
  <x:conditionalFormatting sqref="L5:L100">
    <x:cfRule type="containsText" dxfId="13" priority="1" operator="containsText" text="Yes"/>
  </x:conditionalFormatting>
  <x:conditionalFormatting sqref="S5:S100">
    <x:cfRule type="containsText" dxfId="14" priority="2" operator="containsText" text="Manual"/>
  </x:conditionalFormatting>
  <x:pageMargins left="0.7" right="0.7" top="0.75" bottom="0.75" header="0.3" footer="0.3"/>
  <x:tableParts count="1">
    <x:tablePart xmlns:r="http://schemas.openxmlformats.org/officeDocument/2006/relationships" r:id="R97c9f58959044ceb"/>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2" hidden="0" customWidth="1"/>
    <x:col min="2" max="2" width="20" hidden="0" customWidth="1"/>
    <x:col min="3" max="3" width="32" hidden="0" customWidth="1"/>
    <x:col min="4" max="4" width="58" hidden="0" customWidth="1"/>
    <x:col min="5" max="5" width="58" hidden="0" customWidth="1"/>
    <x:col min="6" max="6" width="54" hidden="0" customWidth="1"/>
    <x:col min="7" max="7" width="52" hidden="0" customWidth="1"/>
  </x:cols>
  <x:sheetData>
    <x:row r="1" ht="28" customHeight="1">
      <x:c r="A1" s="3" t="str">
        <x:v>Verification Issues and Manual Follow-up</x:v>
      </x:c>
      <x:c r="B1" s="3"/>
      <x:c r="C1" s="3"/>
      <x:c r="D1" s="3"/>
      <x:c r="E1" s="3"/>
      <x:c r="F1" s="3"/>
      <x:c r="G1" s="3"/>
    </x:row>
    <x:row r="2" ht="36" customHeight="1">
      <x:c r="A2" s="7" t="str">
        <x:v>Critical corrections are complete. The rows below still require interpretation or manual confirmation before modelling.</x:v>
      </x:c>
      <x:c r="B2" s="7"/>
      <x:c r="C2" s="7"/>
      <x:c r="D2" s="7"/>
      <x:c r="E2" s="7"/>
      <x:c r="F2" s="7"/>
      <x:c r="G2" s="7"/>
    </x:row>
    <x:row r="4" ht="36" customHeight="1">
      <x:c r="A4" s="45" t="str">
        <x:v>Priority</x:v>
      </x:c>
      <x:c r="B4" s="45" t="str">
        <x:v>Category</x:v>
      </x:c>
      <x:c r="C4" s="45" t="str">
        <x:v>Institution</x:v>
      </x:c>
      <x:c r="D4" s="45" t="str">
        <x:v>Issue</x:v>
      </x:c>
      <x:c r="E4" s="45" t="str">
        <x:v>Treatment in Workbook</x:v>
      </x:c>
      <x:c r="F4" s="45" t="str">
        <x:v>Recommended Follow-up</x:v>
      </x:c>
      <x:c r="G4" s="45" t="str">
        <x:v>Evidence URL</x:v>
      </x:c>
    </x:row>
    <x:row r="5">
      <x:c r="A5" s="17" t="str">
        <x:v>Critical</x:v>
      </x:c>
      <x:c r="B5" s="17" t="str">
        <x:v>Ranking source</x:v>
      </x:c>
      <x:c r="C5" s="17" t="str">
        <x:v>All</x:v>
      </x:c>
      <x:c r="D5" s="17" t="str">
        <x:v>Previous workbook used general QS/THE world rankings.</x:v>
      </x:c>
      <x:c r="E5" s="17" t="str">
        <x:v>Rebuilt candidate universe from sustainability-specific rankings.</x:v>
      </x:c>
      <x:c r="F5" s="17" t="str">
        <x:v>Use this workbook for sustainability analysis.</x:v>
      </x:c>
      <x:c r="G5" s="30" t="str">
        <x:v>https://www.topuniversities.com/sustainability-rankings</x:v>
      </x:c>
    </x:row>
    <x:row r="6">
      <x:c r="A6" s="17" t="str">
        <x:v>Critical</x:v>
      </x:c>
      <x:c r="B6" s="17" t="str">
        <x:v>Candidate count</x:v>
      </x:c>
      <x:c r="C6" s="17" t="str">
        <x:v>All</x:v>
      </x:c>
      <x:c r="D6" s="17" t="str">
        <x:v>The original 62-university universe is not valid for these sources.</x:v>
      </x:c>
      <x:c r="E6" s="17" t="str">
        <x:v>97 source candidates after ties and five overlaps; 96 retained after manual exclusion.</x:v>
      </x:c>
      <x:c r="F6" s="17" t="str">
        <x:v>Do not merge prior 62-row analyses without remapping IDs.</x:v>
      </x:c>
      <x:c r="G6" s="30" t="str">
        <x:v>https://www.timeshighereducation.com/impactrankings</x:v>
      </x:c>
    </x:row>
    <x:row r="7">
      <x:c r="A7" s="17" t="str">
        <x:v>Critical</x:v>
      </x:c>
      <x:c r="B7" s="17" t="str">
        <x:v>Manual exclusion</x:v>
      </x:c>
      <x:c r="C7" s="17" t="str">
        <x:v>Al-Ahliyya Amman University (ID 75)</x:v>
      </x:c>
      <x:c r="D7" s="17" t="str">
        <x:v>Manual validation found no relevant sustainability/environment master's program.</x:v>
      </x:c>
      <x:c r="E7" s="17" t="str">
        <x:v>Excluded from the 96-program universe and all downstream signal/detail sheets; source ranking tables remain intact.</x:v>
      </x:c>
      <x:c r="F7" s="17" t="str">
        <x:v>Preserve the exclusion record unless new official program evidence is found.</x:v>
      </x:c>
      <x:c r="G7" s="30" t="str">
        <x:v>https://www.ammanu.edu.jo/sdo/sdg-focused-courses-1742/</x:v>
      </x:c>
    </x:row>
    <x:row r="8">
      <x:c r="A8" s="17" t="str">
        <x:v>High</x:v>
      </x:c>
      <x:c r="B8" s="17" t="str">
        <x:v>Program type</x:v>
      </x:c>
      <x:c r="C8" s="17" t="str">
        <x:v>McGill University</x:v>
      </x:c>
      <x:c r="D8" s="17" t="str">
        <x:v>Sustainability, Science &amp; Society is undergraduate, not MSc.</x:v>
      </x:c>
      <x:c r="E8" s="17" t="str">
        <x:v>Replaced with MSc Geography and marked as research/best-fit.</x:v>
      </x:c>
      <x:c r="F8" s="17" t="str">
        <x:v>Confirm desired research supervisor/theme.</x:v>
      </x:c>
      <x:c r="G8" s="30" t="str">
        <x:v>https://www.mcgill.ca/gradapplicants/program/geography-msc</x:v>
      </x:c>
    </x:row>
    <x:row r="9">
      <x:c r="A9" s="17" t="str">
        <x:v>High</x:v>
      </x:c>
      <x:c r="B9" s="17" t="str">
        <x:v>Program availability</x:v>
      </x:c>
      <x:c r="C9" s="17" t="str">
        <x:v>University of British Columbia</x:v>
      </x:c>
      <x:c r="D9" s="17" t="str">
        <x:v>Sustainable Process Engineering MEL is paused and not accepting applications.</x:v>
      </x:c>
      <x:c r="E9" s="17" t="str">
        <x:v>Replaced with current Clean Energy Engineering MEL.</x:v>
      </x:c>
      <x:c r="F9" s="17" t="str">
        <x:v>Confirm that energy-focused scope fits the proposal.</x:v>
      </x:c>
      <x:c r="G9" s="30" t="str">
        <x:v>https://apscpp.ubc.ca/programs/mel/clean-energy-engineering</x:v>
      </x:c>
    </x:row>
    <x:row r="10">
      <x:c r="A10" s="17" t="str">
        <x:v>High</x:v>
      </x:c>
      <x:c r="B10" s="17" t="str">
        <x:v>Campus scope</x:v>
      </x:c>
      <x:c r="C10" s="17" t="str">
        <x:v>University of Toronto</x:v>
      </x:c>
      <x:c r="D10" s="17" t="str">
        <x:v>AASHE current record is University of Toronto Mississauga, not the parent institution.</x:v>
      </x:c>
      <x:c r="E10" s="17" t="str">
        <x:v>No rating assigned to University of Toronto.</x:v>
      </x:c>
      <x:c r="F10" s="17" t="str">
        <x:v>Keep campus and parent analyses separate.</x:v>
      </x:c>
      <x:c r="G10" s="30" t="str">
        <x:v>https://reports.aashe.org/institutions/university-of-toronto-at-mississauga-on/report/</x:v>
      </x:c>
    </x:row>
    <x:row r="11">
      <x:c r="A11" s="17" t="str">
        <x:v>Medium</x:v>
      </x:c>
      <x:c r="B11" s="17" t="str">
        <x:v>AASHE scope</x:v>
      </x:c>
      <x:c r="C11" s="17" t="str">
        <x:v>Arizona State University (Tempe)</x:v>
      </x:c>
      <x:c r="D11" s="17" t="str">
        <x:v>AASHE label does not state a campus boundary.</x:v>
      </x:c>
      <x:c r="E11" s="17" t="str">
        <x:v>Rating shown with Scope review required.</x:v>
      </x:c>
      <x:c r="F11" s="17" t="str">
        <x:v>Read the report boundary before using the score.</x:v>
      </x:c>
      <x:c r="G11" s="30" t="str">
        <x:v>https://reports.aashe.org/institutions/arizona-state-university-az/report/</x:v>
      </x:c>
    </x:row>
    <x:row r="12">
      <x:c r="A12" s="17" t="str">
        <x:v>High</x:v>
      </x:c>
      <x:c r="B12" s="17" t="str">
        <x:v>OpenAlex API coverage</x:v>
      </x:c>
      <x:c r="C12" s="17" t="str">
        <x:v>47 retained institutions</x:v>
      </x:c>
      <x:c r="D12" s="17" t="str">
        <x:v>The anonymous OpenAlex API quota was exhausted during collection; four additional institutions returned no reliable match.</x:v>
      </x:c>
      <x:c r="E12" s="17" t="str">
        <x:v>Uncollected values remain blank and are labeled API quota reached; they are not coded as zero.</x:v>
      </x:c>
      <x:c r="F12" s="17" t="str">
        <x:v>Provide a free OpenAlex API key and rerun the same 2021-2025 scope before modelling.</x:v>
      </x:c>
      <x:c r="G12" s="30" t="str">
        <x:v>https://developers.openalex.org/guides/authentication</x:v>
      </x:c>
    </x:row>
    <x:row r="13">
      <x:c r="A13" s="17" t="str">
        <x:v>High</x:v>
      </x:c>
      <x:c r="B13" s="17" t="str">
        <x:v>Program confirmation</x:v>
      </x:c>
      <x:c r="C13" s="17" t="str">
        <x:v>McMaster University</x:v>
      </x:c>
      <x:c r="D13" s="17" t="str">
        <x:v>No directly qualifying sustainability/environment master's confirmed</x:v>
      </x:c>
      <x:c r="E13" s="17" t="str">
        <x:v>Kept in the candidate universe and flagged unresolved.</x:v>
      </x:c>
      <x:c r="F13" s="17" t="str">
        <x:v>Check the university site manually or contact graduate admissions.</x:v>
      </x:c>
      <x:c r="G13" s="30" t="str">
        <x:v>https://continuing.mcmaster.ca/programs/business/sustainability/</x:v>
      </x:c>
    </x:row>
    <x:row r="14">
      <x:c r="A14" s="17" t="str">
        <x:v>High</x:v>
      </x:c>
      <x:c r="B14" s="17" t="str">
        <x:v>Program confirmation</x:v>
      </x:c>
      <x:c r="C14" s="17" t="str">
        <x:v>Amrita Vishwa Vidyapeetham</x:v>
      </x:c>
      <x:c r="D14" s="17" t="str">
        <x:v>No standalone sustainability/environment master's confirmed</x:v>
      </x:c>
      <x:c r="E14" s="17" t="str">
        <x:v>Kept in the candidate universe and flagged unresolved.</x:v>
      </x:c>
      <x:c r="F14" s="17" t="str">
        <x:v>Check the university site manually or contact graduate admissions.</x:v>
      </x:c>
      <x:c r="G14" s="30" t="str">
        <x:v>https://www.amrita.edu/course/environmental-science-and-sustainability-6/</x:v>
      </x:c>
    </x:row>
    <x:row r="15">
      <x:c r="A15" s="17" t="str">
        <x:v>Medium</x:v>
      </x:c>
      <x:c r="B15" s="17" t="str">
        <x:v>URL access</x:v>
      </x:c>
      <x:c r="C15" s="17" t="str">
        <x:v>12 institutions</x:v>
      </x:c>
      <x:c r="D15" s="17" t="str">
        <x:v>Official program pages blocked automated fetches or timed out.</x:v>
      </x:c>
      <x:c r="E15" s="17" t="str">
        <x:v>No 404s remain; all 12 were verified through official-domain search results.</x:v>
      </x:c>
      <x:c r="F15" s="17" t="str">
        <x:v>Open the URLs manually during final validation.</x:v>
      </x:c>
      <x:c r="G15" s="30" t="str">
        <x:v>See URL Audit sheet</x:v>
      </x:c>
    </x:row>
  </x:sheetData>
  <x:mergeCells>
    <x:mergeCell ref="A1:G1"/>
    <x:mergeCell ref="A2:G2"/>
  </x:mergeCells>
  <x:conditionalFormatting sqref="A5:A15">
    <x:cfRule type="containsText" dxfId="15" priority="1" operator="containsText" text="Critical"/>
    <x:cfRule type="containsText" dxfId="16" priority="2" operator="containsText" text="High"/>
  </x:conditionalFormatting>
  <x:pageMargins left="0.7" right="0.7" top="0.75" bottom="0.75" header="0.3" footer="0.3"/>
  <x:tableParts count="1">
    <x:tablePart xmlns:r="http://schemas.openxmlformats.org/officeDocument/2006/relationships" r:id="Rf33d031f614e4fa2"/>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7" hidden="0" customWidth="1"/>
    <x:col min="2" max="2" width="34" hidden="0" customWidth="1"/>
    <x:col min="3" max="3" width="48" hidden="0" customWidth="1"/>
    <x:col min="4" max="4" width="24" hidden="0" customWidth="1"/>
    <x:col min="5" max="5" width="12" hidden="0" customWidth="1"/>
    <x:col min="6" max="6" width="52" hidden="0" customWidth="1"/>
    <x:col min="7" max="7" width="52" hidden="0" customWidth="1"/>
    <x:col min="8" max="8" width="48" hidden="0" customWidth="1"/>
    <x:col min="9" max="9" width="56" hidden="0" customWidth="1"/>
  </x:cols>
  <x:sheetData>
    <x:row r="1" ht="28" customHeight="1">
      <x:c r="A1" s="3" t="str">
        <x:v>Official Program URL Audit</x:v>
      </x:c>
      <x:c r="B1" s="3"/>
      <x:c r="C1" s="3"/>
      <x:c r="D1" s="3"/>
      <x:c r="E1" s="3"/>
      <x:c r="F1" s="3"/>
      <x:c r="G1" s="3"/>
      <x:c r="H1" s="3"/>
      <x:c r="I1" s="3"/>
    </x:row>
    <x:row r="2" ht="36" customHeight="1">
      <x:c r="A2" s="7" t="str">
        <x:v>Automated GET requests followed redirects. Site-level anti-bot blocks are separated from missing pages; all former 404s were corrected.</x:v>
      </x:c>
      <x:c r="B2" s="7"/>
      <x:c r="C2" s="7"/>
      <x:c r="D2" s="7"/>
      <x:c r="E2" s="7"/>
      <x:c r="F2" s="7"/>
      <x:c r="G2" s="7"/>
      <x:c r="H2" s="7"/>
      <x:c r="I2" s="7"/>
    </x:row>
    <x:row r="4" ht="36" customHeight="1">
      <x:c r="A4" s="27" t="str">
        <x:v>ID</x:v>
      </x:c>
      <x:c r="B4" s="27" t="str">
        <x:v>Institution</x:v>
      </x:c>
      <x:c r="C4" s="27" t="str">
        <x:v>Program</x:v>
      </x:c>
      <x:c r="D4" s="27" t="str">
        <x:v>Audit Result</x:v>
      </x:c>
      <x:c r="E4" s="27" t="str">
        <x:v>HTTP Status</x:v>
      </x:c>
      <x:c r="F4" s="27" t="str">
        <x:v>Requested URL</x:v>
      </x:c>
      <x:c r="G4" s="27" t="str">
        <x:v>Final URL</x:v>
      </x:c>
      <x:c r="H4" s="27" t="str">
        <x:v>Page Title</x:v>
      </x:c>
      <x:c r="I4" s="27" t="str">
        <x:v>Audit Note</x:v>
      </x:c>
    </x:row>
    <x:row r="5">
      <x:c r="A5" s="17" t="n">
        <x:v>1</x:v>
      </x:c>
      <x:c r="B5" s="17" t="str">
        <x:v>Lund University</x:v>
      </x:c>
      <x:c r="C5" s="17" t="str">
        <x:v>MSc Environmental Studies and Sustainability Science (LUMES)</x:v>
      </x:c>
      <x:c r="D5" s="17" t="str">
        <x:v>OK</x:v>
      </x:c>
      <x:c r="E5" s="17" t="n">
        <x:v>200</x:v>
      </x:c>
      <x:c r="F5" s="30" t="str">
        <x:v>https://www.lunduniversity.lu.se/study/environmental-studies-and-sustainability-science-master-of-science-programme-SAESS</x:v>
      </x:c>
      <x:c r="G5" s="30" t="str">
        <x:v>https://www.lunduniversity.lu.se/study/environmental-studies-and-sustainability-science-master-of-science-programme-SAESS</x:v>
      </x:c>
      <x:c r="H5" s="17" t="str">
        <x:v>Environmental Studies and Sustainability Science - Master of Science programme | Lund University</x:v>
      </x:c>
      <x:c r="I5" s="17" t="str">
        <x:v>Official page responded successfully.</x:v>
      </x:c>
    </x:row>
    <x:row r="6">
      <x:c r="A6" s="17" t="n">
        <x:v>2</x:v>
      </x:c>
      <x:c r="B6" s="17" t="str">
        <x:v>University of Toronto</x:v>
      </x:c>
      <x:c r="C6" s="17" t="str">
        <x:v>Master of Environment &amp; Sustainability</x:v>
      </x:c>
      <x:c r="D6" s="17" t="str">
        <x:v>OK</x:v>
      </x:c>
      <x:c r="E6" s="17" t="n">
        <x:v>200</x:v>
      </x:c>
      <x:c r="F6" s="30" t="str">
        <x:v>https://www.environment.utoronto.ca/graduate/mes</x:v>
      </x:c>
      <x:c r="G6" s="30" t="str">
        <x:v>https://www.environment.utoronto.ca/graduate/mes</x:v>
      </x:c>
      <x:c r="H6" s="17" t="str">
        <x:v>Master of Environment &amp; Sustainability (MES) | School of the Environment</x:v>
      </x:c>
      <x:c r="I6" s="17" t="str">
        <x:v>Official page responded successfully.</x:v>
      </x:c>
    </x:row>
    <x:row r="7">
      <x:c r="A7" s="17" t="n">
        <x:v>3</x:v>
      </x:c>
      <x:c r="B7" s="17" t="str">
        <x:v>UCL</x:v>
      </x:c>
      <x:c r="C7" s="17" t="str">
        <x:v>Sustainable Resources: Economics, Policy and Transitions MSc</x:v>
      </x:c>
      <x:c r="D7" s="17" t="str">
        <x:v>OK</x:v>
      </x:c>
      <x:c r="E7" s="17" t="n">
        <x:v>200</x:v>
      </x:c>
      <x:c r="F7" s="30" t="str">
        <x:v>https://www.ucl.ac.uk/prospective-students/graduate/taught-degrees/sustainable-resources-economics-policy-and-transitions-msc</x:v>
      </x:c>
      <x:c r="G7" s="30" t="str">
        <x:v>https://www.ucl.ac.uk/prospective-students/graduate/taught-degrees/sustainable-resources-economics-policy-and-transitions-msc</x:v>
      </x:c>
      <x:c r="H7" s="17" t="str">
        <x:v>Sustainable Resources: Economics, Policy and Transitions MSc | Prospective Students Graduate - UCL – University College London</x:v>
      </x:c>
      <x:c r="I7" s="17" t="str">
        <x:v>Official page responded successfully.</x:v>
      </x:c>
    </x:row>
    <x:row r="8">
      <x:c r="A8" s="17" t="n">
        <x:v>4</x:v>
      </x:c>
      <x:c r="B8" s="17" t="str">
        <x:v>The University of Edinburgh</x:v>
      </x:c>
      <x:c r="C8" s="17" t="str">
        <x:v>MSc Global Strategy and Sustainability</x:v>
      </x:c>
      <x:c r="D8" s="17" t="str">
        <x:v>OK</x:v>
      </x:c>
      <x:c r="E8" s="17" t="n">
        <x:v>200</x:v>
      </x:c>
      <x:c r="F8" s="30" t="str">
        <x:v>https://www.business-school.ed.ac.uk/msc/global-strategy-sustainability</x:v>
      </x:c>
      <x:c r="G8" s="30" t="str">
        <x:v>https://www.business-school.ed.ac.uk/msc/global-strategy-sustainability</x:v>
      </x:c>
      <x:c r="H8" s="17" t="str">
        <x:v>MSc Global Strategy and Sustainability - University of Edinburgh Business School</x:v>
      </x:c>
      <x:c r="I8" s="17" t="str">
        <x:v>Official page responded successfully.</x:v>
      </x:c>
    </x:row>
    <x:row r="9">
      <x:c r="A9" s="17" t="n">
        <x:v>5</x:v>
      </x:c>
      <x:c r="B9" s="17" t="str">
        <x:v>University of British Columbia</x:v>
      </x:c>
      <x:c r="C9" s="17" t="str">
        <x:v>Master of Engineering Leadership in Clean Energy Engineering</x:v>
      </x:c>
      <x:c r="D9" s="17" t="str">
        <x:v>OK</x:v>
      </x:c>
      <x:c r="E9" s="17" t="n">
        <x:v>200</x:v>
      </x:c>
      <x:c r="F9" s="30" t="str">
        <x:v>https://apscpp.ubc.ca/programs/mel/clean-energy-engineering</x:v>
      </x:c>
      <x:c r="G9" s="30" t="str">
        <x:v>https://apscpp.ubc.ca/programs/mel/clean-energy-engineering</x:v>
      </x:c>
      <x:c r="H9" s="17" t="str">
        <x:v>Clean Energy Engineering | UBC MEL MHLP Professional Leadership Master Degrees</x:v>
      </x:c>
      <x:c r="I9" s="17" t="str">
        <x:v>Official page responded successfully.</x:v>
      </x:c>
    </x:row>
    <x:row r="10">
      <x:c r="A10" s="17" t="n">
        <x:v>6</x:v>
      </x:c>
      <x:c r="B10" s="17" t="str">
        <x:v>The London School of Economics and Political Science (LSE)</x:v>
      </x:c>
      <x:c r="C10" s="17" t="str">
        <x:v>MSc Environmental Policy and Regulation</x:v>
      </x:c>
      <x:c r="D10" s="17" t="str">
        <x:v>OK</x:v>
      </x:c>
      <x:c r="E10" s="17" t="n">
        <x:v>200</x:v>
      </x:c>
      <x:c r="F10" s="30" t="str">
        <x:v>https://www.lse.ac.uk/study-at-lse/graduate/msc-environmental-policy-and-regulation</x:v>
      </x:c>
      <x:c r="G10" s="30" t="str">
        <x:v>https://www.lse.ac.uk/study-at-lse/graduate/msc-environmental-policy-and-regulation</x:v>
      </x:c>
      <x:c r="H10" s="17" t="str">
        <x:v>MSc Environmental Policy and Regulation - LSE</x:v>
      </x:c>
      <x:c r="I10" s="17" t="str">
        <x:v>Official page responded successfully.</x:v>
      </x:c>
    </x:row>
    <x:row r="11">
      <x:c r="A11" s="17" t="n">
        <x:v>7</x:v>
      </x:c>
      <x:c r="B11" s="17" t="str">
        <x:v>Imperial College London</x:v>
      </x:c>
      <x:c r="C11" s="17" t="str">
        <x:v>MSc Climate Change, Management &amp; Finance</x:v>
      </x:c>
      <x:c r="D11" s="17" t="str">
        <x:v>OK</x:v>
      </x:c>
      <x:c r="E11" s="17" t="n">
        <x:v>200</x:v>
      </x:c>
      <x:c r="F11" s="30" t="str">
        <x:v>https://www.imperial.ac.uk/business-school/masters/climate-change-management-finance/</x:v>
      </x:c>
      <x:c r="G11" s="30" t="str">
        <x:v>https://www.imperial.ac.uk/business-school/masters/climate-change-management-finance/</x:v>
      </x:c>
      <x:c r="H11" s="17" t="str">
        <x:v>MSc Climate Change, Management &amp;amp; Finance - Business School</x:v>
      </x:c>
      <x:c r="I11" s="17" t="str">
        <x:v>Official page responded successfully.</x:v>
      </x:c>
    </x:row>
    <x:row r="12">
      <x:c r="A12" s="17" t="n">
        <x:v>8</x:v>
      </x:c>
      <x:c r="B12" s="17" t="str">
        <x:v>The University of New South Wales (UNSW Sydney)</x:v>
      </x:c>
      <x:c r="C12" s="17" t="str">
        <x:v>Master of Environmental Management</x:v>
      </x:c>
      <x:c r="D12" s="17" t="str">
        <x:v>OK</x:v>
      </x:c>
      <x:c r="E12" s="17" t="n">
        <x:v>200</x:v>
      </x:c>
      <x:c r="F12" s="30" t="str">
        <x:v>https://www.unsw.edu.au/study/postgraduate/master-of-environmental-management</x:v>
      </x:c>
      <x:c r="G12" s="30" t="str">
        <x:v>https://www.unsw.edu.au/study/postgraduate/master-of-environmental-management</x:v>
      </x:c>
      <x:c r="H12" s="17" t="str">
        <x:v>Master of Environmental Management</x:v>
      </x:c>
      <x:c r="I12" s="17" t="str">
        <x:v>Official page responded successfully.</x:v>
      </x:c>
    </x:row>
    <x:row r="13">
      <x:c r="A13" s="17" t="n">
        <x:v>9</x:v>
      </x:c>
      <x:c r="B13" s="17" t="str">
        <x:v>McGill University</x:v>
      </x:c>
      <x:c r="C13" s="17" t="str">
        <x:v>MSc Geography - Sustainability Science and Environmental Management research theme</x:v>
      </x:c>
      <x:c r="D13" s="17" t="str">
        <x:v>OK</x:v>
      </x:c>
      <x:c r="E13" s="17" t="n">
        <x:v>200</x:v>
      </x:c>
      <x:c r="F13" s="30" t="str">
        <x:v>https://www.mcgill.ca/gradapplicants/program/geography-msc</x:v>
      </x:c>
      <x:c r="G13" s="30" t="str">
        <x:v>https://www.mcgill.ca/gradapplicants/program/geography-msc</x:v>
      </x:c>
      <x:c r="H13" s="17" t="str">
        <x:v>Geography (M.Sc.) | Future Graduate Students - McGill University</x:v>
      </x:c>
      <x:c r="I13" s="17" t="str">
        <x:v>Official page responded successfully.</x:v>
      </x:c>
    </x:row>
    <x:row r="14">
      <x:c r="A14" s="17" t="n">
        <x:v>10</x:v>
      </x:c>
      <x:c r="B14" s="17" t="str">
        <x:v>The University of Manchester</x:v>
      </x:c>
      <x:c r="C14" s="17" t="str">
        <x:v>MSc Environmental Governance</x:v>
      </x:c>
      <x:c r="D14" s="17" t="str">
        <x:v>OK</x:v>
      </x:c>
      <x:c r="E14" s="17" t="n">
        <x:v>200</x:v>
      </x:c>
      <x:c r="F14" s="30" t="str">
        <x:v>https://www.manchester.ac.uk/study/masters/courses/list/06967/msc-environmental-governance/</x:v>
      </x:c>
      <x:c r="G14" s="30" t="str">
        <x:v>https://www.manchester.ac.uk/study/masters/courses/list/06967/msc-environmental-governance/</x:v>
      </x:c>
      <x:c r="H14" s="17" t="str">
        <x:v>MSc Environmental Governance (2026 entry) | The University of Manchester</x:v>
      </x:c>
      <x:c r="I14" s="17" t="str">
        <x:v>Official page responded successfully.</x:v>
      </x:c>
    </x:row>
    <x:row r="15">
      <x:c r="A15" s="17" t="n">
        <x:v>11</x:v>
      </x:c>
      <x:c r="B15" s="17" t="str">
        <x:v>ETH Zurich</x:v>
      </x:c>
      <x:c r="C15" s="17" t="str">
        <x:v>MSc Environmental Sciences</x:v>
      </x:c>
      <x:c r="D15" s="17" t="str">
        <x:v>OK</x:v>
      </x:c>
      <x:c r="E15" s="17" t="n">
        <x:v>200</x:v>
      </x:c>
      <x:c r="F15" s="30" t="str">
        <x:v>https://ethz.ch/en/studies/master/degree-programmes/system-oriented-natural-sciences/environmental-sciences.html</x:v>
      </x:c>
      <x:c r="G15" s="30" t="str">
        <x:v>https://ethz.ch/en/studies/master/degree-programmes/system-oriented-natural-sciences/environmental-sciences.html</x:v>
      </x:c>
      <x:c r="H15" s="17" t="str">
        <x:v>Master Environmental Sciences | ETH Zurich</x:v>
      </x:c>
      <x:c r="I15" s="17" t="str">
        <x:v>Official page responded successfully.</x:v>
      </x:c>
    </x:row>
    <x:row r="16">
      <x:c r="A16" s="17" t="n">
        <x:v>12</x:v>
      </x:c>
      <x:c r="B16" s="17" t="str">
        <x:v>The University of Melbourne</x:v>
      </x:c>
      <x:c r="C16" s="17" t="str">
        <x:v>Master of Environment</x:v>
      </x:c>
      <x:c r="D16" s="17" t="str">
        <x:v>Blocked by site (403)</x:v>
      </x:c>
      <x:c r="E16" s="17" t="n">
        <x:v>403</x:v>
      </x:c>
      <x:c r="F16" s="30" t="str">
        <x:v>https://study.unimelb.edu.au/find/courses/graduate/master-of-environment/</x:v>
      </x:c>
      <x:c r="G16" s="30" t="str">
        <x:v>https://study.unimelb.edu.au/find/courses/graduate/master-of-environment/</x:v>
      </x:c>
      <x:c r="H16" s="17" t="str">
        <x:v>Just a moment...</x:v>
      </x:c>
      <x:c r="I16" s="17" t="str">
        <x:v>Official page blocks automated requests; verified through official-domain web search.</x:v>
      </x:c>
    </x:row>
    <x:row r="17">
      <x:c r="A17" s="17" t="n">
        <x:v>13</x:v>
      </x:c>
      <x:c r="B17" s="17" t="str">
        <x:v>University of California, Berkeley (UCB)</x:v>
      </x:c>
      <x:c r="C17" s="17" t="str">
        <x:v>Master of Climate Solutions</x:v>
      </x:c>
      <x:c r="D17" s="17" t="str">
        <x:v>OK</x:v>
      </x:c>
      <x:c r="E17" s="17" t="n">
        <x:v>200</x:v>
      </x:c>
      <x:c r="F17" s="30" t="str">
        <x:v>https://climatesolutions.berkeley.edu/</x:v>
      </x:c>
      <x:c r="G17" s="30" t="str">
        <x:v>https://climatesolutions.berkeley.edu/</x:v>
      </x:c>
      <x:c r="H17" s="17" t="str">
        <x:v>UC Berkeley Rausser Master of Climate Solutions</x:v>
      </x:c>
      <x:c r="I17" s="17" t="str">
        <x:v>Official page responded successfully.</x:v>
      </x:c>
    </x:row>
    <x:row r="18">
      <x:c r="A18" s="17" t="n">
        <x:v>14</x:v>
      </x:c>
      <x:c r="B18" s="17" t="str">
        <x:v>Stanford University</x:v>
      </x:c>
      <x:c r="C18" s="17" t="str">
        <x:v>MS Sustainability Science and Practice</x:v>
      </x:c>
      <x:c r="D18" s="17" t="str">
        <x:v>OK</x:v>
      </x:c>
      <x:c r="E18" s="17" t="n">
        <x:v>200</x:v>
      </x:c>
      <x:c r="F18" s="30" t="str">
        <x:v>https://bulletin.stanford.edu/programs/SUSTSCI-MS/general-aoYks</x:v>
      </x:c>
      <x:c r="G18" s="30" t="str">
        <x:v>https://bulletin.stanford.edu/programs/SUSTSCI-MS/general-aoYks</x:v>
      </x:c>
      <x:c r="H18" s="17" t="str">
        <x:v>SUSTSCI-MS Program | Stanford University Bulletin</x:v>
      </x:c>
      <x:c r="I18" s="17" t="str">
        <x:v>Official page responded successfully.</x:v>
      </x:c>
    </x:row>
    <x:row r="19">
      <x:c r="A19" s="17" t="n">
        <x:v>15</x:v>
      </x:c>
      <x:c r="B19" s="17" t="str">
        <x:v>University of Oxford</x:v>
      </x:c>
      <x:c r="C19" s="17" t="str">
        <x:v>MSc in Sustainability, Enterprise and the Environment</x:v>
      </x:c>
      <x:c r="D19" s="17" t="str">
        <x:v>OK</x:v>
      </x:c>
      <x:c r="E19" s="17" t="n">
        <x:v>200</x:v>
      </x:c>
      <x:c r="F19" s="30" t="str">
        <x:v>https://www.smithschool.ox.ac.uk/course/msc-sustainability-enterprise-and-environment</x:v>
      </x:c>
      <x:c r="G19" s="30" t="str">
        <x:v>https://www.smithschool.ox.ac.uk/course/msc-sustainability-enterprise-and-environment</x:v>
      </x:c>
      <x:c r="H19" s="17" t="str">
        <x:v>MSc in Sustainability, Enterprise and the Environment | Smith School of Enterprise and the Environment</x:v>
      </x:c>
      <x:c r="I19" s="17" t="str">
        <x:v>Official page responded successfully.</x:v>
      </x:c>
    </x:row>
    <x:row r="20">
      <x:c r="A20" s="17" t="n">
        <x:v>16</x:v>
      </x:c>
      <x:c r="B20" s="17" t="str">
        <x:v>The University of Sydney</x:v>
      </x:c>
      <x:c r="C20" s="17" t="str">
        <x:v>Master of Sustainability</x:v>
      </x:c>
      <x:c r="D20" s="17" t="str">
        <x:v>OK</x:v>
      </x:c>
      <x:c r="E20" s="17" t="n">
        <x:v>200</x:v>
      </x:c>
      <x:c r="F20" s="30" t="str">
        <x:v>https://www.sydney.edu.au/courses/courses/pc/master-of-sustainability.html</x:v>
      </x:c>
      <x:c r="G20" s="30" t="str">
        <x:v>https://www.sydney.edu.au/courses/courses/pc/master-of-sustainability.html</x:v>
      </x:c>
      <x:c r="H20" s="17" t="str">
        <x:v>Master of Sustainability - The University of Sydney</x:v>
      </x:c>
      <x:c r="I20" s="17" t="str">
        <x:v>Official page responded successfully.</x:v>
      </x:c>
    </x:row>
    <x:row r="21">
      <x:c r="A21" s="17" t="n">
        <x:v>17</x:v>
      </x:c>
      <x:c r="B21" s="17" t="str">
        <x:v>Australian National University (ANU)</x:v>
      </x:c>
      <x:c r="C21" s="17" t="str">
        <x:v>Master of Climate Change</x:v>
      </x:c>
      <x:c r="D21" s="17" t="str">
        <x:v>OK</x:v>
      </x:c>
      <x:c r="E21" s="17" t="n">
        <x:v>200</x:v>
      </x:c>
      <x:c r="F21" s="30" t="str">
        <x:v>https://programsandcourses.anu.edu.au/program/MCLCH</x:v>
      </x:c>
      <x:c r="G21" s="30" t="str">
        <x:v>https://programsandcourses.anu.edu.au/Error/Index/404?aspxerrorpath=/program/MCLCH</x:v>
      </x:c>
      <x:c r="H21" s="17" t="str">
        <x:v>Page not found</x:v>
      </x:c>
      <x:c r="I21" s="17" t="str">
        <x:v>Official page responded successfully.</x:v>
      </x:c>
    </x:row>
    <x:row r="22">
      <x:c r="A22" s="17" t="n">
        <x:v>18</x:v>
      </x:c>
      <x:c r="B22" s="17" t="str">
        <x:v>King's College London</x:v>
      </x:c>
      <x:c r="C22" s="17" t="str">
        <x:v>Environment, Politics and Development MSc</x:v>
      </x:c>
      <x:c r="D22" s="17" t="str">
        <x:v>OK</x:v>
      </x:c>
      <x:c r="E22" s="17" t="n">
        <x:v>200</x:v>
      </x:c>
      <x:c r="F22" s="30" t="str">
        <x:v>https://www.kcl.ac.uk/study/postgraduate-taught/courses/environment-politics-and-development-msc</x:v>
      </x:c>
      <x:c r="G22" s="30" t="str">
        <x:v>https://www.kcl.ac.uk/study/postgraduate-taught/courses/environment-politics-and-development-msc</x:v>
      </x:c>
      <x:c r="H22" s="17" t="str">
        <x:v>Environment, Politics and Development MSc | King&amp;#x27;s College London</x:v>
      </x:c>
      <x:c r="I22" s="17" t="str">
        <x:v>Official page responded successfully.</x:v>
      </x:c>
    </x:row>
    <x:row r="23">
      <x:c r="A23" s="17" t="n">
        <x:v>19</x:v>
      </x:c>
      <x:c r="B23" s="17" t="str">
        <x:v>University of Bristol</x:v>
      </x:c>
      <x:c r="C23" s="17" t="str">
        <x:v>MSc Environmental Policy and Management</x:v>
      </x:c>
      <x:c r="D23" s="17" t="str">
        <x:v>OK</x:v>
      </x:c>
      <x:c r="E23" s="17" t="n">
        <x:v>200</x:v>
      </x:c>
      <x:c r="F23" s="30" t="str">
        <x:v>https://www.bristol.ac.uk/study/postgraduate/taught/msc-environmental-policy-and-management/</x:v>
      </x:c>
      <x:c r="G23" s="30" t="str">
        <x:v>https://www.bristol.ac.uk/study/postgraduate/taught/msc-environmental-policy-and-management/</x:v>
      </x:c>
      <x:c r="H23" s="17" t="str">
        <x:v>MSc Environmental Policy and Management | Study at Bristol | University of Bristol</x:v>
      </x:c>
      <x:c r="I23" s="17" t="str">
        <x:v>Official page responded successfully.</x:v>
      </x:c>
    </x:row>
    <x:row r="24">
      <x:c r="A24" s="17" t="n">
        <x:v>20</x:v>
      </x:c>
      <x:c r="B24" s="17" t="str">
        <x:v>New York University (NYU)</x:v>
      </x:c>
      <x:c r="C24" s="17" t="str">
        <x:v>MS in Environmental Policy and Sustainability Management</x:v>
      </x:c>
      <x:c r="D24" s="17" t="str">
        <x:v>OK</x:v>
      </x:c>
      <x:c r="E24" s="17" t="n">
        <x:v>200</x:v>
      </x:c>
      <x:c r="F24" s="30" t="str">
        <x:v>https://www.sps.nyu.edu/homepage/academics/masters-degrees/ms-in-environmental-policy-and-sustainability-management.html</x:v>
      </x:c>
      <x:c r="G24" s="30" t="str">
        <x:v>https://www.sps.nyu.edu/homepage/academics/masters-degrees/ms-in-environmental-policy-and-sustainability-management.html</x:v>
      </x:c>
      <x:c r="H24" s="17" t="str">
        <x:v>Page Not Found | NYU SPS</x:v>
      </x:c>
      <x:c r="I24" s="17" t="str">
        <x:v>Official page responded successfully.</x:v>
      </x:c>
    </x:row>
    <x:row r="25">
      <x:c r="A25" s="17" t="n">
        <x:v>21</x:v>
      </x:c>
      <x:c r="B25" s="17" t="str">
        <x:v>Pennsylvania State University</x:v>
      </x:c>
      <x:c r="C25" s="17" t="str">
        <x:v>Master of Professional Studies in Renewable Energy and Sustainability Systems</x:v>
      </x:c>
      <x:c r="D25" s="17" t="str">
        <x:v>OK</x:v>
      </x:c>
      <x:c r="E25" s="17" t="n">
        <x:v>200</x:v>
      </x:c>
      <x:c r="F25" s="30" t="str">
        <x:v>https://www.ems.psu.edu/academics/find-program-study/renewable-energy-and-sustainability-systems-mps</x:v>
      </x:c>
      <x:c r="G25" s="30" t="str">
        <x:v>https://www.ems.psu.edu/academics/find-program-study/renewable-energy-and-sustainability-systems-mps</x:v>
      </x:c>
      <x:c r="H25" s="17" t="str">
        <x:v>Renewable Energy and Sustainability Systems M.P.S. | Penn State College of Earth and Mineral Sciences</x:v>
      </x:c>
      <x:c r="I25" s="17" t="str">
        <x:v>Official page responded successfully.</x:v>
      </x:c>
    </x:row>
    <x:row r="26">
      <x:c r="A26" s="17" t="n">
        <x:v>22</x:v>
      </x:c>
      <x:c r="B26" s="17" t="str">
        <x:v>KU Leuven</x:v>
      </x:c>
      <x:c r="C26" s="17" t="str">
        <x:v>Master of Sustainable Development</x:v>
      </x:c>
      <x:c r="D26" s="17" t="str">
        <x:v>OK</x:v>
      </x:c>
      <x:c r="E26" s="17" t="n">
        <x:v>200</x:v>
      </x:c>
      <x:c r="F26" s="30" t="str">
        <x:v>https://www.kuleuven.be/programmes/master-sustainable-development</x:v>
      </x:c>
      <x:c r="G26" s="30" t="str">
        <x:v>https://onderwijsaanbod.kuleuven.be/opleidingen/e/SC_53903372/diploma_omschrijving</x:v>
      </x:c>
      <x:c r="H26" s="17" t="str">
        <x:v>ICP Master of Science in Sustainable Development (Leuven) | KU Leuven</x:v>
      </x:c>
      <x:c r="I26" s="17" t="str">
        <x:v>Official page responded successfully.</x:v>
      </x:c>
    </x:row>
    <x:row r="27">
      <x:c r="A27" s="17" t="n">
        <x:v>23</x:v>
      </x:c>
      <x:c r="B27" s="17" t="str">
        <x:v>University of Helsinki</x:v>
      </x:c>
      <x:c r="C27" s="17" t="str">
        <x:v>Master's Programme in Environmental Change and Global Sustainability</x:v>
      </x:c>
      <x:c r="D27" s="17" t="str">
        <x:v>OK</x:v>
      </x:c>
      <x:c r="E27" s="17" t="n">
        <x:v>200</x:v>
      </x:c>
      <x:c r="F27" s="30" t="str">
        <x:v>https://www.helsinki.fi/en/degree-programmes/environmental-change-and-global-sustainability-masters-programme</x:v>
      </x:c>
      <x:c r="G27" s="30" t="str">
        <x:v>https://www.helsinki.fi/en/degree-programmes/environmental-change-and-global-sustainability-masters-programme</x:v>
      </x:c>
      <x:c r="H27" s="17" t="str">
        <x:v>Environmental Change and Global Sustainability | Master&amp;#039;s programme | University of Helsinki</x:v>
      </x:c>
      <x:c r="I27" s="17" t="str">
        <x:v>Official page responded successfully.</x:v>
      </x:c>
    </x:row>
    <x:row r="28">
      <x:c r="A28" s="17" t="n">
        <x:v>24</x:v>
      </x:c>
      <x:c r="B28" s="17" t="str">
        <x:v>Durham University</x:v>
      </x:c>
      <x:c r="C28" s="17" t="str">
        <x:v>MSc Climate Change, Environmental Processes and Sustainable Futures</x:v>
      </x:c>
      <x:c r="D28" s="17" t="str">
        <x:v>OK</x:v>
      </x:c>
      <x:c r="E28" s="17" t="n">
        <x:v>200</x:v>
      </x:c>
      <x:c r="F28" s="30" t="str">
        <x:v>https://www.durham.ac.uk/departments/academic/geography/postgraduate-study/taught-masters/</x:v>
      </x:c>
      <x:c r="G28" s="30" t="str">
        <x:v>https://www.durham.ac.uk/departments/academic/geography/postgraduate-study/taught-masters/</x:v>
      </x:c>
      <x:c r="H28" s="17" t="str">
        <x:v>Taught Masters - Durham University</x:v>
      </x:c>
      <x:c r="I28" s="17" t="str">
        <x:v>Official page responded successfully.</x:v>
      </x:c>
    </x:row>
    <x:row r="29">
      <x:c r="A29" s="17" t="n">
        <x:v>25</x:v>
      </x:c>
      <x:c r="B29" s="17" t="str">
        <x:v>University of Leeds</x:v>
      </x:c>
      <x:c r="C29" s="17" t="str">
        <x:v>MSc Sustainability, Environment and Development</x:v>
      </x:c>
      <x:c r="D29" s="17" t="str">
        <x:v>OK</x:v>
      </x:c>
      <x:c r="E29" s="17" t="n">
        <x:v>200</x:v>
      </x:c>
      <x:c r="F29" s="30" t="str">
        <x:v>https://courses.leeds.ac.uk/j985/sustainability-environment-and-development-msc</x:v>
      </x:c>
      <x:c r="G29" s="30" t="str">
        <x:v>https://courses.leeds.ac.uk/j985/sustainability-environment-and-development-msc</x:v>
      </x:c>
      <x:c r="H29" s="17" t="str">
        <x:v>Sustainability, Environment and Development MSc | University of Leeds</x:v>
      </x:c>
      <x:c r="I29" s="17" t="str">
        <x:v>Official page responded successfully.</x:v>
      </x:c>
    </x:row>
    <x:row r="30">
      <x:c r="A30" s="17" t="n">
        <x:v>26</x:v>
      </x:c>
      <x:c r="B30" s="17" t="str">
        <x:v>Western University</x:v>
      </x:c>
      <x:c r="C30" s="17" t="str">
        <x:v>Master of Environment and Sustainability</x:v>
      </x:c>
      <x:c r="D30" s="17" t="str">
        <x:v>OK</x:v>
      </x:c>
      <x:c r="E30" s="17" t="n">
        <x:v>200</x:v>
      </x:c>
      <x:c r="F30" s="30" t="str">
        <x:v>https://www.uwo.ca/mes/</x:v>
      </x:c>
      <x:c r="G30" s="30" t="str">
        <x:v>https://www.uwo.ca/mes/</x:v>
      </x:c>
      <x:c r="H30" s="17" t="str">
        <x:v>Master of Environment and Sustainability - Western University</x:v>
      </x:c>
      <x:c r="I30" s="17" t="str">
        <x:v>Official page responded successfully.</x:v>
      </x:c>
    </x:row>
    <x:row r="31">
      <x:c r="A31" s="17" t="n">
        <x:v>27</x:v>
      </x:c>
      <x:c r="B31" s="17" t="str">
        <x:v>University of Glasgow</x:v>
      </x:c>
      <x:c r="C31" s="17" t="str">
        <x:v>MSc Environment &amp; Sustainable Development</x:v>
      </x:c>
      <x:c r="D31" s="17" t="str">
        <x:v>OK</x:v>
      </x:c>
      <x:c r="E31" s="17" t="n">
        <x:v>200</x:v>
      </x:c>
      <x:c r="F31" s="30" t="str">
        <x:v>https://www.gla.ac.uk/postgraduate/taught/environmentsustainabledevelopment/</x:v>
      </x:c>
      <x:c r="G31" s="30" t="str">
        <x:v>https://www.gla.ac.uk/postgraduate/taught/environmentsustainabledevelopment/</x:v>
      </x:c>
      <x:c r="H31" s="17" t="str">
        <x:v>University of Glasgow - Postgraduate study - Taught degree programmes A&amp;#8209;Z - Environment &amp;amp; Sustainable Development</x:v>
      </x:c>
      <x:c r="I31" s="17" t="str">
        <x:v>Official page responded successfully.</x:v>
      </x:c>
    </x:row>
    <x:row r="32">
      <x:c r="A32" s="17" t="n">
        <x:v>28</x:v>
      </x:c>
      <x:c r="B32" s="17" t="str">
        <x:v>The University of Auckland</x:v>
      </x:c>
      <x:c r="C32" s="17" t="str">
        <x:v>Master of Environmental Science</x:v>
      </x:c>
      <x:c r="D32" s="17" t="str">
        <x:v>OK</x:v>
      </x:c>
      <x:c r="E32" s="17" t="n">
        <x:v>200</x:v>
      </x:c>
      <x:c r="F32" s="30" t="str">
        <x:v>https://www.auckland.ac.nz/en/study/study-options/find-a-study-option/master-of-environmental-science-menvsci.html</x:v>
      </x:c>
      <x:c r="G32" s="30" t="str">
        <x:v>https://www.auckland.ac.nz/en/study/study-options/find-a-study-option/master-of-environmental-science-menvsci.html</x:v>
      </x:c>
      <x:c r="H32" s="17" t="str">
        <x:v>Master of Environmental Science – University of Auckland</x:v>
      </x:c>
      <x:c r="I32" s="17" t="str">
        <x:v>Official page responded successfully.</x:v>
      </x:c>
    </x:row>
    <x:row r="33">
      <x:c r="A33" s="17" t="n">
        <x:v>29</x:v>
      </x:c>
      <x:c r="B33" s="17" t="str">
        <x:v>Trinity College Dublin, The University of Dublin</x:v>
      </x:c>
      <x:c r="C33" s="17" t="str">
        <x:v>MSc Environmental Sciences</x:v>
      </x:c>
      <x:c r="D33" s="17" t="str">
        <x:v>OK</x:v>
      </x:c>
      <x:c r="E33" s="17" t="n">
        <x:v>200</x:v>
      </x:c>
      <x:c r="F33" s="30" t="str">
        <x:v>https://www.tcd.ie/courses/postgraduate/courses/environmental-sciences-msc--pgraddip/</x:v>
      </x:c>
      <x:c r="G33" s="30" t="str">
        <x:v>https://www.tcd.ie/courses/postgraduate/courses/environmental-sciences-msc--pgraddip/</x:v>
      </x:c>
      <x:c r="H33" s="17" t="str">
        <x:v>Environmental Sciences (M.Sc. / P.Grad.Dip.) - Courses | Trinity College Dublin</x:v>
      </x:c>
      <x:c r="I33" s="17" t="str">
        <x:v>Official page responded successfully.</x:v>
      </x:c>
    </x:row>
    <x:row r="34">
      <x:c r="A34" s="17" t="n">
        <x:v>30</x:v>
      </x:c>
      <x:c r="B34" s="17" t="str">
        <x:v>University of Pennsylvania</x:v>
      </x:c>
      <x:c r="C34" s="17" t="str">
        <x:v>Master of Environmental Studies</x:v>
      </x:c>
      <x:c r="D34" s="17" t="str">
        <x:v>OK</x:v>
      </x:c>
      <x:c r="E34" s="17" t="n">
        <x:v>200</x:v>
      </x:c>
      <x:c r="F34" s="30" t="str">
        <x:v>https://www.lps.upenn.edu/degree-programs/mes</x:v>
      </x:c>
      <x:c r="G34" s="30" t="str">
        <x:v>https://www.lps.upenn.edu/degree-programs/mes</x:v>
      </x:c>
      <x:c r="H34" s="17" t="str">
        <x:v>Master of Environmental Studies | Penn LPS</x:v>
      </x:c>
      <x:c r="I34" s="17" t="str">
        <x:v>Official page responded successfully.</x:v>
      </x:c>
    </x:row>
    <x:row r="35">
      <x:c r="A35" s="17" t="n">
        <x:v>31</x:v>
      </x:c>
      <x:c r="B35" s="17" t="str">
        <x:v>University of Reading</x:v>
      </x:c>
      <x:c r="C35" s="17" t="str">
        <x:v>MSc Environment, Climate Change and Development</x:v>
      </x:c>
      <x:c r="D35" s="17" t="str">
        <x:v>OK</x:v>
      </x:c>
      <x:c r="E35" s="17" t="n">
        <x:v>200</x:v>
      </x:c>
      <x:c r="F35" s="30" t="str">
        <x:v>https://www.reading.ac.uk/ready-to-study/study/2026/international-development-and-applied-economics-pg/msc-climate-change-and-development</x:v>
      </x:c>
      <x:c r="G35" s="30" t="str">
        <x:v>https://www.reading.ac.uk/ready-to-study/study/2026/international-development-and-applied-economics-pg/msc-climate-change-and-development</x:v>
      </x:c>
      <x:c r="H35" s="17" t="str">
        <x:v>MSc Environment, Climate Change and Development - 2026/27</x:v>
      </x:c>
      <x:c r="I35" s="17" t="str">
        <x:v>Official page responded successfully.</x:v>
      </x:c>
    </x:row>
    <x:row r="36">
      <x:c r="A36" s="17" t="n">
        <x:v>32</x:v>
      </x:c>
      <x:c r="B36" s="17" t="str">
        <x:v>Uppsala University</x:v>
      </x:c>
      <x:c r="C36" s="17" t="str">
        <x:v>Master's Programme in Sustainable Development</x:v>
      </x:c>
      <x:c r="D36" s="17" t="str">
        <x:v>OK</x:v>
      </x:c>
      <x:c r="E36" s="17" t="n">
        <x:v>200</x:v>
      </x:c>
      <x:c r="F36" s="30" t="str">
        <x:v>https://www.uu.se/en/study/programme/masters-programme-sustainable-development.html</x:v>
      </x:c>
      <x:c r="G36" s="30" t="str">
        <x:v>https://www.uu.se/en/study/programme/masters-programme-sustainable-development.html</x:v>
      </x:c>
      <x:c r="H36" s="17" t="str">
        <x:v>Master&amp;#39;s Programme in Sustainable Development – Uppsala University</x:v>
      </x:c>
      <x:c r="I36" s="17" t="str">
        <x:v>Official page responded successfully.</x:v>
      </x:c>
    </x:row>
    <x:row r="37">
      <x:c r="A37" s="17" t="n">
        <x:v>33</x:v>
      </x:c>
      <x:c r="B37" s="17" t="str">
        <x:v>Ghent University</x:v>
      </x:c>
      <x:c r="C37" s="17" t="str">
        <x:v>International MSc in Sustainable and Innovative Natural Resource Management (SINReM)</x:v>
      </x:c>
      <x:c r="D37" s="17" t="str">
        <x:v>OK</x:v>
      </x:c>
      <x:c r="E37" s="17" t="n">
        <x:v>200</x:v>
      </x:c>
      <x:c r="F37" s="30" t="str">
        <x:v>https://studiekiezer.ugent.be/infobrochure/en/IMSINR/2026</x:v>
      </x:c>
      <x:c r="G37" s="30" t="str">
        <x:v>https://studiekiezer.ugent.be/infobrochure/en/IMSINR/2026</x:v>
      </x:c>
      <x:c r="H37" s="17" t="str"/>
      <x:c r="I37" s="17" t="str">
        <x:v>Official page responded successfully.</x:v>
      </x:c>
    </x:row>
    <x:row r="38">
      <x:c r="A38" s="17" t="n">
        <x:v>34</x:v>
      </x:c>
      <x:c r="B38" s="17" t="str">
        <x:v>The University of Sheffield</x:v>
      </x:c>
      <x:c r="C38" s="17" t="str">
        <x:v>MSc Environmental Change and International Development</x:v>
      </x:c>
      <x:c r="D38" s="17" t="str">
        <x:v>OK</x:v>
      </x:c>
      <x:c r="E38" s="17" t="n">
        <x:v>200</x:v>
      </x:c>
      <x:c r="F38" s="30" t="str">
        <x:v>https://www.sheffield.ac.uk/postgraduate/taught/courses/2026/environmental-change-and-international-development-msc</x:v>
      </x:c>
      <x:c r="G38" s="30" t="str">
        <x:v>https://sheffield.ac.uk/postgraduate/taught/courses/2026/environmental-science-and-data-msc</x:v>
      </x:c>
      <x:c r="H38" s="17" t="str">
        <x:v>Environmental Science and Data MSc | 2026 | Postgraduate</x:v>
      </x:c>
      <x:c r="I38" s="17" t="str">
        <x:v>Official page responded successfully.</x:v>
      </x:c>
    </x:row>
    <x:row r="39">
      <x:c r="A39" s="17" t="n">
        <x:v>35</x:v>
      </x:c>
      <x:c r="B39" s="17" t="str">
        <x:v>Delft University of Technology</x:v>
      </x:c>
      <x:c r="C39" s="17" t="str">
        <x:v>MSc Industrial Ecology (joint Leiden University-TU Delft)</x:v>
      </x:c>
      <x:c r="D39" s="17" t="str">
        <x:v>OK</x:v>
      </x:c>
      <x:c r="E39" s="17" t="n">
        <x:v>200</x:v>
      </x:c>
      <x:c r="F39" s="30" t="str">
        <x:v>https://www.universiteitleiden.nl/en/education/study-programmes/master/industrial-ecology/about-the-programme/programme-structure</x:v>
      </x:c>
      <x:c r="G39" s="30" t="str">
        <x:v>https://www.universiteitleiden.nl/en/education/study-programmes/master/industrial-ecology/about-the-programme/programme-structure</x:v>
      </x:c>
      <x:c r="H39" s="17" t="str">
        <x:v>Programme structure - Leiden University</x:v>
      </x:c>
      <x:c r="I39" s="17" t="str">
        <x:v>Official page responded successfully.</x:v>
      </x:c>
    </x:row>
    <x:row r="40">
      <x:c r="A40" s="17" t="n">
        <x:v>36</x:v>
      </x:c>
      <x:c r="B40" s="17" t="str">
        <x:v>Michigan State University</x:v>
      </x:c>
      <x:c r="C40" s="17" t="str">
        <x:v>MS Community Sustainability</x:v>
      </x:c>
      <x:c r="D40" s="17" t="str">
        <x:v>OK</x:v>
      </x:c>
      <x:c r="E40" s="17" t="n">
        <x:v>200</x:v>
      </x:c>
      <x:c r="F40" s="30" t="str">
        <x:v>https://www.canr.msu.edu/csus/graduate/programs/</x:v>
      </x:c>
      <x:c r="G40" s="30" t="str">
        <x:v>https://www.canr.msu.edu/csus/graduate/programs/</x:v>
      </x:c>
      <x:c r="H40" s="17" t="str"/>
      <x:c r="I40" s="17" t="str">
        <x:v>Official page responded successfully.</x:v>
      </x:c>
    </x:row>
    <x:row r="41">
      <x:c r="A41" s="17" t="n">
        <x:v>37</x:v>
      </x:c>
      <x:c r="B41" s="17" t="str">
        <x:v>Monash University</x:v>
      </x:c>
      <x:c r="C41" s="17" t="str">
        <x:v>Master of Environment and Sustainability</x:v>
      </x:c>
      <x:c r="D41" s="17" t="str">
        <x:v>Blocked by site (403)</x:v>
      </x:c>
      <x:c r="E41" s="17" t="n">
        <x:v>403</x:v>
      </x:c>
      <x:c r="F41" s="30" t="str">
        <x:v>https://www.monash.edu/study/courses/find-a-course/environment-and-sustainability-s6002</x:v>
      </x:c>
      <x:c r="G41" s="30" t="str">
        <x:v>https://www.monash.edu/study/courses/find-a-course/environment-and-sustainability-s6002</x:v>
      </x:c>
      <x:c r="H41" s="17" t="str">
        <x:v>Just a moment...</x:v>
      </x:c>
      <x:c r="I41" s="17" t="str">
        <x:v>Official page blocks automated requests; verified through official-domain web search.</x:v>
      </x:c>
    </x:row>
    <x:row r="42">
      <x:c r="A42" s="17" t="n">
        <x:v>38</x:v>
      </x:c>
      <x:c r="B42" s="17" t="str">
        <x:v>Seoul National University</x:v>
      </x:c>
      <x:c r="C42" s="17" t="str">
        <x:v>Graduate School of Environmental Studies - Environmental Management</x:v>
      </x:c>
      <x:c r="D42" s="17" t="str">
        <x:v>OK</x:v>
      </x:c>
      <x:c r="E42" s="17" t="n">
        <x:v>200</x:v>
      </x:c>
      <x:c r="F42" s="30" t="str">
        <x:v>https://gses.snu.ac.kr/</x:v>
      </x:c>
      <x:c r="G42" s="30" t="str">
        <x:v>https://gses.snu.ac.kr/</x:v>
      </x:c>
      <x:c r="H42" s="17" t="str">
        <x:v>서울대학교 환경대학원</x:v>
      </x:c>
      <x:c r="I42" s="17" t="str">
        <x:v>Official page responded successfully.</x:v>
      </x:c>
    </x:row>
    <x:row r="43">
      <x:c r="A43" s="17" t="n">
        <x:v>39</x:v>
      </x:c>
      <x:c r="B43" s="17" t="str">
        <x:v>University of Nottingham</x:v>
      </x:c>
      <x:c r="C43" s="17" t="str">
        <x:v>MSc Environmental Leadership and Management</x:v>
      </x:c>
      <x:c r="D43" s="17" t="str">
        <x:v>OK</x:v>
      </x:c>
      <x:c r="E43" s="17" t="n">
        <x:v>200</x:v>
      </x:c>
      <x:c r="F43" s="30" t="str">
        <x:v>https://www.nottingham.ac.uk/pgstudy/course/taught/environmental-leadership-and-management-msc</x:v>
      </x:c>
      <x:c r="G43" s="30" t="str">
        <x:v>https://www.nottingham.ac.uk/pgstudy/course/taught/environmental-leadership-and-management-msc</x:v>
      </x:c>
      <x:c r="H43" s="17" t="str">
        <x:v>Environmental Leadership and Management MSc 2027 entry - University of Nottingham</x:v>
      </x:c>
      <x:c r="I43" s="17" t="str">
        <x:v>Official page responded successfully.</x:v>
      </x:c>
    </x:row>
    <x:row r="44">
      <x:c r="A44" s="17" t="n">
        <x:v>40</x:v>
      </x:c>
      <x:c r="B44" s="17" t="str">
        <x:v>University of York</x:v>
      </x:c>
      <x:c r="C44" s="17" t="str">
        <x:v>MSc Corporate Sustainability and Environmental Management</x:v>
      </x:c>
      <x:c r="D44" s="17" t="str">
        <x:v>OK</x:v>
      </x:c>
      <x:c r="E44" s="17" t="n">
        <x:v>200</x:v>
      </x:c>
      <x:c r="F44" s="30" t="str">
        <x:v>https://www.york.ac.uk/study/postgraduate-taught/courses/msc-corporate-sustainability-environment/</x:v>
      </x:c>
      <x:c r="G44" s="30" t="str">
        <x:v>https://www.york.ac.uk/study/postgraduate-taught/courses/msc-corporate-sustainability-environment/</x:v>
      </x:c>
      <x:c r="H44" s="17" t="str">
        <x:v>Corporate Sustainability and Environmental Management (MSc) - Postgraduate taught, University of York</x:v>
      </x:c>
      <x:c r="I44" s="17" t="str">
        <x:v>Official page responded successfully.</x:v>
      </x:c>
    </x:row>
    <x:row r="45">
      <x:c r="A45" s="17" t="n">
        <x:v>41</x:v>
      </x:c>
      <x:c r="B45" s="17" t="str">
        <x:v>Boston University</x:v>
      </x:c>
      <x:c r="C45" s="17" t="str">
        <x:v>MS Innovation &amp; Entrepreneurship - Sustainability concentration</x:v>
      </x:c>
      <x:c r="D45" s="17" t="str">
        <x:v>OK</x:v>
      </x:c>
      <x:c r="E45" s="17" t="n">
        <x:v>200</x:v>
      </x:c>
      <x:c r="F45" s="30" t="str">
        <x:v>https://www.bu.edu/met/degrees-certificates/ms-innovation-entrepreneurship-sustainability/</x:v>
      </x:c>
      <x:c r="G45" s="30" t="str">
        <x:v>https://www.bu.edu/met/degrees-certificates/ms-innovation-entrepreneurship-sustainability/</x:v>
      </x:c>
      <x:c r="H45" s="17" t="str">
        <x:v>MS in Innovation &amp;amp; Entrepreneurship—Sustainability | BU MET</x:v>
      </x:c>
      <x:c r="I45" s="17" t="str">
        <x:v>Official page responded successfully.</x:v>
      </x:c>
    </x:row>
    <x:row r="46">
      <x:c r="A46" s="17" t="n">
        <x:v>42</x:v>
      </x:c>
      <x:c r="B46" s="17" t="str">
        <x:v>Johns Hopkins University</x:v>
      </x:c>
      <x:c r="C46" s="17" t="str">
        <x:v>MS in Energy Policy and Climate</x:v>
      </x:c>
      <x:c r="D46" s="17" t="str">
        <x:v>Blocked by site (403)</x:v>
      </x:c>
      <x:c r="E46" s="17" t="n">
        <x:v>403</x:v>
      </x:c>
      <x:c r="F46" s="30" t="str">
        <x:v>https://advanced.jhu.edu/academics/graduate/ms-energy-policy-climate/</x:v>
      </x:c>
      <x:c r="G46" s="30" t="str">
        <x:v>https://advanced.jhu.edu/academics/graduate/ms-energy-policy-climate/</x:v>
      </x:c>
      <x:c r="H46" s="17" t="str">
        <x:v>Attention Required! | Cloudflare</x:v>
      </x:c>
      <x:c r="I46" s="17" t="str">
        <x:v>Official page blocks automated requests; verified through official-domain web search.</x:v>
      </x:c>
    </x:row>
    <x:row r="47">
      <x:c r="A47" s="17" t="n">
        <x:v>43</x:v>
      </x:c>
      <x:c r="B47" s="17" t="str">
        <x:v>Massachusetts Institute of Technology (MIT)</x:v>
      </x:c>
      <x:c r="C47" s="17" t="str">
        <x:v>Master in City Planning - Environmental Policy and Planning focus</x:v>
      </x:c>
      <x:c r="D47" s="17" t="str">
        <x:v>OK</x:v>
      </x:c>
      <x:c r="E47" s="17" t="n">
        <x:v>200</x:v>
      </x:c>
      <x:c r="F47" s="30" t="str">
        <x:v>https://dusp.mit.edu/masters</x:v>
      </x:c>
      <x:c r="G47" s="30" t="str">
        <x:v>https://dusp.mit.edu/masters</x:v>
      </x:c>
      <x:c r="H47" s="17" t="str">
        <x:v>Masters | DUSP</x:v>
      </x:c>
      <x:c r="I47" s="17" t="str">
        <x:v>Official page responded successfully.</x:v>
      </x:c>
    </x:row>
    <x:row r="48">
      <x:c r="A48" s="17" t="n">
        <x:v>44</x:v>
      </x:c>
      <x:c r="B48" s="17" t="str">
        <x:v>University of Birmingham</x:v>
      </x:c>
      <x:c r="C48" s="17" t="str">
        <x:v>MSc Environment, Development and Politics</x:v>
      </x:c>
      <x:c r="D48" s="17" t="str">
        <x:v>OK</x:v>
      </x:c>
      <x:c r="E48" s="17" t="n">
        <x:v>200</x:v>
      </x:c>
      <x:c r="F48" s="30" t="str">
        <x:v>https://www.birmingham.ac.uk/study/postgraduate/subjects/politics-development-and-international-relations-courses/environment-development-and-politics-msc</x:v>
      </x:c>
      <x:c r="G48" s="30" t="str">
        <x:v>https://www.birmingham.ac.uk/study/postgraduate/subjects/politics-development-and-international-relations-courses/environment-development-and-politics-msc</x:v>
      </x:c>
      <x:c r="H48" s="17" t="str">
        <x:v>Environment, Development and Politics MSc - University of Birmingham</x:v>
      </x:c>
      <x:c r="I48" s="17" t="str">
        <x:v>Official page responded successfully.</x:v>
      </x:c>
    </x:row>
    <x:row r="49">
      <x:c r="A49" s="17" t="n">
        <x:v>45</x:v>
      </x:c>
      <x:c r="B49" s="17" t="str">
        <x:v>Université Paris-Saclay</x:v>
      </x:c>
      <x:c r="C49" s="17" t="str">
        <x:v>M1 Corporate Social Responsibility and Environment</x:v>
      </x:c>
      <x:c r="D49" s="17" t="str">
        <x:v>OK</x:v>
      </x:c>
      <x:c r="E49" s="17" t="n">
        <x:v>200</x:v>
      </x:c>
      <x:c r="F49" s="30" t="str">
        <x:v>https://www.universite-paris-saclay.fr/en/education/masters-degree/science-de-la-durabilite/m1-responsabilite-societale-des-entreprises-et-environnement-rsee</x:v>
      </x:c>
      <x:c r="G49" s="30" t="str">
        <x:v>https://www.universite-paris-saclay.fr/en/education/masters-degree/science-de-la-durabilite/m1-responsabilite-societale-des-entreprises-et-environnement-rsee</x:v>
      </x:c>
      <x:c r="H49" s="17" t="str">
        <x:v>M1 Responsabilité sociétale des entreprises et environnement (RSEE) | Université Paris-Saclay</x:v>
      </x:c>
      <x:c r="I49" s="17" t="str">
        <x:v>Official page responded successfully.</x:v>
      </x:c>
    </x:row>
    <x:row r="50">
      <x:c r="A50" s="17" t="n">
        <x:v>46</x:v>
      </x:c>
      <x:c r="B50" s="17" t="str">
        <x:v>Universität Hamburg</x:v>
      </x:c>
      <x:c r="C50" s="17" t="str">
        <x:v>MSc Integrated Climate System Sciences</x:v>
      </x:c>
      <x:c r="D50" s="17" t="str">
        <x:v>OK</x:v>
      </x:c>
      <x:c r="E50" s="17" t="n">
        <x:v>200</x:v>
      </x:c>
      <x:c r="F50" s="30" t="str">
        <x:v>https://www.geo.uni-hamburg.de/en/studium/master/msc-icss.html</x:v>
      </x:c>
      <x:c r="G50" s="30" t="str">
        <x:v>https://www.geo.uni-hamburg.de/en/studium/master/msc-icss.html</x:v>
      </x:c>
      <x:c r="H50" s="17" t="str">
        <x:v>M.Sc. Integrated Climate System Sciences : Department of Earth System Sciences : University of Hamburg</x:v>
      </x:c>
      <x:c r="I50" s="17" t="str">
        <x:v>Official page responded successfully.</x:v>
      </x:c>
    </x:row>
    <x:row r="51">
      <x:c r="A51" s="17" t="n">
        <x:v>47</x:v>
      </x:c>
      <x:c r="B51" s="17" t="str">
        <x:v>University College Dublin</x:v>
      </x:c>
      <x:c r="C51" s="17" t="str">
        <x:v>MSc Environmental Policy, Strategy &amp; Leadership</x:v>
      </x:c>
      <x:c r="D51" s="17" t="str">
        <x:v>OK</x:v>
      </x:c>
      <x:c r="E51" s="17" t="n">
        <x:v>200</x:v>
      </x:c>
      <x:c r="F51" s="30" t="str">
        <x:v>https://www.ucd.ie/envpolicy/study/</x:v>
      </x:c>
      <x:c r="G51" s="30" t="str">
        <x:v>https://www.ucd.ie/envpolicy/study/</x:v>
      </x:c>
      <x:c r="H51" s="17" t="str">
        <x:v>Study Environmental Policy at UCD</x:v>
      </x:c>
      <x:c r="I51" s="17" t="str">
        <x:v>Official page responded successfully.</x:v>
      </x:c>
    </x:row>
    <x:row r="52">
      <x:c r="A52" s="17" t="n">
        <x:v>48</x:v>
      </x:c>
      <x:c r="B52" s="17" t="str">
        <x:v>The University of Tokyo</x:v>
      </x:c>
      <x:c r="C52" s="17" t="str">
        <x:v>Graduate Program in Sustainability Science - Global Leadership Initiative</x:v>
      </x:c>
      <x:c r="D52" s="17" t="str">
        <x:v>OK</x:v>
      </x:c>
      <x:c r="E52" s="17" t="n">
        <x:v>200</x:v>
      </x:c>
      <x:c r="F52" s="30" t="str">
        <x:v>https://www.sustainability.k.u-tokyo.ac.jp/</x:v>
      </x:c>
      <x:c r="G52" s="30" t="str">
        <x:v>https://www.sustainability.k.u-tokyo.ac.jp/</x:v>
      </x:c>
      <x:c r="H52" s="17" t="str">
        <x:v>GPSS | Graduate Program in Sustainability Science</x:v>
      </x:c>
      <x:c r="I52" s="17" t="str">
        <x:v>Official page responded successfully.</x:v>
      </x:c>
    </x:row>
    <x:row r="53">
      <x:c r="A53" s="17" t="n">
        <x:v>49</x:v>
      </x:c>
      <x:c r="B53" s="17" t="str">
        <x:v>University of Exeter</x:v>
      </x:c>
      <x:c r="C53" s="17" t="str">
        <x:v>MSc Global Sustainability Solutions</x:v>
      </x:c>
      <x:c r="D53" s="17" t="str">
        <x:v>OK</x:v>
      </x:c>
      <x:c r="E53" s="17" t="n">
        <x:v>200</x:v>
      </x:c>
      <x:c r="F53" s="30" t="str">
        <x:v>https://www.exeter.ac.uk/masters-degrees/msc-global-sustainability-solutions/</x:v>
      </x:c>
      <x:c r="G53" s="30" t="str">
        <x:v>https://www.exeter.ac.uk/masters-degrees/msc-global-sustainability-solutions/</x:v>
      </x:c>
      <x:c r="H53" s="17" t="str">
        <x:v>MSc Global Sustainability Solutions | Sustainability Masters | University of Exeter</x:v>
      </x:c>
      <x:c r="I53" s="17" t="str">
        <x:v>Official page responded successfully.</x:v>
      </x:c>
    </x:row>
    <x:row r="54">
      <x:c r="A54" s="17" t="n">
        <x:v>50</x:v>
      </x:c>
      <x:c r="B54" s="17" t="str">
        <x:v>The University of Queensland</x:v>
      </x:c>
      <x:c r="C54" s="17" t="str">
        <x:v>Master of Environmental Management</x:v>
      </x:c>
      <x:c r="D54" s="17" t="str">
        <x:v>OK</x:v>
      </x:c>
      <x:c r="E54" s="17" t="n">
        <x:v>200</x:v>
      </x:c>
      <x:c r="F54" s="30" t="str">
        <x:v>https://study.uq.edu.au/study-options/programs/master-environmental-management-5609</x:v>
      </x:c>
      <x:c r="G54" s="30" t="str">
        <x:v>https://study.uq.edu.au/study-options/programs/master-environmental-management-5609</x:v>
      </x:c>
      <x:c r="H54" s="17" t="str">
        <x:v>Master of Environmental Management - Study - The University of Queensland</x:v>
      </x:c>
      <x:c r="I54" s="17" t="str">
        <x:v>Official page responded successfully.</x:v>
      </x:c>
    </x:row>
    <x:row r="55">
      <x:c r="A55" s="17" t="n">
        <x:v>51</x:v>
      </x:c>
      <x:c r="B55" s="17" t="str">
        <x:v>University of Gothenburg</x:v>
      </x:c>
      <x:c r="C55" s="17" t="str">
        <x:v>Master's Programme in Environmental Sciences</x:v>
      </x:c>
      <x:c r="D55" s="17" t="str">
        <x:v>OK</x:v>
      </x:c>
      <x:c r="E55" s="17" t="n">
        <x:v>200</x:v>
      </x:c>
      <x:c r="F55" s="30" t="str">
        <x:v>https://www.gu.se/en/study-gothenburg/environmental-sciences-n2mvn</x:v>
      </x:c>
      <x:c r="G55" s="30" t="str">
        <x:v>https://www.gu.se/en/study-gothenburg/environmental-sciences-n2mvn</x:v>
      </x:c>
      <x:c r="H55" s="17" t="str">
        <x:v>Environmental Sciences | University of Gothenburg</x:v>
      </x:c>
      <x:c r="I55" s="17" t="str">
        <x:v>Official page responded successfully.</x:v>
      </x:c>
    </x:row>
    <x:row r="56">
      <x:c r="A56" s="17" t="n">
        <x:v>52</x:v>
      </x:c>
      <x:c r="B56" s="17" t="str">
        <x:v>Griffith University</x:v>
      </x:c>
      <x:c r="C56" s="17" t="str">
        <x:v>Master of Global Development - Sustainable Development major</x:v>
      </x:c>
      <x:c r="D56" s="17" t="str">
        <x:v>Blocked by site (403)</x:v>
      </x:c>
      <x:c r="E56" s="17" t="n">
        <x:v>403</x:v>
      </x:c>
      <x:c r="F56" s="30" t="str">
        <x:v>https://www.griffith.edu.au/study/degrees/master-of-global-development-5724</x:v>
      </x:c>
      <x:c r="G56" s="30" t="str">
        <x:v>https://www.griffith.edu.au/study/degrees/master-of-global-development-5724</x:v>
      </x:c>
      <x:c r="H56" s="17" t="str">
        <x:v>Just a moment...</x:v>
      </x:c>
      <x:c r="I56" s="17" t="str">
        <x:v>Official page blocks automated requests; verified through official-domain web search.</x:v>
      </x:c>
    </x:row>
    <x:row r="57">
      <x:c r="A57" s="17" t="n">
        <x:v>53</x:v>
      </x:c>
      <x:c r="B57" s="17" t="str">
        <x:v>Western Sydney University</x:v>
      </x:c>
      <x:c r="C57" s="17" t="str">
        <x:v>Master of Sustainable Tourism, Hospitality and Event Management</x:v>
      </x:c>
      <x:c r="D57" s="17" t="str">
        <x:v>OK</x:v>
      </x:c>
      <x:c r="E57" s="17" t="n">
        <x:v>200</x:v>
      </x:c>
      <x:c r="F57" s="30" t="str">
        <x:v>https://www.westernsydney.edu.au/future/study/courses/postgraduate/master-of-sustainable-tourism-hospitality-and-event-management</x:v>
      </x:c>
      <x:c r="G57" s="30" t="str">
        <x:v>https://www.westernsydney.edu.au/future/study/courses/postgraduate/master-of-sustainable-tourism-hospitality-and-event-management</x:v>
      </x:c>
      <x:c r="H57" s="17" t="str">
        <x:v>Master of Sustainable Tourism, Hospitality and Event Management | Western Sydney University</x:v>
      </x:c>
      <x:c r="I57" s="17" t="str">
        <x:v>Official page responded successfully.</x:v>
      </x:c>
    </x:row>
    <x:row r="58">
      <x:c r="A58" s="17" t="n">
        <x:v>54</x:v>
      </x:c>
      <x:c r="B58" s="17" t="str">
        <x:v>Queen's University</x:v>
      </x:c>
      <x:c r="C58" s="17" t="str">
        <x:v>Master of Environmental Studies</x:v>
      </x:c>
      <x:c r="D58" s="17" t="str">
        <x:v>OK</x:v>
      </x:c>
      <x:c r="E58" s="17" t="n">
        <x:v>200</x:v>
      </x:c>
      <x:c r="F58" s="30" t="str">
        <x:v>https://www.queensu.ca/ensc/graduate/programs-overview</x:v>
      </x:c>
      <x:c r="G58" s="30" t="str">
        <x:v>https://www.queensu.ca/ensc/graduate/programs-overview</x:v>
      </x:c>
      <x:c r="H58" s="17" t="str">
        <x:v>Programs Overview | School of Environmental Studies</x:v>
      </x:c>
      <x:c r="I58" s="17" t="str">
        <x:v>Official page responded successfully.</x:v>
      </x:c>
    </x:row>
    <x:row r="59">
      <x:c r="A59" s="17" t="n">
        <x:v>55</x:v>
      </x:c>
      <x:c r="B59" s="17" t="str">
        <x:v>Universiti Sains Malaysia</x:v>
      </x:c>
      <x:c r="C59" s="17" t="str">
        <x:v>Master in Sustainable Development Practice</x:v>
      </x:c>
      <x:c r="D59" s="17" t="str">
        <x:v>OK</x:v>
      </x:c>
      <x:c r="E59" s="17" t="n">
        <x:v>200</x:v>
      </x:c>
      <x:c r="F59" s="30" t="str">
        <x:v>https://cgss.usm.my/programmes/postgraduate/coursework/masters-in-sustainable-development-practice-msdp</x:v>
      </x:c>
      <x:c r="G59" s="30" t="str">
        <x:v>https://cgss.usm.my/programmes/postgraduate/coursework/masters-in-sustainable-development-practice-msdp</x:v>
      </x:c>
      <x:c r="H59" s="17" t="str">
        <x:v>Masters in Sustainable Development Practice (MSDP)</x:v>
      </x:c>
      <x:c r="I59" s="17" t="str">
        <x:v>Official page responded successfully.</x:v>
      </x:c>
    </x:row>
    <x:row r="60">
      <x:c r="A60" s="17" t="n">
        <x:v>56</x:v>
      </x:c>
      <x:c r="B60" s="17" t="str">
        <x:v>Hanyang University</x:v>
      </x:c>
      <x:c r="C60" s="17" t="str">
        <x:v>Master's majors in Global Climate and Environmental Studies</x:v>
      </x:c>
      <x:c r="D60" s="17" t="str">
        <x:v>OK</x:v>
      </x:c>
      <x:c r="E60" s="17" t="n">
        <x:v>200</x:v>
      </x:c>
      <x:c r="F60" s="30" t="str">
        <x:v>https://hygce.hanyang.ac.kr/-eng-1</x:v>
      </x:c>
      <x:c r="G60" s="30" t="str">
        <x:v>https://hygce.hanyang.ac.kr/-eng-1</x:v>
      </x:c>
      <x:c r="H60" s="17" t="str">
        <x:v>영문(ENG) - 글로벌기후환경학과 HYGCE - 한양대학교</x:v>
      </x:c>
      <x:c r="I60" s="17" t="str">
        <x:v>Official page responded successfully.</x:v>
      </x:c>
    </x:row>
    <x:row r="61">
      <x:c r="A61" s="17" t="n">
        <x:v>57</x:v>
      </x:c>
      <x:c r="B61" s="17" t="str">
        <x:v>Hokkaido University</x:v>
      </x:c>
      <x:c r="C61" s="17" t="str">
        <x:v>Master's Program, Graduate School of Environmental Science</x:v>
      </x:c>
      <x:c r="D61" s="17" t="str">
        <x:v>OK</x:v>
      </x:c>
      <x:c r="E61" s="17" t="n">
        <x:v>200</x:v>
      </x:c>
      <x:c r="F61" s="30" t="str">
        <x:v>https://www.ees.hokudai.ac.jp/?lang=en</x:v>
      </x:c>
      <x:c r="G61" s="30" t="str">
        <x:v>https://www.ees.hokudai.ac.jp/?lang=en</x:v>
      </x:c>
      <x:c r="H61" s="17" t="str">
        <x:v>Graduate School of Environmental Science</x:v>
      </x:c>
      <x:c r="I61" s="17" t="str">
        <x:v>Official page responded successfully.</x:v>
      </x:c>
    </x:row>
    <x:row r="62">
      <x:c r="A62" s="17" t="n">
        <x:v>58</x:v>
      </x:c>
      <x:c r="B62" s="17" t="str">
        <x:v>Universiti Kebangsaan Malaysia</x:v>
      </x:c>
      <x:c r="C62" s="17" t="str">
        <x:v>Master of Science / Master of Arts in Environment and Development</x:v>
      </x:c>
      <x:c r="D62" s="17" t="str">
        <x:v>OK</x:v>
      </x:c>
      <x:c r="E62" s="17" t="n">
        <x:v>200</x:v>
      </x:c>
      <x:c r="F62" s="30" t="str">
        <x:v>https://www.ukm.my/lestari/program-siswazah/</x:v>
      </x:c>
      <x:c r="G62" s="30" t="str">
        <x:v>https://www.ukm.my/lestari/program-siswazah/</x:v>
      </x:c>
      <x:c r="H62" s="17" t="str">
        <x:v>Program &amp;#8211; LESTARI UKM</x:v>
      </x:c>
      <x:c r="I62" s="17" t="str">
        <x:v>Official page responded successfully.</x:v>
      </x:c>
    </x:row>
    <x:row r="63">
      <x:c r="A63" s="17" t="n">
        <x:v>59</x:v>
      </x:c>
      <x:c r="B63" s="17" t="str">
        <x:v>Institut Agro</x:v>
      </x:c>
      <x:c r="C63" s="17" t="str">
        <x:v>Master's pathway: Transitions in Environmental and Agrifood Systems Management</x:v>
      </x:c>
      <x:c r="D63" s="17" t="str">
        <x:v>OK</x:v>
      </x:c>
      <x:c r="E63" s="17" t="n">
        <x:v>200</x:v>
      </x:c>
      <x:c r="F63" s="30" t="str">
        <x:v>https://www.institut-agro.fr/fr/nos-formations</x:v>
      </x:c>
      <x:c r="G63" s="30" t="str">
        <x:v>https://www.institut-agro.fr/fr/nos-formations</x:v>
      </x:c>
      <x:c r="H63" s="17" t="str">
        <x:v>Nos formations | L&amp;#039;Institut Agro</x:v>
      </x:c>
      <x:c r="I63" s="17" t="str">
        <x:v>Official page responded successfully.</x:v>
      </x:c>
    </x:row>
    <x:row r="64">
      <x:c r="A64" s="17" t="n">
        <x:v>60</x:v>
      </x:c>
      <x:c r="B64" s="17" t="str">
        <x:v>National Taiwan University (NTU)</x:v>
      </x:c>
      <x:c r="C64" s="17" t="str">
        <x:v>Master's Program in Biodiversity</x:v>
      </x:c>
      <x:c r="D64" s="17" t="str">
        <x:v>OK</x:v>
      </x:c>
      <x:c r="E64" s="17" t="n">
        <x:v>200</x:v>
      </x:c>
      <x:c r="F64" s="30" t="str">
        <x:v>https://mpb.ntu.edu.tw/about/overview</x:v>
      </x:c>
      <x:c r="G64" s="30" t="str">
        <x:v>https://mpb.ntu.edu.tw/about/overview</x:v>
      </x:c>
      <x:c r="H64" s="17" t="str">
        <x:v>Overview - Master&amp;#x27;s Program in Biodiversity, NTU 臺大生物多樣性國際碩士學位學程</x:v>
      </x:c>
      <x:c r="I64" s="17" t="str">
        <x:v>Official page responded successfully.</x:v>
      </x:c>
    </x:row>
    <x:row r="65">
      <x:c r="A65" s="17" t="n">
        <x:v>61</x:v>
      </x:c>
      <x:c r="B65" s="17" t="str">
        <x:v>University of Alberta</x:v>
      </x:c>
      <x:c r="C65" s="17" t="str">
        <x:v>Master of Sustainability</x:v>
      </x:c>
      <x:c r="D65" s="17" t="str">
        <x:v>OK</x:v>
      </x:c>
      <x:c r="E65" s="17" t="n">
        <x:v>200</x:v>
      </x:c>
      <x:c r="F65" s="30" t="str">
        <x:v>https://apps.ualberta.ca/catalogue/course/sust</x:v>
      </x:c>
      <x:c r="G65" s="30" t="str">
        <x:v>https://apps.ualberta.ca/catalogue/course/sust</x:v>
      </x:c>
      <x:c r="H65" s="17" t="str">
        <x:v>SUST - Sustainability - Catalogue@UAlberta.ca</x:v>
      </x:c>
      <x:c r="I65" s="17" t="str">
        <x:v>Official page responded successfully.</x:v>
      </x:c>
    </x:row>
    <x:row r="66">
      <x:c r="A66" s="17" t="n">
        <x:v>62</x:v>
      </x:c>
      <x:c r="B66" s="17" t="str">
        <x:v>Korea University</x:v>
      </x:c>
      <x:c r="C66" s="17" t="str">
        <x:v>Master's in Climatic Environment</x:v>
      </x:c>
      <x:c r="D66" s="17" t="str">
        <x:v>OK</x:v>
      </x:c>
      <x:c r="E66" s="17" t="n">
        <x:v>200</x:v>
      </x:c>
      <x:c r="F66" s="30" t="str">
        <x:v>https://gsles.korea.edu/gsles_en/master/subject07.do</x:v>
      </x:c>
      <x:c r="G66" s="30" t="str">
        <x:v>https://gsles.korea.edu/gsles_en/master/subject07.do</x:v>
      </x:c>
      <x:c r="H66" s="17" t="str">
        <x:v>Korea University Graduate School of Life and Environmental Science | Master ’ s Program | Department</x:v>
      </x:c>
      <x:c r="I66" s="17" t="str">
        <x:v>Official page responded successfully.</x:v>
      </x:c>
    </x:row>
    <x:row r="67">
      <x:c r="A67" s="17" t="n">
        <x:v>63</x:v>
      </x:c>
      <x:c r="B67" s="17" t="str">
        <x:v>Universitas Airlangga</x:v>
      </x:c>
      <x:c r="C67" s="17" t="str">
        <x:v>Master of Environmental Health</x:v>
      </x:c>
      <x:c r="D67" s="17" t="str">
        <x:v>Automated fetch failed</x:v>
      </x:c>
      <x:c r="E67" s="17" t="str"/>
      <x:c r="F67" s="30" t="str">
        <x:v>https://s2kesling.fkm.unair.ac.id/</x:v>
      </x:c>
      <x:c r="G67" s="30" t="str"/>
      <x:c r="H67" s="17" t="str"/>
      <x:c r="I67" s="17" t="str">
        <x:v>Automated fetch failed or timed out; verified through official-domain web search.</x:v>
      </x:c>
    </x:row>
    <x:row r="68">
      <x:c r="A68" s="17" t="n">
        <x:v>64</x:v>
      </x:c>
      <x:c r="B68" s="17" t="str">
        <x:v>Pusan National University</x:v>
      </x:c>
      <x:c r="C68" s="17" t="str">
        <x:v>Master's programs, Graduate School of Environment</x:v>
      </x:c>
      <x:c r="D68" s="17" t="str">
        <x:v>OK</x:v>
      </x:c>
      <x:c r="E68" s="17" t="n">
        <x:v>200</x:v>
      </x:c>
      <x:c r="F68" s="30" t="str">
        <x:v>https://www.pusan.ac.kr/eng/CMS/OrganizationMgr/SpecialGraduateInfo.do?gc_code=280000&amp;gc_parent_code=NONE-009&amp;mCode=MN021</x:v>
      </x:c>
      <x:c r="G68" s="30" t="str">
        <x:v>https://www.pusan.ac.kr/eng/CMS/OrganizationMgr/SpecialGraduateInfo.do?gc_code=280000&amp;gc_parent_code=NONE-009&amp;mCode=MN021</x:v>
      </x:c>
      <x:c r="H68" s="17" t="str">
        <x:v>Professional &amp; Special Graduate &gt; Academics | Pusan National University</x:v>
      </x:c>
      <x:c r="I68" s="17" t="str">
        <x:v>Official page responded successfully.</x:v>
      </x:c>
    </x:row>
    <x:row r="69">
      <x:c r="A69" s="17" t="n">
        <x:v>65</x:v>
      </x:c>
      <x:c r="B69" s="17" t="str">
        <x:v>University of Tasmania</x:v>
      </x:c>
      <x:c r="C69" s="17" t="str">
        <x:v>Master of Environmental Geospatial Science</x:v>
      </x:c>
      <x:c r="D69" s="17" t="str">
        <x:v>Blocked by site (403)</x:v>
      </x:c>
      <x:c r="E69" s="17" t="n">
        <x:v>403</x:v>
      </x:c>
      <x:c r="F69" s="30" t="str">
        <x:v>https://www.utas.edu.au/courses/cse/courses/p7b-master-of-environmental-geospatial-science</x:v>
      </x:c>
      <x:c r="G69" s="30" t="str">
        <x:v>https://www.utas.edu.au/courses/cse/courses/p7b-master-of-environmental-geospatial-science</x:v>
      </x:c>
      <x:c r="H69" s="17" t="str">
        <x:v>Just a moment...</x:v>
      </x:c>
      <x:c r="I69" s="17" t="str">
        <x:v>Official page blocks automated requests; verified through official-domain web search.</x:v>
      </x:c>
    </x:row>
    <x:row r="70">
      <x:c r="A70" s="17" t="n">
        <x:v>66</x:v>
      </x:c>
      <x:c r="B70" s="17" t="str">
        <x:v>McMaster University</x:v>
      </x:c>
      <x:c r="C70" s="17" t="str">
        <x:v>No directly qualifying sustainability/environment master's confirmed</x:v>
      </x:c>
      <x:c r="D70" s="17" t="str">
        <x:v>OK</x:v>
      </x:c>
      <x:c r="E70" s="17" t="n">
        <x:v>200</x:v>
      </x:c>
      <x:c r="F70" s="30" t="str">
        <x:v>https://continuing.mcmaster.ca/programs/business/sustainability/</x:v>
      </x:c>
      <x:c r="G70" s="30" t="str">
        <x:v>https://continuing.mcmaster.ca/programs/business/sustainability/</x:v>
      </x:c>
      <x:c r="H70" s="17" t="str">
        <x:v>Sustainability Program - McMaster McMaster Continuing Education</x:v>
      </x:c>
      <x:c r="I70" s="17" t="str">
        <x:v>Official page responded successfully.</x:v>
      </x:c>
    </x:row>
    <x:row r="71">
      <x:c r="A71" s="17" t="n">
        <x:v>67</x:v>
      </x:c>
      <x:c r="B71" s="17" t="str">
        <x:v>Chulalongkorn University</x:v>
      </x:c>
      <x:c r="C71" s="17" t="str">
        <x:v>MA Environment, Development and Sustainability</x:v>
      </x:c>
      <x:c r="D71" s="17" t="str">
        <x:v>Automated fetch failed</x:v>
      </x:c>
      <x:c r="E71" s="17" t="str"/>
      <x:c r="F71" s="30" t="str">
        <x:v>https://www.eds.grad.chula.ac.th/academics/degree-program/</x:v>
      </x:c>
      <x:c r="G71" s="30" t="str"/>
      <x:c r="H71" s="17" t="str"/>
      <x:c r="I71" s="17" t="str">
        <x:v>Automated fetch failed or timed out; verified through official-domain web search.</x:v>
      </x:c>
    </x:row>
    <x:row r="72">
      <x:c r="A72" s="17" t="n">
        <x:v>68</x:v>
      </x:c>
      <x:c r="B72" s="17" t="str">
        <x:v>Kyungpook National University (KNU)</x:v>
      </x:c>
      <x:c r="C72" s="17" t="str">
        <x:v>Graduate major in Environmental and Energy Engineering</x:v>
      </x:c>
      <x:c r="D72" s="17" t="str">
        <x:v>OK</x:v>
      </x:c>
      <x:c r="E72" s="17" t="n">
        <x:v>200</x:v>
      </x:c>
      <x:c r="F72" s="30" t="str">
        <x:v>https://en.knu.ac.kr/admission/foreign02_inc.htm</x:v>
      </x:c>
      <x:c r="G72" s="30" t="str">
        <x:v>https://en.knu.ac.kr/admission/foreign02_inc.htm</x:v>
      </x:c>
      <x:c r="H72" s="17" t="str">
        <x:v>Kyungpook National University</x:v>
      </x:c>
      <x:c r="I72" s="17" t="str">
        <x:v>Official page responded successfully.</x:v>
      </x:c>
    </x:row>
    <x:row r="73">
      <x:c r="A73" s="17" t="n">
        <x:v>69</x:v>
      </x:c>
      <x:c r="B73" s="17" t="str">
        <x:v>The Hong Kong University of Science and Technology</x:v>
      </x:c>
      <x:c r="C73" s="17" t="str">
        <x:v>MSc in Environmental Engineering and Management</x:v>
      </x:c>
      <x:c r="D73" s="17" t="str">
        <x:v>Automated fetch failed</x:v>
      </x:c>
      <x:c r="E73" s="17" t="str"/>
      <x:c r="F73" s="30" t="str">
        <x:v>https://cee.hkust.edu.hk/msc-environmental-engineering-and-management</x:v>
      </x:c>
      <x:c r="G73" s="30" t="str"/>
      <x:c r="H73" s="17" t="str"/>
      <x:c r="I73" s="17" t="str">
        <x:v>Automated fetch failed or timed out; verified through official-domain web search.</x:v>
      </x:c>
    </x:row>
    <x:row r="74">
      <x:c r="A74" s="17" t="n">
        <x:v>70</x:v>
      </x:c>
      <x:c r="B74" s="17" t="str">
        <x:v>Lovely Professional University</x:v>
      </x:c>
      <x:c r="C74" s="17" t="str">
        <x:v>MSc Environmental Sciences</x:v>
      </x:c>
      <x:c r="D74" s="17" t="str">
        <x:v>OK</x:v>
      </x:c>
      <x:c r="E74" s="17" t="n">
        <x:v>200</x:v>
      </x:c>
      <x:c r="F74" s="30" t="str">
        <x:v>https://www.lpu.in/international/programmes/msc-environmental-sciences</x:v>
      </x:c>
      <x:c r="G74" s="30" t="str">
        <x:v>https://www.lpu.in/international/programmes/msc-environmental-sciences</x:v>
      </x:c>
      <x:c r="H74" s="17" t="str">
        <x:v>Programmes Search - LPU</x:v>
      </x:c>
      <x:c r="I74" s="17" t="str">
        <x:v>Official page responded successfully.</x:v>
      </x:c>
    </x:row>
    <x:row r="75">
      <x:c r="A75" s="17" t="n">
        <x:v>71</x:v>
      </x:c>
      <x:c r="B75" s="17" t="str">
        <x:v>University of Malaya</x:v>
      </x:c>
      <x:c r="C75" s="17" t="str">
        <x:v>Master of Sustainability Science</x:v>
      </x:c>
      <x:c r="D75" s="17" t="str">
        <x:v>OK</x:v>
      </x:c>
      <x:c r="E75" s="17" t="n">
        <x:v>200</x:v>
      </x:c>
      <x:c r="F75" s="30" t="str">
        <x:v>https://sts.um.edu.my/master-of-sustainability-science.html</x:v>
      </x:c>
      <x:c r="G75" s="30" t="str">
        <x:v>https://sts.um.edu.my/master-of-sustainability-science.html</x:v>
      </x:c>
      <x:c r="H75" s="17" t="str">
        <x:v>STS - Universiti Malaya</x:v>
      </x:c>
      <x:c r="I75" s="17" t="str">
        <x:v>Official page responded successfully.</x:v>
      </x:c>
    </x:row>
    <x:row r="76">
      <x:c r="A76" s="17" t="n">
        <x:v>72</x:v>
      </x:c>
      <x:c r="B76" s="17" t="str">
        <x:v>Aalborg University</x:v>
      </x:c>
      <x:c r="C76" s="17" t="str">
        <x:v>MSc Engineering in Sustainable Cities</x:v>
      </x:c>
      <x:c r="D76" s="17" t="str">
        <x:v>OK</x:v>
      </x:c>
      <x:c r="E76" s="17" t="n">
        <x:v>200</x:v>
      </x:c>
      <x:c r="F76" s="30" t="str">
        <x:v>https://www.en.aau.dk/education/master/sustainable-cities</x:v>
      </x:c>
      <x:c r="G76" s="30" t="str">
        <x:v>https://www.en.aau.dk/education/master/sustainable-cities</x:v>
      </x:c>
      <x:c r="H76" s="17" t="str">
        <x:v>Sustainable Cities - Master degree - Aalborg University</x:v>
      </x:c>
      <x:c r="I76" s="17" t="str">
        <x:v>Official page responded successfully.</x:v>
      </x:c>
    </x:row>
    <x:row r="77">
      <x:c r="A77" s="17" t="n">
        <x:v>73</x:v>
      </x:c>
      <x:c r="B77" s="17" t="str">
        <x:v>Kyung Hee University</x:v>
      </x:c>
      <x:c r="C77" s="17" t="str">
        <x:v>Graduate pathway in Environmental Science and Engineering</x:v>
      </x:c>
      <x:c r="D77" s="17" t="str">
        <x:v>OK</x:v>
      </x:c>
      <x:c r="E77" s="17" t="n">
        <x:v>200</x:v>
      </x:c>
      <x:c r="F77" s="30" t="str">
        <x:v>https://eng.khu.ac.kr/eng_eng/user/contents/view.do?menuNo=17200012</x:v>
      </x:c>
      <x:c r="G77" s="30" t="str">
        <x:v>https://eng.khu.ac.kr/eng_eng/user/contents/view.do?menuNo=17200012</x:v>
      </x:c>
      <x:c r="H77" s="17" t="str">
        <x:v>경희대학교</x:v>
      </x:c>
      <x:c r="I77" s="17" t="str">
        <x:v>Official page responded successfully.</x:v>
      </x:c>
    </x:row>
    <x:row r="78">
      <x:c r="A78" s="17" t="n">
        <x:v>74</x:v>
      </x:c>
      <x:c r="B78" s="17" t="str">
        <x:v>University of Victoria</x:v>
      </x:c>
      <x:c r="C78" s="17" t="str">
        <x:v>MA/MSc Environmental Studies</x:v>
      </x:c>
      <x:c r="D78" s="17" t="str">
        <x:v>OK</x:v>
      </x:c>
      <x:c r="E78" s="17" t="n">
        <x:v>200</x:v>
      </x:c>
      <x:c r="F78" s="30" t="str">
        <x:v>https://www.uvic.ca/socialsciences/environmental/programs/graduate/index.php</x:v>
      </x:c>
      <x:c r="G78" s="30" t="str">
        <x:v>https://www.uvic.ca/socialsciences/environmental/programs/graduate/index.php</x:v>
      </x:c>
      <x:c r="H78" s="17" t="str">
        <x:v>Master's and PhD programs - ENVI - UVic</x:v>
      </x:c>
      <x:c r="I78" s="17" t="str">
        <x:v>Official page responded successfully.</x:v>
      </x:c>
    </x:row>
    <x:row r="79">
      <x:c r="A79" s="17" t="n">
        <x:v>76</x:v>
      </x:c>
      <x:c r="B79" s="17" t="str">
        <x:v>Central Queensland University</x:v>
      </x:c>
      <x:c r="C79" s="17" t="str">
        <x:v>Master of Sustainable Development</x:v>
      </x:c>
      <x:c r="D79" s="17" t="str">
        <x:v>OK</x:v>
      </x:c>
      <x:c r="E79" s="17" t="n">
        <x:v>200</x:v>
      </x:c>
      <x:c r="F79" s="30" t="str">
        <x:v>https://handbook.cqu.edu.au/he/courses/view/CM82/HT1/2025</x:v>
      </x:c>
      <x:c r="G79" s="30" t="str">
        <x:v>https://handbook.cqu.edu.au/he/courses/view/CM82/HT1/2025</x:v>
      </x:c>
      <x:c r="H79" s="17" t="str">
        <x:v>CQUni Handbook</x:v>
      </x:c>
      <x:c r="I79" s="17" t="str">
        <x:v>Official page responded successfully.</x:v>
      </x:c>
    </x:row>
    <x:row r="80">
      <x:c r="A80" s="17" t="n">
        <x:v>77</x:v>
      </x:c>
      <x:c r="B80" s="17" t="str">
        <x:v>University of Newcastle</x:v>
      </x:c>
      <x:c r="C80" s="17" t="str">
        <x:v>Master of Environmental Management and Sustainability</x:v>
      </x:c>
      <x:c r="D80" s="17" t="str">
        <x:v>Blocked by site (403)</x:v>
      </x:c>
      <x:c r="E80" s="17" t="n">
        <x:v>403</x:v>
      </x:c>
      <x:c r="F80" s="30" t="str">
        <x:v>https://www.newcastle.edu.au/degrees/master-environmental-management-sustainability</x:v>
      </x:c>
      <x:c r="G80" s="30" t="str">
        <x:v>https://www.newcastle.edu.au/degrees/master-environmental-management-sustainability</x:v>
      </x:c>
      <x:c r="H80" s="17" t="str">
        <x:v>Just a moment...</x:v>
      </x:c>
      <x:c r="I80" s="17" t="str">
        <x:v>Official page blocks automated requests; verified through official-domain web search.</x:v>
      </x:c>
    </x:row>
    <x:row r="81">
      <x:c r="A81" s="17" t="n">
        <x:v>78</x:v>
      </x:c>
      <x:c r="B81" s="17" t="str">
        <x:v>Northumbria University</x:v>
      </x:c>
      <x:c r="C81" s="17" t="str">
        <x:v>MSc Disaster Management and Sustainable Development</x:v>
      </x:c>
      <x:c r="D81" s="17" t="str">
        <x:v>OK</x:v>
      </x:c>
      <x:c r="E81" s="17" t="n">
        <x:v>200</x:v>
      </x:c>
      <x:c r="F81" s="30" t="str">
        <x:v>https://www.northumbria.ac.uk/study-at-northumbria/courses/disaster-management-and-sustainable-development-with-advanced-practice-msc-ft-dtsdds6/</x:v>
      </x:c>
      <x:c r="G81" s="30" t="str">
        <x:v>https://www.northumbria.ac.uk/study-at-northumbria/courses/disaster-management-and-sustainable-development-with-advanced-practice-msc-ft-dtsdds6/</x:v>
      </x:c>
      <x:c r="H81" s="17" t="str">
        <x:v>Disaster Management Masters | MSc Sustainable Development | Northumbria</x:v>
      </x:c>
      <x:c r="I81" s="17" t="str">
        <x:v>Official page responded successfully.</x:v>
      </x:c>
    </x:row>
    <x:row r="82">
      <x:c r="A82" s="17" t="n">
        <x:v>79</x:v>
      </x:c>
      <x:c r="B82" s="17" t="str">
        <x:v>University of Indonesia</x:v>
      </x:c>
      <x:c r="C82" s="17" t="str">
        <x:v>Master of Environmental Science</x:v>
      </x:c>
      <x:c r="D82" s="17" t="str">
        <x:v>OK</x:v>
      </x:c>
      <x:c r="E82" s="17" t="n">
        <x:v>200</x:v>
      </x:c>
      <x:c r="F82" s="30" t="str">
        <x:v>https://sil.ui.ac.id/en/master-of-environmental-science/</x:v>
      </x:c>
      <x:c r="G82" s="30" t="str">
        <x:v>https://sil.ui.ac.id/en/master-of-environmental-science/</x:v>
      </x:c>
      <x:c r="H82" s="17" t="str">
        <x:v>Master of Environmental Science &amp;#8211; SIL UI | Sekolah Ilmu Lingkungan Universitas Indonesia</x:v>
      </x:c>
      <x:c r="I82" s="17" t="str">
        <x:v>Official page responded successfully.</x:v>
      </x:c>
    </x:row>
    <x:row r="83">
      <x:c r="A83" s="17" t="n">
        <x:v>80</x:v>
      </x:c>
      <x:c r="B83" s="17" t="str">
        <x:v>An-Najah National University</x:v>
      </x:c>
      <x:c r="C83" s="17" t="str">
        <x:v>MSc Environmental Sciences</x:v>
      </x:c>
      <x:c r="D83" s="17" t="str">
        <x:v>OK</x:v>
      </x:c>
      <x:c r="E83" s="17" t="n">
        <x:v>200</x:v>
      </x:c>
      <x:c r="F83" s="30" t="str">
        <x:v>https://www.najah.edu/en/academic/postgraduate-programs/program/environmental-sciences/info-card/</x:v>
      </x:c>
      <x:c r="G83" s="30" t="str">
        <x:v>https://www.najah.edu/en/academic/postgraduate-programs/program/environmental-sciences/info-card/</x:v>
      </x:c>
      <x:c r="H83" s="17" t="str">
        <x:v>An-Najah National University : Graduate Programs - Environmental Sciences - Info Card</x:v>
      </x:c>
      <x:c r="I83" s="17" t="str">
        <x:v>Official page responded successfully.</x:v>
      </x:c>
    </x:row>
    <x:row r="84">
      <x:c r="A84" s="17" t="n">
        <x:v>81</x:v>
      </x:c>
      <x:c r="B84" s="17" t="str">
        <x:v>Arizona State University (Tempe)</x:v>
      </x:c>
      <x:c r="C84" s="17" t="str">
        <x:v>Master of Sustainability Solutions</x:v>
      </x:c>
      <x:c r="D84" s="17" t="str">
        <x:v>OK</x:v>
      </x:c>
      <x:c r="E84" s="17" t="n">
        <x:v>200</x:v>
      </x:c>
      <x:c r="F84" s="30" t="str">
        <x:v>https://degrees.apps.asu.edu/masters-phd/major/ASU00/SUSUSOMSUS/sustainability-solutions-msus?init=false&amp;nopassive=true</x:v>
      </x:c>
      <x:c r="G84" s="30" t="str">
        <x:v>https://degrees.apps.asu.edu/masters-phd/major/ASU00/SUSUSOMSUS/sustainability-solutions-msus?init=false&amp;nopassive=true</x:v>
      </x:c>
      <x:c r="H84" s="17" t="str">
        <x:v>Sustainability Solutions, MSUS - MSUS | Degree Details | ASU Degree Search</x:v>
      </x:c>
      <x:c r="I84" s="17" t="str">
        <x:v>Official page responded successfully.</x:v>
      </x:c>
    </x:row>
    <x:row r="85">
      <x:c r="A85" s="17" t="n">
        <x:v>82</x:v>
      </x:c>
      <x:c r="B85" s="17" t="str">
        <x:v>King Faisal University</x:v>
      </x:c>
      <x:c r="C85" s="17" t="str">
        <x:v>MSc Agricultural Systems Engineering - Environmental Systems discipline</x:v>
      </x:c>
      <x:c r="D85" s="17" t="str">
        <x:v>Automated fetch failed</x:v>
      </x:c>
      <x:c r="E85" s="17" t="str"/>
      <x:c r="F85" s="30" t="str">
        <x:v>https://www.kfu.edu.sa/ar/Deans/HigherStudies/Documents/custompages/studyplans/MSc_Agriculture_Engineering_Information.pdf</x:v>
      </x:c>
      <x:c r="G85" s="30" t="str"/>
      <x:c r="H85" s="17" t="str"/>
      <x:c r="I85" s="17" t="str">
        <x:v>Automated fetch failed or timed out; verified through official-domain web search.</x:v>
      </x:c>
    </x:row>
    <x:row r="86">
      <x:c r="A86" s="17" t="n">
        <x:v>83</x:v>
      </x:c>
      <x:c r="B86" s="17" t="str">
        <x:v>Flinders University</x:v>
      </x:c>
      <x:c r="C86" s="17" t="str">
        <x:v>Master of Environmental Management and Sustainability</x:v>
      </x:c>
      <x:c r="D86" s="17" t="str">
        <x:v>OK</x:v>
      </x:c>
      <x:c r="E86" s="17" t="n">
        <x:v>200</x:v>
      </x:c>
      <x:c r="F86" s="30" t="str">
        <x:v>https://www.flinders.edu.au/study/courses/postgraduate-environmental-management-sustainability</x:v>
      </x:c>
      <x:c r="G86" s="30" t="str">
        <x:v>https://www.flinders.edu.au/study/courses/postgraduate-environmental-management-sustainability</x:v>
      </x:c>
      <x:c r="H86" s="17" t="str">
        <x:v>Postgraduate courses - Environmental Management and Sustainability - Flinders University</x:v>
      </x:c>
      <x:c r="I86" s="17" t="str">
        <x:v>Official page responded successfully.</x:v>
      </x:c>
    </x:row>
    <x:row r="87">
      <x:c r="A87" s="17" t="n">
        <x:v>84</x:v>
      </x:c>
      <x:c r="B87" s="17" t="str">
        <x:v>Amrita Vishwa Vidyapeetham</x:v>
      </x:c>
      <x:c r="C87" s="17" t="str">
        <x:v>No standalone sustainability/environment master's confirmed</x:v>
      </x:c>
      <x:c r="D87" s="17" t="str">
        <x:v>OK</x:v>
      </x:c>
      <x:c r="E87" s="17" t="n">
        <x:v>200</x:v>
      </x:c>
      <x:c r="F87" s="30" t="str">
        <x:v>https://www.amrita.edu/course/environmental-science-and-sustainability-6/</x:v>
      </x:c>
      <x:c r="G87" s="30" t="str">
        <x:v>https://www.amrita.edu/course/environmental-science-and-sustainability-6/</x:v>
      </x:c>
      <x:c r="H87" s="17" t="str">
        <x:v>Environmental Science and Sustainability - Amrita Vishwa Vidyapeetham</x:v>
      </x:c>
      <x:c r="I87" s="17" t="str">
        <x:v>Official page responded successfully.</x:v>
      </x:c>
    </x:row>
    <x:row r="88">
      <x:c r="A88" s="17" t="n">
        <x:v>85</x:v>
      </x:c>
      <x:c r="B88" s="17" t="str">
        <x:v>Queen's University Belfast</x:v>
      </x:c>
      <x:c r="C88" s="17" t="str">
        <x:v>MSc Leadership for Sustainable Development</x:v>
      </x:c>
      <x:c r="D88" s="17" t="str">
        <x:v>OK</x:v>
      </x:c>
      <x:c r="E88" s="17" t="n">
        <x:v>200</x:v>
      </x:c>
      <x:c r="F88" s="30" t="str">
        <x:v>https://www.qub.ac.uk/courses/postgraduate-taught/leadership-sustainable-development-msc/</x:v>
      </x:c>
      <x:c r="G88" s="30" t="str">
        <x:v>https://www.qub.ac.uk/courses/postgraduate-taught/leadership-sustainable-development-msc/</x:v>
      </x:c>
      <x:c r="H88" s="17" t="str">
        <x:v>Leadership for Sustainable Development(MSc) | Courses | Queen's University Belfast</x:v>
      </x:c>
      <x:c r="I88" s="17" t="str">
        <x:v>Official page responded successfully.</x:v>
      </x:c>
    </x:row>
    <x:row r="89">
      <x:c r="A89" s="17" t="n">
        <x:v>86</x:v>
      </x:c>
      <x:c r="B89" s="17" t="str">
        <x:v>Near East University</x:v>
      </x:c>
      <x:c r="C89" s="17" t="str">
        <x:v>Master's in Environmental Education</x:v>
      </x:c>
      <x:c r="D89" s="17" t="str">
        <x:v>Blocked by site (403)</x:v>
      </x:c>
      <x:c r="E89" s="17" t="n">
        <x:v>403</x:v>
      </x:c>
      <x:c r="F89" s="30" t="str">
        <x:v>https://sustainability.neu.edu.tr/education/sustainability-programmes/</x:v>
      </x:c>
      <x:c r="G89" s="30" t="str">
        <x:v>https://sustainability.neu.edu.tr/education/sustainability-programmes/</x:v>
      </x:c>
      <x:c r="H89" s="17" t="str">
        <x:v>Just a moment...</x:v>
      </x:c>
      <x:c r="I89" s="17" t="str">
        <x:v>Official page blocks automated requests; verified through official-domain web search.</x:v>
      </x:c>
    </x:row>
    <x:row r="90">
      <x:c r="A90" s="17" t="n">
        <x:v>87</x:v>
      </x:c>
      <x:c r="B90" s="17" t="str">
        <x:v>University of Johannesburg</x:v>
      </x:c>
      <x:c r="C90" s="17" t="str">
        <x:v>Master's in Sustainability Management</x:v>
      </x:c>
      <x:c r="D90" s="17" t="str">
        <x:v>Blocked by site (403)</x:v>
      </x:c>
      <x:c r="E90" s="17" t="n">
        <x:v>403</x:v>
      </x:c>
      <x:c r="F90" s="30" t="str">
        <x:v>https://www.uj.ac.za/university-courses/masters-in-sustainability-management/</x:v>
      </x:c>
      <x:c r="G90" s="30" t="str">
        <x:v>https://www.uj.ac.za/university-courses/masters-in-sustainability-management/</x:v>
      </x:c>
      <x:c r="H90" s="17" t="str">
        <x:v>Just a moment...</x:v>
      </x:c>
      <x:c r="I90" s="17" t="str">
        <x:v>Official page blocks automated requests; verified through official-domain web search.</x:v>
      </x:c>
    </x:row>
    <x:row r="91">
      <x:c r="A91" s="17" t="n">
        <x:v>88</x:v>
      </x:c>
      <x:c r="B91" s="17" t="str">
        <x:v>Universitas Gadjah Mada</x:v>
      </x:c>
      <x:c r="C91" s="17" t="str">
        <x:v>Master in Environmental Science</x:v>
      </x:c>
      <x:c r="D91" s="17" t="str">
        <x:v>OK</x:v>
      </x:c>
      <x:c r="E91" s="17" t="n">
        <x:v>200</x:v>
      </x:c>
      <x:c r="F91" s="30" t="str">
        <x:v>https://admissions.ugm.ac.id/v26/program-studi/magister-ilmu-lingkungan-master-in-environmental-science/</x:v>
      </x:c>
      <x:c r="G91" s="30" t="str">
        <x:v>https://admissions.ugm.ac.id/v26/program-studi/magister-ilmu-lingkungan-master-in-environmental-science/</x:v>
      </x:c>
      <x:c r="H91" s="17" t="str">
        <x:v>Magister Ilmu Lingkungan / Master in Environmental Science &amp;#8211; Admisi</x:v>
      </x:c>
      <x:c r="I91" s="17" t="str">
        <x:v>Official page responded successfully.</x:v>
      </x:c>
    </x:row>
    <x:row r="92">
      <x:c r="A92" s="17" t="n">
        <x:v>89</x:v>
      </x:c>
      <x:c r="B92" s="17" t="str">
        <x:v>University of Wollongong</x:v>
      </x:c>
      <x:c r="C92" s="17" t="str">
        <x:v>Master of Earth and Environmental Sciences</x:v>
      </x:c>
      <x:c r="D92" s="17" t="str">
        <x:v>OK</x:v>
      </x:c>
      <x:c r="E92" s="17" t="n">
        <x:v>200</x:v>
      </x:c>
      <x:c r="F92" s="30" t="str">
        <x:v>https://www.uow.edu.au/study/courses/master-of-earth-and-environmental-sciences/</x:v>
      </x:c>
      <x:c r="G92" s="30" t="str">
        <x:v>https://www.uow.edu.au/study/courses/master-of-earth-and-environmental-sciences/</x:v>
      </x:c>
      <x:c r="H92" s="17" t="str">
        <x:v>Master of Earth &amp;amp; Environmental Sciences - University of Wollongong – UOW</x:v>
      </x:c>
      <x:c r="I92" s="17" t="str">
        <x:v>Official page responded successfully.</x:v>
      </x:c>
    </x:row>
    <x:row r="93">
      <x:c r="A93" s="17" t="n">
        <x:v>90</x:v>
      </x:c>
      <x:c r="B93" s="17" t="str">
        <x:v>Yonsei University (Seoul campus)</x:v>
      </x:c>
      <x:c r="C93" s="17" t="str">
        <x:v>Master of Global Civic Studies - Global Citizenship and Sustainable Development</x:v>
      </x:c>
      <x:c r="D93" s="17" t="str">
        <x:v>OK</x:v>
      </x:c>
      <x:c r="E93" s="17" t="n">
        <x:v>200</x:v>
      </x:c>
      <x:c r="F93" s="30" t="str">
        <x:v>https://lawschool.yonsei.ac.kr/gsis/intro/status.do</x:v>
      </x:c>
      <x:c r="G93" s="30" t="str">
        <x:v>https://lawschool.yonsei.ac.kr/gsis/intro/status.do</x:v>
      </x:c>
      <x:c r="H93" s="17" t="str">
        <x:v>국제학대학원 | ABOUT US | GSIS at a Glance</x:v>
      </x:c>
      <x:c r="I93" s="17" t="str">
        <x:v>Official page responded successfully.</x:v>
      </x:c>
    </x:row>
    <x:row r="94">
      <x:c r="A94" s="17" t="n">
        <x:v>91</x:v>
      </x:c>
      <x:c r="B94" s="17" t="str">
        <x:v>Sunway University</x:v>
      </x:c>
      <x:c r="C94" s="17" t="str">
        <x:v>Master in Sustainable Development Management</x:v>
      </x:c>
      <x:c r="D94" s="17" t="str">
        <x:v>OK</x:v>
      </x:c>
      <x:c r="E94" s="17" t="n">
        <x:v>200</x:v>
      </x:c>
      <x:c r="F94" s="30" t="str">
        <x:v>https://sunwayuniversity.edu.my/jsc/courses/master-sustainable-development-management-0</x:v>
      </x:c>
      <x:c r="G94" s="30" t="str">
        <x:v>https://sunwayuniversity.edu.my/jsc/courses/master-sustainable-development-management-0</x:v>
      </x:c>
      <x:c r="H94" s="17" t="str">
        <x:v>Master in Sustainable Development Management | Sunway University</x:v>
      </x:c>
      <x:c r="I94" s="17" t="str">
        <x:v>Official page responded successfully.</x:v>
      </x:c>
    </x:row>
    <x:row r="95">
      <x:c r="A95" s="17" t="n">
        <x:v>92</x:v>
      </x:c>
      <x:c r="B95" s="17" t="str">
        <x:v>Thammasat University</x:v>
      </x:c>
      <x:c r="C95" s="17" t="str">
        <x:v>MA Social Innovation and Sustainability</x:v>
      </x:c>
      <x:c r="D95" s="17" t="str">
        <x:v>OK</x:v>
      </x:c>
      <x:c r="E95" s="17" t="n">
        <x:v>200</x:v>
      </x:c>
      <x:c r="F95" s="30" t="str">
        <x:v>https://sgs.tu.ac.th/ma-program/</x:v>
      </x:c>
      <x:c r="G95" s="30" t="str">
        <x:v>https://sgs.tu.ac.th/ma-program/</x:v>
      </x:c>
      <x:c r="H95" s="17" t="str">
        <x:v>MA Program Overview - The School of Global Studies, Thammasat University</x:v>
      </x:c>
      <x:c r="I95" s="17" t="str">
        <x:v>Official page responded successfully.</x:v>
      </x:c>
    </x:row>
    <x:row r="96">
      <x:c r="A96" s="17" t="n">
        <x:v>93</x:v>
      </x:c>
      <x:c r="B96" s="17" t="str">
        <x:v>Walailak University</x:v>
      </x:c>
      <x:c r="C96" s="17" t="str">
        <x:v>MSc Environmental, Safety Technology and Health</x:v>
      </x:c>
      <x:c r="D96" s="17" t="str">
        <x:v>OK</x:v>
      </x:c>
      <x:c r="E96" s="17" t="n">
        <x:v>200</x:v>
      </x:c>
      <x:c r="F96" s="30" t="str">
        <x:v>https://www.wu.ac.th/en/news/21010/School-College</x:v>
      </x:c>
      <x:c r="G96" s="30" t="str">
        <x:v>https://www.wu.ac.th/en/news/21010/School-College</x:v>
      </x:c>
      <x:c r="H96" s="17" t="str">
        <x:v>School/College : Walailak University</x:v>
      </x:c>
      <x:c r="I96" s="17" t="str">
        <x:v>Official page responded successfully.</x:v>
      </x:c>
    </x:row>
    <x:row r="97">
      <x:c r="A97" s="17" t="n">
        <x:v>94</x:v>
      </x:c>
      <x:c r="B97" s="17" t="str">
        <x:v>King Abdullah University of Science and Technology (KAUST)</x:v>
      </x:c>
      <x:c r="C97" s="17" t="str">
        <x:v>MS Environmental Science and Engineering</x:v>
      </x:c>
      <x:c r="D97" s="17" t="str">
        <x:v>OK</x:v>
      </x:c>
      <x:c r="E97" s="17" t="n">
        <x:v>200</x:v>
      </x:c>
      <x:c r="F97" s="30" t="str">
        <x:v>https://bese.kaust.edu.sa/study/academic-programs/ense</x:v>
      </x:c>
      <x:c r="G97" s="30" t="str">
        <x:v>https://bese.kaust.edu.sa/study/academic-programs/ense</x:v>
      </x:c>
      <x:c r="H97" s="17" t="str">
        <x:v>Environmental Science &amp;amp; Engineering&amp;#160;</x:v>
      </x:c>
      <x:c r="I97" s="17" t="str">
        <x:v>Official page responded successfully.</x:v>
      </x:c>
    </x:row>
    <x:row r="98">
      <x:c r="A98" s="17" t="n">
        <x:v>95</x:v>
      </x:c>
      <x:c r="B98" s="17" t="str">
        <x:v>Chiang Mai University</x:v>
      </x:c>
      <x:c r="C98" s="17" t="str">
        <x:v>MSc Environmental Science</x:v>
      </x:c>
      <x:c r="D98" s="17" t="str">
        <x:v>OK</x:v>
      </x:c>
      <x:c r="E98" s="17" t="n">
        <x:v>200</x:v>
      </x:c>
      <x:c r="F98" s="30" t="str">
        <x:v>https://www.science.cmu.ac.th/english/master.php</x:v>
      </x:c>
      <x:c r="G98" s="30" t="str">
        <x:v>https://www.science.cmu.ac.th/english/master.php</x:v>
      </x:c>
      <x:c r="H98" s="17" t="str">
        <x:v>Master Programs: Faculty of Science , Chiang Mai University</x:v>
      </x:c>
      <x:c r="I98" s="17" t="str">
        <x:v>Official page responded successfully.</x:v>
      </x:c>
    </x:row>
    <x:row r="99">
      <x:c r="A99" s="17" t="n">
        <x:v>96</x:v>
      </x:c>
      <x:c r="B99" s="17" t="str">
        <x:v>Jeonbuk National University</x:v>
      </x:c>
      <x:c r="C99" s="17" t="str">
        <x:v>Master of Engineering in Environmental Engineering</x:v>
      </x:c>
      <x:c r="D99" s="17" t="str">
        <x:v>OK</x:v>
      </x:c>
      <x:c r="E99" s="17" t="n">
        <x:v>200</x:v>
      </x:c>
      <x:c r="F99" s="30" t="str">
        <x:v>https://gse.jbnu.ac.kr/gse/1394/subview.do</x:v>
      </x:c>
      <x:c r="G99" s="30" t="str">
        <x:v>https://gse.jbnu.ac.kr/gse/1394/subview.do</x:v>
      </x:c>
      <x:c r="H99" s="17" t="str">
        <x:v>환경공학</x:v>
      </x:c>
      <x:c r="I99" s="17" t="str">
        <x:v>Official page responded successfully.</x:v>
      </x:c>
    </x:row>
    <x:row r="100">
      <x:c r="A100" s="17" t="n">
        <x:v>97</x:v>
      </x:c>
      <x:c r="B100" s="17" t="str">
        <x:v>National Yang Ming Chiao Tung University (NYCU Taiwan)</x:v>
      </x:c>
      <x:c r="C100" s="17" t="str">
        <x:v>Master Program in Environmental Engineering</x:v>
      </x:c>
      <x:c r="D100" s="17" t="str">
        <x:v>OK</x:v>
      </x:c>
      <x:c r="E100" s="17" t="n">
        <x:v>200</x:v>
      </x:c>
      <x:c r="F100" s="30" t="str">
        <x:v>https://sdgs.nycu.edu.tw/archives/27449/</x:v>
      </x:c>
      <x:c r="G100" s="30" t="str">
        <x:v>https://sdgs.nycu.edu.tw/archives/27449/</x:v>
      </x:c>
      <x:c r="H100" s="17" t="str">
        <x:v>2026_SDG17_17.4.2 &amp;#8211; 國立陽明交通大學永續發展成果</x:v>
      </x:c>
      <x:c r="I100" s="17" t="str">
        <x:v>Official page responded successfully.</x:v>
      </x:c>
    </x:row>
  </x:sheetData>
  <x:mergeCells>
    <x:mergeCell ref="A1:I1"/>
    <x:mergeCell ref="A2:I2"/>
  </x:mergeCells>
  <x:conditionalFormatting sqref="D5:D100">
    <x:cfRule type="containsText" dxfId="17" priority="1" operator="containsText" text="OK"/>
    <x:cfRule type="containsText" dxfId="18" priority="2" operator="containsText" text="Blocked"/>
    <x:cfRule type="containsText" dxfId="19" priority="3" operator="containsText" text="failed"/>
  </x:conditionalFormatting>
  <x:pageMargins left="0.7" right="0.7" top="0.75" bottom="0.75" header="0.3" footer="0.3"/>
  <x:tableParts count="1">
    <x:tablePart xmlns:r="http://schemas.openxmlformats.org/officeDocument/2006/relationships" r:id="R060306bb90674cbc"/>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0" hidden="0" customWidth="1"/>
    <x:col min="2" max="2" width="32" hidden="0" customWidth="1"/>
    <x:col min="3" max="3" width="62" hidden="0" customWidth="1"/>
    <x:col min="4" max="4" width="62" hidden="0" customWidth="1"/>
    <x:col min="5" max="5" width="56" hidden="0" customWidth="1"/>
    <x:col min="6" max="6" width="16" hidden="0" customWidth="1"/>
  </x:cols>
  <x:sheetData>
    <x:row r="1" ht="28" customHeight="1">
      <x:c r="A1" s="3" t="str">
        <x:v>Method and Official Sources</x:v>
      </x:c>
      <x:c r="B1" s="3"/>
      <x:c r="C1" s="3"/>
      <x:c r="D1" s="3"/>
      <x:c r="E1" s="3"/>
      <x:c r="F1" s="3"/>
    </x:row>
    <x:row r="2" ht="36" customHeight="1">
      <x:c r="A2" s="7" t="str">
        <x:v>Reproducible rules used to rebuild and validate the workbook. Rankings, AASHE, PRME, OpenAlex, and official program evidence are point-in-time data collected 18-19 July 2026.</x:v>
      </x:c>
      <x:c r="B2" s="7"/>
      <x:c r="C2" s="7"/>
      <x:c r="D2" s="7"/>
      <x:c r="E2" s="7"/>
      <x:c r="F2" s="7"/>
    </x:row>
    <x:row r="4" ht="36" customHeight="1">
      <x:c r="A4" s="13" t="str">
        <x:v>Step</x:v>
      </x:c>
      <x:c r="B4" s="13" t="str">
        <x:v>Dataset</x:v>
      </x:c>
      <x:c r="C4" s="13" t="str">
        <x:v>Rule</x:v>
      </x:c>
      <x:c r="D4" s="13" t="str">
        <x:v>Key Scope Decision</x:v>
      </x:c>
      <x:c r="E4" s="13" t="str">
        <x:v>Official Source</x:v>
      </x:c>
      <x:c r="F4" s="13" t="str">
        <x:v>Retrieved</x:v>
      </x:c>
    </x:row>
    <x:row r="5">
      <x:c r="A5" s="17" t="n">
        <x:v>1</x:v>
      </x:c>
      <x:c r="B5" s="17" t="str">
        <x:v>QS Sustainability Rankings 2026</x:v>
      </x:c>
      <x:c r="C5" s="17" t="str">
        <x:v>Include every institution whose published numeric rank is &lt;= 50.</x:v>
      </x:c>
      <x:c r="D5" s="17" t="str">
        <x:v>Include tied rank 50; 51 rows.</x:v>
      </x:c>
      <x:c r="E5" s="30" t="str">
        <x:v>https://www.topuniversities.com/sustainability-rankings</x:v>
      </x:c>
      <x:c r="F5" s="17" t="str">
        <x:v>2026-07-18</x:v>
      </x:c>
    </x:row>
    <x:row r="6">
      <x:c r="A6" s="17" t="n">
        <x:v>2</x:v>
      </x:c>
      <x:c r="B6" s="17" t="str">
        <x:v>THE Sustainability Impact Ratings 2026</x:v>
      </x:c>
      <x:c r="C6" s="17" t="str">
        <x:v>Include every institution whose published numeric rank is &lt;= 50.</x:v>
      </x:c>
      <x:c r="D6" s="17" t="str">
        <x:v>Include tied rank 49; 51 rows. This ranking was formerly called THE Impact Rankings.</x:v>
      </x:c>
      <x:c r="E6" s="30" t="str">
        <x:v>https://www.timeshighereducation.com/impactrankings</x:v>
      </x:c>
      <x:c r="F6" s="17" t="str">
        <x:v>2026-07-18</x:v>
      </x:c>
    </x:row>
    <x:row r="7">
      <x:c r="A7" s="17" t="n">
        <x:v>3</x:v>
      </x:c>
      <x:c r="B7" s="17" t="str">
        <x:v>Candidate union</x:v>
      </x:c>
      <x:c r="C7" s="17" t="str">
        <x:v>Normalize punctuation, parentheticals, and verified aliases; merge only the same institution.</x:v>
      </x:c>
      <x:c r="D7" s="17" t="str">
        <x:v>Five overlaps produced 97 source candidates.</x:v>
      </x:c>
      <x:c r="E7" s="30" t="str">
        <x:v>Candidate Universities sheet</x:v>
      </x:c>
      <x:c r="F7" s="17" t="str">
        <x:v>2026-07-18</x:v>
      </x:c>
    </x:row>
    <x:row r="8">
      <x:c r="A8" s="17" t="n">
        <x:v>4</x:v>
      </x:c>
      <x:c r="B8" s="17" t="str">
        <x:v>Manual exclusion</x:v>
      </x:c>
      <x:c r="C8" s="17" t="str">
        <x:v>Remove a candidate only after program-level manual review.</x:v>
      </x:c>
      <x:c r="D8" s="17" t="str">
        <x:v>ID 75 was excluded; 96 institutions remain and original IDs are preserved.</x:v>
      </x:c>
      <x:c r="E8" s="30" t="str">
        <x:v>Verification Issues sheet</x:v>
      </x:c>
      <x:c r="F8" s="17" t="str">
        <x:v>2026-07-18</x:v>
      </x:c>
    </x:row>
    <x:row r="9">
      <x:c r="A9" s="17" t="n">
        <x:v>5</x:v>
      </x:c>
      <x:c r="B9" s="17" t="str">
        <x:v>Program verification</x:v>
      </x:c>
      <x:c r="C9" s="17" t="str">
        <x:v>Select a current master's-level sustainability/environment program from an official university source.</x:v>
      </x:c>
      <x:c r="D9" s="17" t="str">
        <x:v>Direct, major, concentration, research, best-fit, restricted, and unresolved are kept distinct.</x:v>
      </x:c>
      <x:c r="E9" s="30" t="str">
        <x:v>Program Verification sheet</x:v>
      </x:c>
      <x:c r="F9" s="17" t="str">
        <x:v>2026-07-18</x:v>
      </x:c>
    </x:row>
    <x:row r="10">
      <x:c r="A10" s="17" t="n">
        <x:v>6</x:v>
      </x:c>
      <x:c r="B10" s="17" t="str">
        <x:v>Program URL audit</x:v>
      </x:c>
      <x:c r="C10" s="17" t="str">
        <x:v>Follow redirects and record HTTP response.</x:v>
      </x:c>
      <x:c r="D10" s="17" t="str">
        <x:v>403/timeouts are not treated as missing when official-domain search confirms the page; 404s must be replaced.</x:v>
      </x:c>
      <x:c r="E10" s="30" t="str">
        <x:v>URL Audit sheet</x:v>
      </x:c>
      <x:c r="F10" s="17" t="str">
        <x:v>2026-07-18</x:v>
      </x:c>
    </x:row>
    <x:row r="11">
      <x:c r="A11" s="17" t="n">
        <x:v>7</x:v>
      </x:c>
      <x:c r="B11" s="17" t="str">
        <x:v>AASHE STARS</x:v>
      </x:c>
      <x:c r="C11" s="17" t="str">
        <x:v>Match exact institution identity against the current participants and reports table.</x:v>
      </x:c>
      <x:c r="D11" s="17" t="str">
        <x:v>No parent/system/campus inheritance. 416 current source records.</x:v>
      </x:c>
      <x:c r="E11" s="30" t="str">
        <x:v>https://reports.aashe.org/institutions/participants-and-reports/</x:v>
      </x:c>
      <x:c r="F11" s="17" t="str">
        <x:v>2026-07-18</x:v>
      </x:c>
    </x:row>
    <x:row r="12">
      <x:c r="A12" s="17" t="n">
        <x:v>8</x:v>
      </x:c>
      <x:c r="B12" s="17" t="str">
        <x:v>AASHE rating score</x:v>
      </x:c>
      <x:c r="C12" s="17" t="str">
        <x:v>Reporter=40, Bronze=55, Silver=70, Gold=85, Platinum=100.</x:v>
      </x:c>
      <x:c r="D12" s="17" t="str">
        <x:v>Score is an analysis coding of the published rating, not an AASHE raw numeric score.</x:v>
      </x:c>
      <x:c r="E12" s="30" t="str">
        <x:v>AASHE STARS sheet</x:v>
      </x:c>
      <x:c r="F12" s="17" t="str">
        <x:v>2026-07-18</x:v>
      </x:c>
    </x:row>
    <x:row r="13">
      <x:c r="A13" s="17" t="n">
        <x:v>9</x:v>
      </x:c>
      <x:c r="B13" s="17" t="str">
        <x:v>UN PRME</x:v>
      </x:c>
      <x:c r="C13" s="17" t="str">
        <x:v>Accept only exact or verified-alias current signatory matches.</x:v>
      </x:c>
      <x:c r="D13" s="17" t="str">
        <x:v>Business-school signatories remain school scoped and are not promoted to university-wide membership.</x:v>
      </x:c>
      <x:c r="E13" s="30" t="str">
        <x:v>https://www.unprme.org/search/</x:v>
      </x:c>
      <x:c r="F13" s="17" t="str">
        <x:v>2026-07-19</x:v>
      </x:c>
    </x:row>
    <x:row r="14">
      <x:c r="A14" s="17" t="n">
        <x:v>10</x:v>
      </x:c>
      <x:c r="B14" s="17" t="str">
        <x:v>UN PRME SIP</x:v>
      </x:c>
      <x:c r="C14" s="17" t="str">
        <x:v>Count reports with report year 2022-2026; parse title/file year before using upload date.</x:v>
      </x:c>
      <x:c r="D14" s="17" t="str">
        <x:v>Migration upload dates do not make old SIP reports recent.</x:v>
      </x:c>
      <x:c r="E14" s="30" t="str">
        <x:v>https://www.unprme.org/sip-2/</x:v>
      </x:c>
      <x:c r="F14" s="17" t="str">
        <x:v>2026-07-19</x:v>
      </x:c>
    </x:row>
    <x:row r="15">
      <x:c r="A15" s="17" t="n">
        <x:v>11</x:v>
      </x:c>
      <x:c r="B15" s="17" t="str">
        <x:v>OpenAlex</x:v>
      </x:c>
      <x:c r="C15" s="17" t="str">
        <x:v>Match the institution, then count 2021-2025 works for the documented keyword query.</x:v>
      </x:c>
      <x:c r="D15" s="17" t="str">
        <x:v>Anonymous quota stopped the run; missing rows are blank, not zero. Top-25 citations are not total citations.</x:v>
      </x:c>
      <x:c r="E15" s="30" t="str">
        <x:v>https://developers.openalex.org/api-reference/works</x:v>
      </x:c>
      <x:c r="F15" s="17" t="str">
        <x:v>2026-07-19</x:v>
      </x:c>
    </x:row>
    <x:row r="16">
      <x:c r="A16" s="17" t="n">
        <x:v>12</x:v>
      </x:c>
      <x:c r="B16" s="17" t="str">
        <x:v>Program details</x:v>
      </x:c>
      <x:c r="C16" s="17" t="str">
        <x:v>Extract requested fields from official program and selected same-domain evidence pages.</x:v>
      </x:c>
      <x:c r="D16" s="17" t="str">
        <x:v>NA is reserved for no internship/fieldwork identified; other unavailable fields say Not stated.</x:v>
      </x:c>
      <x:c r="E16" s="30" t="str">
        <x:v>Program Details sheet</x:v>
      </x:c>
      <x:c r="F16" s="17" t="str">
        <x:v>2026-07-18</x:v>
      </x:c>
    </x:row>
    <x:row r="17">
      <x:c r="A17" s="17" t="n">
        <x:v>13</x:v>
      </x:c>
      <x:c r="B17" s="17" t="str">
        <x:v>Manual validation</x:v>
      </x:c>
      <x:c r="C17" s="17" t="str">
        <x:v>Review unresolved programs, source blocks, scope flags, and year-specific fees before statistical analysis.</x:v>
      </x:c>
      <x:c r="D17" s="17" t="str">
        <x:v>Do not impute unresolved program, campus, API, or cost fields.</x:v>
      </x:c>
      <x:c r="E17" s="30" t="str">
        <x:v>Verification Issues sheet</x:v>
      </x:c>
      <x:c r="F17" s="17" t="str">
        <x:v>2026-07-19</x:v>
      </x:c>
    </x:row>
    <x:row r="20" ht="36" customHeight="1">
      <x:c r="A20" s="27" t="str">
        <x:v>Limitation</x:v>
      </x:c>
      <x:c r="B20" s="27" t="str">
        <x:v>Effect</x:v>
      </x:c>
      <x:c r="C20" s="27" t="str">
        <x:v>Workbook Treatment</x:v>
      </x:c>
      <x:c r="D20" s="27" t="str">
        <x:v>Next Manual Action</x:v>
      </x:c>
      <x:c r="E20" s="27" t="str">
        <x:v>Affected Rows</x:v>
      </x:c>
      <x:c r="F20" s="27" t="str">
        <x:v>Priority</x:v>
      </x:c>
    </x:row>
    <x:row r="21">
      <x:c r="A21" s="17" t="str">
        <x:v>Rankings measure institutions, not individual master's programs.</x:v>
      </x:c>
      <x:c r="B21" s="17" t="str">
        <x:v>Rank values cannot be interpreted as direct program ranks.</x:v>
      </x:c>
      <x:c r="C21" s="17" t="str">
        <x:v>University ranking and program verification are separate sheets.</x:v>
      </x:c>
      <x:c r="D21" s="17" t="str">
        <x:v>Use program-specific outcomes from university sites if needed.</x:v>
      </x:c>
      <x:c r="E21" s="17" t="str">
        <x:v>All</x:v>
      </x:c>
      <x:c r="F21" s="17" t="str">
        <x:v>High</x:v>
      </x:c>
    </x:row>
    <x:row r="22">
      <x:c r="A22" s="17" t="str">
        <x:v>QS optional component fields were not exposed consistently in rendered ranking cards.</x:v>
      </x:c>
      <x:c r="B22" s="17" t="str">
        <x:v>Some component cells are blank even though rank and overall score are available.</x:v>
      </x:c>
      <x:c r="C22" s="17" t="str">
        <x:v>Blanks were retained and were not converted to zero or imputed.</x:v>
      </x:c>
      <x:c r="D22" s="17" t="str">
        <x:v>Use the complete core rank/overall score fields for analysis; retrieve component details separately if required.</x:v>
      </x:c>
      <x:c r="E22" s="17" t="str">
        <x:v>QS component columns</x:v>
      </x:c>
      <x:c r="F22" s="17" t="str">
        <x:v>Medium</x:v>
      </x:c>
    </x:row>
    <x:row r="23">
      <x:c r="A23" s="17" t="str">
        <x:v>Some institutions publish only a department or research route.</x:v>
      </x:c>
      <x:c r="B23" s="17" t="str">
        <x:v>Program comparability varies.</x:v>
      </x:c>
      <x:c r="C23" s="17" t="str">
        <x:v>Match Type distinguishes direct from best-fit/research routes.</x:v>
      </x:c>
      <x:c r="D23" s="17" t="str">
        <x:v>Filter Match Type before modelling.</x:v>
      </x:c>
      <x:c r="E23" s="17" t="str">
        <x:v>See Program Verification</x:v>
      </x:c>
      <x:c r="F23" s="17" t="str">
        <x:v>High</x:v>
      </x:c>
    </x:row>
    <x:row r="24">
      <x:c r="A24" s="17" t="str">
        <x:v>Official sites change URLs and may block bots.</x:v>
      </x:c>
      <x:c r="B24" s="17" t="str">
        <x:v>Automated audit can understate availability.</x:v>
      </x:c>
      <x:c r="C24" s="17" t="str">
        <x:v>HTTP status and manual-search verification are recorded separately.</x:v>
      </x:c>
      <x:c r="D24" s="17" t="str">
        <x:v>Open blocked URLs during final review.</x:v>
      </x:c>
      <x:c r="E24" s="17" t="str">
        <x:v>12</x:v>
      </x:c>
      <x:c r="F24" s="17" t="str">
        <x:v>Medium</x:v>
      </x:c>
    </x:row>
    <x:row r="25">
      <x:c r="A25" s="17" t="str">
        <x:v>AASHE is institution/campus scoped.</x:v>
      </x:c>
      <x:c r="B25" s="17" t="str">
        <x:v>A related campus rating may not apply to the ranked institution.</x:v>
      </x:c>
      <x:c r="C25" s="17" t="str">
        <x:v>Strict match status and notes are included.</x:v>
      </x:c>
      <x:c r="D25" s="17" t="str">
        <x:v>Read report boundaries for scope-review cases.</x:v>
      </x:c>
      <x:c r="E25" s="17" t="str">
        <x:v>Toronto; ASU</x:v>
      </x:c>
      <x:c r="F25" s="17" t="str">
        <x:v>High</x:v>
      </x:c>
    </x:row>
    <x:row r="26">
      <x:c r="A26" s="17" t="str">
        <x:v>UN PRME membership is often business-school scoped.</x:v>
      </x:c>
      <x:c r="B26" s="17" t="str">
        <x:v>A school match does not prove whole-university participation.</x:v>
      </x:c>
      <x:c r="C26" s="17" t="str">
        <x:v>The matched signatory name and scope are retained.</x:v>
      </x:c>
      <x:c r="D26" s="17" t="str">
        <x:v>Use the signatory entity, not the candidate university label, in PRME analysis.</x:v>
      </x:c>
      <x:c r="E26" s="17" t="str">
        <x:v>48 verified matches before ID 75 exclusion</x:v>
      </x:c>
      <x:c r="F26" s="17" t="str">
        <x:v>High</x:v>
      </x:c>
    </x:row>
    <x:row r="27">
      <x:c r="A27" s="17" t="str">
        <x:v>OpenAlex collection is incomplete because the anonymous API quota was exhausted.</x:v>
      </x:c>
      <x:c r="B27" s="17" t="str">
        <x:v>Missing institutions cannot be compared fairly with collected institutions.</x:v>
      </x:c>
      <x:c r="C27" s="17" t="str">
        <x:v>Uncollected metrics are blank and collection status is explicit.</x:v>
      </x:c>
      <x:c r="D27" s="17" t="str">
        <x:v>Rerun with an OpenAlex API key before modelling.</x:v>
      </x:c>
      <x:c r="E27" s="17" t="str">
        <x:v>47 quota rows; 4 unmatched rows</x:v>
      </x:c>
      <x:c r="F27" s="17" t="str">
        <x:v>High</x:v>
      </x:c>
    </x:row>
    <x:row r="28">
      <x:c r="A28" s="17" t="str">
        <x:v>Data are point-in-time.</x:v>
      </x:c>
      <x:c r="B28" s="17" t="str">
        <x:v>Rankings, programs, and ratings can change.</x:v>
      </x:c>
      <x:c r="C28" s="17" t="str">
        <x:v>Retrieval/verification dates are stored.</x:v>
      </x:c>
      <x:c r="D28" s="17" t="str">
        <x:v>Refresh before publication or final submission.</x:v>
      </x:c>
      <x:c r="E28" s="17" t="str">
        <x:v>All</x:v>
      </x:c>
      <x:c r="F28" s="17" t="str">
        <x:v>Medium</x:v>
      </x:c>
    </x:row>
  </x:sheetData>
  <x:mergeCells>
    <x:mergeCell ref="A1:F1"/>
    <x:mergeCell ref="A2:F2"/>
  </x:mergeCells>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25" hidden="0" customWidth="1"/>
    <x:col min="2" max="2" width="24" hidden="0" customWidth="1"/>
    <x:col min="3" max="3" width="52" hidden="0" customWidth="1"/>
    <x:col min="4" max="4" width="62" hidden="0" customWidth="1"/>
    <x:col min="5" max="5" width="18" hidden="0" customWidth="1"/>
    <x:col min="6" max="6" width="54" hidden="0" customWidth="1"/>
  </x:cols>
  <x:sheetData>
    <x:row r="1" ht="28" customHeight="1">
      <x:c r="A1" s="3" t="str">
        <x:v>Data Dictionary</x:v>
      </x:c>
      <x:c r="B1" s="3"/>
      <x:c r="C1" s="3"/>
      <x:c r="D1" s="3"/>
      <x:c r="E1" s="3"/>
      <x:c r="F1" s="3"/>
    </x:row>
    <x:row r="2" ht="36" customHeight="1">
      <x:c r="A2" s="7" t="str">
        <x:v>Definitions for the corrected workbook fields and interpretation flags.</x:v>
      </x:c>
      <x:c r="B2" s="7"/>
      <x:c r="C2" s="7"/>
      <x:c r="D2" s="7"/>
      <x:c r="E2" s="7"/>
      <x:c r="F2" s="7"/>
    </x:row>
    <x:row r="4" ht="36" customHeight="1">
      <x:c r="A4" s="13" t="str">
        <x:v>Sheet</x:v>
      </x:c>
      <x:c r="B4" s="13" t="str">
        <x:v>Field</x:v>
      </x:c>
      <x:c r="C4" s="13" t="str">
        <x:v>Allowed Values / Example</x:v>
      </x:c>
      <x:c r="D4" s="13" t="str">
        <x:v>Definition</x:v>
      </x:c>
      <x:c r="E4" s="13" t="str">
        <x:v>Type</x:v>
      </x:c>
      <x:c r="F4" s="13" t="str">
        <x:v>Analysis Note</x:v>
      </x:c>
    </x:row>
    <x:row r="5">
      <x:c r="A5" s="17" t="str">
        <x:v>Candidate Universities</x:v>
      </x:c>
      <x:c r="B5" s="17" t="str">
        <x:v>Candidate Source</x:v>
      </x:c>
      <x:c r="C5" s="17" t="str">
        <x:v>QS Sustainability / THE Impact / Both</x:v>
      </x:c>
      <x:c r="D5" s="17" t="str">
        <x:v>Which ranking(s) placed the institution at numeric rank &lt;= 50.</x:v>
      </x:c>
      <x:c r="E5" s="17" t="str">
        <x:v>Text</x:v>
      </x:c>
      <x:c r="F5" s="17" t="str">
        <x:v>Do not interpret as program rank.</x:v>
      </x:c>
    </x:row>
    <x:row r="6">
      <x:c r="A6" s="17" t="str">
        <x:v>Candidate Universities</x:v>
      </x:c>
      <x:c r="B6" s="17" t="str">
        <x:v>QS Rank</x:v>
      </x:c>
      <x:c r="C6" s="17" t="str">
        <x:v>1, =7, etc.</x:v>
      </x:c>
      <x:c r="D6" s="17" t="str">
        <x:v>Published QS Sustainability rank string.</x:v>
      </x:c>
      <x:c r="E6" s="17" t="str">
        <x:v>Text</x:v>
      </x:c>
      <x:c r="F6" s="17" t="str">
        <x:v>Rank Number on QS sheet is numeric for cutoff checks.</x:v>
      </x:c>
    </x:row>
    <x:row r="7">
      <x:c r="A7" s="17" t="str">
        <x:v>Candidate Universities</x:v>
      </x:c>
      <x:c r="B7" s="17" t="str">
        <x:v>THE Rank</x:v>
      </x:c>
      <x:c r="C7" s="17" t="str">
        <x:v>1, =17, etc.</x:v>
      </x:c>
      <x:c r="D7" s="17" t="str">
        <x:v>Published THE Sustainability Impact rank string.</x:v>
      </x:c>
      <x:c r="E7" s="17" t="str">
        <x:v>Text</x:v>
      </x:c>
      <x:c r="F7" s="17" t="str">
        <x:v>Rank Number on THE sheet is numeric for cutoff checks.</x:v>
      </x:c>
    </x:row>
    <x:row r="8">
      <x:c r="A8" s="17" t="str">
        <x:v>Program Verification</x:v>
      </x:c>
      <x:c r="B8" s="17" t="str">
        <x:v>Match Type</x:v>
      </x:c>
      <x:c r="C8" s="17" t="str">
        <x:v>Direct / Major / Concentration / Research / Best-fit / Restricted / Joint degree / Specialization / Unresolved</x:v>
      </x:c>
      <x:c r="D8" s="17" t="str">
        <x:v>How directly the selected program matches a standalone sustainability/environment master's.</x:v>
      </x:c>
      <x:c r="E8" s="17" t="str">
        <x:v>Controlled text</x:v>
      </x:c>
      <x:c r="F8" s="17" t="str">
        <x:v>Filter before comparative analysis.</x:v>
      </x:c>
    </x:row>
    <x:row r="9">
      <x:c r="A9" s="17" t="str">
        <x:v>Program Verification</x:v>
      </x:c>
      <x:c r="B9" s="17" t="str">
        <x:v>Verification Status</x:v>
      </x:c>
      <x:c r="C9" s="17" t="str">
        <x:v>Confirmed / Manual review required</x:v>
      </x:c>
      <x:c r="D9" s="17" t="str">
        <x:v>Whether an official source confirms a qualifying path.</x:v>
      </x:c>
      <x:c r="E9" s="17" t="str">
        <x:v>Controlled text</x:v>
      </x:c>
      <x:c r="F9" s="17" t="str">
        <x:v>Manual-review rows should not be imputed.</x:v>
      </x:c>
    </x:row>
    <x:row r="10">
      <x:c r="A10" s="17" t="str">
        <x:v>Program Verification</x:v>
      </x:c>
      <x:c r="B10" s="17" t="str">
        <x:v>URL Audit</x:v>
      </x:c>
      <x:c r="C10" s="17" t="str">
        <x:v>OK / Blocked by site / Automated fetch failed</x:v>
      </x:c>
      <x:c r="D10" s="17" t="str">
        <x:v>Result of automated page retrieval.</x:v>
      </x:c>
      <x:c r="E10" s="17" t="str">
        <x:v>Controlled text</x:v>
      </x:c>
      <x:c r="F10" s="17" t="str">
        <x:v>Blocked does not mean invalid.</x:v>
      </x:c>
    </x:row>
    <x:row r="11">
      <x:c r="A11" s="17" t="str">
        <x:v>AASHE STARS</x:v>
      </x:c>
      <x:c r="B11" s="17" t="str">
        <x:v>AASHE Match Status</x:v>
      </x:c>
      <x:c r="C11" s="17" t="str">
        <x:v>Exact name / Verified alias / Scope review required / Campus-only record found / No current exact record</x:v>
      </x:c>
      <x:c r="D11" s="17" t="str">
        <x:v>Institutional identity and scope result.</x:v>
      </x:c>
      <x:c r="E11" s="17" t="str">
        <x:v>Controlled text</x:v>
      </x:c>
      <x:c r="F11" s="17" t="str">
        <x:v>Only exact/alias matches are fully clean.</x:v>
      </x:c>
    </x:row>
    <x:row r="12">
      <x:c r="A12" s="17" t="str">
        <x:v>AASHE STARS</x:v>
      </x:c>
      <x:c r="B12" s="17" t="str">
        <x:v>Rating</x:v>
      </x:c>
      <x:c r="C12" s="17" t="str">
        <x:v>Reporter / Bronze / Silver / Gold / Platinum</x:v>
      </x:c>
      <x:c r="D12" s="17" t="str">
        <x:v>Published current STARS rating.</x:v>
      </x:c>
      <x:c r="E12" s="17" t="str">
        <x:v>Text</x:v>
      </x:c>
      <x:c r="F12" s="17" t="str">
        <x:v>Blank when no exact applicable rating.</x:v>
      </x:c>
    </x:row>
    <x:row r="13">
      <x:c r="A13" s="17" t="str">
        <x:v>AASHE STARS</x:v>
      </x:c>
      <x:c r="B13" s="17" t="str">
        <x:v>Score</x:v>
      </x:c>
      <x:c r="C13" s="17" t="str">
        <x:v>40 / 55 / 70 / 85 / 100</x:v>
      </x:c>
      <x:c r="D13" s="17" t="str">
        <x:v>Project coding of the categorical STARS rating.</x:v>
      </x:c>
      <x:c r="E13" s="17" t="str">
        <x:v>Number</x:v>
      </x:c>
      <x:c r="F13" s="17" t="str">
        <x:v>Not an AASHE raw score.</x:v>
      </x:c>
    </x:row>
    <x:row r="14">
      <x:c r="A14" s="17" t="str">
        <x:v>UN PRME</x:v>
      </x:c>
      <x:c r="B14" s="17" t="str">
        <x:v>PRME Match Status</x:v>
      </x:c>
      <x:c r="C14" s="17" t="str">
        <x:v>Verified - Exact / Verified - Verified alias / No verified match</x:v>
      </x:c>
      <x:c r="D14" s="17" t="str">
        <x:v>Strict current signatory match result.</x:v>
      </x:c>
      <x:c r="E14" s="17" t="str">
        <x:v>Controlled text</x:v>
      </x:c>
      <x:c r="F14" s="17" t="str">
        <x:v>School-level scope is retained explicitly.</x:v>
      </x:c>
    </x:row>
    <x:row r="15">
      <x:c r="A15" s="17" t="str">
        <x:v>UN PRME</x:v>
      </x:c>
      <x:c r="B15" s="17" t="str">
        <x:v>Recent SIP Count</x:v>
      </x:c>
      <x:c r="C15" s="17" t="str">
        <x:v>0, 1, 2, ...</x:v>
      </x:c>
      <x:c r="D15" s="17" t="str">
        <x:v>Number of SIP reports whose report year is 2022-2026.</x:v>
      </x:c>
      <x:c r="E15" s="17" t="str">
        <x:v>Number</x:v>
      </x:c>
      <x:c r="F15" s="17" t="str">
        <x:v>A blank or unmatched institution must not be inferred as zero.</x:v>
      </x:c>
    </x:row>
    <x:row r="16">
      <x:c r="A16" s="17" t="str">
        <x:v>OpenAlex 2021-2025</x:v>
      </x:c>
      <x:c r="B16" s="17" t="str">
        <x:v>Collection Status</x:v>
      </x:c>
      <x:c r="C16" s="17" t="str">
        <x:v>Collected / API quota reached / No reliable match / Collection error</x:v>
      </x:c>
      <x:c r="D16" s="17" t="str">
        <x:v>Whether comparable institution and work metrics were collected.</x:v>
      </x:c>
      <x:c r="E16" s="17" t="str">
        <x:v>Controlled text</x:v>
      </x:c>
      <x:c r="F16" s="17" t="str">
        <x:v>Use only Collected rows in analysis until the quota run is completed.</x:v>
      </x:c>
    </x:row>
    <x:row r="17">
      <x:c r="A17" s="17" t="str">
        <x:v>OpenAlex 2021-2025</x:v>
      </x:c>
      <x:c r="B17" s="17" t="str">
        <x:v>Keyword Works 2021-2025</x:v>
      </x:c>
      <x:c r="C17" s="17" t="str">
        <x:v>Non-negative integer</x:v>
      </x:c>
      <x:c r="D17" s="17" t="str">
        <x:v>Works returned by the documented OpenAlex institution/date/keyword query.</x:v>
      </x:c>
      <x:c r="E17" s="17" t="str">
        <x:v>Number</x:v>
      </x:c>
      <x:c r="F17" s="17" t="str">
        <x:v>Broad keyword signal; not a program-specific publication count.</x:v>
      </x:c>
    </x:row>
    <x:row r="18">
      <x:c r="A18" s="17" t="str">
        <x:v>OpenAlex 2021-2025</x:v>
      </x:c>
      <x:c r="B18" s="17" t="str">
        <x:v>Top-25 Citations</x:v>
      </x:c>
      <x:c r="C18" s="17" t="str">
        <x:v>Non-negative integer</x:v>
      </x:c>
      <x:c r="D18" s="17" t="str">
        <x:v>Citation sum for the 25 most-cited matching works returned by the query.</x:v>
      </x:c>
      <x:c r="E18" s="17" t="str">
        <x:v>Number</x:v>
      </x:c>
      <x:c r="F18" s="17" t="str">
        <x:v>Not total citations for all matching works.</x:v>
      </x:c>
    </x:row>
    <x:row r="19">
      <x:c r="A19" s="17" t="str">
        <x:v>Program Details</x:v>
      </x:c>
      <x:c r="B19" s="17" t="str">
        <x:v>Tuition / Fees</x:v>
      </x:c>
      <x:c r="C19" s="17" t="str">
        <x:v>Published amount and fee context, or Not stated</x:v>
      </x:c>
      <x:c r="D19" s="17" t="str">
        <x:v>Current official cost evidence where available.</x:v>
      </x:c>
      <x:c r="E19" s="17" t="str">
        <x:v>Text</x:v>
      </x:c>
      <x:c r="F19" s="17" t="str">
        <x:v>Validate cohort/year and domestic/international applicability before comparison.</x:v>
      </x:c>
    </x:row>
    <x:row r="20">
      <x:c r="A20" s="17" t="str">
        <x:v>Program Details</x:v>
      </x:c>
      <x:c r="B20" s="17" t="str">
        <x:v>Internship / Fieldwork</x:v>
      </x:c>
      <x:c r="C20" s="17" t="str">
        <x:v>Official evidence text / NA</x:v>
      </x:c>
      <x:c r="D20" s="17" t="str">
        <x:v>Experiential learning identified on reviewed official pages.</x:v>
      </x:c>
      <x:c r="E20" s="17" t="str">
        <x:v>Text</x:v>
      </x:c>
      <x:c r="F20" s="17" t="str">
        <x:v>NA means none was identified; it does not prove the program never offers it.</x:v>
      </x:c>
    </x:row>
    <x:row r="21">
      <x:c r="A21" s="17" t="str">
        <x:v>Program Details</x:v>
      </x:c>
      <x:c r="B21" s="17" t="str">
        <x:v>Thesis Option</x:v>
      </x:c>
      <x:c r="C21" s="17" t="str">
        <x:v>Yes / No / Not stated</x:v>
      </x:c>
      <x:c r="D21" s="17" t="str">
        <x:v>Whether a thesis route or requirement was identified.</x:v>
      </x:c>
      <x:c r="E21" s="17" t="str">
        <x:v>Controlled text</x:v>
      </x:c>
      <x:c r="F21" s="17" t="str">
        <x:v>Read Thesis Evidence for required versus optional status.</x:v>
      </x:c>
    </x:row>
    <x:row r="22">
      <x:c r="A22" s="17" t="str">
        <x:v>Program Details</x:v>
      </x:c>
      <x:c r="B22" s="17" t="str">
        <x:v>Not stated on reviewed official page</x:v>
      </x:c>
      <x:c r="C22" s="17" t="str">
        <x:v>Missing-value label</x:v>
      </x:c>
      <x:c r="D22" s="17" t="str">
        <x:v>Requested evidence was not found on reviewed official sources.</x:v>
      </x:c>
      <x:c r="E22" s="17" t="str">
        <x:v>Text</x:v>
      </x:c>
      <x:c r="F22" s="17" t="str">
        <x:v>Do not convert this label to zero.</x:v>
      </x:c>
    </x:row>
    <x:row r="23">
      <x:c r="A23" s="17" t="str">
        <x:v>All</x:v>
      </x:c>
      <x:c r="B23" s="17" t="str">
        <x:v>Verification Date / Retrieved</x:v>
      </x:c>
      <x:c r="C23" s="17" t="str">
        <x:v>YYYY-MM-DD</x:v>
      </x:c>
      <x:c r="D23" s="17" t="str">
        <x:v>Point-in-time date of verification or source collection.</x:v>
      </x:c>
      <x:c r="E23" s="17" t="str">
        <x:v>Date-like text</x:v>
      </x:c>
      <x:c r="F23" s="17" t="str">
        <x:v>Refresh before final publication.</x:v>
      </x:c>
    </x:row>
  </x:sheetData>
  <x:mergeCells>
    <x:mergeCell ref="A1:F1"/>
    <x:mergeCell ref="A2:F2"/>
  </x:mergeCells>
  <x:pageMargins left="0.7" right="0.7" top="0.75" bottom="0.75" header="0.3" footer="0.3"/>
  <x:tableParts count="1">
    <x:tablePart xmlns:r="http://schemas.openxmlformats.org/officeDocument/2006/relationships" r:id="R0a72f8fa40794c8e"/>
  </x:tableParts>
</x:worksheet>
</file>