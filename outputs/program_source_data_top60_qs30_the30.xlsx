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gzh_l\Desktop\大学学习资料\BUSA649\Codex_Generated_Files\outputs\"/>
    </mc:Choice>
  </mc:AlternateContent>
  <xr:revisionPtr revIDLastSave="0" documentId="13_ncr:1_{9526E0C0-D42C-409F-9EB8-C486320245DA}" xr6:coauthVersionLast="47" xr6:coauthVersionMax="47" xr10:uidLastSave="{00000000-0000-0000-0000-000000000000}"/>
  <bookViews>
    <workbookView xWindow="-98" yWindow="-98" windowWidth="23236" windowHeight="13875" firstSheet="6" activeTab="10" xr2:uid="{00000000-000D-0000-FFFF-FFFF00000000}"/>
  </bookViews>
  <sheets>
    <sheet name="Summary" sheetId="1" r:id="rId1"/>
    <sheet name="Selection Audit" sheetId="2" r:id="rId2"/>
    <sheet name="Candidate Universities" sheetId="3" r:id="rId3"/>
    <sheet name="Program Verification" sheetId="4" r:id="rId4"/>
    <sheet name="QS Sustainability Top 30" sheetId="5" r:id="rId5"/>
    <sheet name="THE Impact 30 Additions" sheetId="6" r:id="rId6"/>
    <sheet name="Overlap Analysis" sheetId="7" r:id="rId7"/>
    <sheet name="AASHE STARS" sheetId="8" r:id="rId8"/>
    <sheet name="UN PRME" sheetId="9" r:id="rId9"/>
    <sheet name="OpenAlex 2021-2025" sheetId="10" r:id="rId10"/>
    <sheet name="Program Details" sheetId="11" r:id="rId11"/>
    <sheet name="Verification Issues" sheetId="12" r:id="rId12"/>
    <sheet name="URL Audit" sheetId="13" r:id="rId13"/>
    <sheet name="Data Dictionary" sheetId="14" r:id="rId14"/>
    <sheet name="Method &amp; Sources"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9" i="1" l="1"/>
  <c r="B18" i="1"/>
  <c r="B17" i="1"/>
  <c r="B16" i="1"/>
  <c r="B15" i="1"/>
  <c r="B14" i="1"/>
  <c r="B13" i="1"/>
  <c r="B12" i="1"/>
  <c r="B11" i="1"/>
  <c r="B10" i="1"/>
  <c r="B9" i="1"/>
  <c r="B8" i="1"/>
  <c r="B7" i="1"/>
  <c r="B6" i="1"/>
  <c r="B5" i="1"/>
</calcChain>
</file>

<file path=xl/sharedStrings.xml><?xml version="1.0" encoding="utf-8"?>
<sst xmlns="http://schemas.openxmlformats.org/spreadsheetml/2006/main" count="4859" uniqueCount="1674">
  <si>
    <t>Sustainability Program Dataset - 60 Selected Programs</t>
  </si>
  <si>
    <t>Thirty programs selected from QS Sustainability ranking order and thirty nonduplicate additions from THE Sustainability Impact ranking order. Validated source data retained from 18-19 July 2026.</t>
  </si>
  <si>
    <t>Metric</t>
  </si>
  <si>
    <t>Value</t>
  </si>
  <si>
    <t>Interpretation</t>
  </si>
  <si>
    <t>Audit Rule</t>
  </si>
  <si>
    <t>Selected programs</t>
  </si>
  <si>
    <t>Exactly 60 distinct institutions and programs</t>
  </si>
  <si>
    <t>30 QS cohort + 30 nonduplicate THE cohort</t>
  </si>
  <si>
    <t>QS selection cohort</t>
  </si>
  <si>
    <t>First 30 QS records in official ranking order</t>
  </si>
  <si>
    <t>Rank, overall score, then official source order</t>
  </si>
  <si>
    <t>THE selection cohort</t>
  </si>
  <si>
    <t>30 highest-ranked THE records not already selected by QS</t>
  </si>
  <si>
    <t>Extends through published rank 33</t>
  </si>
  <si>
    <t>Selected institutions in both source rankings</t>
  </si>
  <si>
    <t>Five institutions have both source ranks</t>
  </si>
  <si>
    <t>Each program appears once in the 60-row sample</t>
  </si>
  <si>
    <t>QS-only source institutions</t>
  </si>
  <si>
    <t>Selected institutions appearing only in the QS source cutoff</t>
  </si>
  <si>
    <t>Candidate Source field</t>
  </si>
  <si>
    <t>THE-only source institutions</t>
  </si>
  <si>
    <t>Selected institutions appearing only in the THE source cutoff</t>
  </si>
  <si>
    <t>Programs confirmed</t>
  </si>
  <si>
    <t>Current master's-level program or explicitly labeled best-fit path</t>
  </si>
  <si>
    <t>Official university source</t>
  </si>
  <si>
    <t>Programs requiring manual review</t>
  </si>
  <si>
    <t>McMaster University</t>
  </si>
  <si>
    <t>Manual follow-up before analysis</t>
  </si>
  <si>
    <t>AASHE records with ratings shown</t>
  </si>
  <si>
    <t>11 selected records have a published rating</t>
  </si>
  <si>
    <t>Strict institution/campus scope</t>
  </si>
  <si>
    <t>Verified UN PRME signatories</t>
  </si>
  <si>
    <t>Current school-level or institution-level signatory matches</t>
  </si>
  <si>
    <t>Verified exact/alias match only</t>
  </si>
  <si>
    <t>Communicating UN PRME signatories</t>
  </si>
  <si>
    <t>Current status published by UN PRME</t>
  </si>
  <si>
    <t>UN PRME status text</t>
  </si>
  <si>
    <t>Recent SIP reports (2022-2026)</t>
  </si>
  <si>
    <t>Sum of reports across the selected sample</t>
  </si>
  <si>
    <t>Report year, not migration upload date</t>
  </si>
  <si>
    <t>OpenAlex institution matches collected</t>
  </si>
  <si>
    <t>2021-2025 keyword works collected before anonymous quota was reached</t>
  </si>
  <si>
    <t>Missing API rows remain blank, not zero</t>
  </si>
  <si>
    <t>Program detail rows</t>
  </si>
  <si>
    <t>One official-source detail row per selected program</t>
  </si>
  <si>
    <t>Missing fields remain explicit</t>
  </si>
  <si>
    <t>Program URLs passing automated fetch</t>
  </si>
  <si>
    <t>53 selected URLs passed; 7 require manual opening</t>
  </si>
  <si>
    <t>HTTP 2xx/3xx follow-through</t>
  </si>
  <si>
    <t>Correction</t>
  </si>
  <si>
    <t>Previous Issue</t>
  </si>
  <si>
    <t>Correct Treatment</t>
  </si>
  <si>
    <t>Status</t>
  </si>
  <si>
    <t>Ranking family</t>
  </si>
  <si>
    <t>General QS/THE world rankings were used</t>
  </si>
  <si>
    <t>Use QS Sustainability and THE Sustainability Impact Ratings</t>
  </si>
  <si>
    <t>Corrected</t>
  </si>
  <si>
    <t>Validated source universe</t>
  </si>
  <si>
    <t>62 institutions</t>
  </si>
  <si>
    <t>96 retained institutions after excluding ID 75</t>
  </si>
  <si>
    <t>Analytical sample</t>
  </si>
  <si>
    <t>No fixed nonduplicate 60-program rule</t>
  </si>
  <si>
    <t>30 QS records plus 30 highest-ranked nonduplicate THE additions</t>
  </si>
  <si>
    <t>QS cohort</t>
  </si>
  <si>
    <t>Ties could increase the sample above 30</t>
  </si>
  <si>
    <t>Exactly 30 records; source order resolves the final rank-30 tie</t>
  </si>
  <si>
    <t>Documented</t>
  </si>
  <si>
    <t>THE cohort</t>
  </si>
  <si>
    <t>Overlap could reduce the sample below 60</t>
  </si>
  <si>
    <t>Exclude QS cohort IDs, then select 30 THE additions through rank 33</t>
  </si>
  <si>
    <t>Manual exclusion</t>
  </si>
  <si>
    <t>Al-Ahliyya Amman University was retained</t>
  </si>
  <si>
    <t>ID 75 remains excluded after manual validation</t>
  </si>
  <si>
    <t>McGill program</t>
  </si>
  <si>
    <t>Undergraduate Sustainability, Science &amp; Society labeled as MSc</t>
  </si>
  <si>
    <t>MSc Geography with sustainability/environment research theme</t>
  </si>
  <si>
    <t>UBC program</t>
  </si>
  <si>
    <t>Paused Sustainable Process Engineering MEL</t>
  </si>
  <si>
    <t>Current Clean Energy Engineering MEL</t>
  </si>
  <si>
    <t>Toronto AASHE</t>
  </si>
  <si>
    <t>Mississauga campus Gold inherited by parent</t>
  </si>
  <si>
    <t>Campus-only evidence retained; parent receives no rating</t>
  </si>
  <si>
    <t>60-Program Selection Audit</t>
  </si>
  <si>
    <t>Exactly 30 QS programs plus 30 highest-ranked nonduplicate THE additions. Program IDs remain unchanged for reproducibility.</t>
  </si>
  <si>
    <t>Selection Cohort</t>
  </si>
  <si>
    <t>Cohort Position</t>
  </si>
  <si>
    <t>ID</t>
  </si>
  <si>
    <t>Institution</t>
  </si>
  <si>
    <t>Country</t>
  </si>
  <si>
    <t>QS Rank</t>
  </si>
  <si>
    <t>THE Rank</t>
  </si>
  <si>
    <t>Program</t>
  </si>
  <si>
    <t>Selection Rule</t>
  </si>
  <si>
    <t>QS Profile URL</t>
  </si>
  <si>
    <t>THE Profile URL</t>
  </si>
  <si>
    <t>QS</t>
  </si>
  <si>
    <t>Lund University</t>
  </si>
  <si>
    <t>Sweden</t>
  </si>
  <si>
    <t>1</t>
  </si>
  <si>
    <t>MSc Environmental Studies and Sustainability Science (LUMES)</t>
  </si>
  <si>
    <t>Selected among the first 30 QS records; official list order resolves the rank-30 tie.</t>
  </si>
  <si>
    <t>https://www.topuniversities.com/universities/lund-university</t>
  </si>
  <si>
    <t>University of Toronto</t>
  </si>
  <si>
    <t>Canada</t>
  </si>
  <si>
    <t>2</t>
  </si>
  <si>
    <t>Master of Environment &amp; Sustainability</t>
  </si>
  <si>
    <t>https://www.topuniversities.com/universities/university-toronto</t>
  </si>
  <si>
    <t>UCL</t>
  </si>
  <si>
    <t>United Kingdom</t>
  </si>
  <si>
    <t>3</t>
  </si>
  <si>
    <t>Sustainable Resources: Economics, Policy and Transitions MSc</t>
  </si>
  <si>
    <t>https://www.topuniversities.com/universities/ucl</t>
  </si>
  <si>
    <t>The University of Edinburgh</t>
  </si>
  <si>
    <t>4</t>
  </si>
  <si>
    <t>MSc Global Strategy and Sustainability</t>
  </si>
  <si>
    <t>https://www.topuniversities.com/universities/university-edinburgh</t>
  </si>
  <si>
    <t>University of British Columbia</t>
  </si>
  <si>
    <t>5</t>
  </si>
  <si>
    <t>Master of Engineering Leadership in Clean Energy Engineering</t>
  </si>
  <si>
    <t>https://www.topuniversities.com/universities/university-british-columbia</t>
  </si>
  <si>
    <t>The London School of Economics and Political Science (LSE)</t>
  </si>
  <si>
    <t>6</t>
  </si>
  <si>
    <t>MSc Environmental Policy and Regulation</t>
  </si>
  <si>
    <t>https://www.topuniversities.com/universities/london-school-economics-political-science-lse</t>
  </si>
  <si>
    <t>Imperial College London</t>
  </si>
  <si>
    <t>MSc Climate Change, Management &amp; Finance</t>
  </si>
  <si>
    <t>https://www.topuniversities.com/universities/imperial-college-london</t>
  </si>
  <si>
    <t>The University of New South Wales (UNSW Sydney)</t>
  </si>
  <si>
    <t>Australia</t>
  </si>
  <si>
    <t>Master of Environmental Management</t>
  </si>
  <si>
    <t>https://www.topuniversities.com/universities/university-new-south-wales-unsw-sydney</t>
  </si>
  <si>
    <t>https://www.timeshighereducation.com/world-university-rankings/unsw-sydney</t>
  </si>
  <si>
    <t>McGill University</t>
  </si>
  <si>
    <t>9</t>
  </si>
  <si>
    <t>MSc Geography - Sustainability Science and Environmental Management research theme</t>
  </si>
  <si>
    <t>https://www.topuniversities.com/universities/mcgill-university</t>
  </si>
  <si>
    <t>The University of Manchester</t>
  </si>
  <si>
    <t>10</t>
  </si>
  <si>
    <t>MSc Environmental Governance</t>
  </si>
  <si>
    <t>https://www.topuniversities.com/universities/university-manchester</t>
  </si>
  <si>
    <t>https://www.timeshighereducation.com/world-university-rankings/university-manchester</t>
  </si>
  <si>
    <t>ETH Zurich</t>
  </si>
  <si>
    <t>Switzerland</t>
  </si>
  <si>
    <t>MSc Environmental Sciences</t>
  </si>
  <si>
    <t>https://www.topuniversities.com/universities/eth-zurich</t>
  </si>
  <si>
    <t>The University of Melbourne</t>
  </si>
  <si>
    <t>Master of Environment</t>
  </si>
  <si>
    <t>https://www.topuniversities.com/universities/university-melbourne</t>
  </si>
  <si>
    <t>University of California, Berkeley (UCB)</t>
  </si>
  <si>
    <t>United States</t>
  </si>
  <si>
    <t>Master of Climate Solutions</t>
  </si>
  <si>
    <t>https://www.topuniversities.com/universities/university-california-berkeley-ucb</t>
  </si>
  <si>
    <t>Stanford University</t>
  </si>
  <si>
    <t>13</t>
  </si>
  <si>
    <t>MS Sustainability Science and Practice</t>
  </si>
  <si>
    <t>https://www.topuniversities.com/universities/stanford-university</t>
  </si>
  <si>
    <t>University of Oxford</t>
  </si>
  <si>
    <t>14</t>
  </si>
  <si>
    <t>MSc in Sustainability, Enterprise and the Environment</t>
  </si>
  <si>
    <t>https://www.topuniversities.com/universities/university-oxford</t>
  </si>
  <si>
    <t>The University of Sydney</t>
  </si>
  <si>
    <t>15</t>
  </si>
  <si>
    <t>Master of Sustainability</t>
  </si>
  <si>
    <t>https://www.topuniversities.com/universities/university-sydney</t>
  </si>
  <si>
    <t>Australian National University (ANU)</t>
  </si>
  <si>
    <t>Master of Climate Change</t>
  </si>
  <si>
    <t>https://www.topuniversities.com/universities/australian-national-university-anu</t>
  </si>
  <si>
    <t>King's College London</t>
  </si>
  <si>
    <t>Environment, Politics and Development MSc</t>
  </si>
  <si>
    <t>https://www.topuniversities.com/universities/kings-college-london</t>
  </si>
  <si>
    <t>University of Bristol</t>
  </si>
  <si>
    <t>19</t>
  </si>
  <si>
    <t>MSc Environmental Policy and Management</t>
  </si>
  <si>
    <t>https://www.topuniversities.com/universities/university-bristol</t>
  </si>
  <si>
    <t>New York University (NYU)</t>
  </si>
  <si>
    <t>20</t>
  </si>
  <si>
    <t>MS in Environmental Policy and Sustainability Management</t>
  </si>
  <si>
    <t>https://www.topuniversities.com/universities/new-york-university-nyu</t>
  </si>
  <si>
    <t>Pennsylvania State University</t>
  </si>
  <si>
    <t>21</t>
  </si>
  <si>
    <t>Master of Professional Studies in Renewable Energy and Sustainability Systems</t>
  </si>
  <si>
    <t>https://www.topuniversities.com/universities/pennsylvania-state-university</t>
  </si>
  <si>
    <t>KU Leuven</t>
  </si>
  <si>
    <t>Belgium</t>
  </si>
  <si>
    <t>Master of Sustainable Development</t>
  </si>
  <si>
    <t>https://www.topuniversities.com/universities/ku-leuven</t>
  </si>
  <si>
    <t>University of Helsinki</t>
  </si>
  <si>
    <t>Finland</t>
  </si>
  <si>
    <t>Master's Programme in Environmental Change and Global Sustainability</t>
  </si>
  <si>
    <t>https://www.topuniversities.com/universities/university-helsinki</t>
  </si>
  <si>
    <t>Durham University</t>
  </si>
  <si>
    <t>MSc Climate Change, Environmental Processes and Sustainable Futures</t>
  </si>
  <si>
    <t>https://www.topuniversities.com/universities/durham-university</t>
  </si>
  <si>
    <t>University of Leeds</t>
  </si>
  <si>
    <t>MSc Sustainability, Environment and Development</t>
  </si>
  <si>
    <t>https://www.topuniversities.com/universities/university-leeds</t>
  </si>
  <si>
    <t>Western University</t>
  </si>
  <si>
    <t>Master of Environment and Sustainability</t>
  </si>
  <si>
    <t>https://www.topuniversities.com/universities/western-university</t>
  </si>
  <si>
    <t>https://www.timeshighereducation.com/world-university-rankings/western-university</t>
  </si>
  <si>
    <t>University of Glasgow</t>
  </si>
  <si>
    <t>27</t>
  </si>
  <si>
    <t>MSc Environment &amp; Sustainable Development</t>
  </si>
  <si>
    <t>https://www.topuniversities.com/universities/university-glasgow</t>
  </si>
  <si>
    <t>https://www.timeshighereducation.com/world-university-rankings/university-glasgow</t>
  </si>
  <si>
    <t>The University of Auckland</t>
  </si>
  <si>
    <t>New Zealand</t>
  </si>
  <si>
    <t>28</t>
  </si>
  <si>
    <t>Master of Environmental Science</t>
  </si>
  <si>
    <t>https://www.topuniversities.com/universities/university-auckland</t>
  </si>
  <si>
    <t>Trinity College Dublin, The University of Dublin</t>
  </si>
  <si>
    <t>Ireland</t>
  </si>
  <si>
    <t>29</t>
  </si>
  <si>
    <t>https://www.topuniversities.com/universities/trinity-college-dublin-university-dublin</t>
  </si>
  <si>
    <t>University of Pennsylvania</t>
  </si>
  <si>
    <t>Master of Environmental Studies</t>
  </si>
  <si>
    <t>https://www.topuniversities.com/universities/university-pennsylvania</t>
  </si>
  <si>
    <t>THE</t>
  </si>
  <si>
    <t>Griffith University</t>
  </si>
  <si>
    <t>Master of Global Development - Sustainable Development major</t>
  </si>
  <si>
    <t>Highest-ranked THE record not already selected in the QS cohort; 30 distinct additions retained.</t>
  </si>
  <si>
    <t>https://www.timeshighereducation.com/world-university-rankings/griffith-university</t>
  </si>
  <si>
    <t>Western Sydney University</t>
  </si>
  <si>
    <t>Master of Sustainable Tourism, Hospitality and Event Management</t>
  </si>
  <si>
    <t>https://www.timeshighereducation.com/world-university-rankings/western-sydney-university</t>
  </si>
  <si>
    <t>Queen's University</t>
  </si>
  <si>
    <t>https://www.timeshighereducation.com/world-university-rankings/queens-university</t>
  </si>
  <si>
    <t>Universiti Sains Malaysia</t>
  </si>
  <si>
    <t>Malaysia</t>
  </si>
  <si>
    <t>Master in Sustainable Development Practice</t>
  </si>
  <si>
    <t>https://www.timeshighereducation.com/world-university-rankings/universiti-sains-malaysia</t>
  </si>
  <si>
    <t>Hanyang University</t>
  </si>
  <si>
    <t>South Korea</t>
  </si>
  <si>
    <t>Master's majors in Global Climate and Environmental Studies</t>
  </si>
  <si>
    <t>https://www.timeshighereducation.com/world-university-rankings/hanyang-university</t>
  </si>
  <si>
    <t>Hokkaido University</t>
  </si>
  <si>
    <t>Japan</t>
  </si>
  <si>
    <t>Master's Program, Graduate School of Environmental Science</t>
  </si>
  <si>
    <t>https://www.timeshighereducation.com/world-university-rankings/hokkaido-university</t>
  </si>
  <si>
    <t>Universiti Kebangsaan Malaysia</t>
  </si>
  <si>
    <t>Master of Science / Master of Arts in Environment and Development</t>
  </si>
  <si>
    <t>https://www.timeshighereducation.com/world-university-rankings/universiti-kebangsaan-malaysia</t>
  </si>
  <si>
    <t>Institut Agro</t>
  </si>
  <si>
    <t>France</t>
  </si>
  <si>
    <t>Master's pathway: Transitions in Environmental and Agrifood Systems Management</t>
  </si>
  <si>
    <t>https://www.timeshighereducation.com/world-university-rankings/institut-agro</t>
  </si>
  <si>
    <t>National Taiwan University (NTU)</t>
  </si>
  <si>
    <t>Taiwan</t>
  </si>
  <si>
    <t>Master's Program in Biodiversity</t>
  </si>
  <si>
    <t>https://www.timeshighereducation.com/world-university-rankings/national-taiwan-university-ntu</t>
  </si>
  <si>
    <t>University of Alberta</t>
  </si>
  <si>
    <t>https://www.timeshighereducation.com/world-university-rankings/university-alberta</t>
  </si>
  <si>
    <t>Korea University</t>
  </si>
  <si>
    <t>Master's in Climatic Environment</t>
  </si>
  <si>
    <t>https://www.timeshighereducation.com/world-university-rankings/korea-university</t>
  </si>
  <si>
    <t>Universitas Airlangga</t>
  </si>
  <si>
    <t>Indonesia</t>
  </si>
  <si>
    <t>Master of Environmental Health</t>
  </si>
  <si>
    <t>https://www.timeshighereducation.com/world-university-rankings/universitas-airlangga</t>
  </si>
  <si>
    <t>Pusan National University</t>
  </si>
  <si>
    <t>Master's programs, Graduate School of Environment</t>
  </si>
  <si>
    <t>https://www.timeshighereducation.com/world-university-rankings/pusan-national-university</t>
  </si>
  <si>
    <t>University of Tasmania</t>
  </si>
  <si>
    <t>Master of Environmental Geospatial Science</t>
  </si>
  <si>
    <t>https://www.timeshighereducation.com/world-university-rankings/university-tasmania</t>
  </si>
  <si>
    <t>18</t>
  </si>
  <si>
    <t>No directly qualifying sustainability/environment master's confirmed</t>
  </si>
  <si>
    <t>https://www.timeshighereducation.com/world-university-rankings/mcmaster-university</t>
  </si>
  <si>
    <t>Chulalongkorn University</t>
  </si>
  <si>
    <t>Thailand</t>
  </si>
  <si>
    <t>MA Environment, Development and Sustainability</t>
  </si>
  <si>
    <t>https://www.timeshighereducation.com/world-university-rankings/chulalongkorn-university</t>
  </si>
  <si>
    <t>University of Exeter</t>
  </si>
  <si>
    <t>MSc Global Sustainability Solutions</t>
  </si>
  <si>
    <t>https://www.topuniversities.com/universities/university-exeter</t>
  </si>
  <si>
    <t>https://www.timeshighereducation.com/world-university-rankings/university-exeter</t>
  </si>
  <si>
    <t>Kyungpook National University (KNU)</t>
  </si>
  <si>
    <t>Graduate major in Environmental and Energy Engineering</t>
  </si>
  <si>
    <t>https://www.timeshighereducation.com/world-university-rankings/kyungpook-national-university-knu</t>
  </si>
  <si>
    <t>The Hong Kong University of Science and Technology</t>
  </si>
  <si>
    <t>Hong Kong</t>
  </si>
  <si>
    <t>MSc in Environmental Engineering and Management</t>
  </si>
  <si>
    <t>https://www.timeshighereducation.com/world-university-rankings/hong-kong-university-science-and-technology</t>
  </si>
  <si>
    <t>Lovely Professional University</t>
  </si>
  <si>
    <t>India</t>
  </si>
  <si>
    <t>23</t>
  </si>
  <si>
    <t>https://www.timeshighereducation.com/world-university-rankings/lovely-professional-university</t>
  </si>
  <si>
    <t>University of Malaya</t>
  </si>
  <si>
    <t>24</t>
  </si>
  <si>
    <t>Master of Sustainability Science</t>
  </si>
  <si>
    <t>https://www.timeshighereducation.com/world-university-rankings/university-malaya</t>
  </si>
  <si>
    <t>Aalborg University</t>
  </si>
  <si>
    <t>Denmark</t>
  </si>
  <si>
    <t>25</t>
  </si>
  <si>
    <t>MSc Engineering in Sustainable Cities</t>
  </si>
  <si>
    <t>https://www.timeshighereducation.com/world-university-rankings/aalborg-university</t>
  </si>
  <si>
    <t>Kyung Hee University</t>
  </si>
  <si>
    <t>26</t>
  </si>
  <si>
    <t>Graduate pathway in Environmental Science and Engineering</t>
  </si>
  <si>
    <t>https://www.timeshighereducation.com/world-university-rankings/kyung-hee-university</t>
  </si>
  <si>
    <t>University of Victoria</t>
  </si>
  <si>
    <t>MA/MSc Environmental Studies</t>
  </si>
  <si>
    <t>https://www.timeshighereducation.com/world-university-rankings/university-victoria</t>
  </si>
  <si>
    <t>Central Queensland University</t>
  </si>
  <si>
    <t>https://www.timeshighereducation.com/world-university-rankings/central-queensland-university</t>
  </si>
  <si>
    <t>University of Newcastle</t>
  </si>
  <si>
    <t>30</t>
  </si>
  <si>
    <t>Master of Environmental Management and Sustainability</t>
  </si>
  <si>
    <t>https://www.timeshighereducation.com/world-university-rankings/university-newcastle</t>
  </si>
  <si>
    <t>Northumbria University</t>
  </si>
  <si>
    <t>MSc Disaster Management and Sustainable Development</t>
  </si>
  <si>
    <t>https://www.timeshighereducation.com/world-university-rankings/northumbria-university</t>
  </si>
  <si>
    <t>University of Indonesia</t>
  </si>
  <si>
    <t>https://www.timeshighereducation.com/world-university-rankings/university-indonesia</t>
  </si>
  <si>
    <t>An-Najah National University</t>
  </si>
  <si>
    <t>Palestine</t>
  </si>
  <si>
    <t>https://www.timeshighereducation.com/world-university-rankings/najah-national-university</t>
  </si>
  <si>
    <t>Arizona State University (Tempe)</t>
  </si>
  <si>
    <t>Master of Sustainability Solutions</t>
  </si>
  <si>
    <t>https://www.timeshighereducation.com/world-university-rankings/arizona-state-university-tempe</t>
  </si>
  <si>
    <t>Candidate Universities - 60 Selected Programs</t>
  </si>
  <si>
    <t>Analytical sample: 30 QS records plus 30 highest-ranked THE records not already selected by QS. Candidate Source retains original top-50 source membership.</t>
  </si>
  <si>
    <t>Candidate Source</t>
  </si>
  <si>
    <t>QS Score</t>
  </si>
  <si>
    <t>THE Overall Score</t>
  </si>
  <si>
    <t>QS Sustainability</t>
  </si>
  <si>
    <t>Both</t>
  </si>
  <si>
    <t>THE Impact</t>
  </si>
  <si>
    <t>Program Verification - 60 Selected Programs</t>
  </si>
  <si>
    <t>One current sustainability/environment-related master's program or explicitly labeled best-fit path per selected institution. Official university URLs are retained.</t>
  </si>
  <si>
    <t>Program Name</t>
  </si>
  <si>
    <t>Match Type</t>
  </si>
  <si>
    <t>Verification Status</t>
  </si>
  <si>
    <t>Official Program URL</t>
  </si>
  <si>
    <t>Verification Date</t>
  </si>
  <si>
    <t>URL Audit</t>
  </si>
  <si>
    <t>HTTP Status</t>
  </si>
  <si>
    <t>Verification Note</t>
  </si>
  <si>
    <t>Direct</t>
  </si>
  <si>
    <t>Confirmed</t>
  </si>
  <si>
    <t>https://www.lunduniversity.lu.se/study/environmental-studies-and-sustainability-science-master-of-science-programme-SAESS</t>
  </si>
  <si>
    <t>2026-07-18</t>
  </si>
  <si>
    <t>OK</t>
  </si>
  <si>
    <t>Current official degree page.</t>
  </si>
  <si>
    <t>https://www.environment.utoronto.ca/graduate/mes</t>
  </si>
  <si>
    <t>Carried forward and included for URL recheck.</t>
  </si>
  <si>
    <t>https://www.ucl.ac.uk/prospective-students/graduate/taught-degrees/sustainable-resources-economics-policy-and-transitions-msc</t>
  </si>
  <si>
    <t>https://www.business-school.ed.ac.uk/msc/global-strategy-sustainability</t>
  </si>
  <si>
    <t>https://apscpp.ubc.ca/programs/mel/clean-energy-engineering</t>
  </si>
  <si>
    <t>Replaced the paused Sustainable Process Engineering MEL with the current Clean Energy Engineering MEL.</t>
  </si>
  <si>
    <t>https://www.lse.ac.uk/study-at-lse/graduate/msc-environmental-policy-and-regulation</t>
  </si>
  <si>
    <t>https://www.imperial.ac.uk/business-school/masters/climate-change-management-finance/</t>
  </si>
  <si>
    <t>https://www.unsw.edu.au/study/postgraduate/master-of-environmental-management</t>
  </si>
  <si>
    <t>Research</t>
  </si>
  <si>
    <t>https://www.mcgill.ca/gradapplicants/program/geography-msc</t>
  </si>
  <si>
    <t>The previous Sustainability, Science &amp; Society entry was an undergraduate program. The current Geography MSc includes Sustainability Science and Environmental Management as a thematic area.</t>
  </si>
  <si>
    <t>https://www.manchester.ac.uk/study/masters/courses/list/06967/msc-environmental-governance/</t>
  </si>
  <si>
    <t>Updated to the current 2026 course identifier and URL.</t>
  </si>
  <si>
    <t>https://ethz.ch/en/studies/master/degree-programmes/system-oriented-natural-sciences/environmental-sciences.html</t>
  </si>
  <si>
    <t>Updated to the current ETH degree-program URL.</t>
  </si>
  <si>
    <t>https://study.unimelb.edu.au/find/courses/graduate/master-of-environment/</t>
  </si>
  <si>
    <t>Blocked by site (403)</t>
  </si>
  <si>
    <t>https://climatesolutions.berkeley.edu/</t>
  </si>
  <si>
    <t>Restricted</t>
  </si>
  <si>
    <t>https://bulletin.stanford.edu/programs/SUSTSCI-MS/general-aoYks</t>
  </si>
  <si>
    <t>Current interdisciplinary sustainability master's, but it is a coterminal program for Stanford students.</t>
  </si>
  <si>
    <t>https://www.smithschool.ox.ac.uk/course/msc-sustainability-enterprise-and-environment</t>
  </si>
  <si>
    <t>https://www.sydney.edu.au/courses/courses/pc/master-of-sustainability.html</t>
  </si>
  <si>
    <t>https://programsandcourses.anu.edu.au/program/MCLCH</t>
  </si>
  <si>
    <t>https://www.kcl.ac.uk/study/postgraduate-taught/courses/environment-politics-and-development-msc</t>
  </si>
  <si>
    <t>https://www.bristol.ac.uk/study/postgraduate/taught/msc-environmental-policy-and-management/</t>
  </si>
  <si>
    <t>https://www.sps.nyu.edu/homepage/academics/masters-degrees/ms-in-environmental-policy-and-sustainability-management.html</t>
  </si>
  <si>
    <t>https://www.ems.psu.edu/academics/find-program-study/renewable-energy-and-sustainability-systems-mps</t>
  </si>
  <si>
    <t>https://www.kuleuven.be/programmes/master-sustainable-development</t>
  </si>
  <si>
    <t>https://www.helsinki.fi/en/degree-programmes/environmental-change-and-global-sustainability-masters-programme</t>
  </si>
  <si>
    <t>https://www.durham.ac.uk/departments/academic/geography/postgraduate-study/taught-masters/</t>
  </si>
  <si>
    <t>Official taught-master's listing; the program is new for 2026.</t>
  </si>
  <si>
    <t>https://courses.leeds.ac.uk/j985/sustainability-environment-and-development-msc</t>
  </si>
  <si>
    <t>Official 2026 entry page.</t>
  </si>
  <si>
    <t>https://www.uwo.ca/mes/</t>
  </si>
  <si>
    <t>https://www.gla.ac.uk/postgraduate/taught/environmentsustainabledevelopment/</t>
  </si>
  <si>
    <t>https://www.auckland.ac.nz/en/study/study-options/find-a-study-option/master-of-environmental-science-menvsci.html</t>
  </si>
  <si>
    <t>https://www.tcd.ie/courses/postgraduate/courses/environmental-sciences-msc--pgraddip/</t>
  </si>
  <si>
    <t>https://www.lps.upenn.edu/degree-programs/mes</t>
  </si>
  <si>
    <t>https://www.exeter.ac.uk/masters-degrees/msc-global-sustainability-solutions/</t>
  </si>
  <si>
    <t>Current official 2026 entry page.</t>
  </si>
  <si>
    <t>Major</t>
  </si>
  <si>
    <t>https://www.griffith.edu.au/study/degrees/master-of-global-development-5724</t>
  </si>
  <si>
    <t>Sustainability is a named major within the degree.</t>
  </si>
  <si>
    <t>https://www.westernsydney.edu.au/future/study/courses/postgraduate/master-of-sustainable-tourism-hospitality-and-event-management</t>
  </si>
  <si>
    <t>Current official degree page; domain-specific sustainability program.</t>
  </si>
  <si>
    <t>https://www.queensu.ca/ensc/graduate/programs-overview</t>
  </si>
  <si>
    <t>Official graduate-program overview.</t>
  </si>
  <si>
    <t>https://cgss.usm.my/programmes/postgraduate/coursework/masters-in-sustainable-development-practice-msdp</t>
  </si>
  <si>
    <t>Best-fit</t>
  </si>
  <si>
    <t>https://hygce.hanyang.ac.kr/-eng-1</t>
  </si>
  <si>
    <t>Official graduate-school page; several environment/climate majors rather than one generic degree.</t>
  </si>
  <si>
    <t>https://www.ees.hokudai.ac.jp/?lang=en</t>
  </si>
  <si>
    <t>Official graduate school page; select a division before analysis.</t>
  </si>
  <si>
    <t>https://www.ukm.my/lestari/program-siswazah/</t>
  </si>
  <si>
    <t>Official LESTARI research-master's page.</t>
  </si>
  <si>
    <t>https://www.institut-agro.fr/fr/nos-formations</t>
  </si>
  <si>
    <t>Official program catalogue; pathway is delivered within the national master's structure.</t>
  </si>
  <si>
    <t>https://mpb.ntu.edu.tw/about/overview</t>
  </si>
  <si>
    <t>English-taught program with a Biodiversity Conservation and Sustainability theme.</t>
  </si>
  <si>
    <t>https://apps.ualberta.ca/catalogue/course/sust</t>
  </si>
  <si>
    <t>Official catalogue confirms the course-based Master of Sustainability and capstone.</t>
  </si>
  <si>
    <t>https://gsles.korea.edu/gsles_en/master/subject07.do</t>
  </si>
  <si>
    <t>Official graduate-school major page.</t>
  </si>
  <si>
    <t>https://s2kesling.fkm.unair.ac.id/</t>
  </si>
  <si>
    <t>Automated fetch failed</t>
  </si>
  <si>
    <t>Official program site.</t>
  </si>
  <si>
    <t>https://www.pusan.ac.kr/eng/CMS/OrganizationMgr/SpecialGraduateInfo.do?gc_code=280000&amp;gc_parent_code=NONE-009&amp;mCode=MN021</t>
  </si>
  <si>
    <t>Official graduate-school page; choose the relevant environmental major.</t>
  </si>
  <si>
    <t>https://www.utas.edu.au/courses/cse/courses/p7b-master-of-environmental-geospatial-science</t>
  </si>
  <si>
    <t>Unresolved</t>
  </si>
  <si>
    <t>Manual review required</t>
  </si>
  <si>
    <t>https://continuing.mcmaster.ca/programs/business/sustainability/</t>
  </si>
  <si>
    <t>The official page found is a continuing-education sustainability certificate/diploma, not a master's degree.</t>
  </si>
  <si>
    <t>https://www.eds.grad.chula.ac.th/academics/degree-program/</t>
  </si>
  <si>
    <t>https://en.knu.ac.kr/admission/foreign02_inc.htm</t>
  </si>
  <si>
    <t>Official graduate admissions listing; dedicated English program page was not located.</t>
  </si>
  <si>
    <t>https://cee.hkust.edu.hk/msc-environmental-engineering-and-management</t>
  </si>
  <si>
    <t>https://www.lpu.in/international/programmes/msc-environmental-sciences</t>
  </si>
  <si>
    <t>Current official international-program page.</t>
  </si>
  <si>
    <t>https://sts.um.edu.my/master-of-sustainability-science.html</t>
  </si>
  <si>
    <t>https://www.en.aau.dk/education/master/sustainable-cities</t>
  </si>
  <si>
    <t>https://eng.khu.ac.kr/eng_eng/user/contents/view.do?menuNo=17200012</t>
  </si>
  <si>
    <t>Official department page; not a standalone sustainability master's page.</t>
  </si>
  <si>
    <t>https://www.uvic.ca/socialsciences/environmental/programs/graduate/index.php</t>
  </si>
  <si>
    <t>Official research-master's page.</t>
  </si>
  <si>
    <t>https://handbook.cqu.edu.au/he/courses/view/CM82/HT1/2025</t>
  </si>
  <si>
    <t>Official handbook page; the page shows current course information and 2026 fees.</t>
  </si>
  <si>
    <t>https://www.newcastle.edu.au/degrees/master-environmental-management-sustainability</t>
  </si>
  <si>
    <t>https://www.northumbria.ac.uk/study-at-northumbria/courses/disaster-management-and-sustainable-development-with-advanced-practice-msc-ft-dtsdds6/</t>
  </si>
  <si>
    <t>Current official 2026 program page.</t>
  </si>
  <si>
    <t>https://sil.ui.ac.id/en/master-of-environmental-science/</t>
  </si>
  <si>
    <t>https://www.najah.edu/en/academic/postgraduate-programs/program/environmental-sciences/info-card/</t>
  </si>
  <si>
    <t>https://degrees.apps.asu.edu/masters-phd/major/ASU00/SUSUSOMSUS/sustainability-solutions-msus?init=false&amp;nopassive=true</t>
  </si>
  <si>
    <t>Official degree-search page for the Tempe program.</t>
  </si>
  <si>
    <t>QS Sustainability Rankings 2026 - 30 Selected Programs</t>
  </si>
  <si>
    <t>Exactly 30 records in official ranking order. Rank 30 and score 95.3 are tied; official source order is the final deterministic tiebreaker.</t>
  </si>
  <si>
    <t>Rank</t>
  </si>
  <si>
    <t>Rank Number</t>
  </si>
  <si>
    <t>University</t>
  </si>
  <si>
    <t>Location</t>
  </si>
  <si>
    <t>Overall Score</t>
  </si>
  <si>
    <t>Environmental Sustainability</t>
  </si>
  <si>
    <t>Environmental Education</t>
  </si>
  <si>
    <t>Environmental Research</t>
  </si>
  <si>
    <t>Equality</t>
  </si>
  <si>
    <t>Knowledge Exchange</t>
  </si>
  <si>
    <t>Impact of Education</t>
  </si>
  <si>
    <t>Employability &amp; Opportunities</t>
  </si>
  <si>
    <t>Good Governance</t>
  </si>
  <si>
    <t>Lund, Sweden</t>
  </si>
  <si>
    <t>Toronto, Canada</t>
  </si>
  <si>
    <t>London, United Kingdom</t>
  </si>
  <si>
    <t>Edinburgh, United Kingdom</t>
  </si>
  <si>
    <t>Vancouver, Canada</t>
  </si>
  <si>
    <t>Sydney, Australia</t>
  </si>
  <si>
    <t>Montreal, Canada</t>
  </si>
  <si>
    <t>Manchester, United Kingdom</t>
  </si>
  <si>
    <t>Zürich, Switzerland</t>
  </si>
  <si>
    <t>Melbourne, Australia</t>
  </si>
  <si>
    <t>Berkeley, United States</t>
  </si>
  <si>
    <t>Stanford, United States</t>
  </si>
  <si>
    <t>Oxford, United Kingdom</t>
  </si>
  <si>
    <t>Canberra, Australia</t>
  </si>
  <si>
    <t>Bristol, United Kingdom</t>
  </si>
  <si>
    <t>New York City, United States</t>
  </si>
  <si>
    <t>University Park, United States</t>
  </si>
  <si>
    <t>Leuven, Belgium</t>
  </si>
  <si>
    <t>Helsinki, Finland</t>
  </si>
  <si>
    <t>Durham, United Kingdom</t>
  </si>
  <si>
    <t>Leeds, United Kingdom</t>
  </si>
  <si>
    <t>London, Canada</t>
  </si>
  <si>
    <t>Glasgow, United Kingdom</t>
  </si>
  <si>
    <t>Auckland, New Zealand</t>
  </si>
  <si>
    <t>Dublin, Ireland</t>
  </si>
  <si>
    <t>Philadelphia, United States</t>
  </si>
  <si>
    <t>THE Sustainability Impact Ratings 2026 - 30 Additional Programs</t>
  </si>
  <si>
    <t>The 30 highest-ranked THE records not already selected in the QS cohort. Removing overlap keeps 60 distinct programs and extends this cohort through rank 33.</t>
  </si>
  <si>
    <t>SDG 17 Score</t>
  </si>
  <si>
    <t>Top SDG Scores (published text)</t>
  </si>
  <si>
    <t>14 LIFE BELOW WATER 95.6 6 CLEAN WATER AND SANITATION 92.4 15 LIFE ON LAND 94.7</t>
  </si>
  <si>
    <t>15 LIFE ON LAND 95.9 12 RESPONSIBLE CONSUMPTION AND PRODUCTION 92.0 10 REDUCING INEQUALITIES 92.3</t>
  </si>
  <si>
    <t>Queen’s University</t>
  </si>
  <si>
    <t>2 ZERO HUNGER 92.2 11 SUSTAINABLE CITIES AND COMMUNITIES 93.6 16 PEACE, JUSTICE AND STRONG INSTITUTIONS 87.5</t>
  </si>
  <si>
    <t>1 NO POVERTY 92.5 14 LIFE BELOW WATER 91.1 15 LIFE ON LAND 91.7</t>
  </si>
  <si>
    <t>9 INDUSTRY, INNOVATION, AND INFRASTRUCTURE 99.9 14 LIFE BELOW WATER 91.6 8 DECENT WORK AND ECONOMIC GROWTH 85.8</t>
  </si>
  <si>
    <t>2 ZERO HUNGER 91.4 9 INDUSTRY, INNOVATION, AND INFRASTRUCTURE 98.0 15 LIFE ON LAND 92.3</t>
  </si>
  <si>
    <t>16 PEACE, JUSTICE AND STRONG INSTITUTIONS 90.8 11 SUSTAINABLE CITIES AND COMMUNITIES 92.8 1 NO POVERTY 90.6</t>
  </si>
  <si>
    <t>15 LIFE ON LAND 95.2 2 ZERO HUNGER 89.8 14 LIFE BELOW WATER 90.7</t>
  </si>
  <si>
    <t>9 INDUSTRY, INNOVATION, AND INFRASTRUCTURE 99.9 2 ZERO HUNGER 91.1 3 GOOD HEALTH AND WELL-BEING 91.8</t>
  </si>
  <si>
    <t>9 INDUSTRY, INNOVATION, AND INFRASTRUCTURE 100.0 14 LIFE BELOW WATER 93.0 2 ZERO HUNGER 86.7</t>
  </si>
  <si>
    <t>8 DECENT WORK AND ECONOMIC GROWTH 91.8 9 INDUSTRY, INNOVATION, AND INFRASTRUCTURE 99.7 12 RESPONSIBLE CONSUMPTION AND PRODUCTION 92.4</t>
  </si>
  <si>
    <t>1 NO POVERTY 89.7 6 CLEAN WATER AND SANITATION 89.5 3 GOOD HEALTH AND WELL-BEING 88.5</t>
  </si>
  <si>
    <t>9 INDUSTRY, INNOVATION, AND INFRASTRUCTURE 97.5 8 DECENT WORK AND ECONOMIC GROWTH 89.2 12 RESPONSIBLE CONSUMPTION AND PRODUCTION 86.2</t>
  </si>
  <si>
    <t>13 CLIMATE ACTION 91.6 14 LIFE BELOW WATER 88.1 6 CLEAN WATER AND SANITATION 86.0</t>
  </si>
  <si>
    <t>9 INDUSTRY, INNOVATION, AND INFRASTRUCTURE 97.7 3 GOOD HEALTH AND WELL-BEING 90.5 6 CLEAN WATER AND SANITATION 88.2</t>
  </si>
  <si>
    <t>9 INDUSTRY, INNOVATION, AND INFRASTRUCTURE 99.8 3 GOOD HEALTH AND WELL-BEING 90.0 14 LIFE BELOW WATER 90.6</t>
  </si>
  <si>
    <t>8 DECENT WORK AND ECONOMIC GROWTH 91.4 9 INDUSTRY, INNOVATION, AND INFRASTRUCTURE 99.5 15 LIFE ON LAND 90.5</t>
  </si>
  <si>
    <t>9 INDUSTRY, INNOVATION, AND INFRASTRUCTURE 99.9 15 LIFE ON LAND 92.3 11 SUSTAINABLE CITIES AND COMMUNITIES 89.2</t>
  </si>
  <si>
    <t>12 RESPONSIBLE CONSUMPTION AND PRODUCTION 92.6 14 LIFE BELOW WATER 94.6 15 LIFE ON LAND 95.3</t>
  </si>
  <si>
    <t>7 AFFORDABLE AND CLEAN ENERGY 86.0 6 CLEAN WATER AND SANITATION 92.5 2 ZERO HUNGER 90.1</t>
  </si>
  <si>
    <t>16 PEACE, JUSTICE AND STRONG INSTITUTIONS 86.5 1 NO POVERTY 88.2 6 CLEAN WATER AND SANITATION 84.6</t>
  </si>
  <si>
    <t>9 INDUSTRY, INNOVATION, AND INFRASTRUCTURE 95.8 12 RESPONSIBLE CONSUMPTION AND PRODUCTION 88.5 4 QUALITY EDUCATION 88.5</t>
  </si>
  <si>
    <t>9 INDUSTRY, INNOVATION, AND INFRASTRUCTURE 99.7 16 PEACE, JUSTICE AND STRONG INSTITUTIONS 89.5 2 ZERO HUNGER 90.7</t>
  </si>
  <si>
    <t>15 LIFE ON LAND 94.7 11 SUSTAINABLE CITIES AND COMMUNITIES 89.0 14 LIFE BELOW WATER 88.1</t>
  </si>
  <si>
    <t>14 LIFE BELOW WATER 88.9 3 GOOD HEALTH AND WELL-BEING 85.4 6 CLEAN WATER AND SANITATION 85.2</t>
  </si>
  <si>
    <t>14 LIFE BELOW WATER 95.2 13 CLIMATE ACTION 88.3 15 LIFE ON LAND 92.4</t>
  </si>
  <si>
    <t>12 RESPONSIBLE CONSUMPTION AND PRODUCTION 92.4 15 LIFE ON LAND 95.3 16 PEACE, JUSTICE AND STRONG INSTITUTIONS 84.8</t>
  </si>
  <si>
    <t>9 INDUSTRY, INNOVATION, AND INFRASTRUCTURE 98.5 1 NO POVERTY 88.3 3 GOOD HEALTH AND WELL-BEING 84.8</t>
  </si>
  <si>
    <t>7 AFFORDABLE AND CLEAN ENERGY 84.1 12 RESPONSIBLE CONSUMPTION AND PRODUCTION 88.5 16 PEACE, JUSTICE AND STRONG INSTITUTIONS 85.3</t>
  </si>
  <si>
    <t>13 CLIMATE ACTION 86.9 12 RESPONSIBLE CONSUMPTION AND PRODUCTION 86.2 15 LIFE ON LAND 89.0</t>
  </si>
  <si>
    <t>QS-THE Overlap Analysis - Selected Sample</t>
  </si>
  <si>
    <t>Five selected institutions appear in both source top-50 rankings. Selection Audit assigns each program to one mutually exclusive cohort.</t>
  </si>
  <si>
    <t>Canonical Institution</t>
  </si>
  <si>
    <t>THE Score</t>
  </si>
  <si>
    <t>QS Name</t>
  </si>
  <si>
    <t>THE Name / Alias</t>
  </si>
  <si>
    <t>Identity Note</t>
  </si>
  <si>
    <t>UNSW Sydney</t>
  </si>
  <si>
    <t>Same institution; merged once in the candidate universe.</t>
  </si>
  <si>
    <t>University of Manchester</t>
  </si>
  <si>
    <t>AASHE STARS - 60 Selected Programs</t>
  </si>
  <si>
    <t>Matched against current official participants and reports records. Ratings are not inherited across parent institutions, systems, or campuses.</t>
  </si>
  <si>
    <t>Candidate Institution</t>
  </si>
  <si>
    <t>AASHE Match Status</t>
  </si>
  <si>
    <t>Matched AASHE Institution</t>
  </si>
  <si>
    <t>Rating</t>
  </si>
  <si>
    <t>Score</t>
  </si>
  <si>
    <t>Valid Through</t>
  </si>
  <si>
    <t>AASHE Profile URL</t>
  </si>
  <si>
    <t>Latest Report URL</t>
  </si>
  <si>
    <t>Source URL</t>
  </si>
  <si>
    <t>Scope Note</t>
  </si>
  <si>
    <t>No current exact record</t>
  </si>
  <si>
    <t>https://reports.aashe.org/institutions/participants-and-reports/</t>
  </si>
  <si>
    <t>No exact institution-level match was found in the current AASHE participants and reports table.</t>
  </si>
  <si>
    <t>Campus-only record found</t>
  </si>
  <si>
    <t>University of Toronto Mississauga</t>
  </si>
  <si>
    <t>https://reports.aashe.org/institutions/university-of-toronto-at-mississauga-on/report/</t>
  </si>
  <si>
    <t>https://reports.aashe.org/institutions/university-of-toronto-at-mississauga-on/report/2024-03-01/</t>
  </si>
  <si>
    <t>University of Toronto Mississauga has a current Gold rating, but it is a separate campus record and is not inherited by University of Toronto.</t>
  </si>
  <si>
    <t>Exact name</t>
  </si>
  <si>
    <t>Platinum</t>
  </si>
  <si>
    <t>March 13, 2027</t>
  </si>
  <si>
    <t>https://reports.aashe.org/institutions/mcgill-university-qc/report/</t>
  </si>
  <si>
    <t>https://reports.aashe.org/institutions/mcgill-university-qc/report/2024-01-17/</t>
  </si>
  <si>
    <t>Exact normalized institutional name match.</t>
  </si>
  <si>
    <t>Verified alias</t>
  </si>
  <si>
    <t>University of California, Berkeley</t>
  </si>
  <si>
    <t>April 20, 2028</t>
  </si>
  <si>
    <t>https://reports.aashe.org/institutions/university-of-california-berkeley-ca/report/</t>
  </si>
  <si>
    <t>https://reports.aashe.org/institutions/university-of-california-berkeley-ca/report/2025-02-19/</t>
  </si>
  <si>
    <t>Alias checked as the same institution.</t>
  </si>
  <si>
    <t>Feb. 16, 2029</t>
  </si>
  <si>
    <t>https://reports.aashe.org/institutions/stanford-university-ca/report/</t>
  </si>
  <si>
    <t>https://reports.aashe.org/institutions/stanford-university-ca/report/2025-12-11/</t>
  </si>
  <si>
    <t>New York University</t>
  </si>
  <si>
    <t>Gold</t>
  </si>
  <si>
    <t>March 17, 2028</t>
  </si>
  <si>
    <t>https://reports.aashe.org/institutions/new-york-university-ny/report/</t>
  </si>
  <si>
    <t>https://reports.aashe.org/institutions/new-york-university-ny/report/2025-02-14/</t>
  </si>
  <si>
    <t>Jan. 10, 2027</t>
  </si>
  <si>
    <t>https://reports.aashe.org/institutions/pennsylvania-state-university-pa/report/</t>
  </si>
  <si>
    <t>https://reports.aashe.org/institutions/pennsylvania-state-university-pa/report/2023-12-12/</t>
  </si>
  <si>
    <t>Feb. 28, 2028</t>
  </si>
  <si>
    <t>https://reports.aashe.org/institutions/university-of-western-ontario-on/report/</t>
  </si>
  <si>
    <t>https://reports.aashe.org/institutions/university-of-western-ontario-on/report/2025-01-16/</t>
  </si>
  <si>
    <t>March 6, 2028</t>
  </si>
  <si>
    <t>https://reports.aashe.org/institutions/university-of-pennsylvania-pa/report/</t>
  </si>
  <si>
    <t>https://reports.aashe.org/institutions/university-of-pennsylvania-pa/report/2025-02-18/</t>
  </si>
  <si>
    <t>March 11, 2029</t>
  </si>
  <si>
    <t>https://reports.aashe.org/institutions/university-of-alberta-ab/report/</t>
  </si>
  <si>
    <t>https://reports.aashe.org/institutions/university-of-alberta-ab/report/2025-11-06/</t>
  </si>
  <si>
    <t>June 17, 2028</t>
  </si>
  <si>
    <t>https://reports.aashe.org/institutions/mcmaster-university-on/report/</t>
  </si>
  <si>
    <t>https://reports.aashe.org/institutions/mcmaster-university-on/report/2025-03-14/</t>
  </si>
  <si>
    <t>March 11, 2027</t>
  </si>
  <si>
    <t>https://reports.aashe.org/institutions/university-of-victoria-bc/report/</t>
  </si>
  <si>
    <t>https://reports.aashe.org/institutions/university-of-victoria-bc/report/2023-12-13/</t>
  </si>
  <si>
    <t>Scope review required</t>
  </si>
  <si>
    <t>Arizona State University</t>
  </si>
  <si>
    <t>July 14, 2029</t>
  </si>
  <si>
    <t>https://reports.aashe.org/institutions/arizona-state-university-az/report/</t>
  </si>
  <si>
    <t>https://reports.aashe.org/institutions/arizona-state-university-az/report/2026-04-30/</t>
  </si>
  <si>
    <t>THE identifies the Tempe campus, while the AASHE record is labeled Arizona State University without an explicit campus boundary. Do not assume identical scope without checking the report boundary.</t>
  </si>
  <si>
    <t>UN PRME Signatories and SIP Reports - 60 Selected Programs</t>
  </si>
  <si>
    <t>Verified institution- or school-level signatories and SIP reports dated 2022-2026. School-level scope remains explicit.</t>
  </si>
  <si>
    <t>PRME Match Status</t>
  </si>
  <si>
    <t>Matched Signatory</t>
  </si>
  <si>
    <t>PRME Status</t>
  </si>
  <si>
    <t>Joined Date</t>
  </si>
  <si>
    <t>Recent SIP Count (2022-2026)</t>
  </si>
  <si>
    <t>Latest SIP Report Year</t>
  </si>
  <si>
    <t>Latest SIP Upload Date</t>
  </si>
  <si>
    <t>Latest SIP Title</t>
  </si>
  <si>
    <t>Latest SIP URL</t>
  </si>
  <si>
    <t>Signatory URL</t>
  </si>
  <si>
    <t>Match Score</t>
  </si>
  <si>
    <t>Matched Alias</t>
  </si>
  <si>
    <t>Scope / Match Note</t>
  </si>
  <si>
    <t>Verified - Verified alias</t>
  </si>
  <si>
    <t>Lund University School of Economics and Management (LUSEM)</t>
  </si>
  <si>
    <t>Communicating Signatory</t>
  </si>
  <si>
    <t>Mar 28 2012</t>
  </si>
  <si>
    <t>2025-10-30</t>
  </si>
  <si>
    <t>Lund University School of Economics and Management (LUSEM) - SIP 2025</t>
  </si>
  <si>
    <t>https://commons-static.s3.amazonaws.com/reports/3af0af21718ad75722b7f7dc2428e7f3f9c10432/Lund+University+School+of+Economics+and+Management+(LUSEM)+-+SIP+2025.pdf</t>
  </si>
  <si>
    <t>https://www.unprme.org/lund-university-school-of-economics-and-management-lusem/</t>
  </si>
  <si>
    <t>https://www.unprme.org/search/</t>
  </si>
  <si>
    <t>Lund University School of Economics and Management</t>
  </si>
  <si>
    <t>Verified against the current UN PRME signatory directory; school-level scope is not promoted to the entire university.</t>
  </si>
  <si>
    <t>Rotman School of Management, University of Toronto</t>
  </si>
  <si>
    <t>May 07 2021</t>
  </si>
  <si>
    <t>https://www.unprme.org/rotman-school-of-management-university-of-toronto/</t>
  </si>
  <si>
    <t>No verified match</t>
  </si>
  <si>
    <t>No reliable signatory match</t>
  </si>
  <si>
    <t>University of Edinburgh Business School</t>
  </si>
  <si>
    <t>Nov 18 2015</t>
  </si>
  <si>
    <t>2025-09-23</t>
  </si>
  <si>
    <t>University of Edinburgh Business School - 2025 - SIP Report</t>
  </si>
  <si>
    <t>https://commons-static.s3.amazonaws.com/reports/2dc292b22ff8108e482f774eb6872f3e6a7be786/University+of+Edinburgh+Business+School+-+SIP+2025.pdf</t>
  </si>
  <si>
    <t>https://www.unprme.org/university-of-edinburgh-business-school/</t>
  </si>
  <si>
    <t>Manual review candidate only: University of Northern British Columbia</t>
  </si>
  <si>
    <t>UNSW Business School</t>
  </si>
  <si>
    <t>Non Communicating Signatory</t>
  </si>
  <si>
    <t>Aug 24 2009</t>
  </si>
  <si>
    <t>2024-10-29</t>
  </si>
  <si>
    <t>UNSW Business School - 2024 - SIP Report</t>
  </si>
  <si>
    <t>https://commons-static.s3.amazonaws.com/reports/8d6f9131366dac0c298ee725e6577d6e0a54e832/UNSW+Business+School+-+SIP+2024.pdf</t>
  </si>
  <si>
    <t>https://www.unprme.org/unsw-business-school/</t>
  </si>
  <si>
    <t>Desautels Faculty of Management, McGill University</t>
  </si>
  <si>
    <t>Jul 10 2017</t>
  </si>
  <si>
    <t>https://www.unprme.org/desautels-faculty-of-management-mc-gill-university/</t>
  </si>
  <si>
    <t>Alliance Manchester Business School</t>
  </si>
  <si>
    <t>Jul 25 2019</t>
  </si>
  <si>
    <t>2025-12-10</t>
  </si>
  <si>
    <t>Alliance Manchester Business School - SIP 2025</t>
  </si>
  <si>
    <t>https://commons-static.s3.amazonaws.com/reports/2817850c98d05a2bfe8023ee026d996ef515a85d/Alliance+Manchester+Business+School+-+SIP+2025.pdf</t>
  </si>
  <si>
    <t>https://www.unprme.org/alliance-manchester-business-school/</t>
  </si>
  <si>
    <t>Faculty of Business &amp; Economics and Melbourne Business School</t>
  </si>
  <si>
    <t>Nov 14 2019</t>
  </si>
  <si>
    <t>2025-07-22</t>
  </si>
  <si>
    <t>Faculty of Business &amp; Economics and Melbourne Business School - 2025 - SIP Report</t>
  </si>
  <si>
    <t>https://commons-static.s3.amazonaws.com/reports/732c0a1fc174dbd3f549df2e96a5dae45900b9d0/Faculty+of+Business+&amp;+Economics+and+Melbourne+Business+School+-+SIP+2025.pdf</t>
  </si>
  <si>
    <t>https://www.unprme.org/faculty-of-business-economics-and-melbourne-business-school/</t>
  </si>
  <si>
    <t>Melbourne Business School</t>
  </si>
  <si>
    <t>Haas School of Business</t>
  </si>
  <si>
    <t>Jun 04 2012</t>
  </si>
  <si>
    <t>2025-09-26</t>
  </si>
  <si>
    <t>Haas School of Business - 2025 - SIP Report</t>
  </si>
  <si>
    <t>https://commons-static.s3.amazonaws.com/reports/5a73b747ec74bdd97d5f05bf1ea48d0707e87e50/Haas+School+of+Business+-+SIP+2025.pdf</t>
  </si>
  <si>
    <t>https://www.unprme.org/haas-school-of-business/</t>
  </si>
  <si>
    <t>Manual review candidate only: University of Salford</t>
  </si>
  <si>
    <t>The University of Sydney Business School</t>
  </si>
  <si>
    <t>Feb 08 2016</t>
  </si>
  <si>
    <t>The University of Sydney Business School - 2025 - Sip Report</t>
  </si>
  <si>
    <t>https://commons-static.s3.amazonaws.com/reports/3bb18d9ab531def40a51e637a236689460f8d373/The+University+of+Sydney+Business+School+-+SIP+2025.pdf</t>
  </si>
  <si>
    <t>https://www.unprme.org/the-university-of-sydney-business-school/</t>
  </si>
  <si>
    <t>King's Business School</t>
  </si>
  <si>
    <t>Nov 03 2021</t>
  </si>
  <si>
    <t>2025-09-30</t>
  </si>
  <si>
    <t>King's Business School - 2025 - SIP Report</t>
  </si>
  <si>
    <t>https://commons-static.s3.amazonaws.com/reports/7320828c9153b2a9848d6bc45d3544236b22fc48/King's+Business+School+-+SIP+2025.pdf</t>
  </si>
  <si>
    <t>https://www.unprme.org/kings-business-school/</t>
  </si>
  <si>
    <t>University of Bristol Business School</t>
  </si>
  <si>
    <t>Jul 02 2025</t>
  </si>
  <si>
    <t>https://www.unprme.org/university-of-bristol-business-school/</t>
  </si>
  <si>
    <t>KU Leuven Faculty of Economics and Business</t>
  </si>
  <si>
    <t>Sep 07 2011</t>
  </si>
  <si>
    <t>2025-12-19</t>
  </si>
  <si>
    <t>KU Leuven Faculty of Economics and Business - SIP 2025</t>
  </si>
  <si>
    <t>https://commons-static.s3.amazonaws.com/reports/6c0ac76ca9fe1af889558d11fd9a75e1fb9a0b86/KU+Leuven+Faculty+of+Economics+and+Business+-+SIP+2025.pdf</t>
  </si>
  <si>
    <t>https://www.unprme.org/ku-leuven-faculty-of-economics-and-business/</t>
  </si>
  <si>
    <t>Durham Business School</t>
  </si>
  <si>
    <t>Apr 30 2012</t>
  </si>
  <si>
    <t>Durham Business School - 2025 - SIP Report</t>
  </si>
  <si>
    <t>https://commons-static.s3.amazonaws.com/reports/d36550fc4422fde2c3bb4169c939e24e583e79f0/Durham+University+Business+School+-+SIP+2025.pdf</t>
  </si>
  <si>
    <t>https://www.unprme.org/durham-business-school/</t>
  </si>
  <si>
    <t>Leeds University Business School</t>
  </si>
  <si>
    <t>Jan 11 2010</t>
  </si>
  <si>
    <t>2025-09-29</t>
  </si>
  <si>
    <t>Leeds University Business School - 2025 - SIP Report</t>
  </si>
  <si>
    <t>https://commons-static.s3.amazonaws.com/reports/3554dce55f341edd431fc711f6816673f081452d/Leeds+University+Business+School+-+SIP+2025.pdf</t>
  </si>
  <si>
    <t>https://www.unprme.org/leeds-university-business-school/</t>
  </si>
  <si>
    <t>Ivey Business School</t>
  </si>
  <si>
    <t>Apr 01 2008</t>
  </si>
  <si>
    <t>Ivey Business School - 2025 - SIP Report</t>
  </si>
  <si>
    <t>https://commons-static.s3.amazonaws.com/reports/d5f0d9102728577dfc9eec0a84867f75afbdfe46/Ivey+Business+School+-+SIP+2025.pdf</t>
  </si>
  <si>
    <t>https://www.unprme.org/ivey-business-school/</t>
  </si>
  <si>
    <t>Adam Smith Business School</t>
  </si>
  <si>
    <t>Feb 14 2020</t>
  </si>
  <si>
    <t>Adam Smith Business School - 2025 - SIP Report</t>
  </si>
  <si>
    <t>https://commons-static.s3.amazonaws.com/reports/a1496d4ad0a359b6fe93d819e4a2141bd9d9ac35/Adam+Smith+Business+School+-+SIP+2025.pdf</t>
  </si>
  <si>
    <t>https://www.unprme.org/adam-smith-business-school/</t>
  </si>
  <si>
    <t>University of Auckland Business School</t>
  </si>
  <si>
    <t>Oct 23 2013</t>
  </si>
  <si>
    <t>2025-09-28</t>
  </si>
  <si>
    <t>University of Auckland Business School - 2025 - SIP Report</t>
  </si>
  <si>
    <t>https://commons-static.s3.amazonaws.com/reports/ce09b127d48f83868a45645e246d3b52f4bdecbe/University+of+Auckland+Business+School+-+SIP+2025.pdf</t>
  </si>
  <si>
    <t>https://www.unprme.org/university-of-auckland-business-school/</t>
  </si>
  <si>
    <t>Trinity Business School</t>
  </si>
  <si>
    <t>Oct 11 2017</t>
  </si>
  <si>
    <t>Trinity Business School - 2025 - SIP Report</t>
  </si>
  <si>
    <t>https://commons-static.s3.amazonaws.com/reports/34c66477519b949b09b45e131347c17b5822a30a/Trinity+Business+School+-+SIP+2025.pdf</t>
  </si>
  <si>
    <t>https://www.unprme.org/trinity-business-school/</t>
  </si>
  <si>
    <t>Verified - Exact/contained institution</t>
  </si>
  <si>
    <t>Slippery Rock University of Pennsylvania</t>
  </si>
  <si>
    <t>Apr 03 2014</t>
  </si>
  <si>
    <t>2025-12-31</t>
  </si>
  <si>
    <t>Slippery Rock SIP 2025</t>
  </si>
  <si>
    <t>https://d30mzt1bxg5llt.cloudfront.net/public/uploads/sip-reports/SRU-PRME-Report-2025-12-31-final.pdf</t>
  </si>
  <si>
    <t>https://www.unprme.org/slippery-rock-university-of-pennsylvania/</t>
  </si>
  <si>
    <t>University of Exeter Business School</t>
  </si>
  <si>
    <t>May 20 2010</t>
  </si>
  <si>
    <t>University of Exeter Business School - 2025 - SIP Report</t>
  </si>
  <si>
    <t>https://commons-static.s3.amazonaws.com/reports/855679730970f8a0fca717e82e76cc93053c09c1/University+of+Exeter+Business+School+-+SIP+2025.pdf</t>
  </si>
  <si>
    <t>https://www.unprme.org/university-of-exeter-business-school/</t>
  </si>
  <si>
    <t>Griffith Business School</t>
  </si>
  <si>
    <t>2025-09-02</t>
  </si>
  <si>
    <t>Griffith Business School - 2025 - SIP Report</t>
  </si>
  <si>
    <t>https://commons-static.s3.amazonaws.com/reports/b4ef7df17d3dc74720cd2a8fe98a173f9576d007/Griffith+Business+School+-+SIP+2025.pdf</t>
  </si>
  <si>
    <t>https://www.unprme.org/griffith-business-school/</t>
  </si>
  <si>
    <t>Manual review candidate only: The University of Sydney Business School</t>
  </si>
  <si>
    <t>Smith School of Business</t>
  </si>
  <si>
    <t>2022-03-25</t>
  </si>
  <si>
    <t>Smith School of Business - 2022 - Sip Report</t>
  </si>
  <si>
    <t>https://d30mzt1bxg5llt.cloudfront.net/public/uploads/sip-reports/PRME_Report_2022.pdf</t>
  </si>
  <si>
    <t>https://www.unprme.org/smith-school-of-business/</t>
  </si>
  <si>
    <t>Graduate School of Business, Universiti Sains Malaysia</t>
  </si>
  <si>
    <t>Apr 22 2014</t>
  </si>
  <si>
    <t>https://www.unprme.org/graduate-school-of-business/</t>
  </si>
  <si>
    <t>No country-compatible signatory</t>
  </si>
  <si>
    <t>Manual review candidate only: Graduate School of Business, Universiti Sains Malaysia</t>
  </si>
  <si>
    <t>Feb 06 2025</t>
  </si>
  <si>
    <t>https://www.unprme.org/universitas-airlangga/</t>
  </si>
  <si>
    <t>The Tasmanian School of Business and Economics</t>
  </si>
  <si>
    <t>Nov 18 2021</t>
  </si>
  <si>
    <t>2026-03-18</t>
  </si>
  <si>
    <t>The Tasmanian School of Business and Economics - SIP 2026</t>
  </si>
  <si>
    <t>https://commons-static.s3.amazonaws.com/reports/c9ca442765657fc90e9e779c34d0d2259d2c3c5b/The+Tasmanian+School+of+Business+and+Economics+-+SIP+2026.pdf</t>
  </si>
  <si>
    <t>https://www.unprme.org/university-of-tasmania/</t>
  </si>
  <si>
    <t>Tasmanian School of Business and Economics</t>
  </si>
  <si>
    <t>Chulalongkorn Business School</t>
  </si>
  <si>
    <t>Nov 24 2025</t>
  </si>
  <si>
    <t>https://www.unprme.org/chulalongkorn-business-school/</t>
  </si>
  <si>
    <t>HKUST Business School</t>
  </si>
  <si>
    <t>Oct 23 2009</t>
  </si>
  <si>
    <t>2015-09-10</t>
  </si>
  <si>
    <t>HKUST Business School - 2015 - SIP Report</t>
  </si>
  <si>
    <t>https://d30mzt1bxg5llt.cloudfront.net/public/uploads/sip-reports/PRMEReportfromHKUSTJune2013toJune2015.doc</t>
  </si>
  <si>
    <t>https://www.unprme.org/hkust-business-school/</t>
  </si>
  <si>
    <t>Manual review candidate only: Amrita School of Business</t>
  </si>
  <si>
    <t>Gustavson School of Business</t>
  </si>
  <si>
    <t>Jan 15 2009</t>
  </si>
  <si>
    <t>Gustavson School of Business - 2025 - SIP Report</t>
  </si>
  <si>
    <t>https://commons-static.s3.amazonaws.com/reports/d0226f9e35dab55020fca272f6d56ff5812633fd/Gustavson+School+of+Business+-+SIP+2025.pdf</t>
  </si>
  <si>
    <t>https://www.unprme.org/university-of-victoria-gustavson-school-of-business/</t>
  </si>
  <si>
    <t>School of Business and Law - Central Queensland University</t>
  </si>
  <si>
    <t>Jul 23 2015</t>
  </si>
  <si>
    <t>School of Business and Law - Central Queensland University - 2025 - Sip Report</t>
  </si>
  <si>
    <t>https://commons-static.s3.amazonaws.com/reports/9f682df245668969bbcd5395bdc2882591eeecde/School+of+Business+and+Law+-+Central+Queensland+University+-+SIP+2025.pdf</t>
  </si>
  <si>
    <t>https://www.unprme.org/school-of-business-and-law-central-queensland-university/</t>
  </si>
  <si>
    <t>Newcastle Business School, University of Newcastle</t>
  </si>
  <si>
    <t>Feb 23 2015</t>
  </si>
  <si>
    <t>https://www.unprme.org/newcastle-business-school/</t>
  </si>
  <si>
    <t>Newcastle Business School, University of Northumbria</t>
  </si>
  <si>
    <t>Oct 31 2014</t>
  </si>
  <si>
    <t>https://www.unprme.org/newcastle-business-school-northumbria/</t>
  </si>
  <si>
    <t>Manual review candidate only: Faculty of Economics and Business, Universitas Andalas</t>
  </si>
  <si>
    <t>OpenAlex Research Signals (2021-2025) - 60 Selected Programs</t>
  </si>
  <si>
    <t>Institution matches and keyword-based research signals from the prior collection. Uncollected rows remain blank and must not be interpreted as zero.</t>
  </si>
  <si>
    <t>Collection Status</t>
  </si>
  <si>
    <t>Matched OpenAlex Institution</t>
  </si>
  <si>
    <t>Match Status</t>
  </si>
  <si>
    <t>Country Code</t>
  </si>
  <si>
    <t>Institution Type</t>
  </si>
  <si>
    <t>ROR</t>
  </si>
  <si>
    <t>OpenAlex ID</t>
  </si>
  <si>
    <t>All-time Works</t>
  </si>
  <si>
    <t>All-time Citations</t>
  </si>
  <si>
    <t>All-time H-index</t>
  </si>
  <si>
    <t>Two-year Mean Citedness</t>
  </si>
  <si>
    <t>Keyword Works 2021-2025</t>
  </si>
  <si>
    <t>Top-25 Citations</t>
  </si>
  <si>
    <t>Top Matching Work</t>
  </si>
  <si>
    <t>Works Query URL</t>
  </si>
  <si>
    <t>Institution Search URL</t>
  </si>
  <si>
    <t>Collection Note / Error</t>
  </si>
  <si>
    <t>Collected</t>
  </si>
  <si>
    <t>Verified</t>
  </si>
  <si>
    <t>SE</t>
  </si>
  <si>
    <t>education</t>
  </si>
  <si>
    <t>https://ror.org/012a77v79</t>
  </si>
  <si>
    <t>https://openalex.org/I187531555</t>
  </si>
  <si>
    <t>The Astropy Project: Sustaining and Growing a Community-oriented Open-source Project and the Latest Major Release (v5.0) of the Core Package (2022; 4749 citations)</t>
  </si>
  <si>
    <t>https://api.openalex.org/works?filter=authorships.institutions.id%3AI187531555%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</si>
  <si>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https://api.openalex.org/institutions?search=Lund+University&amp;per_page=5&amp;select=id%2Cror%2Cdisplay_name%2Ccountry_code%2Ctype%2Chomepage_url%2Cworks_count%2Ccited_by_count%2Csummary_stats%2Cdisplay_name_alternatives&amp;mailto=busa649%40example.com</t>
  </si>
  <si>
    <t>CA</t>
  </si>
  <si>
    <t>https://ror.org/03dbr7087</t>
  </si>
  <si>
    <t>https://openalex.org/I185261750</t>
  </si>
  <si>
    <t>PRISMA 2020 explanation and elaboration: updated guidance and exemplars for reporting systematic reviews (2021; 11186 citations)</t>
  </si>
  <si>
    <t>https://api.openalex.org/works?filter=authorships.institutions.id%3AI185261750%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</si>
  <si>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https://api.openalex.org/institutions?search=University+of+Toronto&amp;per_page=5&amp;select=id%2Cror%2Cdisplay_name%2Ccountry_code%2Ctype%2Chomepage_url%2Cworks_count%2Ccited_by_count%2Csummary_stats%2Cdisplay_name_alternatives&amp;mailto=busa649%40example.com</t>
  </si>
  <si>
    <t>University College London</t>
  </si>
  <si>
    <t>GB</t>
  </si>
  <si>
    <t>https://ror.org/02jx3x895</t>
  </si>
  <si>
    <t>https://openalex.org/I45129253</t>
  </si>
  <si>
    <t>https://api.openalex.org/works?filter=authorships.institutions.id%3AI45129253%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</si>
  <si>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https://api.openalex.org/institutions?search=University+College+London&amp;per_page=5&amp;select=id%2Cror%2Cdisplay_name%2Ccountry_code%2Ctype%2Chomepage_url%2Cworks_count%2Ccited_by_count%2Csummary_stats%2Cdisplay_name_alternatives&amp;mailto=busa649%40example.com</t>
  </si>
  <si>
    <t>No reliable match</t>
  </si>
  <si>
    <t>https://api.openalex.org/institutions?search=The+University+of+Edinburgh&amp;per_page=5&amp;select=id%2Cror%2Cdisplay_name%2Ccountry_code%2Ctype%2Chomepage_url%2Cworks_count%2Ccited_by_count%2Csummary_stats%2Cdisplay_name_alternatives&amp;mailto=busa649%40example.com</t>
  </si>
  <si>
    <t>No OpenAlex search result</t>
  </si>
  <si>
    <t>https://ror.org/03rmrcq20</t>
  </si>
  <si>
    <t>https://openalex.org/I141945490</t>
  </si>
  <si>
    <t>A clinical case definition of post-COVID-19 condition by a Delphi consensus (2021; 2600 citations)</t>
  </si>
  <si>
    <t>https://api.openalex.org/works?filter=authorships.institutions.id%3AI141945490%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</si>
  <si>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https://api.openalex.org/institutions?search=University+of+British+Columbia&amp;per_page=5&amp;select=id%2Cror%2Cdisplay_name%2Ccountry_code%2Ctype%2Chomepage_url%2Cworks_count%2Ccited_by_count%2Csummary_stats%2Cdisplay_name_alternatives&amp;mailto=busa649%40example.com</t>
  </si>
  <si>
    <t>London School of Economics and Political Science</t>
  </si>
  <si>
    <t>https://ror.org/0090zs177</t>
  </si>
  <si>
    <t>https://openalex.org/I909854389</t>
  </si>
  <si>
    <t>The 2022 report of the Lancet Countdown on health and climate change: health at the mercy of fossil fuels (2022; 1627 citations)</t>
  </si>
  <si>
    <t>https://api.openalex.org/works?filter=authorships.institutions.id%3AI909854389%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</si>
  <si>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London+School+of+Economics+and+Political+Science&amp;per_page=5&amp;select=id%2Cror%2Cdisplay_name%2Ccountry_code%2Ctype%2Chomepage_url%2Cworks_count%2Ccited_by_count%2Csummary_stats%2Cdisplay_name_alternatives&amp;mailto=busa649%40example.com</t>
  </si>
  <si>
    <t>https://ror.org/041kmwe10</t>
  </si>
  <si>
    <t>https://openalex.org/I47508984</t>
  </si>
  <si>
    <t>The 5th edition of the World Health Organization Classification of Haematolymphoid Tumours: Myeloid and Histiocytic/Dendritic Neoplasms (2022; 3974 citations)</t>
  </si>
  <si>
    <t>https://api.openalex.org/works?filter=authorships.institutions.id%3AI47508984%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</si>
  <si>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https://api.openalex.org/institutions?search=Imperial+College+London&amp;per_page=5&amp;select=id%2Cror%2Cdisplay_name%2Ccountry_code%2Ctype%2Chomepage_url%2Cworks_count%2Ccited_by_count%2Csummary_stats%2Cdisplay_name_alternatives&amp;mailto=busa649%40example.com</t>
  </si>
  <si>
    <t>AU</t>
  </si>
  <si>
    <t>https://ror.org/03r8z3t63</t>
  </si>
  <si>
    <t>https://openalex.org/I31746571</t>
  </si>
  <si>
    <t>Natural products in drug discovery: advances and opportunities (2021; 5097 citations)</t>
  </si>
  <si>
    <t>https://api.openalex.org/works?filter=authorships.institutions.id%3AI31746571%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</si>
  <si>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https://api.openalex.org/institutions?search=University+of+New+South+Wales&amp;per_page=5&amp;select=id%2Cror%2Cdisplay_name%2Ccountry_code%2Ctype%2Chomepage_url%2Cworks_count%2Ccited_by_count%2Csummary_stats%2Cdisplay_name_alternatives&amp;mailto=busa649%40example.com</t>
  </si>
  <si>
    <t>https://ror.org/01pxwe438</t>
  </si>
  <si>
    <t>https://openalex.org/I5023651</t>
  </si>
  <si>
    <t>Strengthening the Reporting of Observational Studies in Epidemiology Using Mendelian Randomization (2021; 4065 citations)</t>
  </si>
  <si>
    <t>https://api.openalex.org/works?filter=authorships.institutions.id%3AI5023651%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</si>
  <si>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https://api.openalex.org/institutions?search=McGill+University&amp;per_page=5&amp;select=id%2Cror%2Cdisplay_name%2Ccountry_code%2Ctype%2Chomepage_url%2Cworks_count%2Ccited_by_count%2Csummary_stats%2Cdisplay_name_alternatives&amp;mailto=busa649%40example.com</t>
  </si>
  <si>
    <t>https://api.openalex.org/institutions?search=The+University+of+Manchester&amp;per_page=5&amp;select=id%2Cror%2Cdisplay_name%2Ccountry_code%2Ctype%2Chomepage_url%2Cworks_count%2Ccited_by_count%2Csummary_stats%2Cdisplay_name_alternatives&amp;mailto=busa649%40example.com</t>
  </si>
  <si>
    <t>CH</t>
  </si>
  <si>
    <t>https://ror.org/05a28rw58</t>
  </si>
  <si>
    <t>https://openalex.org/I35440088</t>
  </si>
  <si>
    <t>https://api.openalex.org/works?filter=authorships.institutions.id%3AI35440088%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</si>
  <si>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https://api.openalex.org/institutions?search=ETH+Zurich&amp;per_page=5&amp;select=id%2Cror%2Cdisplay_name%2Ccountry_code%2Ctype%2Chomepage_url%2Cworks_count%2Ccited_by_count%2Csummary_stats%2Cdisplay_name_alternatives&amp;mailto=busa649%40example.com</t>
  </si>
  <si>
    <t>https://ror.org/01ej9dk98</t>
  </si>
  <si>
    <t>https://openalex.org/I165779595</t>
  </si>
  <si>
    <t>Large-scale cis- and trans-eQTL analyses identify thousands of genetic loci and polygenic scores that regulate blood gene expression (2021; 2221 citations)</t>
  </si>
  <si>
    <t>https://api.openalex.org/works?filter=authorships.institutions.id%3AI165779595%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</si>
  <si>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https://api.openalex.org/institutions?search=The+University+of+Melbourne&amp;per_page=5&amp;select=id%2Cror%2Cdisplay_name%2Ccountry_code%2Ctype%2Chomepage_url%2Cworks_count%2Ccited_by_count%2Csummary_stats%2Cdisplay_name_alternatives&amp;mailto=busa649%40example.com</t>
  </si>
  <si>
    <t>US</t>
  </si>
  <si>
    <t>https://ror.org/01an7q238</t>
  </si>
  <si>
    <t>https://openalex.org/I95457486</t>
  </si>
  <si>
    <t>Informer: Beyond Efficient Transformer for Long Sequence Time-Series Forecasting (2021; 6303 citations)</t>
  </si>
  <si>
    <t>https://api.openalex.org/works?filter=authorships.institutions.id%3AI95457486%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</si>
  <si>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https://api.openalex.org/institutions?search=University+of+California+Berkeley&amp;per_page=5&amp;select=id%2Cror%2Cdisplay_name%2Ccountry_code%2Ctype%2Chomepage_url%2Cworks_count%2Ccited_by_count%2Csummary_stats%2Cdisplay_name_alternatives&amp;mailto=busa649%40example.com</t>
  </si>
  <si>
    <t>https://ror.org/00f54p054</t>
  </si>
  <si>
    <t>https://openalex.org/I97018004</t>
  </si>
  <si>
    <t>https://api.openalex.org/works?filter=authorships.institutions.id%3AI97018004%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</si>
  <si>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https://api.openalex.org/institutions?search=Stanford+University&amp;per_page=5&amp;select=id%2Cror%2Cdisplay_name%2Ccountry_code%2Ctype%2Chomepage_url%2Cworks_count%2Ccited_by_count%2Csummary_stats%2Cdisplay_name_alternatives&amp;mailto=busa649%40example.com</t>
  </si>
  <si>
    <t>https://ror.org/052gg0110</t>
  </si>
  <si>
    <t>https://openalex.org/I40120149</t>
  </si>
  <si>
    <t>Cancer statistics for the year 2020: An overview (2021; 5720 citations)</t>
  </si>
  <si>
    <t>https://api.openalex.org/works?filter=authorships.institutions.id%3AI40120149%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</si>
  <si>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https://api.openalex.org/institutions?search=University+of+Oxford&amp;per_page=5&amp;select=id%2Cror%2Cdisplay_name%2Ccountry_code%2Ctype%2Chomepage_url%2Cworks_count%2Ccited_by_count%2Csummary_stats%2Cdisplay_name_alternatives&amp;mailto=busa649%40example.com</t>
  </si>
  <si>
    <t>https://ror.org/0384j8v12</t>
  </si>
  <si>
    <t>https://openalex.org/I129604602</t>
  </si>
  <si>
    <t>A Consensus-Based Checklist for Reporting of Survey Studies (CROSS) (2021; 2161 citations)</t>
  </si>
  <si>
    <t>https://api.openalex.org/works?filter=authorships.institutions.id%3AI129604602%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</si>
  <si>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https://api.openalex.org/institutions?search=The+University+of+Sydney&amp;per_page=5&amp;select=id%2Cror%2Cdisplay_name%2Ccountry_code%2Ctype%2Chomepage_url%2Cworks_count%2Ccited_by_count%2Csummary_stats%2Cdisplay_name_alternatives&amp;mailto=busa649%40example.com</t>
  </si>
  <si>
    <t>Australian National University</t>
  </si>
  <si>
    <t>https://ror.org/019wvm592</t>
  </si>
  <si>
    <t>https://openalex.org/I118347636</t>
  </si>
  <si>
    <t>https://api.openalex.org/works?filter=authorships.institutions.id%3AI118347636%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</si>
  <si>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https://api.openalex.org/institutions?search=Australian+National+University&amp;per_page=5&amp;select=id%2Cror%2Cdisplay_name%2Ccountry_code%2Ctype%2Chomepage_url%2Cworks_count%2Ccited_by_count%2Csummary_stats%2Cdisplay_name_alternatives&amp;mailto=busa649%40example.com</t>
  </si>
  <si>
    <t>https://ror.org/0220mzb33</t>
  </si>
  <si>
    <t>https://openalex.org/I183935753</t>
  </si>
  <si>
    <t>https://api.openalex.org/works?filter=authorships.institutions.id%3AI183935753%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</si>
  <si>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https://api.openalex.org/institutions?search=King%27s+College+London&amp;per_page=5&amp;select=id%2Cror%2Cdisplay_name%2Ccountry_code%2Ctype%2Chomepage_url%2Cworks_count%2Ccited_by_count%2Csummary_stats%2Cdisplay_name_alternatives&amp;mailto=busa649%40example.com</t>
  </si>
  <si>
    <t>https://ror.org/0524sp257</t>
  </si>
  <si>
    <t>https://openalex.org/I36234482</t>
  </si>
  <si>
    <t>https://api.openalex.org/works?filter=authorships.institutions.id%3AI36234482%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</si>
  <si>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https://api.openalex.org/institutions?search=University+of+Bristol&amp;per_page=5&amp;select=id%2Cror%2Cdisplay_name%2Ccountry_code%2Ctype%2Chomepage_url%2Cworks_count%2Ccited_by_count%2Csummary_stats%2Cdisplay_name_alternatives&amp;mailto=busa649%40example.com</t>
  </si>
  <si>
    <t>https://ror.org/0190ak572</t>
  </si>
  <si>
    <t>https://openalex.org/I57206974</t>
  </si>
  <si>
    <t>Surviving sepsis campaign: international guidelines for management of sepsis and septic shock 2021 (2021; 5104 citations)</t>
  </si>
  <si>
    <t>https://api.openalex.org/works?filter=authorships.institutions.id%3AI57206974%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</si>
  <si>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https://api.openalex.org/institutions?search=New+York+University&amp;per_page=5&amp;select=id%2Cror%2Cdisplay_name%2Ccountry_code%2Ctype%2Chomepage_url%2Cworks_count%2Ccited_by_count%2Csummary_stats%2Cdisplay_name_alternatives&amp;mailto=busa649%40example.com</t>
  </si>
  <si>
    <t>https://ror.org/04p491231</t>
  </si>
  <si>
    <t>https://openalex.org/I130769515</t>
  </si>
  <si>
    <t>Towards complete and error-free genome assemblies of all vertebrate species (2021; 3155 citations)</t>
  </si>
  <si>
    <t>https://api.openalex.org/works?filter=authorships.institutions.id%3AI130769515%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</si>
  <si>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https://api.openalex.org/institutions?search=Pennsylvania+State+University&amp;per_page=5&amp;select=id%2Cror%2Cdisplay_name%2Ccountry_code%2Ctype%2Chomepage_url%2Cworks_count%2Ccited_by_count%2Csummary_stats%2Cdisplay_name_alternatives&amp;mailto=busa649%40example.com</t>
  </si>
  <si>
    <t>BE</t>
  </si>
  <si>
    <t>https://ror.org/05f950310</t>
  </si>
  <si>
    <t>https://openalex.org/I99464096</t>
  </si>
  <si>
    <t>2022 ESC/ERS Guidelines for the diagnosis and treatment of pulmonary hypertension (2022; 2110 citations)</t>
  </si>
  <si>
    <t>https://api.openalex.org/works?filter=authorships.institutions.id%3AI99464096%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</si>
  <si>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https://api.openalex.org/institutions?search=KU+Leuven&amp;per_page=5&amp;select=id%2Cror%2Cdisplay_name%2Ccountry_code%2Ctype%2Chomepage_url%2Cworks_count%2Ccited_by_count%2Csummary_stats%2Cdisplay_name_alternatives&amp;mailto=busa649%40example.com</t>
  </si>
  <si>
    <t>FI</t>
  </si>
  <si>
    <t>https://ror.org/040af2s02</t>
  </si>
  <si>
    <t>https://openalex.org/I133731052</t>
  </si>
  <si>
    <t>Dementia prevention, intervention, and care: 2024 report of the Lancet standing Commission (2024; 3130 citations)</t>
  </si>
  <si>
    <t>https://api.openalex.org/works?filter=authorships.institutions.id%3AI133731052%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</si>
  <si>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https://api.openalex.org/institutions?search=University+of+Helsinki&amp;per_page=5&amp;select=id%2Cror%2Cdisplay_name%2Ccountry_code%2Ctype%2Chomepage_url%2Cworks_count%2Ccited_by_count%2Csummary_stats%2Cdisplay_name_alternatives&amp;mailto=busa649%40example.com</t>
  </si>
  <si>
    <t>https://ror.org/01v29qb04</t>
  </si>
  <si>
    <t>https://openalex.org/I190082696</t>
  </si>
  <si>
    <t>A Multi-Modal Distributed Real-Time IoT System for Urban Traffic Control (Invited Paper) (2024; 14340 citations)</t>
  </si>
  <si>
    <t>https://api.openalex.org/works?filter=authorships.institutions.id%3AI190082696%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</si>
  <si>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https://api.openalex.org/institutions?search=Durham+University&amp;per_page=5&amp;select=id%2Cror%2Cdisplay_name%2Ccountry_code%2Ctype%2Chomepage_url%2Cworks_count%2Ccited_by_count%2Csummary_stats%2Cdisplay_name_alternatives&amp;mailto=busa649%40example.com</t>
  </si>
  <si>
    <t>https://ror.org/024mrxd33</t>
  </si>
  <si>
    <t>https://openalex.org/I130828816</t>
  </si>
  <si>
    <t>https://api.openalex.org/works?filter=authorships.institutions.id%3AI130828816%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</si>
  <si>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https://api.openalex.org/institutions?search=University+of+Leeds&amp;per_page=5&amp;select=id%2Cror%2Cdisplay_name%2Ccountry_code%2Ctype%2Chomepage_url%2Cworks_count%2Ccited_by_count%2Csummary_stats%2Cdisplay_name_alternatives&amp;mailto=busa649%40example.com</t>
  </si>
  <si>
    <t>https://ror.org/02grkyz14</t>
  </si>
  <si>
    <t>https://openalex.org/I125749732</t>
  </si>
  <si>
    <t>Global burden of liver disease: 2023 update (2023; 2046 citations)</t>
  </si>
  <si>
    <t>https://api.openalex.org/works?filter=authorships.institutions.id%3AI125749732%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</si>
  <si>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https://api.openalex.org/institutions?search=Western+University&amp;per_page=5&amp;select=id%2Cror%2Cdisplay_name%2Ccountry_code%2Ctype%2Chomepage_url%2Cworks_count%2Ccited_by_count%2Csummary_stats%2Cdisplay_name_alternatives&amp;mailto=busa649%40example.com</t>
  </si>
  <si>
    <t>https://ror.org/00vtgdb53</t>
  </si>
  <si>
    <t>https://openalex.org/I7882870</t>
  </si>
  <si>
    <t>Twelve years of SAMtools and BCFtools (2021; 16205 citations)</t>
  </si>
  <si>
    <t>https://api.openalex.org/works?filter=authorships.institutions.id%3AI7882870%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</si>
  <si>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https://api.openalex.org/institutions?search=University+of+Glasgow&amp;per_page=5&amp;select=id%2Cror%2Cdisplay_name%2Ccountry_code%2Ctype%2Chomepage_url%2Cworks_count%2Ccited_by_count%2Csummary_stats%2Cdisplay_name_alternatives&amp;mailto=busa649%40example.com</t>
  </si>
  <si>
    <t>https://api.openalex.org/institutions?search=The+University+of+Auckland&amp;per_page=5&amp;select=id%2Cror%2Cdisplay_name%2Ccountry_code%2Ctype%2Chomepage_url%2Cworks_count%2Ccited_by_count%2Csummary_stats%2Cdisplay_name_alternatives&amp;mailto=busa649%40example.com</t>
  </si>
  <si>
    <t>Trinity College Dublin</t>
  </si>
  <si>
    <t>IE</t>
  </si>
  <si>
    <t>https://ror.org/02tyrky19</t>
  </si>
  <si>
    <t>https://openalex.org/I205274468</t>
  </si>
  <si>
    <t>https://api.openalex.org/works?filter=authorships.institutions.id%3AI205274468%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</si>
  <si>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Trinity+College+Dublin%2C+The+University+of+Dublin&amp;per_page=5&amp;select=id%2Cror%2Cdisplay_name%2Ccountry_code%2Ctype%2Chomepage_url%2Cworks_count%2Ccited_by_count%2Csummary_stats%2Cdisplay_name_alternatives&amp;mailto=busa649%40example.com</t>
  </si>
  <si>
    <t>https://ror.org/00b30xv10</t>
  </si>
  <si>
    <t>https://openalex.org/I79576946</t>
  </si>
  <si>
    <t>Physics-informed machine learning (2021; 6919 citations)</t>
  </si>
  <si>
    <t>https://api.openalex.org/works?filter=authorships.institutions.id%3AI79576946%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</si>
  <si>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https://api.openalex.org/institutions?search=University+of+Pennsylvania&amp;per_page=5&amp;select=id%2Cror%2Cdisplay_name%2Ccountry_code%2Ctype%2Chomepage_url%2Cworks_count%2Ccited_by_count%2Csummary_stats%2Cdisplay_name_alternatives&amp;mailto=busa649%40example.com</t>
  </si>
  <si>
    <t>https://ror.org/03yghzc09</t>
  </si>
  <si>
    <t>https://openalex.org/I23923803</t>
  </si>
  <si>
    <t>https://api.openalex.org/works?filter=authorships.institutions.id%3AI23923803%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</si>
  <si>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https://api.openalex.org/institutions?search=University+of+Exeter&amp;per_page=5&amp;select=id%2Cror%2Cdisplay_name%2Ccountry_code%2Ctype%2Chomepage_url%2Cworks_count%2Ccited_by_count%2Csummary_stats%2Cdisplay_name_alternatives&amp;mailto=busa649%40example.com</t>
  </si>
  <si>
    <t>API quota reached</t>
  </si>
  <si>
    <t>Collection error | HTTPError: HTTP Error 429: Too Many Requests</t>
  </si>
  <si>
    <t>Program Details from Official University Sources - 60 Selected Programs</t>
  </si>
  <si>
    <t>English-language evidence for cost, duration, delivery, entry requirements, curriculum, experiential learning, culminating work, thesis, and outcomes. NA retains its original meaning.</t>
  </si>
  <si>
    <t>Tuition / Fees</t>
  </si>
  <si>
    <t>Duration</t>
  </si>
  <si>
    <t>Study Mode / Delivery</t>
  </si>
  <si>
    <t>Entry Requirements</t>
  </si>
  <si>
    <t>Curriculum Focus</t>
  </si>
  <si>
    <t>Internship / Fieldwork</t>
  </si>
  <si>
    <t>Capstone / Project</t>
  </si>
  <si>
    <t>Thesis Option</t>
  </si>
  <si>
    <t>Placement Outcomes (if available)</t>
  </si>
  <si>
    <t>Additional Official Sources</t>
  </si>
  <si>
    <t>Extraction Status</t>
  </si>
  <si>
    <t>Review Notes</t>
  </si>
  <si>
    <t>Tuition fees, payments and exemptions | Full programme/course tuition fee: SEK 300,000 | First payment: SEK 75,000</t>
  </si>
  <si>
    <t>In-person</t>
  </si>
  <si>
    <t>Overall, you will develop the ability to integrate knowledge across disciplines and critically evaluate assumptions underlying various processes and policies. The programme also trains you to work in cross-cultural and interdisciplinary teams. You develop interpersonal and academic skills through group work, presentations, academic writing, and interactions with society. | Programme structure | Career prospects || Programme structure | The programme spans two years and is divided into four semesters.</t>
  </si>
  <si>
    <t>Not stated on reviewed official page</t>
  </si>
  <si>
    <t>Yes</t>
  </si>
  <si>
    <t>https://www.lunduniversity.lu.se/study/environmental-studies-and-sustainability-science-master-of-science-programme-SAESS/programme-structure</t>
  </si>
  <si>
    <t>Official program page retrieved; 2 official page(s) reviewed; 6/10 requested evidence groups found.</t>
  </si>
  <si>
    <t>Automated evidence extraction from official pages. Manually confirm year-specific tuition, language score applicability, and optional-versus-required curriculum elements before analysis.</t>
  </si>
  <si>
    <t>In the 2025-2026 academic year, these were set at $8,448.48 for domestic students, and $34,900.48 for international students.</t>
  </si>
  <si>
    <t>https://www.environment.utoronto.ca/graduate/mes/tuition-funding; https://www.environment.utoronto.ca/graduate/mes/mes-admission-requirements; https://www.environment.utoronto.ca/undergraduate/curriculum-courses</t>
  </si>
  <si>
    <t>Official program page retrieved; 4 official page(s) reviewed; 4/10 requested evidence groups found.</t>
  </si>
  <si>
    <t>Full-time Part-time Flexible | UK tuition fees (2026/27) | £21,500 || Programme also available on a modular (flexible) basis . | Overseas tuition fees (2026/27) | £39,200 || Part-time | Tuition fees (2026/27) | £21,500</t>
  </si>
  <si>
    <t>A minimum of an upper second-class Bachelor's degree from a UK university or an overseas qualification of an equivalent standard in an appropriate subject (earth science, economics, political sciences, geography, physical sciences, law, engineering or related subject). These requirements may be relaxed for students who can demonstrate considerable and relevant aptitude and experience, for example, in business or government. Please clearly state in your personal statement how your educational or  || English language requirements | The English language level for this course is: Level 2 | UCL Pre-Master's and Pre-sessional English courses are for international students who are aiming to study for a postgraduate degree at UCL. The courses will develop your academic English and academic skills required to succeed at postgraduate level. || UCL Pre-Master's and Pre-sessional English courses are for international students who are aiming to study for a postgraduate degree at UCL. The courses wi</t>
  </si>
  <si>
    <t>Networking | We provide numerous networking opportunities to foster invaluable connections for our students. Many modules in this master’s degree feature guest speakers, industry leaders, and experts, offering students the chance to build professional relationships. During the dissertation module, students collaborate with UCL Institute for Sustainable Resources academic team and benefit from their extensive industry contacts. Our Institute's strong industry ties ensure that you will gain real-w || The course is delivered using a diverse array of teaching techniques. Lectures provide foundational knowledge and expert insights, often featuring presentations from visiting speakers. Seminars and tutorials foster active participation and critical discussion amongst you and your peers, enhancing your analytical skills and deepening understanding. Collaborative group projects promote teamwork</t>
  </si>
  <si>
    <t>https://www.ucl.ac.uk/study/prospective-students/graduate/how-apply/english-language-requirements</t>
  </si>
  <si>
    <t>Official program page retrieved; 4 official page(s) reviewed; 8/10 requested evidence groups found.</t>
  </si>
  <si>
    <t>Our MSc Global Strategy and Sustainability programme provides a critical understanding of the theories, processes, and behaviours influencing environmental and social responsibility. It focuses on the role of organisations and institutions across public, private, and third sectors in driving lasting positive impact.
With topics ranging from corporate responsibilty, carbon accounting, and digital innovation, this MSc programme highlights the impact of strategy in affecting local and global outcomes that support a sustainable future.</t>
  </si>
  <si>
    <t>Develop Your Talent | Dissertation executive summaries | Contact || Through the selection of various option courses, you can tailor your studies towards your career interests. | Finally, your MSc dissertation brings all of the year’s learning together in a piece of work unique to you. | To give you an idea of what the programme structure and courses might consist of, the below information details the structure and courses for this programme in 2026/27.* || May–August | Dissertation | Dissertation (Global Strategy and Sustainability)</t>
  </si>
  <si>
    <t>Graduates from our MSc Global Strategy and Sustainability programme have gone on to work for a variety of companies.
85%Jobs achieved within 6 months of graduation</t>
  </si>
  <si>
    <t>https://www.business-school.ed.ac.uk/msc/global-strategy-sustainability/entry-requirements; https://www.business-school.ed.ac.uk/msc/global-strategy-sustainability/overview/programme-structure</t>
  </si>
  <si>
    <t>Official program page retrieved; 3 official page(s) reviewed; 5/10 requested evidence groups found.</t>
  </si>
  <si>
    <t>https://apscpp.ubc.ca/tuition-finance; https://apscpp.ubc.ca/eligibility/english-language-proficiency</t>
  </si>
  <si>
    <t>Official program page retrieved; 3 official page(s) reviewed; 4/10 requested evidence groups found.</t>
  </si>
  <si>
    <t>Other Professional, Scientific and Technical Activities | This data is drawn from the 2022/23 Graduate Outcomes Survey, conducted by the Higher Education Statistics Agency (HESA). Where included, median salaries are based on respondents in full-time employment who were paid in UK pounds sterling. Graduates from 2022/23 were the sixth and final cohort to take part in the Graduate Outcomes Survey. For data aggregated across the past five years, please visit the LSE Careers website . | Career suppo</t>
  </si>
  <si>
    <t>Official program page retrieved; 3 official page(s) reviewed; 8/10 requested evidence groups found.</t>
  </si>
  <si>
    <t>https://www.imperial.ac.uk/business-school/undergraduate/bpes/</t>
  </si>
  <si>
    <t>Accelerate your career | Join the university recognised for producing Australia’s most employable graduates seven years in a row (AFR Top100 Future Leaders &amp; Graduate Employers Awards, 2020–2026) and ranked #1 in Australia for #46 globally for employment outcomes (QS World University Rankings, 2027). Graduate with the skills and experience to lead in the sustainability sector. | Build your professional network || Winner of the AFR Most Employable University Award seven years in a row | AFR Top100 Future Leaders &amp; Graduate Employers Awards, 2020–2026 | Australia's #1 for Innovation</t>
  </si>
  <si>
    <t>Official program page retrieved; 1 official page(s) reviewed; 7/10 requested evidence groups found.</t>
  </si>
  <si>
    <t>Official program page retrieved; 1 official page(s) reviewed; 1/10 requested evidence groups found.</t>
  </si>
  <si>
    <t>Coursework is designed to allow you to pursue your particular areas of interest. | In the summer semester, you work independently to undertake dissertation work based on primary and/or secondary data, or else a more philosophical/theoretical dissertation. | We encourage you develop research in collaboration with members of the Society and Environment Research Group (SERG) and external organisations. || Mandatory | Dissertation (Environmental Governance) | GEOG70930</t>
  </si>
  <si>
    <t>https://www.manchester.ac.uk/study/masters/fees-and-funding/international-student-fees/tuition-fee-deposits/</t>
  </si>
  <si>
    <t>Official program page retrieved; 3 official page(s) reviewed; 7/10 requested evidence groups found.</t>
  </si>
  <si>
    <t>Credits | duration | 120 ECTS | 2 years | Academic title</t>
  </si>
  <si>
    <t>2 years full-time / 4 years part-time.</t>
  </si>
  <si>
    <t>On campus (Parkville); full-time or part-time.</t>
  </si>
  <si>
    <t>Two core subjects followed by a specialisation or tailored study plan. Options include climate change, waste management, and conservation and restoration.</t>
  </si>
  <si>
    <t>Manually completed from current official indexed content after the automated page request was blocked or incomplete.</t>
  </si>
  <si>
    <t>Official source content was manually reviewed. Reconfirm year-specific tuition and linked university-wide requirements before final statistical analysis.</t>
  </si>
  <si>
    <t>https://climatesolutions.berkeley.edu/mcs/mcs-admissions-overview/</t>
  </si>
  <si>
    <t>Official program page retrieved; 2 official page(s) reviewed; 5/10 requested evidence groups found.</t>
  </si>
  <si>
    <t>Elective courses for the master’s program must be selected from the program’s pre-approved list. | Blended Arts and Sciences Elective Courses (50% / 50%) | These course units are designated 50% in the arts and 50% in the sciences.</t>
  </si>
  <si>
    <t>https://studentservices.stanford.edu/my-finances/tuition-fees</t>
  </si>
  <si>
    <t>Official program page retrieved; 2 official page(s) reviewed; 4/10 requested evidence groups found.</t>
  </si>
  <si>
    <t>Duration | 12 months | Time commitment || Teaching is delivered by academic staff from the Smith School and School of Geography and the Environment as well as other departments across the University. In addition, guest lectures from enterprise, such as the Smith School’s Business Fellows, add to the breadth of teaching expertise. | The course is structured across three terms, progressing from broad-based concepts and skills to increased application and engagement: | Michaelmas Term || Module Four takes place in Michaelmas Term, where the focus is on understanding the nature of the net-zero sustainable development (NZSD) conundrum. This module considers the macro forces and drivers that are shaping, disrupting and re-shaping economic, social and environmental relationships, and the implications of ‘glocalization’ for NZSD. The module analy</t>
  </si>
  <si>
    <t>The MSEE comprises: | 10 core modules | Two electives || During Michaelmas and Hilary terms (weeks 1 to 8), a typical study week includes an average of 16 contact hours: | 2 hours of lectures for each of the five core modules. | 2 hours per elective. || This module takes place in Hilary Term, where the focus is on how to tackle the Net-Zero, Sustainable Development challenge. This is done by integrated assessment of potential solutions and pathways. It provides students with foundational knowledge in the emerging theories and practice of sustainable finance and investment. | Learning Outcomes: | 1. To develop sufficient understanding to navigate and critically analyse the key aspects and developments in sustainable finance and investment. || Participation in this course will equip students with a foundational understanding of some of the key normative frameworks regarding the natural world and their influence on different actors, enabling critical evaluation of social and policy decisions. Students will also deepen their understanding of transdisciplinarity as a method for addressing</t>
  </si>
  <si>
    <t>Two electives | A 15,000-word dissertation. | Our approach combines directed teaching, self-regulated learning, structured engagement with enterprise and formal assessment. || Field trip costs are included in the course fee, and any specific accessibility issues will be taken into account when planning the visits. | Assessments will consist of either written examination and/or coursework which may include written and/or oral tasks. You will also be assessed on your individual dissertation, which will have been produced independently and contain original work. | An independent and original dissertation is an integral component of the course. We offer a suite of trainin || Assessments will consist of either written examination and/or coursework which may include written and/or oral tasks. You will also be assessed on your individual dissertation, which will have been produced independently</t>
  </si>
  <si>
    <t>Official program page retrieved; 2 official page(s) reviewed; 7/10 requested evidence groups found.</t>
  </si>
  <si>
    <t>Official program page retrieved; 1 official page(s) reviewed; 0/10 requested evidence groups found.</t>
  </si>
  <si>
    <t>2026 annual indicative fee for international students: AUD 56,120. Domestic Tuition Fees (DTF) vary; Services and Amenities Fee also applies.</t>
  </si>
  <si>
    <t>1.5 years full-time; minimum 72 units.</t>
  </si>
  <si>
    <t>In person (MCLIM); a separate online plan (MCLIMO) is also published by ANU.</t>
  </si>
  <si>
    <t>Applicants must meet ANU English language admission requirements; a program-specific score was not stated on the reviewed page.</t>
  </si>
  <si>
    <t>Climate impacts, adaptation, mitigation, climate economics, law, policy, governance, research methods, and practical application; 72 units with at least 30 units of climate-change courses.</t>
  </si>
  <si>
    <t>https://programsandcourses.anu.edu.au/2026/program/MCLIM</t>
  </si>
  <si>
    <t>Climate Change: Environment, Science and Policy MSc | One year full-time, two years part-time, September to September | Multiple study modes available || Environmental Science for Sustainability MSc | Full-time: one year; part-time: two years | Multiple study modes available || Geopolitics, Resources and Territory MA | One year full-time, September to September, two years part-time | Multiple study modes available</t>
  </si>
  <si>
    <t>Develop interdisciplinary understanding of the ways in which the human and physical world is revealed through representations of space, place and landscape. | Access opportunities to carry out original fieldwork either in the UK or overseas for your dissertation. | An optional internship module helps students take their first steps towards employment in a relevant vocational field. || thesis/report; | • Undertaking effective fieldwork as part of dissertation, if suitable; | • Employing a variety of social survey and interpretative methods for analysing information from the human world.</t>
  </si>
  <si>
    <t>Official program page retrieved; 1 official page(s) reviewed; 4/10 requested evidence groups found.</t>
  </si>
  <si>
    <t>The programme is closely affiliated with the University's Cabot Institute , which promotes multidisciplinary research around global environmental change and benefits from our location in the city of Bristol, the UK's first ever European Green Capital and a vibrant hub of environmental activism and technological innovation. | Through a demanding academic curriculum and practice-based learning opportunities, you will develop the skills and knowledge needed for employment in the public, private and || Find out more | Programme structure | The programme consists of six taught units and a dissertation research project. Some units are taught by natural scientists, covering subjects like climate science and the analysis of remotely sensed data. Others are delivered by social scientists, focusing on areas like environmental governance, policy analysis and research methods and design. A policy-focused unit provides an opportunity to develop practical experience through the completion of an extended || We will also consider your application if your final overall achieved grade is slightly lowe</t>
  </si>
  <si>
    <t>Programme structure | The programme consists of six taught units and a dissertation research project. Some units are taught by natural scientists, covering subjects like climate science and the analysis of remotely sensed data. Others are delivered by social scientists, focusing on areas like environmental governance, policy analysis and research methods and design. A policy-focused unit provides an opportunity to develop practical experience through the completion of an extended team-based proj || The programme consists of six taught units and a dissertation research project. Some units are taught by natural scientists, covering subjects like climate science and the analysis of remotely sensed data. Others are delivered by social scientists, focusing on areas like environmental governance, policy analysis and research methods and design. A policy-focused unit provides an opportunity to</t>
  </si>
  <si>
    <t>https://www.bristol.ac.uk/students/support/finances/</t>
  </si>
  <si>
    <t>Official program page retrieved; 3 official page(s) reviewed; 6/10 requested evidence groups found.</t>
  </si>
  <si>
    <t>Federal Pell Grants provide assistance to undergraduate students who demonstrate financial need according to requirements established by the federal government. To be eligible, you must enroll in a degree program and must be matriculated for your first bachelor's degree. You are automatically considered for the Pell Grant upon filing the FAFSA . Amounts can change yearly. The maximum Pell Grant award is $7,395 for the 2025–2026 award year. | The Tuition Assistance Program is a grant awarded to r</t>
  </si>
  <si>
    <t>$19,400 | full-time bachelor’s (12 credits) per semester | $15,734 || $15,734 | part-time bachelor’s (6-10 credits) per semester | $765 || The Tuition Assistance Program is a grant awarded to residents of the state of New York who are enrolled in a full-time degree program. An annual TAP award can be up to $5,665. TAP is based on financial need, and you must file a FAFSA and a separate TAP application . If you qualify for TAP, the TAP application instructions will be included in your FAFSA results. | Aid for Part-Time Study (APTS) is a grant program that offers New York state residents pursuing part-time undergraduate degree study</t>
  </si>
  <si>
    <t>$19,400 | full-time bachelor’s (12 credits) per semester | $15,734 || $15,734 | part-time bachelor’s (6-10 credits) per semester | $765 || Federal Pell Grants provide assistance to undergraduate students who demonstrate financial need according to requirements established by the federal government. To be eligible, you must enroll in a degree program and must be matriculated for your first bachelor's degree. You are automatically considered for the Pell Grant upon filing the FAFSA . Amounts can change yearly. The maximum Pell Grant award is $7,395 for the 2025–2026 award year. | The Tuition Assistance Program is a grant awarded to r</t>
  </si>
  <si>
    <t>https://www.sps.nyu.edu/join/undergraduate-admissions/tuition-and-financial-aid.html</t>
  </si>
  <si>
    <t>Official program page retrieved; 2 official page(s) reviewed; 3/10 requested evidence groups found.</t>
  </si>
  <si>
    <t>EMS Museum &amp; Art Gallery | The John A. Dutton Institute of Teaching and Learning Experience has helped faculty develop more than 185 fully online courses. | Undergraduate || Renewable Energy and Sustainability Systems M.P.S. | Prepare yourself to serve as a leader of the emerging green economy through the Renewable Energy and Sustainability Systems (RESS) master's degree program. This online program provides you with the technical depth in areas related to renewable energy. You can also gain a comprehensive understanding of the applications of technology in society, the energy economics, and the project development process. | Careers</t>
  </si>
  <si>
    <t>Working Teams | Curriculum and Education | Environmental Justice || Sustainability in EMS Curriculum and Education | Penn State College of Earth and Mineral Sciences | Skip to main content || Sustainability | Sustainability In EMS Curriculum and Education | Sustainability in EMS Curriculum and Education || Sustainability In EMS Curriculum and Education | Sustainability in EMS Curriculum and Education | With courses and programs in diverse areas like energy resources, earth systems, human-environment interactions, weather and climate, and materials, our students are well-positioned to solve the challenges of creating a more sustainable future. Across the college, at both the graduate and undergraduate levels, we’re exploring a wide range of topics through a sustainability lens to provide students w</t>
  </si>
  <si>
    <t>https://www.ems.psu.edu/about/strategic-initiatives/sustainability/sustainability-ems-curriculum-and-education</t>
  </si>
  <si>
    <t>Additional requirements | In your motivation letter, please motivate you specialisation choice (‘Ecology’ or ‘Space and Society’) and indicate your research interests/possible topics for your dissertation (with maximum 500 words). So please make sure you select your track correctly. More information can be found here and here . | Final version: 30/09/2026 || Additional requirements | In your motivation letter, please motivate you specialisation choice (‘Ecology’ or ‘Space and Society’) and indicate your research interests/possible topics for your dissertation (with maximum 500 words). So please make sure you select your track correctly. More information can be found here and here . | PDF/print</t>
  </si>
  <si>
    <t>https://onderwijsaanbod.kuleuven.be/opleidingen/e/SC_53903372/diploma_omschrijving; https://onderwijsaanbod.kuleuven.be/opleidingen/e/SC_53903372; https://onderwijsaanbod.kuleuven.be/opleidingen/e/SC_53903372/toelatingsvoorwaarden</t>
  </si>
  <si>
    <t>Finnish, English, Swedish | Tuition fee per year (only non-EU/EEA citizens) | 13 000 EUR</t>
  </si>
  <si>
    <t>Scope of studies and length | 120 ECTS credits, 2 years | Degree level</t>
  </si>
  <si>
    <t>You can choose from two study tracks: the Environmental Change study track in natural sciences and the Global Sustainability study track in social sciences. Within your study track, you will have the opportunity to deepen your knowledge and develop expertise in a chosen field of interest. | Find out more about the programme structure, content and courses from the link below. | Basic information</t>
  </si>
  <si>
    <t>Official program page retrieved; 1 official page(s) reviewed; 3/10 requested evidence groups found.</t>
  </si>
  <si>
    <t>Research Masters | Available Research Projects | Doctoral Study || Read more about scholarships here | Student Dissertation | See an example of the world class outputs from our postgraduate students: || Social Sciences International Brochure | The stories presented in our International Brochure demonstrate sustained and positive engagement with international partners, particularly around work with social justice in society and the UN s Sustainable Development Goals. Our 8 departments have funded research projects on every continent. | Find out more in our International Brochure</t>
  </si>
  <si>
    <t>GBP 14,000 (Total) | International fees | GBP 31,000 (Total)</t>
  </si>
  <si>
    <t>Duration | 12 Months (Full time) | Entry requirements || Compulsory modules | Global Development and Public Governance – 30 credits | This module aims to equip you to analyse competing ideas and practices of global and local development. It enables you to apply this approach to a range of sectoral issues such as (but not limited to) poverty and inequality, access to services, natural resources allocations and management, economic transformation and livelihoods. It also enables you to explore multi-sectoral and multi-level governance challenges of prod || This module aims to equip you to analyse competing ideas and practices of global and local development. It enables you to apply this approach to a range of sectoral issues such as (but not limited to) poverty and inequality, access to services, natural resources allocations and management</t>
  </si>
  <si>
    <t>You'll then apply your learning to your own individual research project where you’ll work with a dissertation supervisor, producing an original piece of cutting-edge research on a topic of your choice. | Course structure | The list shown below represents typical modules/components studied and may change from time to time. Read more in our terms and conditions.</t>
  </si>
  <si>
    <t>Build your skills in systems thinking, critical analysis, leadership, problem solving, communication and interdisciplinarity. | Conduct your own significant individual research project, taking advantage of our collaborative links with sustainability, environment and development organisations across the UK and internationally. | Experience expert practical and theoretical teaching delivered by a programme team made up of researchers covering the social sciences, economics, development studies, en || Throughout, you'll be taught through lectures, seminars, and workshops and will approach topics from different angles thanks to the interdisciplinary nature of academics from both the School of Earth and Environment and the School of Politics and International Studies. You'll also be able to apply what you have learned thus far to real-world scenarios through case study work in class and the f</t>
  </si>
  <si>
    <t>https://www.uwo.ca/mes/admissions/index.html</t>
  </si>
  <si>
    <t>https://www.auckland.ac.nz/en/study/applications-and-admissions/entry-requirements.html</t>
  </si>
  <si>
    <t>Official program page retrieved; 4 official page(s) reviewed; 5/10 requested evidence groups found.</t>
  </si>
  <si>
    <t>Course Overview | The degree in Environmental Sciences, the first of its kind in Ireland, has an established pedigree, attracting students with diverse academic backgrounds from Ireland and abroad. It comprises a series of taught modules encompassing a variety of current environmental themes, followed by a five-month research project. There is also the possibility to opt for a Postgraduate Diploma in Environmental Sciences, consisting of the taught modules only. | The aims of this course are to  || The aims of this course are to promote an understanding of environmental science, and the capability to apply that knowledge to current environmental issues and sound environmental management; to develop the necessary intellectual skills and practical expertise to design and execute independent research; and to cultivate skilled communicators able to organise ideas and disseminate them through</t>
  </si>
  <si>
    <t>https://www.tcd.ie/courses/microcredentials/by-school/micro-credentials---medicine/assessment-amp-management-of-frailty-in-ageing-adults---mc-module/</t>
  </si>
  <si>
    <t>https://www.elp.upenn.edu/</t>
  </si>
  <si>
    <t>We offer immersive learning experiences which provide an opportunity for interactive learning of fundamental skills and approaches to understanding and solving challenges. | You have the opportunity to undertake a work placement as part of a module, and a research project within an organisation as an alternative to a traditional academic dissertation. | Your learning is underpinned by the latest research undertaken by world-leading scholars and the Global Systems Institute community. || MSc Global Sustainability Solutions graduate | I ve really enjoyed meeting new people from all over the world and being able to come together to brainstorm and learn about subjects that we re all really motivated about. I ve also enjoyed working on real-world challenges as well as having a dissertation project that has the potential to encourage positive change. | I m a mature student who, after completin</t>
  </si>
  <si>
    <t>Official program page retrieved; 4 official page(s) reviewed; 7/10 requested evidence groups found.</t>
  </si>
  <si>
    <t>Manual review required: official program page retrieval failed (403).</t>
  </si>
  <si>
    <t>Pathway Programs | English Language Programs | Workplace Skilling || Not a permanent resident of Australia. | Admission to Western Sydney University is on the basis of meeting minimum academic and English language requirements . For more information about tuition fees and other costs, visit the Fees and Costs page . | Apply Now || English Language Programs | The College | Western Sydney University || Contact Us | English Language Programs | The College offers internationally-acclaimed English Language Programs that are designed to give you every chance of success. Whether you want to improve your general communication skills, work in Australia or study at Western Sydney University, our teachers are dedicated to you.</t>
  </si>
  <si>
    <t>https://www.westernsydney.edu.au/future/study/application-pathways/the-college/english-programs</t>
  </si>
  <si>
    <t>PhD in Environmental Studies | Mandate: to provide outstanding graduate training at the doctoral level in sustainability &amp; sustainable practices, facilitating interdisciplinarity across Queen’s faculties. Degree Level Expectations and Learning Outcomes (PDF, 98KB) . The objectives of this program will be achieved by a combination of courses, independent research, seminars, readings, a comprehensive examination and a thesis. (48 months) | Master's of Environmental Studies (MES) || Master's of Environmental Studies (MES) | The MES program at Queen's University provides graduate level training in the field of Environmental Sustainability by practicing an interdisciplinary approach to the study of the long-term nature and impacts of environmental change, the connections between today's decisions and tomorrow's welfare, and the strong dependence of human well-being on environmental quality. Degree Level Expectations and Learning Outcomes (PDF, 98KB) | The MES program meets a</t>
  </si>
  <si>
    <t>Official program page retrieved; 1 official page(s) reviewed; 2/10 requested evidence groups found.</t>
  </si>
  <si>
    <t>Master’s | (27 Credits) | Major || Major | (22 Credits) | Elective Core General || Research | (5 Credits) | Compulsory Research</t>
  </si>
  <si>
    <t>https://hygce.hanyang.ac.kr/-kor-</t>
  </si>
  <si>
    <t>Syllabus | Curriculum Map | Annual Report || Curriculum Map | Master’s Course (Japanese version only)</t>
  </si>
  <si>
    <t>https://www.ees.hokudai.ac.jp/?page_id=2891&amp;lang=en</t>
  </si>
  <si>
    <t>Official program page retrieved; 2 official page(s) reviewed; 1/10 requested evidence groups found.</t>
  </si>
  <si>
    <t>Tempoh Pengajian / Duration of Study | Sepenuh Masa /Full Time | 4-6 semesters || GOT = 5 semesters | Separuh Masa /Part Time* | *hanya untuk pelajar warganegara sahaja/ only applicable to Malaysian citizen only || Pelajar Tempatan/ Local Students (Malaysian) | Sepenuh Masa/ Full Time | Separuh Masa / Part Time</t>
  </si>
  <si>
    <t>4 – 8 semesters | Syarat Bahasa / Language Requirement | Syarat Keperluan Bahasa (Bagi pelajar Antarabangsa) || PASS Bahasa Melayu courses | Bahasa Inggeris English Language | TOEFL (Paper-Based) 550 || Bahasa Inggeris English Language | TOEFL (Paper-Based) 550 | TOEFL (Internet-Based) 95 || TOEFL (Paper-Based) 550 | TOEFL (Internet-Based) 95 | IELTS 6.0</t>
  </si>
  <si>
    <t>Dates and Deadlines | Tuition and Scholarships | Ready to Apply?</t>
  </si>
  <si>
    <t>The Master's Program in Biodiversity has the minimum admission requirements as follow: | English Proficiency Certificate at CEFR B2 (Vantage) or above | (please refer to English Proficiency Test Comparison Chart )</t>
  </si>
  <si>
    <t>The program emphasizes biodiversity theories as a foundation before moving onto more in-depth discussions on the scientific knowledge of biodiversity, sustainable resource utilization and planning, and benefit estimation and sharing. | Therefore, the curriculum covers the methodology and technology required for conducting research. It revolves around two main themes: | 1) Biodiversity Science</t>
  </si>
  <si>
    <t>https://mpb.ntu.edu.tw/prospective/admission/Requirements</t>
  </si>
  <si>
    <t>Effective: 2026-09-01 | SUST 900 - Sustainability Capstone | 6 units (fi 12)(EITHER, 0-6S-0) || 6 units (fi 12)(EITHER, 0-6S-0) | Course-based Master of Sustainability students complete a group capstone project on a sustainability focused project. | University of Alberta logo</t>
  </si>
  <si>
    <t>Two study interests: Environmental Health Risk Analysis (49 credits) and Environmental Health Management (48 credits). Graduate profiles include manager, leader, communicator, advocate, decision maker, negotiator, and researcher.</t>
  </si>
  <si>
    <t>https://fkm.unair.ac.id/en/department-of-environmental-health/; https://ppmb.unair.ac.id/en/page1/syarat-khusus-magister</t>
  </si>
  <si>
    <t>2026 domestic CSP indicative annual fee: AUD 9,312. International fee: AUD 42,950 per year; indicative total international tuition: AUD 88,048.</t>
  </si>
  <si>
    <t>Environmental and geospatial science, GIS, remote sensing, environmental planning, field skills, and applied decision support; 200 credit points in the four-semester route.</t>
  </si>
  <si>
    <t>Second year includes either an independent Research Thesis Pathway or a Professional Research Pathway.</t>
  </si>
  <si>
    <t>https://www.utas.edu.au/courses/sci-eng/courses/p7b-master-of-environmental-geospatial-science</t>
  </si>
  <si>
    <t>Time Zone: Courses run in the Eastern Time (ET) Zone. | Course Fees: A McMaster Part Time Student fee is included in the cost of academic credit courses. There is no tax on courses unless indicated at the bottom of the schedule chart. | Additional Fees: New students pay a one-time, non-refundable $39 activation fee for their first academic-credit course. Not every program or course requires textbooks. Learn more about textbooks . || Google Pay is available for faster checkout | Payments can be made from a Canadian Financial Institution and can take 2 to 4 business days to arrive in your McMaster student account. Once payment has arrived, you can register for your course. Please note that if the amount of the course fees owing is more than what was transferred to your student account, you will be dropped from the course. | Problem processi</t>
  </si>
  <si>
    <t>Overview | Complete the Sustainability program with our flexible online courses | Whether you want to launch a career in Sustainability or expand your knowledge of sustainable environment, economic and societal best practices, our online program can help. Gain in-demand skills for this rewarding profession. || Complete the Sustainability program with our flexible online courses | Whether you want to launch a career in Sustainability or expand your knowledge of sustainable environment, economic and societal best practices, our online program can help. Gain in-demand skills for this rewarding profession. | Designed with reference to several ISSP-SA (International Society of Sustainability Professionals) core competencies || Gain sustainability skills and knowledge of the best practices | Successfully complete any three out of the four onlin</t>
  </si>
  <si>
    <t>To ensure you are successful in your online courses, you are required to have knowledge and skills with general computer applications, such as keyboarding, file management, video conferencing and word processing. | Language Requirements | If English is not your native language, you must meet McMaster University’s English proficiency requirements by either qualifying for an exemption or passing a McMaster-approved English test. You will not need to provide proof of meeting this English requiremen</t>
  </si>
  <si>
    <t>Manual review required: official program page retrieval failed (0).</t>
  </si>
  <si>
    <t>Overseas residents: International Post with address written on application. | Applicants residing in Korea: Pick up by visiting the Office of International Affairs at Kyungpook National University after the tuition payment. | Registration || Number of Selected Applicants | New international students: up to 70 applicants based on 100% tuition payment | Enrolled students: up to 210 applicants based on 100% tuition payment || New international students: up to 70 applicants based on 100% tuition payment | Enrolled students: up to 210 applicants based on 100% tuition payment | Procedure</t>
  </si>
  <si>
    <t>Combined Master’s &amp; Doctoral Program(*Applicants should first check with the appropriate department to confirm they are recruiting international students.) | ※ The Graduate School of International Studies has evening classes and has 5 semesters. | SangJu Campus</t>
  </si>
  <si>
    <t>All required documents should be submitted to the Office of International Affairs using one of the following methods: | In person | By Post (either express or regular registered post-mail)</t>
  </si>
  <si>
    <t>Korean Language &amp; Literature | English Language &amp; Literature | Korean Language &amp; Literature || Korean Language &amp; Literature | English Language &amp; Literature | History || Ethics Education | English Language Education | Social Studies Education || Korean proficiency: A "TOPIK" certificate for level 3 or higher | English proficiency: A score report from a recognized English proficiency test such as - TOEFL 530(CBT 197, iBT 71), IELTS 5.5, CEFR B2, TEPS 600점, TOEIC 700 or higher | Be a native English speaker</t>
  </si>
  <si>
    <t>2026/27 MSc program fee: HKD 210,000 full-time; HKD 180,000 part-time. Additional fees apply beyond the normative period or for extra/repeated courses.</t>
  </si>
  <si>
    <t>MSc: 1-1.5 years full-time; 2-2.5 years part-time.</t>
  </si>
  <si>
    <t>Full-time or part-time.</t>
  </si>
  <si>
    <t>IELTS Academic 6.5 overall with all sub-scores at least 5.5; TOEFL alternatives are listed in the official catalog. Exemptions apply for English first language or an English-medium bachelor's degree.</t>
  </si>
  <si>
    <t>30-credit MSc: at least 18 foundation-course credits, electives, and at least three management-related courses; focus on advanced environmental engineering and management of facilities and infrastructure systems.</t>
  </si>
  <si>
    <t>An elective list includes JEVE 6980; a mandatory capstone/project is not stated on the reviewed catalog page.</t>
  </si>
  <si>
    <t>https://prog-crs.hkust.edu.hk/pgprog/2026-27/pgd-msc-evem</t>
  </si>
  <si>
    <t>Fiji, Papua New Guinea, Samoa, Tonga, Vanuatu and Solomon Islands | Programme Fee (per semester): | Details || (i.e. 60% of | Programme Fee) | (i.e. 50% of || (i.e. 50% of | Programme Fee) | (i.e. 40% of</t>
  </si>
  <si>
    <t>Kazhakstan | Certificate of General Secondary Education + 1 Year foundation or vocational | Course || Joint Exam. For the School certificate &amp; GCE | (11 Year Course) | International Baccalaurate || Research Proposal (Minimum 8 to 10 Pages). | Proof of Minimum 2 years of teaching/ industry experience. | Proof of Proficiency in English Language.</t>
  </si>
  <si>
    <t>Inclusivity | On Campus Jobs | Career Enhancement Initiatives || Skill-based Continuous Assessment (CA) is integrated into our curriculum to enhance practical knowledge application and develop essential skills for modern success. This approach fosters an engaging learning environment, preparing students for future careers while enhancing their entrepreneurial competencies and personal growth. | Blended Learning: The Best of Both Worlds | At LPU, blended learning combines in-person engagement and online flexibility, enabling discussions, resource access, and h || Blended Learning: The Best of Both Worlds | At LPU, blended learning combines in-person engagement and online flexibility, enabling discussions, resource access, and hands-on workshops. This approach develops digital literacy and collaboration skills while connecting students with</t>
  </si>
  <si>
    <t>Scholarship | English Language Requirement | How to Pay || Short Term Programme | English Language Programmes | Study India Programmes || Copyrights © 2026 All Rights Reserved by Lovely Professional University | English Language requirement for International Students: | All International Applicants are required to satisfy one of the following || as compulsory course in the Eligibility condition; even then he/she has to satisfy one | of the following English Language requirements. | Applicant must have passed English course in 10th or higher examination.</t>
  </si>
  <si>
    <t>Interdisciplinary Minors | Curriculum innovations | Guest lectures / Workshops || Programme Details | Curriculum | Fee || Related Programmes | Curriculum | Click on a course name below for viewing || Year | Electives Offered In Curriculum | Note: The Curriculum is subject to changes</t>
  </si>
  <si>
    <t>https://www.lpu.in/academics/curriculum-innovations.php</t>
  </si>
  <si>
    <t>Bioethics | Students need to complete a total of 42 credit hours of courses. This includes 30 credits of core courses; and 12 credits of elective courses from one of the following modules - Module 1: Policy and Governance of Science; and Module 2: Sociology and Enculturation of Science. The minimum duration of study is 3 semesters (e.g. 2 regular semesters and 1 special semester during the semester break), while the maximum duration is 8 normal semesters. | Core Courses (30 credits) || Students need to complete a total of 42 credit hours of courses. This includes 30 credits of core courses; and 12 credits of elective courses from one of the following modules - Module 1: Policy and Governance of Science; and Module 2: Sociology and Enculturation of Science. The minimum duration of study is 3 semesters (e.g. 2 regular semesters and 1 specia</t>
  </si>
  <si>
    <t>Is a government servants | English Language Requirement: | Fulfil any one of the following: || B4.0 | IELTS | 6.0 || 6.0 | TOEFL iBT (Centre-based) | TOEFL Essentials (Online) || TOEFL iBT (Centre-based) | TOEFL Essentials (Online) | 8.5</t>
  </si>
  <si>
    <t>Master's Programme (Coursework) | Dissertation - PhD and Master | Industrial Training || SQE7015 Research Methodology (3 credits) | SQE7028 Research Project (Pre-requisite: SQE7015) (12 credit) | SQE7016 Sociology of Science (3 credits)</t>
  </si>
  <si>
    <t>To receive the degree of B. Sc. in Environmental Science, a student must | 1) complete a minimum of 136 credit units | 2) satisfy the General Requirements of the School for professional degrees, || To receive the degree of B. Eng. in Environmental Engineering, a student must | 1) complete a minimum of 136 credit units | 2) satisfy the General Requirements of the School for professional degrees,</t>
  </si>
  <si>
    <t>What is Environmental Science and Engineering? | Environmental Science &amp;Engineering is an area of highly applied science to solve the environmental problems such as destruction of eco-system, water contamination, air pollution, soil contamination and municipal waste treatment. The department curriculum offers environmental management, eco-business, environmental education and toxicology in addition to the general environmental areas. In particular, process designs are the essential courses in th || 2) satisfy the General Requirements of the School for professional degrees, | 3) complete the 12 units of Core Courses for Environmental Science, | 4) complete at least more than 37 units of Elective Courses for Environmental Science. || 2) satisfy the General Requirements of the School for professional degrees, | 3) complete 18 units of Core Courses for Environmental Engineering, | 4) complete 42 units of Elective Courses for Environmental Engineering,</t>
  </si>
  <si>
    <t>The master's program is a research degree concluding with the presentation and defense of a thesis. It normally lasts for 24 months, but typically takes from 30-36 months to complete. The maximum time allowed is 60 months. | An MA/MSc student must successfully complete 18 units of course study. Of these 18 units, 7.5 units are required core courses (listed below). Three units are taken as electives, and 7.5 units are taken as thesis. | Core Courses (required): || An MA/MSc student must successfully complete 18 units of course study. Of these 18 units, 7.5 units are required core courses (listed below). Three units are taken as electives, and 7.5 units are taken as thesis. | Core Courses (required): | ES 500 (1.5) Perspectives on Environmental Theories, Methods and Skills I || A typical PhD program lasts 4-5 years and focuses mainly on research, concluding with the presentation and defense of a dissertation. The PhD program is normally a 48-month research program. The current average time to completion is closer to 60 months. The maximum time allowed is 84 months. | The University of</t>
  </si>
  <si>
    <t>https://www.uvic.ca/graduate/finances/tuition-costs/index.php</t>
  </si>
  <si>
    <t>Official program page retrieved; 2 official page(s) reviewed; 8/10 requested evidence groups found.</t>
  </si>
  <si>
    <t>Duration | 2 years full-time or 4 years part-time | Credit Points that Must be Earned || a completed Australian Qualifications Framework (AQF) Certificate IV or Diploma level qualification, or | a Bachelor level qualification study for a period of at least 2 years fulltime with a minimum overall GPA 4.0. | These qualifications must be completed within Australia, Canada, New Zealand, United Kingdom, South Africa, Ireland, or the United States of America to meet the English language proficiency requirements. || an Occupational English Test with a minimum result of 'B' in each of the four components (listening, reading, writing and speaking). | English test results remain valid for no more than two years between final examination date and the date of commencement of study, and must appear on a single result certificate. | If you are an inter</t>
  </si>
  <si>
    <t>9. APPLICATION OF KNOWLEDGE &amp; SKILLS Be able to use high level personal autonomy and accountability | 10 APPLICATION OF KNOWLEDGE &amp; SKILLS Be able to plan and execute a substantial research-based project, capstone experience and/or piece of scholarship. | APPLICATION OF KNOWLEDGE &amp; SKILLS Communicate, interact and collaborate with others effectively in culturally or linguistically diverse contexts in a culturally respectful manner</t>
  </si>
  <si>
    <t>Indicative annual fee: AUD 49,640 for the indexed international/full-time study option; annual fees are based on an 80-unit full-time load.</t>
  </si>
  <si>
    <t>2 years full-time; up to 6 years part-time.</t>
  </si>
  <si>
    <t>Online option is published; other location/attendance options depend on the selections made on the official program page.</t>
  </si>
  <si>
    <t>Applicants must meet University of Newcastle English Language Proficiency requirements; the program page did not expose the numeric score in the reviewed view.</t>
  </si>
  <si>
    <t>Environmental management, sustainability, climate change, policy development and implementation, impact assessment, with specialisation in business management, natural resource management, and/or spatial science.</t>
  </si>
  <si>
    <t>98.2% employed within four months of graduating (Graduate Outcomes Survey 2022-2024, Postgraduate Agriculture and Environmental Studies).</t>
  </si>
  <si>
    <t>Full UK Fee: GBP 12,950 | Tuition fees in the academic year 2027/28* will be GBP 10,050. Fees are set in line with the UK Government's tuition fee cap. The University may increase fees in subsequent years in line with any changes to the tuition fee cap. Increases will be linked to inflation. For example, increases may be linked to RPIX (Retail Price Index excluding mortgage interest payments) Students will be notified of any increase ahead of it taking effect. Student fee loans rise in line with || *if your course is longer than one year | Full International Fee: GBP 22,850 | This is the tuition fee for your first year of study. You should expect to pay tuition fees for every year of study. The University may increase fees in the second and subsequent years of your course at our discretion in line with any inflationary or other uplift. St</t>
  </si>
  <si>
    <t>Disaster Management and Sustainable Development MSc | 2 Years Full-Time (with Advanced Practice in Second Year) | September Start | APPLY NOW || Mode of Study | 2 years Full Time (with Advanced Practice in the second year) | 1 other options available || Tuition fees in the academic year 2027/28* will be GBP 10,050. Fees are set in line with the UK Government's tuition fee cap. The University may increase fees in subsequent years in line with any changes to the tuition fee cap. Increases will be linked to inflation. For example, increases may be linked to RPIX (Retail Price Index excluding mortgage interest payments) Students will be notified of any increase ahead of it taking effect. Student fee loans rise in line with the tuition fees cap. | *</t>
  </si>
  <si>
    <t>More about the UK Government Loan. | In this rapidly expanding field, you will learn through real scenarios and case studies and live research projects, developing your personal and professional responses to disaster and development challenges. | Guided through lectures, seminars and workshops by staff with vast experience in applying expertise to current world issues, you will develop the knowledge and practical skills needed to prepare for, take action within, and recover from a crisis. You wi || In this rapidly expanding field, you will learn through real scenarios and case studies and live research projects, developing your personal and professional responses to disaster and development challenges. | Guided through lectures, seminars and workshops by staff with vast experience in applying expertise to current world issues, you will develop the knowledge and practical skills needed to</t>
  </si>
  <si>
    <t>Learning Outcomes | In accordance with Decree 1311 concerning the 2020 Higher Education Curriculum for the Environmental Science Study Program of the SIL UI Masters Program, the structure of the Masters education curriculum at SIL is in the form of lectures and research with a load of 40 credits taken within a study period of 4-6 semesters. The curriculum consists of 28 credits of compulsory courses and 12 credits of elective courses. The Environmental Science Study Program currently has 3 (thre</t>
  </si>
  <si>
    <t>SDGs | Gallery/Life on Campus | ALUMNI</t>
  </si>
  <si>
    <t>Masters who are able to develop knowledge in the field of Environmental Science and are able to conduct (manage) research and are able to identify and solve problems in the field of environmental science through interdisciplinary and multidisciplinary approaches, and are able to write and disseminate research results to the public. | Learning Outcomes | In accordance with Decree 1311 concerning the 2020 Higher Education Curriculum for the Environmental Science Study Program of the SIL UI Masters || Learning Outcomes | In accordance with Decree 1311 concerning the 2020 Higher Education Curriculum for the Environmental Science Study Program of the SIL UI Masters Program, the structure of the Masters education curriculum at SIL is in the form of lectures and research with a load of 40 credits taken within a study period of 4-6 semesters. The curriculum consists of 28 credits of compulsory courses and 12 credits of elective courses. The Environmental Science Study Program currently has 3 (thre</t>
  </si>
  <si>
    <t>Environmental Sciences | Duration: 24 Months (2 Years) | Degree Awarded: MSc || The Masters of Science in Environmental Science at An-Najah National University is a foundation to leadership for environmental professionals. The program was designed by academic leaders in the Water and Environmental Studies Institute at An-Najah National University and benefiting from experts and programs in applied science at regional institutes and universities. The focus of the program is on studying the environmental effects and impacts of current human activities and development on the p || 2003-1 | Student must complete 36 credit hours | Speciality Requirements</t>
  </si>
  <si>
    <t>Deanship of Student Affairs | Life on Campus | Student Training and Development || Faculties | Life on Campus | Nablus City || Discover Palestine | Open Online Courses | Nablus, Palestine</t>
  </si>
  <si>
    <t>The Masters of Science in Environmental Science at An-Najah National University is a foundation to leadership for environmental professionals. The program was designed by academic leaders in the Water and Environmental Studies Institute at An-Najah National University and benefiting from experts and programs in applied science at regional institutes and universities. The focus of the program is on studying the environmental effects and impacts of current human activities and development on the p</t>
  </si>
  <si>
    <t>https://www.najah.edu/en/academic/postgraduate-programs/program/environmental-sciences/study-plan/</t>
  </si>
  <si>
    <t>A distinguishing element of the program is its applied approach. You begin the program with a foundation in sustainability frameworks and methods, then you take electives in an area of interest and ultimately use this knowledge to develop solutions to actual sustainability challenges in real time. | Final courses include learning how to manage and carry-out sustainability projects. In the capstone experience, you collaborate with a company, a government agency, a community or a nongovernmental o</t>
  </si>
  <si>
    <t>Verification Issues and Manual Follow-up - Selected Sample</t>
  </si>
  <si>
    <t>Critical corrections are complete. The rows below still require interpretation or manual confirmation before modelling the 60-program sample.</t>
  </si>
  <si>
    <t>Priority</t>
  </si>
  <si>
    <t>Category</t>
  </si>
  <si>
    <t>Issue</t>
  </si>
  <si>
    <t>Treatment in Workbook</t>
  </si>
  <si>
    <t>Recommended Follow-up</t>
  </si>
  <si>
    <t>Evidence URL</t>
  </si>
  <si>
    <t>Critical</t>
  </si>
  <si>
    <t>Ranking source</t>
  </si>
  <si>
    <t>All</t>
  </si>
  <si>
    <t>Previous workbook used general QS/THE world rankings.</t>
  </si>
  <si>
    <t>Uses sustainability-specific rankings.</t>
  </si>
  <si>
    <t>Use this workbook for sustainability analysis.</t>
  </si>
  <si>
    <t>https://www.topuniversities.com/sustainability-rankings</t>
  </si>
  <si>
    <t>Sample construction</t>
  </si>
  <si>
    <t>Ranking overlap can produce fewer than 60 distinct institutions.</t>
  </si>
  <si>
    <t>30 QS records are selected first; 30 nonduplicate THE records are then added.</t>
  </si>
  <si>
    <t>Use Selection Audit for cohort assignment.</t>
  </si>
  <si>
    <t>https://www.timeshighereducation.com/impactrankings</t>
  </si>
  <si>
    <t>Al-Ahliyya Amman University (ID 75)</t>
  </si>
  <si>
    <t>Manual validation found no relevant sustainability/environment master's program.</t>
  </si>
  <si>
    <t>Excluded before sample selection.</t>
  </si>
  <si>
    <t>Preserve the exclusion unless new official evidence is found.</t>
  </si>
  <si>
    <t>https://www.ammanu.edu.jo/sdo/sdg-focused-courses-1742/</t>
  </si>
  <si>
    <t>High</t>
  </si>
  <si>
    <t>Program type</t>
  </si>
  <si>
    <t>Sustainability, Science &amp; Society is undergraduate, not MSc.</t>
  </si>
  <si>
    <t>Replaced with MSc Geography and marked as research/best-fit.</t>
  </si>
  <si>
    <t>Confirm desired research supervisor/theme.</t>
  </si>
  <si>
    <t>Program availability</t>
  </si>
  <si>
    <t>Sustainable Process Engineering MEL is paused and not accepting applications.</t>
  </si>
  <si>
    <t>Replaced with current Clean Energy Engineering MEL.</t>
  </si>
  <si>
    <t>Confirm that energy-focused scope fits the proposal.</t>
  </si>
  <si>
    <t>Campus scope</t>
  </si>
  <si>
    <t>AASHE current record is University of Toronto Mississauga, not the parent institution.</t>
  </si>
  <si>
    <t>No rating assigned to University of Toronto.</t>
  </si>
  <si>
    <t>Keep campus and parent analyses separate.</t>
  </si>
  <si>
    <t>Medium</t>
  </si>
  <si>
    <t>AASHE scope</t>
  </si>
  <si>
    <t>AASHE label does not state a campus boundary.</t>
  </si>
  <si>
    <t>Rating shown with Scope review required.</t>
  </si>
  <si>
    <t>Read the report boundary before using the score.</t>
  </si>
  <si>
    <t>OpenAlex API coverage</t>
  </si>
  <si>
    <t>Selected sample</t>
  </si>
  <si>
    <t>Collection status: Collected=28; No reliable match=3; API quota reached=29.</t>
  </si>
  <si>
    <t>Uncollected values remain blank and are not coded as zero.</t>
  </si>
  <si>
    <t>Rerun with an OpenAlex API key before modelling.</t>
  </si>
  <si>
    <t>https://developers.openalex.org/guides/authentication</t>
  </si>
  <si>
    <t>Program confirmation</t>
  </si>
  <si>
    <t>No directly qualifying sustainability/environment master's confirmed.</t>
  </si>
  <si>
    <t>Retained in the sample and flagged unresolved.</t>
  </si>
  <si>
    <t>Check the university site manually or contact graduate admissions.</t>
  </si>
  <si>
    <t>URL access</t>
  </si>
  <si>
    <t>7 selected institutions</t>
  </si>
  <si>
    <t>Official program pages blocked automated fetches or timed out.</t>
  </si>
  <si>
    <t>Blocked access is separated from missing pages; no 404s remain.</t>
  </si>
  <si>
    <t>Open the URLs manually during final validation.</t>
  </si>
  <si>
    <t>See URL Audit sheet</t>
  </si>
  <si>
    <t>Official Program URL Audit - 60 Selected Programs</t>
  </si>
  <si>
    <t>Automated GET requests followed redirects. Site-level anti-bot blocks are separated from missing pages; all former 404s were corrected.</t>
  </si>
  <si>
    <t>Audit Result</t>
  </si>
  <si>
    <t>Requested URL</t>
  </si>
  <si>
    <t>Final URL</t>
  </si>
  <si>
    <t>Page Title</t>
  </si>
  <si>
    <t>Audit Note</t>
  </si>
  <si>
    <t>Environmental Studies and Sustainability Science - Master of Science programme | Lund University</t>
  </si>
  <si>
    <t>Official page responded successfully.</t>
  </si>
  <si>
    <t>Master of Environment &amp; Sustainability (MES) | School of the Environment</t>
  </si>
  <si>
    <t>Sustainable Resources: Economics, Policy and Transitions MSc | Prospective Students Graduate - UCL – University College London</t>
  </si>
  <si>
    <t>MSc Global Strategy and Sustainability - University of Edinburgh Business School</t>
  </si>
  <si>
    <t>Clean Energy Engineering | UBC MEL MHLP Professional Leadership Master Degrees</t>
  </si>
  <si>
    <t>MSc Environmental Policy and Regulation - LSE</t>
  </si>
  <si>
    <t>MSc Climate Change, Management &amp;amp; Finance - Business School</t>
  </si>
  <si>
    <t>Geography (M.Sc.) | Future Graduate Students - McGill University</t>
  </si>
  <si>
    <t>MSc Environmental Governance (2026 entry) | The University of Manchester</t>
  </si>
  <si>
    <t>Master Environmental Sciences | ETH Zurich</t>
  </si>
  <si>
    <t>Just a moment...</t>
  </si>
  <si>
    <t>Official page blocks automated requests; verified through official-domain web search.</t>
  </si>
  <si>
    <t>UC Berkeley Rausser Master of Climate Solutions</t>
  </si>
  <si>
    <t>SUSTSCI-MS Program | Stanford University Bulletin</t>
  </si>
  <si>
    <t>MSc in Sustainability, Enterprise and the Environment | Smith School of Enterprise and the Environment</t>
  </si>
  <si>
    <t>Master of Sustainability - The University of Sydney</t>
  </si>
  <si>
    <t>https://programsandcourses.anu.edu.au/Error/Index/404?aspxerrorpath=/program/MCLCH</t>
  </si>
  <si>
    <t>Page not found</t>
  </si>
  <si>
    <t>Environment, Politics and Development MSc | King&amp;#x27;s College London</t>
  </si>
  <si>
    <t>MSc Environmental Policy and Management | Study at Bristol | University of Bristol</t>
  </si>
  <si>
    <t>Page Not Found | NYU SPS</t>
  </si>
  <si>
    <t>Renewable Energy and Sustainability Systems M.P.S. | Penn State College of Earth and Mineral Sciences</t>
  </si>
  <si>
    <t>https://onderwijsaanbod.kuleuven.be/opleidingen/e/SC_53903372/diploma_omschrijving</t>
  </si>
  <si>
    <t>ICP Master of Science in Sustainable Development (Leuven) | KU Leuven</t>
  </si>
  <si>
    <t>Environmental Change and Global Sustainability | Master&amp;#039;s programme | University of Helsinki</t>
  </si>
  <si>
    <t>Taught Masters - Durham University</t>
  </si>
  <si>
    <t>Sustainability, Environment and Development MSc | University of Leeds</t>
  </si>
  <si>
    <t>Master of Environment and Sustainability - Western University</t>
  </si>
  <si>
    <t>University of Glasgow - Postgraduate study - Taught degree programmes A&amp;#8209;Z - Environment &amp;amp; Sustainable Development</t>
  </si>
  <si>
    <t>Master of Environmental Science – University of Auckland</t>
  </si>
  <si>
    <t>Environmental Sciences (M.Sc. / P.Grad.Dip.) - Courses | Trinity College Dublin</t>
  </si>
  <si>
    <t>Master of Environmental Studies | Penn LPS</t>
  </si>
  <si>
    <t>MSc Global Sustainability Solutions | Sustainability Masters | University of Exeter</t>
  </si>
  <si>
    <t>Master of Sustainable Tourism, Hospitality and Event Management | Western Sydney University</t>
  </si>
  <si>
    <t>Programs Overview | School of Environmental Studies</t>
  </si>
  <si>
    <t>Masters in Sustainable Development Practice (MSDP)</t>
  </si>
  <si>
    <t>영문(ENG) - 글로벌기후환경학과 HYGCE - 한양대학교</t>
  </si>
  <si>
    <t>Graduate School of Environmental Science</t>
  </si>
  <si>
    <t>Program &amp;#8211; LESTARI UKM</t>
  </si>
  <si>
    <t>Nos formations | L&amp;#039;Institut Agro</t>
  </si>
  <si>
    <t>Overview - Master&amp;#x27;s Program in Biodiversity, NTU 臺大生物多樣性國際碩士學位學程</t>
  </si>
  <si>
    <t>SUST - Sustainability - Catalogue@UAlberta.ca</t>
  </si>
  <si>
    <t>Korea University Graduate School of Life and Environmental Science | Master ’ s Program | Department</t>
  </si>
  <si>
    <t>Automated fetch failed or timed out; verified through official-domain web search.</t>
  </si>
  <si>
    <t>Professional &amp; Special Graduate &gt; Academics | Pusan National University</t>
  </si>
  <si>
    <t>Sustainability Program - McMaster McMaster Continuing Education</t>
  </si>
  <si>
    <t>Kyungpook National University</t>
  </si>
  <si>
    <t>Programmes Search - LPU</t>
  </si>
  <si>
    <t>STS - Universiti Malaya</t>
  </si>
  <si>
    <t>Sustainable Cities - Master degree - Aalborg University</t>
  </si>
  <si>
    <t>경희대학교</t>
  </si>
  <si>
    <t>Master's and PhD programs - ENVI - UVic</t>
  </si>
  <si>
    <t>CQUni Handbook</t>
  </si>
  <si>
    <t>Disaster Management Masters | MSc Sustainable Development | Northumbria</t>
  </si>
  <si>
    <t>Master of Environmental Science &amp;#8211; SIL UI | Sekolah Ilmu Lingkungan Universitas Indonesia</t>
  </si>
  <si>
    <t>An-Najah National University : Graduate Programs - Environmental Sciences - Info Card</t>
  </si>
  <si>
    <t>Sustainability Solutions, MSUS - MSUS | Degree Details | ASU Degree Search</t>
  </si>
  <si>
    <t>Data Dictionary - 60-Program Workbook</t>
  </si>
  <si>
    <t>Definitions for selection, ranking, program, and external-source fields. Selection Cohort and Candidate Source are intentionally distinct.</t>
  </si>
  <si>
    <t>Sheet</t>
  </si>
  <si>
    <t>Field</t>
  </si>
  <si>
    <t>Allowed Values / Example</t>
  </si>
  <si>
    <t>Definition</t>
  </si>
  <si>
    <t>Type</t>
  </si>
  <si>
    <t>Analysis Note</t>
  </si>
  <si>
    <t>Selection Audit</t>
  </si>
  <si>
    <t>QS / THE</t>
  </si>
  <si>
    <t>The mutually exclusive cohort used to construct the 60-program sample.</t>
  </si>
  <si>
    <t>Controlled text</t>
  </si>
  <si>
    <t>Each cohort contains exactly 30 programs.</t>
  </si>
  <si>
    <t>1-30</t>
  </si>
  <si>
    <t>Position after applying the documented cohort rule.</t>
  </si>
  <si>
    <t>Number</t>
  </si>
  <si>
    <t>This is not a new published rank.</t>
  </si>
  <si>
    <t>Candidate Universities</t>
  </si>
  <si>
    <t>QS Sustainability / THE Impact / Both</t>
  </si>
  <si>
    <t>Which source top-50 cutoff originally contained the institution.</t>
  </si>
  <si>
    <t>Text</t>
  </si>
  <si>
    <t>Do not confuse source membership with Selection Cohort.</t>
  </si>
  <si>
    <t>1, =7, etc.</t>
  </si>
  <si>
    <t>Published QS Sustainability rank string.</t>
  </si>
  <si>
    <t>Rank Number on QS sheet is numeric for cutoff checks.</t>
  </si>
  <si>
    <t>1, =17, etc.</t>
  </si>
  <si>
    <t>Published THE Sustainability Impact rank string.</t>
  </si>
  <si>
    <t>Rank Number on THE sheet is numeric for cutoff checks.</t>
  </si>
  <si>
    <t>Program Verification</t>
  </si>
  <si>
    <t>Direct / Major / Concentration / Research / Best-fit / Restricted / Joint degree / Specialization / Unresolved</t>
  </si>
  <si>
    <t>How directly the selected program matches a standalone sustainability/environment master's.</t>
  </si>
  <si>
    <t>Filter before comparative analysis.</t>
  </si>
  <si>
    <t>Confirmed / Manual review required</t>
  </si>
  <si>
    <t>Whether an official source confirms a qualifying path.</t>
  </si>
  <si>
    <t>Manual-review rows should not be imputed.</t>
  </si>
  <si>
    <t>OK / Blocked by site / Automated fetch failed</t>
  </si>
  <si>
    <t>Result of automated page retrieval.</t>
  </si>
  <si>
    <t>Blocked does not mean invalid.</t>
  </si>
  <si>
    <t>AASHE STARS</t>
  </si>
  <si>
    <t>Exact name / Verified alias / Scope review required / Campus-only record found / No current exact record</t>
  </si>
  <si>
    <t>Institutional identity and scope result.</t>
  </si>
  <si>
    <t>Only exact/alias matches are fully clean.</t>
  </si>
  <si>
    <t>Reporter / Bronze / Silver / Gold / Platinum</t>
  </si>
  <si>
    <t>Published current STARS rating.</t>
  </si>
  <si>
    <t>Blank when no exact applicable rating.</t>
  </si>
  <si>
    <t>40 / 55 / 70 / 85 / 100</t>
  </si>
  <si>
    <t>Project coding of the categorical STARS rating.</t>
  </si>
  <si>
    <t>Not an AASHE raw score.</t>
  </si>
  <si>
    <t>UN PRME</t>
  </si>
  <si>
    <t>Verified - Exact / Verified - Verified alias / No verified match</t>
  </si>
  <si>
    <t>Strict current signatory match result.</t>
  </si>
  <si>
    <t>School-level scope is retained explicitly.</t>
  </si>
  <si>
    <t>Recent SIP Count</t>
  </si>
  <si>
    <t>0, 1, 2, ...</t>
  </si>
  <si>
    <t>Number of SIP reports whose report year is 2022-2026.</t>
  </si>
  <si>
    <t>A blank or unmatched institution must not be inferred as zero.</t>
  </si>
  <si>
    <t>OpenAlex 2021-2025</t>
  </si>
  <si>
    <t>Collected / API quota reached / No reliable match / Collection error</t>
  </si>
  <si>
    <t>Whether comparable institution and work metrics were collected.</t>
  </si>
  <si>
    <t>Use only Collected rows in analysis until the quota run is completed.</t>
  </si>
  <si>
    <t>Non-negative integer</t>
  </si>
  <si>
    <t>Works returned by the documented OpenAlex institution/date/keyword query.</t>
  </si>
  <si>
    <t>Broad keyword signal; not a program-specific publication count.</t>
  </si>
  <si>
    <t>Citation sum for the 25 most-cited matching works returned by the query.</t>
  </si>
  <si>
    <t>Not total citations for all matching works.</t>
  </si>
  <si>
    <t>Program Details</t>
  </si>
  <si>
    <t>Published amount and fee context, or Not stated</t>
  </si>
  <si>
    <t>Current official cost evidence where available.</t>
  </si>
  <si>
    <t>Validate cohort/year and domestic/international applicability before comparison.</t>
  </si>
  <si>
    <t>Official evidence text / NA</t>
  </si>
  <si>
    <t>Experiential learning identified on reviewed official pages.</t>
  </si>
  <si>
    <t>NA means none was identified; it does not prove the program never offers it.</t>
  </si>
  <si>
    <t>Yes / No / Not stated</t>
  </si>
  <si>
    <t>Whether a thesis route or requirement was identified.</t>
  </si>
  <si>
    <t>Read Thesis Evidence for required versus optional status.</t>
  </si>
  <si>
    <t>Missing-value label</t>
  </si>
  <si>
    <t>Requested evidence was not found on reviewed official sources.</t>
  </si>
  <si>
    <t>Do not convert this label to zero.</t>
  </si>
  <si>
    <t>Verification Date / Retrieved</t>
  </si>
  <si>
    <t>YYYY-MM-DD</t>
  </si>
  <si>
    <t>Point-in-time date of verification or source collection.</t>
  </si>
  <si>
    <t>Date-like text</t>
  </si>
  <si>
    <t>Refresh before final publication.</t>
  </si>
  <si>
    <t>Method and Official Sources - 60-Program Selection</t>
  </si>
  <si>
    <t>Reproducible rules used to construct the distinct QS/THE sample and retain linked AASHE, UN PRME, OpenAlex, and official program evidence.</t>
  </si>
  <si>
    <t>Step</t>
  </si>
  <si>
    <t>Dataset</t>
  </si>
  <si>
    <t>Rule</t>
  </si>
  <si>
    <t>Key Scope Decision</t>
  </si>
  <si>
    <t>Official Source</t>
  </si>
  <si>
    <t>Retrieved</t>
  </si>
  <si>
    <t>QS Sustainability Rankings 2026</t>
  </si>
  <si>
    <t>Build the validated source pool from published numeric rank &lt;= 50.</t>
  </si>
  <si>
    <t>Tied rank 50 produced 51 source rows.</t>
  </si>
  <si>
    <t>THE Sustainability Impact Ratings 2026</t>
  </si>
  <si>
    <t>Tied rank 49 produced 51 source rows.</t>
  </si>
  <si>
    <t>Candidate union</t>
  </si>
  <si>
    <t>Normalize punctuation, parentheticals, and verified aliases; merge only the same institution.</t>
  </si>
  <si>
    <t>Five overlaps produced 97 source candidates.</t>
  </si>
  <si>
    <t>Candidate Universities sheet</t>
  </si>
  <si>
    <t>Remove a candidate only after program-level manual review.</t>
  </si>
  <si>
    <t>ID 75 was excluded; 96 validated institutions remained.</t>
  </si>
  <si>
    <t>Verification Issues sheet</t>
  </si>
  <si>
    <t>60-program selection</t>
  </si>
  <si>
    <t>Select the first 30 QS records, then the 30 highest-ranked THE records not already selected.</t>
  </si>
  <si>
    <t>Exactly 60 distinct programs; QS source order resolves the rank-30 tie; THE additions extend through rank 33.</t>
  </si>
  <si>
    <t>Selection Audit sheet</t>
  </si>
  <si>
    <t>2026-07-19</t>
  </si>
  <si>
    <t>Program verification</t>
  </si>
  <si>
    <t>Select a current master's-level sustainability/environment program from an official university source.</t>
  </si>
  <si>
    <t>Match types remain explicit; unresolved programs are not imputed.</t>
  </si>
  <si>
    <t>Program Verification sheet</t>
  </si>
  <si>
    <t>Program URL audit</t>
  </si>
  <si>
    <t>Follow redirects and record HTTP response.</t>
  </si>
  <si>
    <t>403/timeouts are not treated as missing when official-domain evidence confirms the page.</t>
  </si>
  <si>
    <t>URL Audit sheet</t>
  </si>
  <si>
    <t>Match exact institution identity against the current participants and reports table.</t>
  </si>
  <si>
    <t>No parent/system/campus inheritance.</t>
  </si>
  <si>
    <t>AASHE rating score</t>
  </si>
  <si>
    <t>Reporter=40, Bronze=55, Silver=70, Gold=85, Platinum=100.</t>
  </si>
  <si>
    <t>Analysis coding of the published rating, not an AASHE raw numeric score.</t>
  </si>
  <si>
    <t>AASHE STARS sheet</t>
  </si>
  <si>
    <t>Accept only exact or verified-alias current signatory matches.</t>
  </si>
  <si>
    <t>Business-school signatories remain school scoped.</t>
  </si>
  <si>
    <t>UN PRME SIP</t>
  </si>
  <si>
    <t>Count reports with report year 2022-2026; parse title/file year before upload date.</t>
  </si>
  <si>
    <t>Migration upload dates do not make old reports recent.</t>
  </si>
  <si>
    <t>https://www.unprme.org/sip-2/</t>
  </si>
  <si>
    <t>OpenAlex</t>
  </si>
  <si>
    <t>Match the institution, then count 2021-2025 works for the documented keyword query.</t>
  </si>
  <si>
    <t>Missing rows are blank, not zero; Top-25 citations are not total citations.</t>
  </si>
  <si>
    <t>https://developers.openalex.org/api-reference/works</t>
  </si>
  <si>
    <t>Program details</t>
  </si>
  <si>
    <t>Extract requested fields from official program and selected same-domain evidence pages.</t>
  </si>
  <si>
    <t>NA is reserved for no internship/fieldwork identified.</t>
  </si>
  <si>
    <t>Program Details sheet</t>
  </si>
  <si>
    <t>Manual validation</t>
  </si>
  <si>
    <t>Review unresolved programs, source blocks, scope flags, and year-specific fees before statistical analysis.</t>
  </si>
  <si>
    <t>Do not impute unresolved program, campus, API, or cost fields.</t>
  </si>
  <si>
    <t>Limitation</t>
  </si>
  <si>
    <t>Effect</t>
  </si>
  <si>
    <t>Workbook Treatment</t>
  </si>
  <si>
    <t>Next Manual Action</t>
  </si>
  <si>
    <t>Affected Rows</t>
  </si>
  <si>
    <t>Rankings measure institutions, not individual master's programs.</t>
  </si>
  <si>
    <t>Rank values cannot be interpreted as direct program ranks.</t>
  </si>
  <si>
    <t>University ranking and program verification are separate sheets.</t>
  </si>
  <si>
    <t>Use program-specific outcomes from university sites if needed.</t>
  </si>
  <si>
    <t>All 60</t>
  </si>
  <si>
    <t>Exactly 30 QS records requires a deterministic tie rule.</t>
  </si>
  <si>
    <t>University of Pennsylvania and University of Reading share rank 30 and score 95.3.</t>
  </si>
  <si>
    <t>Official source order retains Pennsylvania as the 30th QS record.</t>
  </si>
  <si>
    <t>Run sensitivity analysis if the boundary choice matters.</t>
  </si>
  <si>
    <t>QS boundary</t>
  </si>
  <si>
    <t>Removing QS overlaps shifts the THE addition boundary.</t>
  </si>
  <si>
    <t>The 30th distinct THE addition is at published rank 33.</t>
  </si>
  <si>
    <t>The THE cohort excludes IDs already selected by QS.</t>
  </si>
  <si>
    <t>Use Selection Audit rather than rank &lt;= 30 as the cohort definition.</t>
  </si>
  <si>
    <t>THE boundary</t>
  </si>
  <si>
    <t>Some institutions publish only a department or research route.</t>
  </si>
  <si>
    <t>Program comparability varies.</t>
  </si>
  <si>
    <t>Match Type distinguishes direct from best-fit/research routes.</t>
  </si>
  <si>
    <t>Filter Match Type before modelling.</t>
  </si>
  <si>
    <t>See Program Verification</t>
  </si>
  <si>
    <t>Official sites change URLs and may block bots.</t>
  </si>
  <si>
    <t>Automated audit can understate availability.</t>
  </si>
  <si>
    <t>HTTP status and manual-search verification are separate.</t>
  </si>
  <si>
    <t>Open blocked URLs during final review.</t>
  </si>
  <si>
    <t>AASHE is institution/campus scoped.</t>
  </si>
  <si>
    <t>A related campus rating may not apply to the ranked institution.</t>
  </si>
  <si>
    <t>Strict match status and notes are included.</t>
  </si>
  <si>
    <t>Read report boundaries for scope-review cases.</t>
  </si>
  <si>
    <t>Toronto; ASU</t>
  </si>
  <si>
    <t>UN PRME membership is often business-school scoped.</t>
  </si>
  <si>
    <t>A school match does not prove whole-university participation.</t>
  </si>
  <si>
    <t>Matched signatory name and scope are retained.</t>
  </si>
  <si>
    <t>Use the signatory entity in PRME analysis.</t>
  </si>
  <si>
    <t>OpenAlex collection is incomplete because the anonymous API quota was exhausted.</t>
  </si>
  <si>
    <t>Missing institutions cannot be compared fairly with collected institutions.</t>
  </si>
  <si>
    <t>Uncollected metrics are blank and collection status is explicit.</t>
  </si>
  <si>
    <t>Data are point-in-time.</t>
  </si>
  <si>
    <t>Rankings, programs, and ratings can change.</t>
  </si>
  <si>
    <t>Retrieval and verification dates are stored.</t>
  </si>
  <si>
    <t>Refresh before publication or final submission.</t>
  </si>
  <si>
    <t>https://www.lunduniversity.lu.se/study/environmental-studies-and-sustainability-science-master-of-science-programme-SAESS</t>
    <phoneticPr fontId="8" type="noConversion"/>
  </si>
  <si>
    <t>https://www.environment.utoronto.ca/graduate/mes</t>
    <phoneticPr fontId="8" type="noConversion"/>
  </si>
  <si>
    <t>https://www.ucl.ac.uk/prospective-students/graduate/taught-degrees/sustainable-resources-economics-policy-and-transitions-msc</t>
    <phoneticPr fontId="8" type="noConversion"/>
  </si>
  <si>
    <t>https://www.business-school.ed.ac.uk/msc/global-strategy-sustainability</t>
    <phoneticPr fontId="8" type="noConversion"/>
  </si>
  <si>
    <t>https://apscpp.ubc.ca/programs/mel/clean-energy-engineering</t>
    <phoneticPr fontId="8" type="noConversion"/>
  </si>
  <si>
    <t>2 years</t>
    <phoneticPr fontId="8" type="noConversion"/>
  </si>
  <si>
    <t>Language</t>
    <phoneticPr fontId="8" type="noConversion"/>
  </si>
  <si>
    <t>Language Requirement</t>
    <phoneticPr fontId="8" type="noConversion"/>
  </si>
  <si>
    <t>2 years, Full time</t>
    <phoneticPr fontId="8" type="noConversion"/>
  </si>
  <si>
    <t>Entry requirements
A Bachelor’s degree corresponding to at least 180 ECTS. English course 6 (advanced proficiency)
Selection criteria
Selection is based on academic grades, relevant work experience, statement of purpose and recommendations.</t>
    <phoneticPr fontId="8" type="noConversion"/>
  </si>
  <si>
    <t>English</t>
  </si>
  <si>
    <t>English</t>
    <phoneticPr fontId="8" type="noConversion"/>
  </si>
  <si>
    <t>NA</t>
    <phoneticPr fontId="8" type="noConversion"/>
  </si>
  <si>
    <t>As society increasingly recognises the importance of addressing complex social, environmental, and economic challenges, the need for qualified sustainability experts is growing.
The LUMES programme opens doors to a wide range of exciting and meaningful career opportunities in the private and public sectors as well as in non-governmental organisations. Your career path will be shaped by the knowledge and skills you acquire during the programme, along with your previous background and interests.
Many graduates have gone on to successful careers as consultants, coordinators, entrepreneurs, managers, advisors, analysts, policy officers, and specialists. Others have pursued doctoral studies, working as researchers and lecturers at universities and research institutions around the world.</t>
    <phoneticPr fontId="8" type="noConversion"/>
  </si>
  <si>
    <t>An appropriate honours bachelor’s degree (typically a 4-year HBSc, HBA, or equivalent) that includes at least a minor in environment, sustainability, or a closely related field, from a recognized university with a minimum standing equivalent to a University of Toronto B+ in each of the final two years of study. Meeting this requirement does not guarantee admission into the program.
Applicants should have completed a combination of majors and minors spanning more than one discipline or have equivalent interdisciplinary experience.
International students should consult the School of Graduate Studies degree equivalency tool to confirm that they fulfill requirements to apply to the Master of Environment and Sustainability.</t>
    <phoneticPr fontId="8" type="noConversion"/>
  </si>
  <si>
    <t>The MES is an intensive, 12-month research-stream program that responds to the growing need of society to understand and develop solutions to the environmental and human well-being challenges facing us in the 21st century. Upon graduation, MES graduates will have acquired a transdisciplinary perspective on environmental issues, learned to use methodologies and tools relevant to environmental protection and sustainability solutions, and will be well prepared for a variety of careers in the private and public sectors, or for further studies at the doctoral level.
The hands-on supervision of students guarantees the quality of student learning overall. By working closely with their individual thesis advisor and advisory committees on an extended project, students can anticipate a strong and effective learning environment. To encourage transdisciplinary perspectives, each MES student will have an advisory committee comprised of a primary supervisor and two other faculty members from at least two disciplines or departments.</t>
    <phoneticPr fontId="8" type="noConversion"/>
  </si>
  <si>
    <t>1 year, Full time</t>
    <phoneticPr fontId="8" type="noConversion"/>
  </si>
  <si>
    <t>TOEFL: Overall score of 96 with 24/30 in reading and writing and 22/30 in speaking and listening
IELTS:  Overall score of 7.0 and a minimum of 6.5 in each component</t>
    <phoneticPr fontId="8" type="noConversion"/>
  </si>
  <si>
    <t xml:space="preserve">Globally we are unsustainably using our natural resources, causing major environmental, social and political challenges. This master’s degree in sustainability equips you with the skills and knowledge for a career driving change across business and policy, promoting efficient, circular, equitable and sustainable resource use. Our interdisciplinary curriculum focuses on the environmental, social, and economic aspects of managing resources from public policy and business perspectives.  </t>
    <phoneticPr fontId="8" type="noConversion"/>
  </si>
  <si>
    <t xml:space="preserve">TOEFL: Overall Score: 93 Writing / Speaking: 22 Overall Score: 4.5 Writing: 4.5 Speaking: 4.0
IELTS: 7.0 (Academic) with at least 6.5 for each component
Cambridge English – C1: Advanced or C2: Proficiency Required score: 185 overall with at least 176 for each component. 
Exemptions
Normally, if applicants meet any one of the following conditions, they are not required to submit proof of proficiency in English (please consult the graduate unit to determine whether proof of English-language proficiency will still be required):
Native language is English (language first learned and still used on a daily basis)
A Canadian citizen who studied at a Canadian university where the language of instruction is French
Has obtained their admitting degree from an institution recognized by the University of Toronto and where the language of instruction and examination is uniformly English
Completed their admitting degree in one of the following countries / regions: Australia, the Bahamas, Barbados, Botswana, Ghana, Guyana, Hong Kong, Ireland, Jamaica, Kenya, Lesotho, Liberia, Malawi, Malta, Namibia, New Zealand, Nigeria, Papua New Guinea, Sierra Leone, Singapore, South Africa, Swaziland, Tanzania, Trinidad and Tobago, Uganda, United Kingdom, United States of America, Zambia, and Zimbabwe </t>
    <phoneticPr fontId="8" type="noConversion"/>
  </si>
  <si>
    <t>1 year, Full time or Part time</t>
    <phoneticPr fontId="8" type="noConversion"/>
  </si>
  <si>
    <t xml:space="preserve">The foundation of your career | 95.6% of Sustainable Resources: Economics, Policy and Transitions MSc students were in work or further study within 15 months of graduating ( HESA Graduate Outcomes Survey 2017-2023 ). | Our alumni work in a broad range of sustainability-related career roles. Some examples include Environmental, Social and Governance Consultant, Strategy Consultant, Research Analyst, Innovation Officer, Environmental Economist, Environmental Scientist, Specialist in Environmental  || Our alumni work in a broad range of sustainability-related career roles. Some examples include Environmental, Social and Governance Consultant, Strategy Consultant, Research Analyst, Innovation Officer, Environmental Economist, Environmental Scientist, Specialist in Environmental Law, Business Development Lead, and Policy &amp; Public Affairs Officer. </t>
    <phoneticPr fontId="8" type="noConversion"/>
  </si>
  <si>
    <t>In-person</t>
    <phoneticPr fontId="8" type="noConversion"/>
  </si>
  <si>
    <t>Home	£20,100
International (including EU)	£32,000</t>
    <phoneticPr fontId="8" type="noConversion"/>
  </si>
  <si>
    <t>You will need a UK first-class or 2:1 honours degree in one of the subjects below, or an equivalent international qualification.
In business and commerce, management, finance, accounting, economics, history, international politics, international relations, science, engineering, or law.
We may also consider applicants with a degree in a different subject area but who have relevant work experience or can demonstrate a high level of interest and engagement in environmental/social sustainability through work or voluntary activities. These are not required but may increase your chances of acceptance.
Canada: B+; 3.25+ (4 point scale); 7+ (9 point scale)
China: 85%+; Band A from the Priority list of Chinese universities
Germany: 2.2+ (reverse 5 point scale); Sehr Gut/Gut
India: 1st Class degree (60%+); 3.2 on a 4 point scale; 8.0 on a 10 point scale
Nigeria: 2:1
South Africa: 2:1/1st
USA: GPA 3.25+ (4 point scale)</t>
    <phoneticPr fontId="8" type="noConversion"/>
  </si>
  <si>
    <t>IELTS Academic: total 7.0 with at least 6.0 in each component. We do not accept IELTS One Skill Retake to meet our English language requirements.
TOEFL iBT (including Home Edition) before 21 January 2026: total 100 with at least 20 in each component. We do not accept TOEFL MyBest Score to meet our English language requirements.
TOEFL iBT (including Home Edition) from 21 January 2026: total 5.0 with at least 4.0 in each component. We do not accept TOEFL MyBest Score to meet our English language requirements.</t>
    <phoneticPr fontId="8" type="noConversion"/>
  </si>
  <si>
    <t xml:space="preserve">Governments and industries around the world are pushing to reduce greenhouse gas emissions, find alternative ways to generate energy and reduce energy use. Doing so in ways that enable energy security, affordability and access is complex and requires leaders who are as comfortable talking technical details as they are developing strategic business plans, advocating for better policies and communicating with external stakeholders.  </t>
    <phoneticPr fontId="8" type="noConversion"/>
  </si>
  <si>
    <t>Prepare for leadership roles where you’ll make bold, impactful decisions with confidence. 71% of our graduates receive promotions, and 78% transition to new career paths. The MEL is not just about gaining knowledge—it’s about transforming into a leader who drives the future of your industry.</t>
    <phoneticPr fontId="8" type="noConversion"/>
  </si>
  <si>
    <t>Letter of intent
Resume
Transcripts
Degree certificates (if applicable)
Three references
Proof of English Language Proficiency (if applicable)
Proof of residency
A video interview</t>
    <phoneticPr fontId="8" type="noConversion"/>
  </si>
  <si>
    <t xml:space="preserve">TOEFL iBT (Test Centre or Home Edition)	
For tests taken prior to January 21, 2026: Minimum score of 90 with minimum component scores of 22 in reading and listening, and minimum component scores of 21 in writing and speaking. 
For tests taken as of January 21, 2026: Minimum overall score of 4.5 with a minimum component score of 5 in listening, 4.5 in reading and writing, and 4 in speaking.
Academic IELTS (International English Language Testing Service)	
A minimum overall band score of 6.5 with no single component score less than 6.0.Please note that we cannot accept general IELTS test scores. </t>
    <phoneticPr fontId="8" type="noConversion"/>
  </si>
  <si>
    <t>C$32,912.73 for the 12-month full-time program or C$10,970.91 per installment for Canadian citizens and permanent residents of Canada
C$68,072.25 for the 12-month full-time program or C$22,690.75 per installment for international students</t>
    <phoneticPr fontId="8" type="noConversion"/>
  </si>
  <si>
    <t>https://www.lse.ac.uk/study-at-lse/graduate/msc-environmental-policy-and-regulation</t>
    <phoneticPr fontId="8" type="noConversion"/>
  </si>
  <si>
    <t>https://www.imperial.ac.uk/business-school/masters/climate-change-management-finance/</t>
    <phoneticPr fontId="8" type="noConversion"/>
  </si>
  <si>
    <t>https://www.unsw.edu.au/study/postgraduate/master-of-environmental-management</t>
    <phoneticPr fontId="8" type="noConversion"/>
  </si>
  <si>
    <t>https://www.mcgill.ca/gradapplicants/program/geography-msc</t>
    <phoneticPr fontId="8" type="noConversion"/>
  </si>
  <si>
    <t>https://www.manchester.ac.uk/study/masters/courses/list/06967/msc-environmental-governance/</t>
    <phoneticPr fontId="8" type="noConversion"/>
  </si>
  <si>
    <t>1 year, Full time or 2 years, Part time</t>
    <phoneticPr fontId="8" type="noConversion"/>
  </si>
  <si>
    <t>Upper second class honours degree (2:1) or equivalent in any discipline but preferably in social science. We will consider appropriate work experience in addition to a sound academic background.</t>
    <phoneticPr fontId="8" type="noConversion"/>
  </si>
  <si>
    <t>Requirement
Overall
Reading
Listening
Writing
Speaking
A. Standard (including MPhil/PhD Statistics)
IELTS (Academic) (including IELTS online and IELTS for UKVI)**
7.0
6.5
6.5
6.5
6.5
LSE Language Centre Presessional programme
70
65
65
65
65
Pearson Test of English (Academic) (PTEA) (in-person only)
70
62
62
62
62
Cambridge English Scale*
185
176
176
176
176
TOEFL iBT (including Home and Paper Editions)
100
23
22
24
22
TOEFL iBT (updated scale)
5.5
5
5
5
4.5</t>
    <phoneticPr fontId="8" type="noConversion"/>
  </si>
  <si>
    <t>Home	£22,000
International (including EU)	£34,700</t>
    <phoneticPr fontId="8" type="noConversion"/>
  </si>
  <si>
    <t>The programme is designed to enable you to gain a deeper understanding of the tools available for environmental policy and regulation, and the diverse contexts within which they operate, and evaluate the impact of policies for the economy, society and the natural environment.</t>
    <phoneticPr fontId="8" type="noConversion"/>
  </si>
  <si>
    <t xml:space="preserve">You'll take one compulsory course, a dissertation, and two and a half units of optional courses.
If you're planning to apply for a PhD within the department, please be advised that you need to take some methods training as part of the MSc. Contact your MSc programme director and the Director of Graduate studies to discuss this requirement.
</t>
    <phoneticPr fontId="8" type="noConversion"/>
  </si>
  <si>
    <t>Climate change is one of the greatest challenges of our time. It is vital that businesses take responsibility and adopt more sustainable practices. To do this they need people who can lead the way, and that's where you come in.
Our joint MSc Climate Change, Management &amp; Finance programme is run with the Grantham Institute - Climate Change and the Environment. This unique collaboration with the Grantham Institute offers connections to industry, policymakers, and cutting-edge research. The Master’s also balances business with climate science and policy. This will equip you to lead the transition to a green economy.</t>
    <phoneticPr fontId="8" type="noConversion"/>
  </si>
  <si>
    <t>In the summer term, you can choose between a group-based consulting project, individual work placement or individual research project.</t>
    <phoneticPr fontId="8" type="noConversion"/>
  </si>
  <si>
    <t>95%employed within six months
59%employed in the UK
45% employed in finance</t>
    <phoneticPr fontId="8" type="noConversion"/>
  </si>
  <si>
    <t>Current CV (view CV template for guidance) 
Personal Statement Questions (see blog for tips on how to write a personal statement) 
Complete degree transcripts with English translation if necessary (view international entry requirements) 
Contact details of two academic referees or one academic and one professional referee including their company/business email address. We recommend that one should be your current line manager 
Career planning question, a quantitative experience statement and programming/computer software experience (if applicable) 
GMAT/GRE is not mandatory requirement, however, it can enhance the strength of your application 
English language scores (if required i.e. TOEFL, IELTS. View English language requirements)</t>
    <phoneticPr fontId="8" type="noConversion"/>
  </si>
  <si>
    <t xml:space="preserve">£45,500International students
£27,300Home students
</t>
    <phoneticPr fontId="8" type="noConversion"/>
  </si>
  <si>
    <t>1 - 2 Year(s)</t>
    <phoneticPr fontId="8" type="noConversion"/>
  </si>
  <si>
    <t>Distance (online with some face-to-face), Face-to-face (includes blended)</t>
    <phoneticPr fontId="8" type="noConversion"/>
  </si>
  <si>
    <t>Lead with a sociocultural perspective
You don’t need a technical or science background to succeed in a Master of Environmental Management. Explore the social, cultural and structural dimensions of today’s environmental challenges, and gain the insight and tools to lead change across industries and communities.
Tailor your study to your lifestyle
Choose from a flexible mix of in-person seminars, evening classes, field-based learning, creative exploration and online access. Shape your study with electives that match your background, passions and career goals, while connecting with a diverse, supportive community of changemakers.
Fast-track your degree 
This two-year full-time (or part-time equivalent) degree can be completed in less time if you’re eligible for Recognition of Prior Learning (RPL). Previous professional or academic experience may reduce your study load and help you gain your qualification sooner.</t>
    <phoneticPr fontId="8" type="noConversion"/>
  </si>
  <si>
    <t>For the 1 year stream (A)
Honours degree or Graduate Diploma (or equivalent qualification) in a relevant discipline with a record of academic achievement equivalent to a UNSW credit average (65%)
Bachelor degree (or equivalent qualification) in a relevant discipline with a record of academic achievement equivalent to a UNSW credit average (65%), plus one year relevant professional experience
For the 1.7 year stream (B)
Bachelor degree (or equivalent qualification) in any discipline with a record of academic achievement equivalent to a UNSW credit average (65%), plus one year relevant professional experience
Honours degree or Graduate Diploma (or equivalent qualification) in any discipline with a record of academic achievement equivalent to a UNSW credit average (65%)For the 2 year stream (C)
Bachelor degree (or equivalent qualification) in any discipline with a record of academic achievement equivalent to a UNSW credit average of 65%
For the 2 year stream (C)
Bachelor degree (or equivalent qualification) in any discipline with a record of academic achievement equivalent to a UNSW credit average of 65%.</t>
    <phoneticPr fontId="8" type="noConversion"/>
  </si>
  <si>
    <t>IELTS (academic): A minimum score of 7.0 with minimum scores of 6.5 in all elements 
TOEFL iBT:
Tests taken before 21 January 2026: A minimum score of 100 overall with minimum scores of 22 in all elements.
Tests taken after 21 January 2026: We accept an overall score of 5.0 with minimum scores of 5.0 in all elements.</t>
    <phoneticPr fontId="8" type="noConversion"/>
  </si>
  <si>
    <t>IETLS: 7.0 overall (min 6.0 in each subtest)
TOEFL: 94 overall (min. 25 in writing, 23 in reading, listening and speaking)</t>
    <phoneticPr fontId="8" type="noConversion"/>
  </si>
  <si>
    <t>2026 Indicative First Year Full Fee
$34,000*
2026 Indicative Full Fee to Complete Degree
$70,000*</t>
    <phoneticPr fontId="8" type="noConversion"/>
  </si>
  <si>
    <t>Yes</t>
    <phoneticPr fontId="8" type="noConversion"/>
  </si>
  <si>
    <t>An eligible Bachelor's degree with a minimum 3.0 GPA out of a possible 4.0 GPA
English-language proficiency
Each program has specific admission requirements including required application documents. Please visit the program website for more details.</t>
    <phoneticPr fontId="8" type="noConversion"/>
  </si>
  <si>
    <t>TOEFL (Internet-Based Test):
6-point scale (as of January 2026)
Minimum overall score of 4.5
Minimum component scores:
Reading 4.5
Listening 4.5
Writing 4.5
Speaking 4.0
120-point scale
Minimum overall score of 86
Minimum component scores of 20
IETLS: A band score of 6.5 or greater (Academic module)</t>
    <phoneticPr fontId="8" type="noConversion"/>
  </si>
  <si>
    <t>Students are typically only admitted to the Geography graduate program if they have confirmed funding from their prospective supervisor and/or an external funding agency;
Being both a natural and a social science, geography provides a unique opportunity to obtain a broad interdisciplinary exposure to analytical methods to investigate the environmental and situational problems of contemporary society;
Students benefit from the opportunity to conduct field-based studies in both the natural (i.e., biophysical) and the social sciences. Typically, the Department offers funding, fellowships and awards that help support students' field-work/research;
The Department's thematic areas of study include: Political, Urban, Economic, and Health Geography; Environment and Development; Geographic Information Systems and Remote Sensing; Land Surface Processes, Ecosystem Biogeochemistry, and Ecohydrology; Earth System Science and Global Change; Sustainability Science and Environmental Management;
Faculty and students conduct research in fields such as climate change impacts, periglacial geomorphology, and forest resource history in regions ranging from the Arctic to Africa, Southeast Asia, and Latin America.</t>
    <phoneticPr fontId="8" type="noConversion"/>
  </si>
  <si>
    <t>1 year</t>
    <phoneticPr fontId="8" type="noConversion"/>
  </si>
  <si>
    <t>We require a UK Honours degree with a First or Upper Second (2.1) classification or the overseas equivalent.</t>
    <phoneticPr fontId="8" type="noConversion"/>
  </si>
  <si>
    <t>IELTS Academic or UKVI - 6.0 Overall with 6.0 in Writing, no more than one sub-skill at 5.5 and no other sub-skill below 5.5
TOEFL iBT - 80 Overall with 20 in Writing, 20 in Speaking and no other sub-skill below 18</t>
    <phoneticPr fontId="8" type="noConversion"/>
  </si>
  <si>
    <t>We place social responsibility at the heart of your learning which means you can take advantage of unique ways to make a difference while studying with us, through your course or through extra-curricular activities.
Complete our Ethical Grand Challenges to learn how you can create a better world and become more socially responsible.
Work with an external organisation to tackle real-world sustainability problems through our University Living Lab.
Discover subjects that broaden your horizon with our interdisciplinary learning opportunities.</t>
    <phoneticPr fontId="8" type="noConversion"/>
  </si>
  <si>
    <t>UK students (per annum): £15,200
International, including EU, students (per annum): £31,500</t>
    <phoneticPr fontId="8" type="noConversion"/>
  </si>
  <si>
    <t>https://ethz.ch/en/studies/master/degree-programmes/system-oriented-natural-sciences/environmental-sciences.html</t>
    <phoneticPr fontId="8" type="noConversion"/>
  </si>
  <si>
    <t>https://study.unimelb.edu.au/find/courses/graduate/master-of-environment/</t>
    <phoneticPr fontId="8" type="noConversion"/>
  </si>
  <si>
    <t>https://climatesolutions.berkeley.edu/</t>
    <phoneticPr fontId="8" type="noConversion"/>
  </si>
  <si>
    <t>https://bulletin.stanford.edu/programs/SUSTSCI-MS/general-aoYks</t>
    <phoneticPr fontId="8" type="noConversion"/>
  </si>
  <si>
    <t>https://www.smithschool.ox.ac.uk/course/msc-sustainability-enterprise-and-environment</t>
    <phoneticPr fontId="8" type="noConversion"/>
  </si>
  <si>
    <t>https://ethz.ch/content/dam/ethz/common/docs/master-profile/englisch/systemorientierte-wissenschaften/MSc-Environmental-Sciences-Appendix.pdf</t>
  </si>
  <si>
    <t>Domestic: Indicative first year fee AUD$48,992
International: AUD $56,992 (2026 indicative first year fee)</t>
    <phoneticPr fontId="8" type="noConversion"/>
  </si>
  <si>
    <t>Built for students with a wide range of educational and technical backgrounds | Hands-on learning built into the curriculum to help you connect with real-world climate solutions | Designed for professionals with a minimum of 3 years of work experience, our program can be completed in just one year. || Become a Climate Leader | Critical leadership skills are integrated within a compact curriculum, preparing you to be a proficient, conscientious leader in addressing climate challenges. A central change making course, Organizational, Political, and Societal Change for Climate Solutions , equips you with a framework for enacting change within organizations and across society. The year-long capstone program includes training in key management skills. All courses reinforce lessons in communication.</t>
    <phoneticPr fontId="8" type="noConversion"/>
  </si>
  <si>
    <t>Have completed a bachelor degree (AQF7) in any discipline with a weighted average mark (WAM) of 65%, or equivalent.</t>
    <phoneticPr fontId="8" type="noConversion"/>
  </si>
  <si>
    <t>Become an environmental consultant. Work with businesses, governments, and NGOs to develop sustainable solutions and address environmental challenges.
Influence policy and governance. Shape environmental policies through roles in government agencies, international organisations, and advocacy groups.
Lead sustainability initiatives. Drive corporate and community sustainability programs to improve environmental outcomes globally.</t>
    <phoneticPr fontId="8" type="noConversion"/>
  </si>
  <si>
    <t>Students must complete at least 12.5 points from the following compulsory capstone subjects - please note that if you select either a 25 or 50 point research project that spreads across two semesters you must enrol into the Part 1 and Part 2 subjects over consecutive semesters. Students completing the 100 point pathway will normally be exempt from this requirement.</t>
    <phoneticPr fontId="8" type="noConversion"/>
  </si>
  <si>
    <t>IELTS
6.5
with writing 6.0; speaking 6.0; reading 6.0; listening 6.0
TOEFL
81
with writing 19; speaking 19; reading 16; listening 16</t>
    <phoneticPr fontId="8" type="noConversion"/>
  </si>
  <si>
    <t>Expect to or hold a bachelor’s degree or recognized equivalent from an accredited institution.
A satisfactory scholastic average, usually a minimum grade-point average (GPA) of 3.0 (B) on a 4.0 scale.
A minimum of three years of professional work experience prior to the start of the program</t>
    <phoneticPr fontId="8" type="noConversion"/>
  </si>
  <si>
    <t>A two-semester capstone experience affords you an opportunity to apply your knowledge and skills to a real-world project. To choose your project and find a partner organization, you’ll work closely with our Climate Solutions Accelerator—a platform that connects MCS students, faculty, and partner organizations across business, government, and non-profit sectors.
Examples of capstone projects include:
Evaluate carbon offset claims by service providers and recommend the best option to a partner company
Work with a coalition of environmental groups and clean energy companies to develop a policy proposal for scaling energy storage in California’s power grid
Work with a company to develop a cost-effective process to measure and reduce Scope 3 emissions
Develop policy and political strategies for local and state governments and other stakeholders to incentivize soil management practices that promote carbon sequestration</t>
    <phoneticPr fontId="8" type="noConversion"/>
  </si>
  <si>
    <t xml:space="preserve">	$ 32,743.25</t>
    <phoneticPr fontId="8" type="noConversion"/>
  </si>
  <si>
    <t>Not stated on reviewed official page</t>
    <phoneticPr fontId="8" type="noConversion"/>
  </si>
  <si>
    <t>The Sustainability Science and Practice program (SUST for short) is an interdisciplinary coterminal master’s program hosted by the Stanford Doerr School of Sustainability. The program prepares leaders to radically accelerate the transition to a sustainable and just society. As the global human population climbs toward 10 billion, consumption demands increase, and disparities in wealth and opportunity persist, humanity must learn to equitably meet existing needs in ways that do not forgo possibilities for future generations. Sustainability challenges are marked by extreme complexity, urgency, conflicting demands, and often a lack of resources or political will to address them. Transforming these challenges into powerful opportunities requires a new type of leader who can envision a prosperous future for all and design practices and cultivate partnerships essential to building that future. The SUST program equips students with the theoretical and conceptual knowledge, mindsets, and practical skills needed to advance sustainability, securing human well-being worldwide and across generations.</t>
    <phoneticPr fontId="8" type="noConversion"/>
  </si>
  <si>
    <t>Home	£31,280
Overseas	£48,820</t>
    <phoneticPr fontId="8" type="noConversion"/>
  </si>
  <si>
    <t>Degree-level qualifications
As a minimum, you should hold or be predicted to achieve the equivalent of a UK first-class or strong upper second-class undergraduate degree with honours, in any discipline.
If your degree is from the USA, the minimum GPA sought is 3.6 out of 4.0.
If your degree is not from the UK or the USA, visit our International Qualifications page for guidance on the qualifications and grades that would usually be considered to meet the University’s minimum entry requirements.</t>
    <phoneticPr fontId="8" type="noConversion"/>
  </si>
  <si>
    <t>Only IELTS</t>
    <phoneticPr fontId="8" type="noConversion"/>
  </si>
  <si>
    <t>TOEFL: 90
IELTS: 7.0</t>
    <phoneticPr fontId="8" type="noConversion"/>
  </si>
  <si>
    <t>https://www.sydney.edu.au/courses/courses/pc/master-of-sustainability.html</t>
    <phoneticPr fontId="8" type="noConversion"/>
  </si>
  <si>
    <t>https://programsandcourses.anu.edu.au/program/MCLCH</t>
    <phoneticPr fontId="8" type="noConversion"/>
  </si>
  <si>
    <t>https://www.kcl.ac.uk/study/postgraduate-taught/courses/environment-politics-and-development-msc</t>
    <phoneticPr fontId="8" type="noConversion"/>
  </si>
  <si>
    <t>https://www.bristol.ac.uk/study/postgraduate/taught/msc-environmental-policy-and-management/</t>
    <phoneticPr fontId="8" type="noConversion"/>
  </si>
  <si>
    <t>https://www.sps.nyu.edu/homepage/academics/masters-degrees/ms-in-environmental-policy-and-sustainability-management.html</t>
    <phoneticPr fontId="8" type="noConversion"/>
  </si>
  <si>
    <t>1.5 year, part-time available</t>
    <phoneticPr fontId="8" type="noConversion"/>
  </si>
  <si>
    <t xml:space="preserve">Diversify your career in areas like environmental science, finance, law, urban planning, sustainable building design and public health. Gain expertise in conservation, population health, food security, sustainability policy, and analysis tools through coursework and an industry placement.
If you are interested in increasing your understanding of complex sustainability challenges and discovering tools to measure, report on and identify solutions to these challenges, you'll gain these skills with the Master of Sustainability. </t>
    <phoneticPr fontId="8" type="noConversion"/>
  </si>
  <si>
    <t>IELTS score	A minimum result of 6.5 overall and a minimum result of 6.0 in each band
TOEFL - IBT score	A minimum result of 85 overall including a minimum result of 17 in Reading, Listening and Speaking and 19 in Writing</t>
    <phoneticPr fontId="8" type="noConversion"/>
  </si>
  <si>
    <t>For qualifications awarded outside Australia, equivalencies and entry requirements are determined based on the country, institution, and qualification.</t>
    <phoneticPr fontId="8" type="noConversion"/>
  </si>
  <si>
    <t>Domestic: AUD$40,700
International: A$61,700</t>
    <phoneticPr fontId="8" type="noConversion"/>
  </si>
  <si>
    <t>This course has a professional practice component that is usually undertaken over 13 weeks. This provides you with an opportunity to gain industry exposure within a related workplace environment.</t>
    <phoneticPr fontId="8" type="noConversion"/>
  </si>
  <si>
    <t>page not found</t>
    <phoneticPr fontId="8" type="noConversion"/>
  </si>
  <si>
    <t>Full time tuition fees UK
£15,550 per year (2026/27)
Part time tuition fees UK
£7,750 per year (2026/27)
Full time tuition fees international
£33,850 per year (2026/27)
Part time tuition fees International
£16,925 per year (2026/27)</t>
    <phoneticPr fontId="8" type="noConversion"/>
  </si>
  <si>
    <t>A minimum 2:1 undergraduate Bachelor’s (honours) degree
If you have a lower degree classification, or a degree in an unrelated subject, your application may be considered if you can demonstrate significant relevant work experience, or offer a related graduate qualification (such as a Masters or PGDip).</t>
    <phoneticPr fontId="8" type="noConversion"/>
  </si>
  <si>
    <t>IELTS (Academic)
7.0 overall with a minimum of 6.5 in each skill 
TOEFL iBT or TOEFL iBT Home Editions
Tests taken before 21 January 2026: 100 overall with a minimum of 25 in writing and 23 in each of the other skills
Tests taken from 21 January 2026: 5 overall with a minimum of 4.5 in each skill</t>
    <phoneticPr fontId="8" type="noConversion"/>
  </si>
  <si>
    <t>Our Environment, Politics and Development MSc programme provides an advanced theoretical understanding of the relationship between development problems and environmental issues. You will explore these relationships from the perspectives of political ecology, development geography and environmental governance. To illustrate these relationships, we use relevant case studies drawn from across the globe.</t>
    <phoneticPr fontId="8" type="noConversion"/>
  </si>
  <si>
    <t>Note</t>
    <phoneticPr fontId="8" type="noConversion"/>
  </si>
  <si>
    <t>You will typically need an upper second-class honours degree or international equivalent in Anthropology, History, Literature, Philosophy, Biology/Natural Sciences, Chemistry, Ecology, Engineering (any type), Environmental Science, Mathematics, Physics, Zoology, Business Studies, Economics, Environmental Studies, Geography, Human Geography, Politics/Political Science or Sociology. 
We will also consider applicants with other degree subjects on a case-by-case basis if they have at least one year's work experience in a policy facing role, a government department or agency (especially working in roles focused on environment, climate change or energy), environmental consultancy, corporate social responsibility or sustainability, environmental, social and governance roles in the private sector, or in an NGO in a high-level position. 
Applicants with a degree in a Physical Science or a non-standard degree subject must also demonstrate competency in essay writing skills, with at least 60% or international equivalent achieved in one essay-based module, this can include final research project/dissertation.</t>
    <phoneticPr fontId="8" type="noConversion"/>
  </si>
  <si>
    <t xml:space="preserve">One year full-time; | Two years part-time. || One year full-time; | Two years part-time. </t>
    <phoneticPr fontId="8" type="noConversion"/>
  </si>
  <si>
    <t>Home: full-time
£14,800 per year
Home: part-time
£7,400 per year
Overseas: full-time
£32,600 per year</t>
    <phoneticPr fontId="8" type="noConversion"/>
  </si>
  <si>
    <t>IELTS Academic (at a test centre or online):
6.5 overall with no score below 6.0
TOEFL iBT and TOEFL at Home:
For tests taken up to 20 January 2026: 88 overall with R20 L19 S22 W22
For tests taken from 21 January 2026 onwards: 4.5 overall with 4.5 in all skills</t>
    <phoneticPr fontId="8" type="noConversion"/>
  </si>
  <si>
    <t xml:space="preserve">Our graduates go on to work for a range of employers in the UK and around the world, in government and in the charitable and corporate sectors. They find that their degree from Bristol gives them an advantage in the job market, and they move to a diverse range of jobs after they graduate, including environmental consulting, national government departments, multilateral agencies, environmental management, conservation, marketing and communications, and a range of private companies in areas such as sustainable housing, transport and energy. Some also go on to undertake further study on a PhD. </t>
    <phoneticPr fontId="8" type="noConversion"/>
  </si>
  <si>
    <t>https://www.ems.psu.edu/academics/find-program-study/renewable-energy-and-sustainability-systems-mps</t>
    <phoneticPr fontId="8" type="noConversion"/>
  </si>
  <si>
    <t>https://www.kuleuven.be/programmes/master-sustainable-development</t>
    <phoneticPr fontId="8" type="noConversion"/>
  </si>
  <si>
    <t>https://www.helsinki.fi/en/degree-programmes/environmental-change-and-global-sustainability-masters-programme</t>
    <phoneticPr fontId="8" type="noConversion"/>
  </si>
  <si>
    <t>https://www.durham.ac.uk/departments/academic/geography/postgraduate-study/taught-masters/</t>
    <phoneticPr fontId="8" type="noConversion"/>
  </si>
  <si>
    <t>https://courses.leeds.ac.uk/j985/sustainability-environment-and-development-msc</t>
    <phoneticPr fontId="8" type="noConversion"/>
  </si>
  <si>
    <t>This program can benefit you if you are already in the renewable energy and sustainability field and looking to advance in your current position or if you want to move into another segment of this rapidly evolving energy industry.</t>
    <phoneticPr fontId="8" type="noConversion"/>
  </si>
  <si>
    <t>Main page not found</t>
    <phoneticPr fontId="8" type="noConversion"/>
  </si>
  <si>
    <t>The Master of Sustainable Development at KU Leuven prepares you to become a sustainability leader and agent of change. The programme is research-driven, ethically grounded, and strongly committed to gender equality and diversity.
Its key strength lies in its interdisciplinary approach, bridging societal and ecological sustainability challenges. You follow a common core in sustainable development and specialise in either Space &amp; Society or Ecology, while continuously integrating both perspectives through real-world, community-based practice.
You gain solid theoretical, methodological, and practical expertise through courses, an individual research portfolio, an internship, a thesis, and a field trip in the Global South. A unique feature of the programme is the Sustainable Development Living Lab, where students collaborate with international partners, policymakers, NGOs, and local communities in Africa, Asia, and Latin America to address real sustainability challenges.</t>
    <phoneticPr fontId="8" type="noConversion"/>
  </si>
  <si>
    <t>TOEFL iBT: minimum overall score of 94, with minimum subscores of 19 for Reading, 18 for Listening, 19 for Speaking and 21 for Writing. New TOEFL score scale: minimum overall score of 4.5, with minimum subscores of 4 for Reading, 4 for Listening, 3.5 for Speaking, 4,5 for Writing.
-  IELTS Academic test: minimum overall score of 7.0, with minimum subscores of 6.5 for Reading, 6.0 for Listening, 6.0 for Speaking and 6.0 for Writing</t>
    <phoneticPr fontId="8" type="noConversion"/>
  </si>
  <si>
    <t>This Master’s programme is intended for students who are prepared to integrate ecological, spatial and societal perspectives on sustainability challenges, and who have the disciplinary background required for one of its two tracks.
For the Ecology track, applicants are expected to have solid bachelor-level knowledge of biodiversity, ecology, and statistical data analysis.
For the Space and Society track, applicants are expected to have a background in (social) geography, environmental sciences, development economics, spatial or urban planning, or political or human ecology. Applicants from broader political or social science backgrounds may also be considered, provided they can demonstrate prior engagement with sustainability issues through their previous studies.
We expect successful applicants to have achieved excellent academic results in their previous studies.</t>
    <phoneticPr fontId="8" type="noConversion"/>
  </si>
  <si>
    <r>
      <t>You have completed a first- or second-cycle (bachelor’s or master’s) degree or a postgraduate degree at a higher education institution in Finland or abroad, or will do so by</t>
    </r>
    <r>
      <rPr>
        <sz val="9"/>
        <color rgb="FF25364A"/>
        <rFont val="Calibri"/>
        <family val="2"/>
      </rPr>
      <t> 3</t>
    </r>
    <r>
      <rPr>
        <sz val="9"/>
        <color rgb="FF25364A"/>
        <rFont val="Carlito"/>
      </rPr>
      <t>1 August 2026.
You have sufficient skills in Finnish, Swedish or English.
You have completed a sufficient amount of studies applicable to the master’s programme.</t>
    </r>
    <phoneticPr fontId="8" type="noConversion"/>
  </si>
  <si>
    <t>The programmes are grouped into two suites, those concerned with Sustainable Futures and those concerned with Risk.
The courses on the Sustainable Futures route respond to the profound challenge of developing ‘sustainable futures’ in the midst of climate change, by understanding relations between climate change and society, and on exploring and evaluating emergent sustainable solutions at different scales.​
​The courses on the Risk route provide a thorough grounding in theoretical and practical approaches to identifying, understanding, framing, assessing and managing different aspects of risk.
​</t>
    <phoneticPr fontId="8" type="noConversion"/>
  </si>
  <si>
    <t>1 year full-time, 2 years part-time</t>
    <phoneticPr fontId="8" type="noConversion"/>
  </si>
  <si>
    <t>Home (full-time): £15,000 per year
International (full-time): £30,000 per year
Home (part-time): £8,300 per year
International (part-time): £16,500 per year</t>
    <phoneticPr fontId="8" type="noConversion"/>
  </si>
  <si>
    <t>We typically require a 2:1 Bachelor (Honours) degree (or overseas equivalent) in any degree subject.
A personal statement should include an outline of your interest and understanding of your chosen programme.</t>
    <phoneticPr fontId="8" type="noConversion"/>
  </si>
  <si>
    <t>UKVI/SELT IELTS 
6.5 with no component under 6.0
Non UKVI/SELT IELTS 
6.5 with no component under 6.0
TOEFL iBT and TOEFL iBT Home edition 
TOEFL test changes from 21 Jan 2026
Tests taken before 21 Jan 2026
80 with no component under 20 
Tests taken from 21 Jan 2026
4.5 with no component under 4</t>
    <phoneticPr fontId="8" type="noConversion"/>
  </si>
  <si>
    <t>A bachelor degree with a 2:1 (hons) in any subject where a clear motivation towards the study of sustainabiilty or environmental development is evident (this will be assessed via either your undergraduate degree or the personal statement submitted with your application).
Applicants with a 2:2 (hons) will be considered on a case-by-case basis where they can demonstrate relevant work experience or competence in a relevant specialist field.</t>
    <phoneticPr fontId="8" type="noConversion"/>
  </si>
  <si>
    <t>IELTS 6.5 overall, with no less than 6.0 in any component</t>
    <phoneticPr fontId="8" type="noConversion"/>
  </si>
  <si>
    <t>https://www.uwo.ca/mes/</t>
    <phoneticPr fontId="8" type="noConversion"/>
  </si>
  <si>
    <t>https://www.gla.ac.uk/postgraduate/taught/environmentsustainabledevelopment/</t>
    <phoneticPr fontId="8" type="noConversion"/>
  </si>
  <si>
    <t>https://www.auckland.ac.nz/en/study/study-options/find-a-study-option/master-of-environmental-science-menvsci.html</t>
    <phoneticPr fontId="8" type="noConversion"/>
  </si>
  <si>
    <t>https://www.tcd.ie/courses/postgraduate/courses/environmental-sciences-msc--pgraddip/</t>
    <phoneticPr fontId="8" type="noConversion"/>
  </si>
  <si>
    <t>https://www.lps.upenn.edu/degree-programs/mes</t>
    <phoneticPr fontId="8" type="noConversion"/>
  </si>
  <si>
    <t>1 year full-time</t>
    <phoneticPr fontId="8" type="noConversion"/>
  </si>
  <si>
    <t>The Master of Environment and Sustainability (MES) program is an accelerated, interdisciplinary program that combines technical skills, paid co-op experience and real-world consulting projects. You'll graduate ready to launch a career in government, consulting, NGOs, academia or the private sector, driving sustainability through policy, research and strategy.</t>
    <phoneticPr fontId="8" type="noConversion"/>
  </si>
  <si>
    <t>In the final term (May - August), students (you) will apply the environment and sustainability principles and skills gained in the program in an employment setting. You’ll gain valuable work experience, build your industry network, and launch your professional career!
The co-op is a mandatory component of the MES program and successful completion is required to graduate. You must complete 500 hours in their role during this term.</t>
    <phoneticPr fontId="8" type="noConversion"/>
  </si>
  <si>
    <t>MES graduates have found tremendous success post-graduation and many move quickly into leadership roles, including:
Manager, Climate, Environment &amp; Sustainability
Energy Management Specialist
Project Lead, Energy &amp; Facilities
Senior Environmental Planner
Director of Sustainability
Sustainability Business Development Manager
Senior Manager, Sustainable Finance
Manager, Climate Strategy
Wildlife Biologist</t>
    <phoneticPr fontId="8" type="noConversion"/>
  </si>
  <si>
    <t>A four-year bachelor's degree in any discipline from a recognized university or college.
Three-year bachelor's degrees will also be considered
Minimum Average
A minimum entrance average of 78%, calculated using the last 10 full credit or 20 half-credit course grades on your transcript (typically the final two years of study)
Applicants with averages below 78% (but with at least a 70% average) may be considered if strong evidence of relevant work experience is presented.</t>
    <phoneticPr fontId="8" type="noConversion"/>
  </si>
  <si>
    <t xml:space="preserve">IELTS: ≥7 out of 9
No individual score less than 6.5
TOEFL: Overall score: ≥ 94
Reading: ≥ 22
Listening: ≥ 22
Speaking: ≥ 26
Writing: ≥ 24
</t>
    <phoneticPr fontId="8" type="noConversion"/>
  </si>
  <si>
    <t>Domestic Students and Permanent Residents	$18,381
International Students (Study Permit)	$47,070</t>
    <phoneticPr fontId="8" type="noConversion"/>
  </si>
  <si>
    <t>Home &amp; RUK
Full-time fee: £11,943
International &amp; EU
Full-time fee: £29,355</t>
    <phoneticPr fontId="8" type="noConversion"/>
  </si>
  <si>
    <t xml:space="preserve">MSc: | 12 months full-time </t>
    <phoneticPr fontId="8" type="noConversion"/>
  </si>
  <si>
    <t>The programme is designed to equip you for a career as professional planning staff in private or public sector organisations concerned with the design and implementation of environmental policies, environmental issues in international agencies or research.
Recent graduates have been employed as development practitioners and environmental policy analysts for organisations such as BP, Royal Society for the Protection of Birds and public sector bodies.</t>
    <phoneticPr fontId="8" type="noConversion"/>
  </si>
  <si>
    <t>Environment &amp; Sustainable Development will provide you with a good understanding of:
the key issues confronting economies in attempting to reconcile economic growth with environmental and ecological constraints
the relationship between environment and the economic system with an emphasis on environmental valuation, cost-benefit analysis, market and policy failure, trade and the environment, the economics of pollution control and climate change
the role of international environmental agreements
This programme provides the empirical tools, data, and STATA software training that will enable students to investigate economic development and to prepare an independent empirical analysis.
Our programmes blend research with real-world expertise. You will gain invaluable industry connections and experience trips and exclusive events that pave the way for your future career. Find out more about our industry links.</t>
    <phoneticPr fontId="8" type="noConversion"/>
  </si>
  <si>
    <t>Research project
Dissertation GCDS or Economics PGT External Partner Project
A pre-sessional refresher course in economics is also available for those who wish to revise their economics. This non-credit bearing course takes place during induction week.</t>
    <phoneticPr fontId="8" type="noConversion"/>
  </si>
  <si>
    <t>2.1 Honours degree (or non-UK equivalent) in Economics, Finance, Engineering, Physics, Statistics, Mathematical discipline or Environmental Science. Applicants with a 2.1 Honours degree (or non-UK equivalent) in Social Sciences or Humanities or Science will be considered if they have at least two credit-bearing modules in Economics and/or Finance and/or Statistics at an average grade of pass.</t>
    <phoneticPr fontId="8" type="noConversion"/>
  </si>
  <si>
    <t xml:space="preserve"> (IELTS) Academic and Academic Online (not General Training)
6.5 overall with no subtest less than 6.0
TOEFL (ibt, mybest or athome)
Tests taken up to 20 January 2026
90 Overall, no subtest lower than Reading 20; Listening 19; Speaking 19; Writing 21
Tests taken from 21 January 2026
92 Overall, no subtest lower than Reading 22; Listening 20; Speaking 23; Writing 21</t>
    <phoneticPr fontId="8" type="noConversion"/>
  </si>
  <si>
    <t>Full-time: 18 months
Part-time: Varies</t>
    <phoneticPr fontId="8" type="noConversion"/>
  </si>
  <si>
    <t>This programme is an advanced qualification in environmental science. You will gain the fundamental and essential skills for a career in industry or research in the field of environmental science.</t>
    <phoneticPr fontId="8" type="noConversion"/>
  </si>
  <si>
    <t>With an emphasis on transdisciplinary knowledge, you will study a range of topics within the School of Environment. Areas the programme focuses on include water-use and governance, air and water quality, ecosystem ecology, environmental modelling and analysis, climate change, and resource management.
Graduates of the MEnvSci will have developed the crucial conceptual and practical skills required of professional environmental scientists in research and industry.</t>
    <phoneticPr fontId="8" type="noConversion"/>
  </si>
  <si>
    <t>You must have completed an undergraduate degree in Science with a GPA of 4.0 or higher in 60 points at Stage III in Environmental Science, or a related subject such as Biology, Chemistry, Earth Sciences, Geography and Geology.</t>
    <phoneticPr fontId="8" type="noConversion"/>
  </si>
  <si>
    <t>Domestic students
NZ$11,545.20*
International students
NZ$55,484*</t>
    <phoneticPr fontId="8" type="noConversion"/>
  </si>
  <si>
    <t>https://www.exeter.ac.uk/masters-degrees/msc-global-sustainability-solutions/</t>
    <phoneticPr fontId="8" type="noConversion"/>
  </si>
  <si>
    <t>https://www.griffith.edu.au/study/degrees/master-of-global-development-5724</t>
    <phoneticPr fontId="8" type="noConversion"/>
  </si>
  <si>
    <t>https://www.westernsydney.edu.au/future/study/courses/postgraduate/master-of-sustainable-tourism-hospitality-and-event-management</t>
    <phoneticPr fontId="8" type="noConversion"/>
  </si>
  <si>
    <t>https://www.queensu.ca/ensc/graduate/programs-overview</t>
    <phoneticPr fontId="8" type="noConversion"/>
  </si>
  <si>
    <t>https://cgss.usm.my/programmes/postgraduate/coursework/masters-in-sustainable-development-practice-msdp</t>
    <phoneticPr fontId="8" type="noConversion"/>
  </si>
  <si>
    <t>The aims of this course are to promote an understanding of environmental science, and the capability to apply that knowledge to current environmental issues and sound environmental management; to develop the necessary intellectual skills and practical expertise to design and execute independent research; and to cultivate skilled communicators able to organise ideas and disseminate them through written and oral presentations.
Following the successful completion of the taught part of the course, students embark on a closely supervised research project intended to expand the skills and knowledge base acquired in earlier modules. Previous research projects have covered a range of subjects, including groundwater contamination; atmospheric heavy metal deposition; environmental education; sewage processing systems; bio-indicators of marine pollution; microplastics; the impacts of erosion in African lakes; ocean chemistry and climate change; and radon in natural and work environment.</t>
    <phoneticPr fontId="8" type="noConversion"/>
  </si>
  <si>
    <t xml:space="preserve">Our graduates find jobs in academia and industry. Previous graduates of this course have been employed by a range of agencies involved in environmental protection, as environmental consultants and in local government. Many graduates have gone on  to do further research in a range of environmentally related disciplines. Graduates from the course have pursued their interests in environmental sciences throughout the world.  Some examples of jobs that our M.Sc. students have embarked after finishing this programme are environmental field scientist, research assistant (project scientists), environmental consultant, instrument and GIS technician, analyst for water quality (or other environmental data analyst). Employers include Sustainable Energy Authority of Ireland, Gas Networks Ireland, Kerry Group, Inland Fisheries Ireland, Veolia, CSO, Headcount Engineering, Jacobs Engineering, Teagasc, Promar International UK, Pfizer, RSK Ireland, and Calx.
Many graduates have gone on to do further research in a range of environmentally related disciplines. Graduates from the course have pursued their interests in environmental sciences throughout the world. </t>
    <phoneticPr fontId="8" type="noConversion"/>
  </si>
  <si>
    <t>EU:€9,170.00
Non-EU: €22,520.00</t>
    <phoneticPr fontId="8" type="noConversion"/>
  </si>
  <si>
    <t>Applicants are required to possess a minimum 2.1 Honours degree or equivalent.
Two academic references, or reference letters from industry for candidates who left academia several years ago.</t>
    <phoneticPr fontId="8" type="noConversion"/>
  </si>
  <si>
    <t xml:space="preserve">IELTS: 	6.5 overall
6.0 in each band
TOEFL: 4.5 overall 
4.0 in each section 
</t>
    <phoneticPr fontId="8" type="noConversion"/>
  </si>
  <si>
    <t>2 years full-time
3-4 years part-time</t>
    <phoneticPr fontId="8" type="noConversion"/>
  </si>
  <si>
    <t xml:space="preserve">	$31,277</t>
    <phoneticPr fontId="8" type="noConversion"/>
  </si>
  <si>
    <t>Completed online application
Current resume
Unofficial transcripts from each post-secondary school attended uploaded through the online application system
Two letters of recommendation (details below)
Score reports for the Graduate Record Exam (GRE) are optional</t>
    <phoneticPr fontId="8" type="noConversion"/>
  </si>
  <si>
    <t>TOEFL: The minimum TOEFL scores required for admissions consideration are as follows:
For exams taken on/before January 20, 2026, a minimum score of 100 on the internet-based test (iBT), with no subscore below 24, and a listening/speaking score of 25+
For exams taken on/after January 21, 2026, a minimum score of 5 on the internet-based test (iBT), with no subscore below 5
IELTS: The minimum score for consideration is a 7.0 composite, with listening and speaking scores of 7.0 or higher.</t>
    <phoneticPr fontId="8" type="noConversion"/>
  </si>
  <si>
    <t>The Master of Environmental Studies (MES) program at the University of Pennsylvania helps you translate your passion for the environment into a fulfilling career. Our program offers you a rigorous academic grounding in environmental science and exceptional opportunities to conduct research in the field. In addition, you gain the professional networks and individualized professional development you need to excel in your work, whether as a researcher, policy advocate, teacher or business executive.
Built with flexibility in mind, you can choose from a variety of concentrations or create your own—all with the guidance of our world-class faculty and built upon the foundation of Ivy League science courses. Many of our distinguished professors also influence practices outside the University, bringing their experience and broad networks from the worlds of policy, business and consulting into the classroom. Our working students find meaningful ways to blend their academic and current professional experiences by partnering with faculty to design projects and research that tackle real-world challenges from their workplace.</t>
    <phoneticPr fontId="8" type="noConversion"/>
  </si>
  <si>
    <t>The capstone project is a distinguishing feature of the Master of Environmental Studies program, blending academic and professional experiences and serving as the culmination of your work in the program. You will design a project drawing from your learning in and outside the classroom to demonstrate mastery of your concentration area.
Unlike a traditional research master’s program, Penn’s Master of Environmental Studies does not expect you to have a research topic and advisor before you begin the program. MES students meet the faculty and learn about project topic ideas when they start the program; in the second semester, the Capstone Seminar helps students identify a topic, develop a research methodology, identify a research committee and write a proposal. Capstone projects are typically applied rather than theoretical. Our students frequently find their first jobs after graduation as a result of the connections they make during the capstone research process.</t>
    <phoneticPr fontId="8" type="noConversion"/>
  </si>
  <si>
    <t xml:space="preserve">If you are passionate about creating a more sustainable world, join us on your journey by addressing global sustainability challenges and exploring solutions to these in a wide variety of environments and contexts.
You will learn together with students from different disciplines and backgrounds to apply your different perspectives, insights and passions to begin to understand and address the very real challenges facing our planet.
Explore how systems thinking can be applied to a range of social, economic and environmental issues and begin to understand the interconnections and behaviours of different systems. 
This is a dynamic and exciting programme where your coursework assessments will not be limited to essays, you will also be creating films, press briefings, presentations, reports, and policy briefs whilst learning to communicate to a wide range of audiences and enhancing your employability.
We offer immersive learning experiences which provide an opportunity for interactive learning of fundamental skills and approaches to understanding and solving challenges.
You have the opportunity to undertake a work placement as part of a module, and a research project within an organisation as an alternative to a traditional academic dissertation. </t>
    <phoneticPr fontId="8" type="noConversion"/>
  </si>
  <si>
    <t>All applicants are considered individually on merit although we usually require a 2:2 honours degree.</t>
    <phoneticPr fontId="8" type="noConversion"/>
  </si>
  <si>
    <t xml:space="preserve">1 year full time, 2 years part time </t>
    <phoneticPr fontId="8" type="noConversion"/>
  </si>
  <si>
    <t xml:space="preserve">GBP 14,300 full-time; GBP 7,150 part-time | International fees per year: | GBP 30,100 full-time; GBP 15,050 part-time </t>
    <phoneticPr fontId="8" type="noConversion"/>
  </si>
  <si>
    <t xml:space="preserve">
Test name	Required score
IELTS Academic, IELTS Academic Online and IELTS One Skill Retake	6.5 overall and no less than 5.5 in any section
TOEFL iBT, TOEFL iBT Home Edition, TOEFL iBT Paper Edition and TOEFL MyBest scores
90 with minimum scores of 20 in speaking and 18 for writing, listening and reading. 
TOEFL iBT, TOEFL iBT Home Edition, TOEFL iBT Paper Edition and TOEFL MyBest scores - tests taken from 21st January 2026	4.5 overall and no less than 3.5 in any section</t>
    <phoneticPr fontId="8" type="noConversion"/>
  </si>
  <si>
    <t>Online/ In-person</t>
    <phoneticPr fontId="8" type="noConversion"/>
  </si>
  <si>
    <t>$38,500 per year</t>
    <phoneticPr fontId="8" type="noConversion"/>
  </si>
  <si>
    <t xml:space="preserve">In an era where change is the only constant, the Master of Global Development will give you a deep understanding of policy, politics, people and power in a range of development contexts. If you are looking to develop your thought leadership skills and identify new, creative solutions that will help to improve the world around you, then the Master of Global Development is the right fit for you. 
This degree was developed to fundamentally align with the UN's Sustainable Development Goals, created to address the world's most pressing challenges - including ending poverty and bringing economic prosperity, social inclusion, environmental sustainability and peace and good governance. During your study, you will examine the dynamics of global issues and have the opportunity to take credentialed Majors tailored to the varying backgrounds and career goals of current and future professionals. Majors include: </t>
    <phoneticPr fontId="8" type="noConversion"/>
  </si>
  <si>
    <t>Graduates from this degree may find career opportunities within non-government organisations and aid organisations, international development, government policy, consultancy and research. Potential organisations include Oxfam, Amnesty International, United Nations, World Bank, AusAid, Department of Foreign Affairs and Trade.</t>
    <phoneticPr fontId="8" type="noConversion"/>
  </si>
  <si>
    <t>1 to 2 years full-time
2 to 4 (online only) years
 part-time</t>
    <phoneticPr fontId="8" type="noConversion"/>
  </si>
  <si>
    <t>You must have a minimum grade point average (GPA) of 4.0 (on a 7.0 point scale) in your previous qualification</t>
    <phoneticPr fontId="8" type="noConversion"/>
  </si>
  <si>
    <t>A minimum overall band score of 6.5 on IELTS (Academic) with no sub-score of less than 6.0
OR an overall score of 79 in the internet-based (iBT) TOEFL with no sub-score less than 19 (applies to tests taken prior to 21 January 2026)
OR an overall score of 4 in the internet-based (iBT) TOEFL with a minimum score of 4 in each of the listening, reading, and writing skills, and a minimum score of 3.5 in speaking skills (applies to tests taken on or after 21 January 2026)</t>
    <phoneticPr fontId="8" type="noConversion"/>
  </si>
  <si>
    <t>Full Time: 1-2 Years(Available Part Time)*</t>
    <phoneticPr fontId="8" type="noConversion"/>
  </si>
  <si>
    <t>Students complete a placement (internship) in the final year of the program. The placement provides a stepping-stone to ongoing employment in the tourism, event, hospitality and/or visitor economy sectors.</t>
    <phoneticPr fontId="8" type="noConversion"/>
  </si>
  <si>
    <t>Graduates of the program will be equipped to deliver sustainability and innovation outcomes through working in a variety of managerial, operational, policy, planning and research roles. The program allows students to complete majors in a variety of themes, including human resource management, innovation and entrepreneurship, management, marketing, and planning and place making. Students are provided pathways to employment through work placements, applied projects and opportunities to engage with high-profile industry and government partners.</t>
    <phoneticPr fontId="8" type="noConversion"/>
  </si>
  <si>
    <t>Research-based Master's
This program follows the traditional sequence of graduate training. Four half-credit courses, the challenge of original research culminating in a thesis, and a formal defense are required (24 months).
Course-based Master's
This program emphasizes the development of conceptual thinking and analytical and interpretive skills. Requirements involve six half-credit courses and a library-based interdisciplinary project or paper (16-20 months).</t>
    <phoneticPr fontId="8" type="noConversion"/>
  </si>
  <si>
    <t xml:space="preserve">Masters in Sustainable Development Practice (MSDP) is a global multi and interdisciplinary graduate degree program that prepares students to better identify and address the challenges of sustainable development. This programme consists of two years of coursework in four intersecting disciplines-health, natural, social, and management sciences-combined with cross-sectoral field training. The multi and interdisciplinary nature of this MSDP programme equips development practitioners to speak the different “languages” of specialists, for example, health, agronomy, and economics, in enabling them to better understand the root causes of extreme poverty and to address the challenges of sustainable development. One of the unique characteristics of this programme is one of the courses i.e. Global Classroom: Foundations of Sustainable Development Practice - a course that fosters cross-disciplinary collaboration and allows students and teachers from around the world to participate in collective assignments and learning experiences through a live video conference. Students from around the world are assigned the same readings and then join their classmates for a live weekly on-camera sessions with global experts. The programme is monitored by the Global Association Board of Master’s in Development Practice (MDP). </t>
    <phoneticPr fontId="8" type="noConversion"/>
  </si>
  <si>
    <t>Full-time students: Minimum 4 semesters / Maximum 8 semesters
Part-time students: Minimum 6 semesters / Maximum 10 semester</t>
    <phoneticPr fontId="8" type="noConversion"/>
  </si>
  <si>
    <t>A minimum of 2.75/4.00 for Bachelor degree; or
CGPA below 2.75/4.00 for Bachelor degree with additional requirements</t>
    <phoneticPr fontId="8" type="noConversion"/>
  </si>
  <si>
    <t>A minimum score of 35 in Internet-based TOEFL (Test of English as a Foreign Language); or
A minimum of Band 5 in IELTS (International English Language Testing System)</t>
    <phoneticPr fontId="8" type="noConversion"/>
  </si>
  <si>
    <t>https://hygce.hanyang.ac.kr/-eng-1</t>
    <phoneticPr fontId="8" type="noConversion"/>
  </si>
  <si>
    <t>https://www.ees.hokudai.ac.jp/?lang=en</t>
    <phoneticPr fontId="8" type="noConversion"/>
  </si>
  <si>
    <t>https://www.ukm.my/lestari/program-siswazah/</t>
    <phoneticPr fontId="8" type="noConversion"/>
  </si>
  <si>
    <t>https://www.institut-agro.fr/fr/nos-formations</t>
    <phoneticPr fontId="8" type="noConversion"/>
  </si>
  <si>
    <t>https://mpb.ntu.edu.tw/about/overview</t>
    <phoneticPr fontId="8" type="noConversion"/>
  </si>
  <si>
    <t>Eligibility: Currently enrolled students, eligible to take the test from the 1st semester
Subjects: English or Korean(for students whose native language is English)
Note: Subsitution is possible with an official language proficiency certificate
- English (TOEIC, TOEFL, G-TELP, IELTS, GRE, GMAT)
- Korean (TOPIK)</t>
    <phoneticPr fontId="8" type="noConversion"/>
  </si>
  <si>
    <t>Document review and interview
- Admission details are announced on the general graduate school and department websites.</t>
    <phoneticPr fontId="8" type="noConversion"/>
  </si>
  <si>
    <t>Japanese</t>
    <phoneticPr fontId="8" type="noConversion"/>
  </si>
  <si>
    <t xml:space="preserve">International: 44810 RM
</t>
    <phoneticPr fontId="8" type="noConversion"/>
  </si>
  <si>
    <t>Part time or Full time</t>
    <phoneticPr fontId="8" type="noConversion"/>
  </si>
  <si>
    <t>IETLS: 4.0-4.5</t>
    <phoneticPr fontId="8" type="noConversion"/>
  </si>
  <si>
    <t>https://gsles.korea.edu/gsles_en/master/subject07.do</t>
    <phoneticPr fontId="8" type="noConversion"/>
  </si>
  <si>
    <t>https://s2kesling.fkm.unair.ac.id/</t>
    <phoneticPr fontId="8" type="noConversion"/>
  </si>
  <si>
    <t>https://apps.ualberta.ca/catalogue/course/sust</t>
    <phoneticPr fontId="8" type="noConversion"/>
  </si>
  <si>
    <t>https://www.pusan.ac.kr/eng/CMS/OrganizationMgr/SpecialGraduateInfo.do?gc_code=280000&amp;gc_parent_code=NONE-009&amp;mCode=MN021</t>
    <phoneticPr fontId="8" type="noConversion"/>
  </si>
  <si>
    <t>https://www.utas.edu.au/courses/cse/courses/p7b-master-of-environmental-geospatial-science</t>
    <phoneticPr fontId="8" type="noConversion"/>
  </si>
  <si>
    <t>https://continuing.mcmaster.ca/programs/business/sustainability/</t>
    <phoneticPr fontId="8" type="noConversion"/>
  </si>
  <si>
    <t>It is not a program</t>
    <phoneticPr fontId="8" type="noConversion"/>
  </si>
  <si>
    <t>webpage not found</t>
    <phoneticPr fontId="8" type="noConversion"/>
  </si>
  <si>
    <t>no data on website</t>
    <phoneticPr fontId="8" type="noConversion"/>
  </si>
  <si>
    <t>https://www.eds.grad.chula.ac.th/academics/degree-program/</t>
    <phoneticPr fontId="8" type="noConversion"/>
  </si>
  <si>
    <t>https://en.knu.ac.kr/admission/foreign02_inc.htm</t>
    <phoneticPr fontId="8" type="noConversion"/>
  </si>
  <si>
    <t>webpage cannot open</t>
    <phoneticPr fontId="8" type="noConversion"/>
  </si>
  <si>
    <t>https://cee.hkust.edu.hk/msc-environmental-engineering-and-management</t>
    <phoneticPr fontId="8" type="noConversion"/>
  </si>
  <si>
    <t>https://www.lpu.in/international/programmes/msc-environmental-sciences</t>
    <phoneticPr fontId="8" type="noConversion"/>
  </si>
  <si>
    <t>https://sts.um.edu.my/master-of-sustainability-science.html</t>
    <phoneticPr fontId="8" type="noConversion"/>
  </si>
  <si>
    <t>IELTS Academic 6.5 overall, with no band below 6.0, unless the English requirement is met through an approved alternative.</t>
    <phoneticPr fontId="8" type="noConversion"/>
  </si>
  <si>
    <t>Our teaching team is ideally positioned to train geospatial professionals. We are ranked above world standards (ERA 5) for exceptional research performance and offer students unique experiences directly related to providing a distinctive, place-based education.
Specialist geospatial skills grant graduates access to a range of entry-level positions in government, industry, or non-profit sectors, including the following:
Environmental Project Officer
Environmental Consultant
Environmental Scientist
Environmental Technician
Geographic Information Systems Officer
Natural Resource Officer
Natural Environment Project Officer
Sustainability Advisor</t>
    <phoneticPr fontId="8" type="noConversion"/>
  </si>
  <si>
    <t xml:space="preserve">Admission to most postgraduate coursework courses at the University of Tasmania require qualifications equivalent to an Australian bachelor degree. Applicants must achieve the required grade in their qualifying studies, meet any prerequisite subjects, and meet English language requirements to be eligible for an offer.
Candidates for the Master of Environmental Geospatial Sciences shall be qualified for entry if they hold a bachelor degree in any discipline at the University of Tasmania or hold other tertiary qualification(s) deemed by the College to be equivalent for this purpose. </t>
    <phoneticPr fontId="8" type="noConversion"/>
  </si>
  <si>
    <t>Individual units may be on campus or online/off campus.</t>
    <phoneticPr fontId="8" type="noConversion"/>
  </si>
  <si>
    <t>Minimum 2 years; maximum 5 years. Course structure may be completed in 3 or 4 semesters depending on entry qualifications. Full-time or part-time</t>
    <phoneticPr fontId="8" type="noConversion"/>
  </si>
  <si>
    <t>Whether you want to launch a career in Sustainability or expand your knowledge of sustainable environment, economic and societal best practices, our online program can help. Gain in-demand skills for this rewarding profession.
Designed with reference to several ISSP-SA (International Society of Sustainability Professionals) core competencies
Gain sustainability skills and knowledge of the best practices
Successfully complete any three out of the four online courses to earn a digital Certificate of Completion that highlights the specific skills you’ve learned
Information Box Group</t>
    <phoneticPr fontId="8" type="noConversion"/>
  </si>
  <si>
    <t>IELTS
6.0
TOEFL iBT (Centre-based)
60
TOEFL Essentials (Online)
8.5</t>
    <phoneticPr fontId="8" type="noConversion"/>
  </si>
  <si>
    <t>Sustainability Science is an emerging field in science that attempts to deal with the interactions between natural and social systems proactively, how those interactions affect the challenges of sustainability, and by what means new solutions can be created to meet the needs of present and future generations while substantially reducing poverty and conserving the planet’s life support systems. This multidisciplinary field increasingly acknowledges the importance of making Science, Technology and Innovation (STI) work for sustainable development in this modern society. Balanced STI development is crucial to meeting this challenge effectively. STI offers an array of promising solutions for sustainability - but it can also lead to adverse social and ecological impacts if development is not governed wisely. This is in line with the growing academic and policymaking interests in the governance of sustainable innovations and socio-technical systems – systems that are grounded in the interaction between human behaviour and technologies.</t>
    <phoneticPr fontId="8" type="noConversion"/>
  </si>
  <si>
    <t>https://www.en.aau.dk/education/master/sustainable-cities</t>
    <phoneticPr fontId="8" type="noConversion"/>
  </si>
  <si>
    <t>https://eng.khu.ac.kr/eng_eng/user/contents/view.do?menuNo=17200012</t>
    <phoneticPr fontId="8" type="noConversion"/>
  </si>
  <si>
    <t>https://www.uvic.ca/socialsciences/environmental/programs/graduate/index.php</t>
    <phoneticPr fontId="8" type="noConversion"/>
  </si>
  <si>
    <t>https://handbook.cqu.edu.au/he/courses/view/CM82/HT1/2025</t>
    <phoneticPr fontId="8" type="noConversion"/>
  </si>
  <si>
    <t>https://www.newcastle.edu.au/degrees/master-environmental-management-sustainability</t>
    <phoneticPr fontId="8" type="noConversion"/>
  </si>
  <si>
    <t>https://www.northumbria.ac.uk/study-at-northumbria/courses/disaster-management-and-sustainable-development-with-advanced-practice-msc-ft-dtsdds6/</t>
    <phoneticPr fontId="8" type="noConversion"/>
  </si>
  <si>
    <t>https://sil.ui.ac.id/en/master-of-environmental-science/</t>
    <phoneticPr fontId="8" type="noConversion"/>
  </si>
  <si>
    <t>https://www.najah.edu/en/academic/postgraduate-programs/program/environmental-sciences/info-card/</t>
    <phoneticPr fontId="8" type="noConversion"/>
  </si>
  <si>
    <t>https://degrees.apps.asu.edu/masters-phd/major/ASU00/SUSUSOMSUS/sustainability-solutions-msus?init=false&amp;nopassive=true</t>
    <phoneticPr fontId="8" type="noConversion"/>
  </si>
  <si>
    <t>If you want to help develop the cities of the future where people thrive and where energy, transport, water and waste are connected in sustainable solutions, the Master’s in Sustainable Cities is right for you. In the future, up to 70-80% of the world's population will live in cities, and this places great demands on the way they are planned and developed. The programme teaches you how to analyse the consequences of different strategies and how to involve citizens, authorities, companies and organisations in the development of more sustainable cities. You will get the tools to work holistically and practically to turn urban challenges into concrete solutions.</t>
    <phoneticPr fontId="8" type="noConversion"/>
  </si>
  <si>
    <t>With a Master's in Sustainable Cities, you can work with urban development, green transition and strategic planning in both public and private organisations. You can find a job in municipalities, regions, ministries, utility companies, engineering consultancies or international organisations, working on planning and developing cities that take climate, environment, technology and people into account. 
You can work with climate adaptation, mobility, energy planning, urban regeneration, waste and water management or sustainability assessments – as a project manager, consultant, specialist or coordinator. The programme prepares you to work in cross-disciplinary teams and be responsible for developing solutions that create long-term value for diverse urban communities.</t>
    <phoneticPr fontId="8" type="noConversion"/>
  </si>
  <si>
    <t xml:space="preserve">IELTS (including IELTS Online) (academic test): 6.5 overall band score with a minimum score of 6.0 in each section. 
TOEFL iBT (internet-based + Home Edition): 85 with a minimum score of 20 in each section.  </t>
    <phoneticPr fontId="8" type="noConversion"/>
  </si>
  <si>
    <t xml:space="preserve">Minimum 30 ECTS within the basic urban, energy or environmental planning subject area (e.g., but not limited to, spatial planning, city infrastructure, city design, urban geography, transport planning, heat planning, energy system analysis, renewable energy sources, energy savings, climate action planning, environmental assessment, environmental management, LCA, waste planning, resources, circular economy, participation, GIS)  </t>
    <phoneticPr fontId="8" type="noConversion"/>
  </si>
  <si>
    <t>it is an undergraduate program</t>
    <phoneticPr fontId="8" type="noConversion"/>
  </si>
  <si>
    <t>Graduates from environmental studies will publish at least one paper during their studies and can look forward to a variety of impactful careers and opportunities:
leading environmental policy and decision-making processes
direct involvement in conservation and environmental management projects
designing and implementing sustainable practices in businesses or communities
educating the next generation on ecological responsibility
participating in or leading participatory research initiatives for environmental solutions</t>
    <phoneticPr fontId="8" type="noConversion"/>
  </si>
  <si>
    <t>UVic offers limited financial support, but most of our students receive funds from outside scholarships and awards</t>
    <phoneticPr fontId="8" type="noConversion"/>
  </si>
  <si>
    <t>Our goals for the co-op program in environmental studies are:
to foster cooperative research with industry and government
to attract high quality graduate students
to fund graduate students while undertaking graduate research
to support students in developing and understanding their workplace competencies and so help them transition from their academic program to employment</t>
    <phoneticPr fontId="8" type="noConversion"/>
  </si>
  <si>
    <t>quivalent of a minimum A- (7.0) average over the last two years of your degree.
As part of your application, you must submit:
a 1-2 page statement of research intent, which also identifies the faculty member(s) you’d like to work with
a 1-2 page essay highlighting your past accomplishments, evidence of creativity and research potential
a current résumé
two reference names and their email addresses
post-secondary transcripts</t>
    <phoneticPr fontId="8" type="noConversion"/>
  </si>
  <si>
    <t>The Master of Sustainable Development is designed for professionals seeking to become leaders in the field of sustainability. This comprehensive course offers a holistic approach to sustainability, encompassing environmental, social and economic dimensions. You will delve into advanced topics including sustainable resource management, policy analysis and corporate sustainability strategies. 
A distinctive feature of this course is the practical residential school, where you will gain hands-on skills and insights from industry experts. This immersive experience allows you to apply theoretical knowledge to real-world challenges, enhancing your practical understanding of sustainable practices. The curriculum is designed to foster innovative solutions and critical thinking, preparing graduates to drive sustainable development agendas, influence policy and implement impactful initiatives in diverse sectors globally.</t>
    <phoneticPr fontId="8" type="noConversion"/>
  </si>
  <si>
    <t>With a Master of Sustainable Development, you will be ready for leadership and senior advisory roles in sustainability. You will be positioned for careers as a sustainability manager, policy advisor or strategic planner, working in sectors like environmental management, disaster management, corporate sustainability, climate change mitigation and public health. You’ll be equipped to influence policy, lead development projects and drive systemic change across industries.</t>
    <phoneticPr fontId="8" type="noConversion"/>
  </si>
  <si>
    <t>To be eligible for entry into this course, you must demonstrate:
a completed Australian Qualifications Framework (AQF) equivalent Bachelor degree, or higher equivalent qualification.</t>
    <phoneticPr fontId="8" type="noConversion"/>
  </si>
  <si>
    <t>an International English Language Testing System (IELTS Academic) overall band score of at least 6.0 with a minimum 5.5 in each of the four components (listening, reading, writing and speaking), or 
a Test of English as a Foreign Language (TOEFL) iBT overall score of at least 75 with no score less than 17 in each of the four components (listening, reading, writing and speaking)</t>
    <phoneticPr fontId="8" type="noConversion"/>
  </si>
  <si>
    <t>34000 AUD</t>
    <phoneticPr fontId="8" type="noConversion"/>
  </si>
  <si>
    <t xml:space="preserve">International: 	$31,860
Domestic: $13,327
</t>
    <phoneticPr fontId="8" type="noConversion"/>
  </si>
  <si>
    <t>Applicants must have a minimum cumulative GPA of 3.00 (scale is 4.00 = "A") in the last 60 hours of their first bachelor's degree program or a minimum cumulative GPA of 3.00 (scale is 4.00 = "A") in an applicable master's degree program.
All applicants must submit:
graduate admission application and application fee
official transcripts
statement of intent
three letters of recommendation
resume or curriculum vitae
proof of English proficiency</t>
    <phoneticPr fontId="8" type="noConversion"/>
  </si>
  <si>
    <t>Professionals who understand how to solve difficult problems and work with and draw from different disciplines are in high demand across sectors and industries. Graduates of the MSUS program have the knowledge base and skill set needed to create sustainability solutions in a variety of sectors including business, education, nonprofit, governmental and nongovernmental organizations. Graduates are trained to help organizations approach differing values and perspectives in a collaborative way, understand and explore the complexity of systems, plan for various future scenarios, and develop strategies for action.
Students can explore alumni employment data for career insights on theCollege of Global Futures employment data page.
Career examples include:
chief sustainability officer
environmental specialist
industrial ecologist
sustainability analyst
sustainability consultant
sustainability specialist</t>
    <phoneticPr fontId="8" type="noConversion"/>
  </si>
  <si>
    <t>The Master of Sustainability Solutions program teaches you how to analyze and solve sustainability challenges in organizations and communities. You learn how to apply sustainability principles and approaches. You focus on developing solutions in concert with real-world stakeholders.</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</si>
</sst>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2]\ #,##0.00;[Red]\-[$€-2]\ #,##0.00"/>
  </numFmts>
  <fonts count="11">
    <font>
      <sz val="11"/>
      <name val="Carlito"/>
    </font>
    <font>
      <b/>
      <sz val="15"/>
      <color rgb="FFFFFFFF"/>
      <name val="Carlito"/>
    </font>
    <font>
      <i/>
      <sz val="10"/>
      <color rgb="FF34495E"/>
      <name val="Carlito"/>
    </font>
    <font>
      <b/>
      <sz val="10"/>
      <color rgb="FFFFFFFF"/>
      <name val="Carlito"/>
    </font>
    <font>
      <sz val="9"/>
      <color rgb="FF25364A"/>
      <name val="Carlito"/>
    </font>
    <font>
      <b/>
      <sz val="12"/>
      <color rgb="FF137C78"/>
      <name val="Carlito"/>
    </font>
    <font>
      <b/>
      <sz val="9"/>
      <color rgb="FF16713A"/>
      <name val="Carlito"/>
    </font>
    <font>
      <sz val="9"/>
      <color rgb="FF0563C1"/>
      <name val="Carlito"/>
    </font>
    <font>
      <sz val="9"/>
      <name val="宋体"/>
      <family val="3"/>
      <charset val="134"/>
    </font>
    <font>
      <u/>
      <sz val="11"/>
      <color theme="10"/>
      <name val="Carlito"/>
    </font>
    <font>
      <sz val="9"/>
      <color rgb="FF25364A"/>
      <name val="Calibri"/>
      <family val="2"/>
    </font>
  </fonts>
  <fills count="10">
    <fill>
      <patternFill patternType="none"/>
    </fill>
    <fill>
      <patternFill patternType="gray125"/>
    </fill>
    <fill>
      <patternFill patternType="solid">
        <fgColor rgb="FF17365D"/>
      </patternFill>
    </fill>
    <fill>
      <patternFill patternType="solid">
        <fgColor rgb="FFDCEAF6"/>
      </patternFill>
    </fill>
    <fill>
      <patternFill patternType="solid">
        <fgColor rgb="FF137C78"/>
      </patternFill>
    </fill>
    <fill>
      <patternFill patternType="solid">
        <fgColor rgb="FFD9F2E1"/>
      </patternFill>
    </fill>
    <fill>
      <patternFill patternType="solid">
        <fgColor rgb="FFEEF9F1"/>
      </patternFill>
    </fill>
    <fill>
      <patternFill patternType="solid">
        <fgColor rgb="FFE9E2F4"/>
      </patternFill>
    </fill>
    <fill>
      <patternFill patternType="solid">
        <fgColor theme="0"/>
        <bgColor indexed="64"/>
      </patternFill>
    </fill>
    <fill>
      <patternFill patternType="solid">
        <fgColor rgb="FFFFFF00"/>
        <bgColor indexed="64"/>
      </patternFill>
    </fill>
  </fills>
  <borders count="7">
    <border>
      <left/>
      <right/>
      <top/>
      <bottom/>
      <diagonal/>
    </border>
    <border>
      <left/>
      <right/>
      <top/>
      <bottom style="thin">
        <color rgb="FFE4EAF0"/>
      </bottom>
      <diagonal/>
    </border>
    <border>
      <left/>
      <right/>
      <top style="thin">
        <color rgb="FFE4EAF0"/>
      </top>
      <bottom style="thin">
        <color rgb="FFE4EAF0"/>
      </bottom>
      <diagonal/>
    </border>
    <border>
      <left/>
      <right/>
      <top style="thin">
        <color rgb="FFE4EAF0"/>
      </top>
      <bottom/>
      <diagonal/>
    </border>
    <border>
      <left style="thin">
        <color rgb="FFCAD6E2"/>
      </left>
      <right/>
      <top style="thin">
        <color rgb="FFCAD6E2"/>
      </top>
      <bottom style="thin">
        <color rgb="FFCAD6E2"/>
      </bottom>
      <diagonal/>
    </border>
    <border>
      <left/>
      <right/>
      <top style="thin">
        <color rgb="FFCAD6E2"/>
      </top>
      <bottom style="thin">
        <color rgb="FFCAD6E2"/>
      </bottom>
      <diagonal/>
    </border>
    <border>
      <left/>
      <right style="thin">
        <color rgb="FFCAD6E2"/>
      </right>
      <top style="thin">
        <color rgb="FFCAD6E2"/>
      </top>
      <bottom style="thin">
        <color rgb="FFCAD6E2"/>
      </bottom>
      <diagonal/>
    </border>
  </borders>
  <cellStyleXfs count="2">
    <xf numFmtId="0" fontId="0" fillId="0" borderId="0"/>
    <xf numFmtId="0" fontId="9" fillId="0" borderId="0" applyNumberFormat="0" applyFill="0" applyBorder="0" applyAlignment="0" applyProtection="0"/>
  </cellStyleXfs>
  <cellXfs count="40">
    <xf numFmtId="0" fontId="0" fillId="0" borderId="0" xfId="0"/>
    <xf numFmtId="0" fontId="3" fillId="4" borderId="0" xfId="0" applyFont="1" applyFill="1" applyAlignment="1">
      <alignment horizontal="center" vertical="center" wrapText="1"/>
    </xf>
    <xf numFmtId="0" fontId="4" fillId="0" borderId="1" xfId="0" applyFont="1" applyBorder="1" applyAlignment="1">
      <alignment vertical="top" wrapText="1"/>
    </xf>
    <xf numFmtId="0" fontId="4" fillId="0" borderId="2" xfId="0" applyFont="1" applyBorder="1" applyAlignment="1">
      <alignment vertical="top" wrapText="1"/>
    </xf>
    <xf numFmtId="0" fontId="4" fillId="0" borderId="3" xfId="0" applyFont="1" applyBorder="1" applyAlignment="1">
      <alignment vertical="top" wrapText="1"/>
    </xf>
    <xf numFmtId="0" fontId="4" fillId="5" borderId="1" xfId="0" applyFont="1" applyFill="1" applyBorder="1" applyAlignment="1">
      <alignment vertical="top" wrapText="1"/>
    </xf>
    <xf numFmtId="0" fontId="4" fillId="5" borderId="2" xfId="0" applyFont="1" applyFill="1" applyBorder="1" applyAlignment="1">
      <alignment vertical="top" wrapText="1"/>
    </xf>
    <xf numFmtId="0" fontId="5" fillId="5" borderId="1" xfId="0" applyFont="1" applyFill="1" applyBorder="1" applyAlignment="1">
      <alignment horizontal="center" vertical="center" wrapText="1"/>
    </xf>
    <xf numFmtId="0" fontId="5" fillId="5" borderId="2" xfId="0" applyFont="1" applyFill="1" applyBorder="1" applyAlignment="1">
      <alignment horizontal="center" vertical="center" wrapText="1"/>
    </xf>
    <xf numFmtId="0" fontId="5" fillId="5" borderId="3" xfId="0" applyFont="1" applyFill="1" applyBorder="1" applyAlignment="1">
      <alignment horizontal="center" vertical="center" wrapText="1"/>
    </xf>
    <xf numFmtId="0" fontId="6" fillId="5" borderId="1" xfId="0" applyFont="1" applyFill="1" applyBorder="1" applyAlignment="1">
      <alignment vertical="top" wrapText="1"/>
    </xf>
    <xf numFmtId="0" fontId="6" fillId="5" borderId="2" xfId="0" applyFont="1" applyFill="1" applyBorder="1" applyAlignment="1">
      <alignment vertical="top" wrapText="1"/>
    </xf>
    <xf numFmtId="0" fontId="6" fillId="5" borderId="3" xfId="0" applyFont="1" applyFill="1" applyBorder="1" applyAlignment="1">
      <alignment vertical="top" wrapText="1"/>
    </xf>
    <xf numFmtId="0" fontId="3" fillId="4" borderId="4"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6" xfId="0" applyFont="1" applyFill="1" applyBorder="1" applyAlignment="1">
      <alignment horizontal="center" vertical="center" wrapText="1"/>
    </xf>
    <xf numFmtId="0" fontId="4" fillId="6" borderId="1" xfId="0" applyFont="1" applyFill="1" applyBorder="1" applyAlignment="1">
      <alignment vertical="top" wrapText="1"/>
    </xf>
    <xf numFmtId="0" fontId="4" fillId="6" borderId="2" xfId="0" applyFont="1" applyFill="1" applyBorder="1" applyAlignment="1">
      <alignment vertical="top" wrapText="1"/>
    </xf>
    <xf numFmtId="0" fontId="7" fillId="6" borderId="1" xfId="0" applyFont="1" applyFill="1" applyBorder="1" applyAlignment="1">
      <alignment vertical="top" wrapText="1"/>
    </xf>
    <xf numFmtId="0" fontId="7" fillId="0" borderId="2" xfId="0" applyFont="1" applyBorder="1" applyAlignment="1">
      <alignment vertical="top" wrapText="1"/>
    </xf>
    <xf numFmtId="0" fontId="7" fillId="6" borderId="2" xfId="0" applyFont="1" applyFill="1" applyBorder="1" applyAlignment="1">
      <alignment vertical="top" wrapText="1"/>
    </xf>
    <xf numFmtId="0" fontId="7" fillId="0" borderId="3" xfId="0" applyFont="1" applyBorder="1" applyAlignment="1">
      <alignment vertical="top" wrapText="1"/>
    </xf>
    <xf numFmtId="0" fontId="4" fillId="6" borderId="1" xfId="0" applyFont="1" applyFill="1" applyBorder="1" applyAlignment="1">
      <alignment horizontal="center" vertical="top" wrapText="1"/>
    </xf>
    <xf numFmtId="0" fontId="4" fillId="0" borderId="2" xfId="0" applyFont="1" applyBorder="1" applyAlignment="1">
      <alignment horizontal="center" vertical="top" wrapText="1"/>
    </xf>
    <xf numFmtId="0" fontId="4" fillId="6" borderId="2" xfId="0" applyFont="1" applyFill="1" applyBorder="1" applyAlignment="1">
      <alignment horizontal="center" vertical="top" wrapText="1"/>
    </xf>
    <xf numFmtId="0" fontId="4" fillId="0" borderId="3" xfId="0" applyFont="1" applyBorder="1" applyAlignment="1">
      <alignment horizontal="center" vertical="top" wrapText="1"/>
    </xf>
    <xf numFmtId="0" fontId="4" fillId="3" borderId="2" xfId="0" applyFont="1" applyFill="1" applyBorder="1" applyAlignment="1">
      <alignment vertical="top" wrapText="1"/>
    </xf>
    <xf numFmtId="0" fontId="4" fillId="3" borderId="3" xfId="0" applyFont="1" applyFill="1" applyBorder="1" applyAlignment="1">
      <alignment vertical="top" wrapText="1"/>
    </xf>
    <xf numFmtId="0" fontId="7" fillId="7" borderId="2" xfId="0" applyFont="1" applyFill="1" applyBorder="1" applyAlignment="1">
      <alignment vertical="top" wrapText="1"/>
    </xf>
    <xf numFmtId="0" fontId="4" fillId="6" borderId="3" xfId="0" applyFont="1" applyFill="1" applyBorder="1" applyAlignment="1">
      <alignment vertical="top" wrapText="1"/>
    </xf>
    <xf numFmtId="0" fontId="4" fillId="6" borderId="3" xfId="0" applyFont="1" applyFill="1" applyBorder="1" applyAlignment="1">
      <alignment horizontal="center" vertical="top" wrapText="1"/>
    </xf>
    <xf numFmtId="0" fontId="9" fillId="6" borderId="1" xfId="1" applyFill="1" applyBorder="1" applyAlignment="1">
      <alignment vertical="top" wrapText="1"/>
    </xf>
    <xf numFmtId="0" fontId="9" fillId="0" borderId="2" xfId="1" applyBorder="1" applyAlignment="1">
      <alignment vertical="top" wrapText="1"/>
    </xf>
    <xf numFmtId="0" fontId="9" fillId="6" borderId="2" xfId="1" applyFill="1" applyBorder="1" applyAlignment="1">
      <alignment vertical="top" wrapText="1"/>
    </xf>
    <xf numFmtId="0" fontId="4" fillId="8" borderId="1" xfId="0" applyFont="1" applyFill="1" applyBorder="1" applyAlignment="1">
      <alignment vertical="top" wrapText="1"/>
    </xf>
    <xf numFmtId="176" fontId="4" fillId="0" borderId="2" xfId="0" applyNumberFormat="1" applyFont="1" applyBorder="1" applyAlignment="1">
      <alignment vertical="top" wrapText="1"/>
    </xf>
    <xf numFmtId="0" fontId="1" fillId="2" borderId="0" xfId="0" applyFont="1" applyFill="1" applyAlignment="1">
      <alignment vertical="center"/>
    </xf>
    <xf numFmtId="0" fontId="2" fillId="3" borderId="0" xfId="0" applyFont="1" applyFill="1" applyAlignment="1">
      <alignment vertical="center" wrapText="1"/>
    </xf>
    <xf numFmtId="0" fontId="4" fillId="9" borderId="2" xfId="0" applyFont="1" applyFill="1" applyBorder="1" applyAlignment="1">
      <alignment horizontal="center" vertical="top" wrapText="1"/>
    </xf>
    <xf numFmtId="0" fontId="9" fillId="0" borderId="3" xfId="1" applyBorder="1" applyAlignment="1">
      <alignment vertical="top" wrapText="1"/>
    </xf>
  </cellXfs>
  <cellStyles count="2">
    <cellStyle name="Hyperlink" xfId="1" builtinId="8"/>
    <cellStyle name="Normal" xfId="0" builtinId="0"/>
  </cellStyles>
  <dxfs count="2">
    <dxf>
      <font>
        <b val="0"/>
        <i val="0"/>
        <strike val="0"/>
        <condense val="0"/>
        <extend val="0"/>
        <outline val="0"/>
        <shadow val="0"/>
        <u val="none"/>
        <vertAlign val="baseline"/>
        <sz val="9"/>
        <color rgb="FF25364A"/>
        <name val="Carlito"/>
        <scheme val="none"/>
      </font>
      <alignment horizontal="general" vertical="top" textRotation="0" wrapText="1" indent="0" justifyLastLine="0" shrinkToFit="0" readingOrder="0"/>
      <border diagonalUp="0" diagonalDown="0">
        <left/>
        <right/>
        <top style="thin">
          <color rgb="FFE4EAF0"/>
        </top>
        <bottom style="thin">
          <color rgb="FFE4EAF0"/>
        </bottom>
        <vertical/>
        <horizontal/>
      </border>
    </dxf>
    <dxf>
      <font>
        <b val="0"/>
        <i val="0"/>
        <strike val="0"/>
        <condense val="0"/>
        <extend val="0"/>
        <outline val="0"/>
        <shadow val="0"/>
        <u val="none"/>
        <vertAlign val="baseline"/>
        <sz val="9"/>
        <color rgb="FF25364A"/>
        <name val="Carlito"/>
        <scheme val="none"/>
      </font>
      <alignment horizontal="general" vertical="top" textRotation="0" wrapText="1" indent="0" justifyLastLine="0" shrinkToFit="0" readingOrder="0"/>
      <border diagonalUp="0" diagonalDown="0">
        <left/>
        <right/>
        <top style="thin">
          <color rgb="FFE4EAF0"/>
        </top>
        <bottom style="thin">
          <color rgb="FFE4EAF0"/>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electionAuditTable" displayName="SelectionAuditTable" ref="A4:K64" totalsRowShown="0">
  <tableColumns count="11">
    <tableColumn id="1" xr3:uid="{00000000-0010-0000-0000-000001000000}" name="Selection Cohort"/>
    <tableColumn id="2" xr3:uid="{00000000-0010-0000-0000-000002000000}" name="Cohort Position"/>
    <tableColumn id="3" xr3:uid="{00000000-0010-0000-0000-000003000000}" name="ID"/>
    <tableColumn id="4" xr3:uid="{00000000-0010-0000-0000-000004000000}" name="Institution"/>
    <tableColumn id="5" xr3:uid="{00000000-0010-0000-0000-000005000000}" name="Country"/>
    <tableColumn id="6" xr3:uid="{00000000-0010-0000-0000-000006000000}" name="QS Rank"/>
    <tableColumn id="7" xr3:uid="{00000000-0010-0000-0000-000007000000}" name="THE Rank"/>
    <tableColumn id="8" xr3:uid="{00000000-0010-0000-0000-000008000000}" name="Program"/>
    <tableColumn id="9" xr3:uid="{00000000-0010-0000-0000-000009000000}" name="Selection Rule"/>
    <tableColumn id="10" xr3:uid="{00000000-0010-0000-0000-00000A000000}" name="QS Profile URL"/>
    <tableColumn id="11" xr3:uid="{00000000-0010-0000-0000-00000B000000}" name="THE Profile URL"/>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andidateUniversitiesTable" displayName="CandidateUniversitiesTable" ref="A4:J64" totalsRowShown="0">
  <tableColumns count="10">
    <tableColumn id="1" xr3:uid="{00000000-0010-0000-0100-000001000000}" name="ID"/>
    <tableColumn id="2" xr3:uid="{00000000-0010-0000-0100-000002000000}" name="Institution"/>
    <tableColumn id="3" xr3:uid="{00000000-0010-0000-0100-000003000000}" name="Country"/>
    <tableColumn id="4" xr3:uid="{00000000-0010-0000-0100-000004000000}" name="Candidate Source"/>
    <tableColumn id="5" xr3:uid="{00000000-0010-0000-0100-000005000000}" name="QS Rank"/>
    <tableColumn id="6" xr3:uid="{00000000-0010-0000-0100-000006000000}" name="QS Score"/>
    <tableColumn id="7" xr3:uid="{00000000-0010-0000-0100-000007000000}" name="THE Rank"/>
    <tableColumn id="8" xr3:uid="{00000000-0010-0000-0100-000008000000}" name="THE Overall Score"/>
    <tableColumn id="9" xr3:uid="{00000000-0010-0000-0100-000009000000}" name="QS Profile URL"/>
    <tableColumn id="10" xr3:uid="{00000000-0010-0000-0100-00000A000000}" name="THE Profile URL"/>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rogramVerificationTable" displayName="ProgramVerificationTable" ref="A4:L64" totalsRowShown="0">
  <tableColumns count="12">
    <tableColumn id="1" xr3:uid="{00000000-0010-0000-0200-000001000000}" name="ID"/>
    <tableColumn id="2" xr3:uid="{00000000-0010-0000-0200-000002000000}" name="Institution"/>
    <tableColumn id="3" xr3:uid="{00000000-0010-0000-0200-000003000000}" name="Country"/>
    <tableColumn id="4" xr3:uid="{00000000-0010-0000-0200-000004000000}" name="Candidate Source"/>
    <tableColumn id="5" xr3:uid="{00000000-0010-0000-0200-000005000000}" name="Program Name"/>
    <tableColumn id="6" xr3:uid="{00000000-0010-0000-0200-000006000000}" name="Match Type"/>
    <tableColumn id="7" xr3:uid="{00000000-0010-0000-0200-000007000000}" name="Verification Status"/>
    <tableColumn id="8" xr3:uid="{00000000-0010-0000-0200-000008000000}" name="Official Program URL"/>
    <tableColumn id="9" xr3:uid="{00000000-0010-0000-0200-000009000000}" name="Verification Date"/>
    <tableColumn id="10" xr3:uid="{00000000-0010-0000-0200-00000A000000}" name="URL Audit"/>
    <tableColumn id="11" xr3:uid="{00000000-0010-0000-0200-00000B000000}" name="HTTP Status"/>
    <tableColumn id="12" xr3:uid="{00000000-0010-0000-0200-00000C000000}" name="Verification Note"/>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QSSustainabilityTop30Table" displayName="QSSustainabilityTop30Table" ref="A4:O34" totalsRowShown="0">
  <tableColumns count="15">
    <tableColumn id="1" xr3:uid="{00000000-0010-0000-0300-000001000000}" name="Rank"/>
    <tableColumn id="2" xr3:uid="{00000000-0010-0000-0300-000002000000}" name="Rank Number"/>
    <tableColumn id="3" xr3:uid="{00000000-0010-0000-0300-000003000000}" name="University"/>
    <tableColumn id="4" xr3:uid="{00000000-0010-0000-0300-000004000000}" name="Location"/>
    <tableColumn id="5" xr3:uid="{00000000-0010-0000-0300-000005000000}" name="Country"/>
    <tableColumn id="6" xr3:uid="{00000000-0010-0000-0300-000006000000}" name="Overall Score"/>
    <tableColumn id="7" xr3:uid="{00000000-0010-0000-0300-000007000000}" name="Environmental Sustainability"/>
    <tableColumn id="8" xr3:uid="{00000000-0010-0000-0300-000008000000}" name="Environmental Education"/>
    <tableColumn id="9" xr3:uid="{00000000-0010-0000-0300-000009000000}" name="Environmental Research"/>
    <tableColumn id="10" xr3:uid="{00000000-0010-0000-0300-00000A000000}" name="Equality"/>
    <tableColumn id="11" xr3:uid="{00000000-0010-0000-0300-00000B000000}" name="Knowledge Exchange"/>
    <tableColumn id="12" xr3:uid="{00000000-0010-0000-0300-00000C000000}" name="Impact of Education"/>
    <tableColumn id="13" xr3:uid="{00000000-0010-0000-0300-00000D000000}" name="Employability &amp; Opportunities"/>
    <tableColumn id="14" xr3:uid="{00000000-0010-0000-0300-00000E000000}" name="Good Governance"/>
    <tableColumn id="15" xr3:uid="{00000000-0010-0000-0300-00000F000000}" name="QS Profile URL"/>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HEImpact30AdditionsTable" displayName="THEImpact30AdditionsTable" ref="A4:H34" totalsRowShown="0">
  <tableColumns count="8">
    <tableColumn id="1" xr3:uid="{00000000-0010-0000-0400-000001000000}" name="Rank"/>
    <tableColumn id="2" xr3:uid="{00000000-0010-0000-0400-000002000000}" name="Rank Number"/>
    <tableColumn id="3" xr3:uid="{00000000-0010-0000-0400-000003000000}" name="University"/>
    <tableColumn id="4" xr3:uid="{00000000-0010-0000-0400-000004000000}" name="Country"/>
    <tableColumn id="5" xr3:uid="{00000000-0010-0000-0400-000005000000}" name="Overall Score"/>
    <tableColumn id="6" xr3:uid="{00000000-0010-0000-0400-000006000000}" name="SDG 17 Score"/>
    <tableColumn id="7" xr3:uid="{00000000-0010-0000-0400-000007000000}" name="Top SDG Scores (published text)"/>
    <tableColumn id="8" xr3:uid="{00000000-0010-0000-0400-000008000000}" name="THE Profile URL"/>
  </tableColumns>
  <tableStyleInfo name="TableStyleMedium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OverlapAnalysisTable" displayName="OverlapAnalysisTable" ref="A4:J9" totalsRowShown="0">
  <tableColumns count="10">
    <tableColumn id="1" xr3:uid="{00000000-0010-0000-0500-000001000000}" name="ID"/>
    <tableColumn id="2" xr3:uid="{00000000-0010-0000-0500-000002000000}" name="Canonical Institution"/>
    <tableColumn id="3" xr3:uid="{00000000-0010-0000-0500-000003000000}" name="Country"/>
    <tableColumn id="4" xr3:uid="{00000000-0010-0000-0500-000004000000}" name="QS Rank"/>
    <tableColumn id="5" xr3:uid="{00000000-0010-0000-0500-000005000000}" name="QS Score"/>
    <tableColumn id="6" xr3:uid="{00000000-0010-0000-0500-000006000000}" name="THE Rank"/>
    <tableColumn id="7" xr3:uid="{00000000-0010-0000-0500-000007000000}" name="THE Score"/>
    <tableColumn id="8" xr3:uid="{00000000-0010-0000-0500-000008000000}" name="QS Name"/>
    <tableColumn id="9" xr3:uid="{00000000-0010-0000-0500-000009000000}" name="THE Name / Alias"/>
    <tableColumn id="10" xr3:uid="{00000000-0010-0000-0500-00000A000000}" name="Identity Note"/>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AASHESTARSTable" displayName="AASHESTARSTable" ref="A4:K64" totalsRowShown="0">
  <tableColumns count="11">
    <tableColumn id="1" xr3:uid="{00000000-0010-0000-0600-000001000000}" name="ID"/>
    <tableColumn id="2" xr3:uid="{00000000-0010-0000-0600-000002000000}" name="Candidate Institution"/>
    <tableColumn id="3" xr3:uid="{00000000-0010-0000-0600-000003000000}" name="AASHE Match Status"/>
    <tableColumn id="4" xr3:uid="{00000000-0010-0000-0600-000004000000}" name="Matched AASHE Institution"/>
    <tableColumn id="5" xr3:uid="{00000000-0010-0000-0600-000005000000}" name="Rating"/>
    <tableColumn id="6" xr3:uid="{00000000-0010-0000-0600-000006000000}" name="Score"/>
    <tableColumn id="7" xr3:uid="{00000000-0010-0000-0600-000007000000}" name="Valid Through"/>
    <tableColumn id="8" xr3:uid="{00000000-0010-0000-0600-000008000000}" name="AASHE Profile URL"/>
    <tableColumn id="9" xr3:uid="{00000000-0010-0000-0600-000009000000}" name="Latest Report URL"/>
    <tableColumn id="10" xr3:uid="{00000000-0010-0000-0600-00000A000000}" name="Source URL"/>
    <tableColumn id="11" xr3:uid="{00000000-0010-0000-0600-00000B000000}" name="Scope Note"/>
  </tableColumns>
  <tableStyleInfo name="TableStyleMedium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UNPRMETable" displayName="UNPRMETable" ref="A4:Q64" totalsRowShown="0">
  <tableColumns count="17">
    <tableColumn id="1" xr3:uid="{00000000-0010-0000-0700-000001000000}" name="ID"/>
    <tableColumn id="2" xr3:uid="{00000000-0010-0000-0700-000002000000}" name="Candidate Institution"/>
    <tableColumn id="3" xr3:uid="{00000000-0010-0000-0700-000003000000}" name="Country"/>
    <tableColumn id="4" xr3:uid="{00000000-0010-0000-0700-000004000000}" name="PRME Match Status"/>
    <tableColumn id="5" xr3:uid="{00000000-0010-0000-0700-000005000000}" name="Matched Signatory"/>
    <tableColumn id="6" xr3:uid="{00000000-0010-0000-0700-000006000000}" name="PRME Status"/>
    <tableColumn id="7" xr3:uid="{00000000-0010-0000-0700-000007000000}" name="Joined Date"/>
    <tableColumn id="8" xr3:uid="{00000000-0010-0000-0700-000008000000}" name="Recent SIP Count (2022-2026)"/>
    <tableColumn id="9" xr3:uid="{00000000-0010-0000-0700-000009000000}" name="Latest SIP Report Year"/>
    <tableColumn id="10" xr3:uid="{00000000-0010-0000-0700-00000A000000}" name="Latest SIP Upload Date"/>
    <tableColumn id="11" xr3:uid="{00000000-0010-0000-0700-00000B000000}" name="Latest SIP Title"/>
    <tableColumn id="12" xr3:uid="{00000000-0010-0000-0700-00000C000000}" name="Latest SIP URL"/>
    <tableColumn id="13" xr3:uid="{00000000-0010-0000-0700-00000D000000}" name="Signatory URL"/>
    <tableColumn id="14" xr3:uid="{00000000-0010-0000-0700-00000E000000}" name="Source URL"/>
    <tableColumn id="15" xr3:uid="{00000000-0010-0000-0700-00000F000000}" name="Match Score"/>
    <tableColumn id="16" xr3:uid="{00000000-0010-0000-0700-000010000000}" name="Matched Alias"/>
    <tableColumn id="17" xr3:uid="{00000000-0010-0000-0700-000011000000}" name="Scope / Match Note"/>
  </tableColumns>
  <tableStyleInfo name="TableStyleMedium4"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OpenAlex20212025Table" displayName="OpenAlex20212025Table" ref="A4:U64" totalsRowShown="0">
  <tableColumns count="21">
    <tableColumn id="1" xr3:uid="{00000000-0010-0000-0800-000001000000}" name="ID"/>
    <tableColumn id="2" xr3:uid="{00000000-0010-0000-0800-000002000000}" name="Candidate Institution"/>
    <tableColumn id="3" xr3:uid="{00000000-0010-0000-0800-000003000000}" name="Country"/>
    <tableColumn id="4" xr3:uid="{00000000-0010-0000-0800-000004000000}" name="Collection Status"/>
    <tableColumn id="5" xr3:uid="{00000000-0010-0000-0800-000005000000}" name="Matched OpenAlex Institution"/>
    <tableColumn id="6" xr3:uid="{00000000-0010-0000-0800-000006000000}" name="Match Status"/>
    <tableColumn id="7" xr3:uid="{00000000-0010-0000-0800-000007000000}" name="Match Score"/>
    <tableColumn id="8" xr3:uid="{00000000-0010-0000-0800-000008000000}" name="Country Code"/>
    <tableColumn id="9" xr3:uid="{00000000-0010-0000-0800-000009000000}" name="Institution Type"/>
    <tableColumn id="10" xr3:uid="{00000000-0010-0000-0800-00000A000000}" name="ROR"/>
    <tableColumn id="11" xr3:uid="{00000000-0010-0000-0800-00000B000000}" name="OpenAlex ID"/>
    <tableColumn id="12" xr3:uid="{00000000-0010-0000-0800-00000C000000}" name="All-time Works"/>
    <tableColumn id="13" xr3:uid="{00000000-0010-0000-0800-00000D000000}" name="All-time Citations"/>
    <tableColumn id="14" xr3:uid="{00000000-0010-0000-0800-00000E000000}" name="All-time H-index"/>
    <tableColumn id="15" xr3:uid="{00000000-0010-0000-0800-00000F000000}" name="Two-year Mean Citedness"/>
    <tableColumn id="16" xr3:uid="{00000000-0010-0000-0800-000010000000}" name="Keyword Works 2021-2025"/>
    <tableColumn id="17" xr3:uid="{00000000-0010-0000-0800-000011000000}" name="Top-25 Citations"/>
    <tableColumn id="18" xr3:uid="{00000000-0010-0000-0800-000012000000}" name="Top Matching Work"/>
    <tableColumn id="19" xr3:uid="{00000000-0010-0000-0800-000013000000}" name="Works Query URL"/>
    <tableColumn id="20" xr3:uid="{00000000-0010-0000-0800-000014000000}" name="Institution Search URL"/>
    <tableColumn id="21" xr3:uid="{00000000-0010-0000-0800-000015000000}" name="Collection Note / Error"/>
  </tableColumns>
  <tableStyleInfo name="TableStyleMedium4"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ProgramDetailsTable" displayName="ProgramDetailsTable" ref="A4:S64" totalsRowShown="0">
  <tableColumns count="19">
    <tableColumn id="1" xr3:uid="{00000000-0010-0000-0900-000001000000}" name="ID"/>
    <tableColumn id="2" xr3:uid="{00000000-0010-0000-0900-000002000000}" name="Institution"/>
    <tableColumn id="3" xr3:uid="{00000000-0010-0000-0900-000003000000}" name="Country"/>
    <tableColumn id="4" xr3:uid="{00000000-0010-0000-0900-000004000000}" name="Program"/>
    <tableColumn id="5" xr3:uid="{00000000-0010-0000-0900-000005000000}" name="Tuition / Fees"/>
    <tableColumn id="6" xr3:uid="{00000000-0010-0000-0900-000006000000}" name="Duration"/>
    <tableColumn id="7" xr3:uid="{00000000-0010-0000-0900-000007000000}" name="Study Mode / Delivery"/>
    <tableColumn id="8" xr3:uid="{00000000-0010-0000-0900-000008000000}" name="Entry Requirements"/>
    <tableColumn id="19" xr3:uid="{9FBF3313-C8D5-465E-B7C2-758DF2B785F4}" name="Language" dataDxfId="1"/>
    <tableColumn id="20" xr3:uid="{4D77EAC3-39D3-4079-AA46-F68861D08F87}" name="Language Requirement" dataDxfId="0"/>
    <tableColumn id="9" xr3:uid="{00000000-0010-0000-0900-000009000000}" name="Curriculum Focus"/>
    <tableColumn id="11" xr3:uid="{00000000-0010-0000-0900-00000B000000}" name="Capstone / Project"/>
    <tableColumn id="12" xr3:uid="{00000000-0010-0000-0900-00000C000000}" name="Thesis Option"/>
    <tableColumn id="14" xr3:uid="{00000000-0010-0000-0900-00000E000000}" name="Placement Outcomes (if available)"/>
    <tableColumn id="15" xr3:uid="{00000000-0010-0000-0900-00000F000000}" name="Official Program URL"/>
    <tableColumn id="16" xr3:uid="{00000000-0010-0000-0900-000010000000}" name="Additional Official Sources"/>
    <tableColumn id="17" xr3:uid="{00000000-0010-0000-0900-000011000000}" name="Extraction Status"/>
    <tableColumn id="18" xr3:uid="{00000000-0010-0000-0900-000012000000}" name="Review Notes"/>
    <tableColumn id="21" xr3:uid="{516F0856-1F5E-4167-8B21-B633E6F1731D}" name="Note"/>
  </tableColumns>
  <tableStyleInfo name="TableStyleMedium4"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VerificationIssuesTable" displayName="VerificationIssuesTable" ref="A4:G14" totalsRowShown="0">
  <tableColumns count="7">
    <tableColumn id="1" xr3:uid="{00000000-0010-0000-0A00-000001000000}" name="Priority"/>
    <tableColumn id="2" xr3:uid="{00000000-0010-0000-0A00-000002000000}" name="Category"/>
    <tableColumn id="3" xr3:uid="{00000000-0010-0000-0A00-000003000000}" name="Institution"/>
    <tableColumn id="4" xr3:uid="{00000000-0010-0000-0A00-000004000000}" name="Issue"/>
    <tableColumn id="5" xr3:uid="{00000000-0010-0000-0A00-000005000000}" name="Treatment in Workbook"/>
    <tableColumn id="6" xr3:uid="{00000000-0010-0000-0A00-000006000000}" name="Recommended Follow-up"/>
    <tableColumn id="7" xr3:uid="{00000000-0010-0000-0A00-000007000000}" name="Evidence URL"/>
  </tableColumns>
  <tableStyleInfo name="TableStyleMedium4"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URLAuditTable" displayName="URLAuditTable" ref="A4:I64" totalsRowShown="0">
  <tableColumns count="9">
    <tableColumn id="1" xr3:uid="{00000000-0010-0000-0B00-000001000000}" name="ID"/>
    <tableColumn id="2" xr3:uid="{00000000-0010-0000-0B00-000002000000}" name="Institution"/>
    <tableColumn id="3" xr3:uid="{00000000-0010-0000-0B00-000003000000}" name="Program"/>
    <tableColumn id="4" xr3:uid="{00000000-0010-0000-0B00-000004000000}" name="Audit Result"/>
    <tableColumn id="5" xr3:uid="{00000000-0010-0000-0B00-000005000000}" name="HTTP Status"/>
    <tableColumn id="6" xr3:uid="{00000000-0010-0000-0B00-000006000000}" name="Requested URL"/>
    <tableColumn id="7" xr3:uid="{00000000-0010-0000-0B00-000007000000}" name="Final URL"/>
    <tableColumn id="8" xr3:uid="{00000000-0010-0000-0B00-000008000000}" name="Page Title"/>
    <tableColumn id="9" xr3:uid="{00000000-0010-0000-0B00-000009000000}" name="Audit Note"/>
  </tableColumns>
  <tableStyleInfo name="TableStyleMedium4"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DataDictionaryTable" displayName="DataDictionaryTable" ref="A4:F25" totalsRowShown="0">
  <tableColumns count="6">
    <tableColumn id="1" xr3:uid="{00000000-0010-0000-0C00-000001000000}" name="Sheet"/>
    <tableColumn id="2" xr3:uid="{00000000-0010-0000-0C00-000002000000}" name="Field"/>
    <tableColumn id="3" xr3:uid="{00000000-0010-0000-0C00-000003000000}" name="Allowed Values / Example"/>
    <tableColumn id="4" xr3:uid="{00000000-0010-0000-0C00-000004000000}" name="Definition"/>
    <tableColumn id="5" xr3:uid="{00000000-0010-0000-0C00-000005000000}" name="Type"/>
    <tableColumn id="6" xr3:uid="{00000000-0010-0000-0C00-000006000000}" name="Analysis Note"/>
  </tableColumns>
  <tableStyleInfo name="TableStyleMedium4"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3" Type="http://schemas.openxmlformats.org/officeDocument/2006/relationships/hyperlink" Target="https://climatesolutions.berkeley.edu/" TargetMode="External"/><Relationship Id="rId18" Type="http://schemas.openxmlformats.org/officeDocument/2006/relationships/hyperlink" Target="https://www.kcl.ac.uk/study/postgraduate-taught/courses/environment-politics-and-development-msc" TargetMode="External"/><Relationship Id="rId26" Type="http://schemas.openxmlformats.org/officeDocument/2006/relationships/hyperlink" Target="https://www.uwo.ca/mes/" TargetMode="External"/><Relationship Id="rId39" Type="http://schemas.openxmlformats.org/officeDocument/2006/relationships/hyperlink" Target="https://www.institut-agro.fr/fr/nos-formations" TargetMode="External"/><Relationship Id="rId21" Type="http://schemas.openxmlformats.org/officeDocument/2006/relationships/hyperlink" Target="https://www.ems.psu.edu/academics/find-program-study/renewable-energy-and-sustainability-systems-mps" TargetMode="External"/><Relationship Id="rId34" Type="http://schemas.openxmlformats.org/officeDocument/2006/relationships/hyperlink" Target="https://www.queensu.ca/ensc/graduate/programs-overview" TargetMode="External"/><Relationship Id="rId42" Type="http://schemas.openxmlformats.org/officeDocument/2006/relationships/hyperlink" Target="https://s2kesling.fkm.unair.ac.id/" TargetMode="External"/><Relationship Id="rId47" Type="http://schemas.openxmlformats.org/officeDocument/2006/relationships/hyperlink" Target="https://www.eds.grad.chula.ac.th/academics/degree-program/" TargetMode="External"/><Relationship Id="rId50" Type="http://schemas.openxmlformats.org/officeDocument/2006/relationships/hyperlink" Target="https://www.lpu.in/international/programmes/msc-environmental-sciences" TargetMode="External"/><Relationship Id="rId55" Type="http://schemas.openxmlformats.org/officeDocument/2006/relationships/hyperlink" Target="https://handbook.cqu.edu.au/he/courses/view/CM82/HT1/2025" TargetMode="External"/><Relationship Id="rId7" Type="http://schemas.openxmlformats.org/officeDocument/2006/relationships/hyperlink" Target="https://www.imperial.ac.uk/business-school/masters/climate-change-management-finance/" TargetMode="External"/><Relationship Id="rId2" Type="http://schemas.openxmlformats.org/officeDocument/2006/relationships/hyperlink" Target="https://www.environment.utoronto.ca/graduate/mes" TargetMode="External"/><Relationship Id="rId16" Type="http://schemas.openxmlformats.org/officeDocument/2006/relationships/hyperlink" Target="https://www.sydney.edu.au/courses/courses/pc/master-of-sustainability.html" TargetMode="External"/><Relationship Id="rId29" Type="http://schemas.openxmlformats.org/officeDocument/2006/relationships/hyperlink" Target="https://www.tcd.ie/courses/postgraduate/courses/environmental-sciences-msc--pgraddip/" TargetMode="External"/><Relationship Id="rId11" Type="http://schemas.openxmlformats.org/officeDocument/2006/relationships/hyperlink" Target="https://ethz.ch/en/studies/master/degree-programmes/system-oriented-natural-sciences/environmental-sciences.html" TargetMode="External"/><Relationship Id="rId24" Type="http://schemas.openxmlformats.org/officeDocument/2006/relationships/hyperlink" Target="https://www.durham.ac.uk/departments/academic/geography/postgraduate-study/taught-masters/" TargetMode="External"/><Relationship Id="rId32" Type="http://schemas.openxmlformats.org/officeDocument/2006/relationships/hyperlink" Target="https://www.griffith.edu.au/study/degrees/master-of-global-development-5724" TargetMode="External"/><Relationship Id="rId37" Type="http://schemas.openxmlformats.org/officeDocument/2006/relationships/hyperlink" Target="https://www.ees.hokudai.ac.jp/?lang=en" TargetMode="External"/><Relationship Id="rId40" Type="http://schemas.openxmlformats.org/officeDocument/2006/relationships/hyperlink" Target="https://mpb.ntu.edu.tw/about/overview" TargetMode="External"/><Relationship Id="rId45" Type="http://schemas.openxmlformats.org/officeDocument/2006/relationships/hyperlink" Target="https://www.utas.edu.au/courses/cse/courses/p7b-master-of-environmental-geospatial-science" TargetMode="External"/><Relationship Id="rId53" Type="http://schemas.openxmlformats.org/officeDocument/2006/relationships/hyperlink" Target="https://eng.khu.ac.kr/eng_eng/user/contents/view.do?menuNo=17200012" TargetMode="External"/><Relationship Id="rId58" Type="http://schemas.openxmlformats.org/officeDocument/2006/relationships/hyperlink" Target="https://sil.ui.ac.id/en/master-of-environmental-science/" TargetMode="External"/><Relationship Id="rId5" Type="http://schemas.openxmlformats.org/officeDocument/2006/relationships/hyperlink" Target="https://apscpp.ubc.ca/programs/mel/clean-energy-engineering" TargetMode="External"/><Relationship Id="rId61" Type="http://schemas.openxmlformats.org/officeDocument/2006/relationships/table" Target="../tables/table10.xml"/><Relationship Id="rId19" Type="http://schemas.openxmlformats.org/officeDocument/2006/relationships/hyperlink" Target="https://www.bristol.ac.uk/study/postgraduate/taught/msc-environmental-policy-and-management/" TargetMode="External"/><Relationship Id="rId14" Type="http://schemas.openxmlformats.org/officeDocument/2006/relationships/hyperlink" Target="https://bulletin.stanford.edu/programs/SUSTSCI-MS/general-aoYks" TargetMode="External"/><Relationship Id="rId22" Type="http://schemas.openxmlformats.org/officeDocument/2006/relationships/hyperlink" Target="https://www.kuleuven.be/programmes/master-sustainable-development" TargetMode="External"/><Relationship Id="rId27" Type="http://schemas.openxmlformats.org/officeDocument/2006/relationships/hyperlink" Target="https://www.gla.ac.uk/postgraduate/taught/environmentsustainabledevelopment/" TargetMode="External"/><Relationship Id="rId30" Type="http://schemas.openxmlformats.org/officeDocument/2006/relationships/hyperlink" Target="https://www.lps.upenn.edu/degree-programs/mes" TargetMode="External"/><Relationship Id="rId35" Type="http://schemas.openxmlformats.org/officeDocument/2006/relationships/hyperlink" Target="https://cgss.usm.my/programmes/postgraduate/coursework/masters-in-sustainable-development-practice-msdp" TargetMode="External"/><Relationship Id="rId43" Type="http://schemas.openxmlformats.org/officeDocument/2006/relationships/hyperlink" Target="https://apps.ualberta.ca/catalogue/course/sust" TargetMode="External"/><Relationship Id="rId48" Type="http://schemas.openxmlformats.org/officeDocument/2006/relationships/hyperlink" Target="https://en.knu.ac.kr/admission/foreign02_inc.htm" TargetMode="External"/><Relationship Id="rId56" Type="http://schemas.openxmlformats.org/officeDocument/2006/relationships/hyperlink" Target="https://www.newcastle.edu.au/degrees/master-environmental-management-sustainability" TargetMode="External"/><Relationship Id="rId8" Type="http://schemas.openxmlformats.org/officeDocument/2006/relationships/hyperlink" Target="https://www.unsw.edu.au/study/postgraduate/master-of-environmental-management" TargetMode="External"/><Relationship Id="rId51" Type="http://schemas.openxmlformats.org/officeDocument/2006/relationships/hyperlink" Target="https://sts.um.edu.my/master-of-sustainability-science.html" TargetMode="External"/><Relationship Id="rId3" Type="http://schemas.openxmlformats.org/officeDocument/2006/relationships/hyperlink" Target="https://www.ucl.ac.uk/prospective-students/graduate/taught-degrees/sustainable-resources-economics-policy-and-transitions-msc" TargetMode="External"/><Relationship Id="rId12" Type="http://schemas.openxmlformats.org/officeDocument/2006/relationships/hyperlink" Target="https://study.unimelb.edu.au/find/courses/graduate/master-of-environment/" TargetMode="External"/><Relationship Id="rId17" Type="http://schemas.openxmlformats.org/officeDocument/2006/relationships/hyperlink" Target="https://programsandcourses.anu.edu.au/program/MCLCH" TargetMode="External"/><Relationship Id="rId25" Type="http://schemas.openxmlformats.org/officeDocument/2006/relationships/hyperlink" Target="https://courses.leeds.ac.uk/j985/sustainability-environment-and-development-msc" TargetMode="External"/><Relationship Id="rId33" Type="http://schemas.openxmlformats.org/officeDocument/2006/relationships/hyperlink" Target="https://www.westernsydney.edu.au/future/study/courses/postgraduate/master-of-sustainable-tourism-hospitality-and-event-management" TargetMode="External"/><Relationship Id="rId38" Type="http://schemas.openxmlformats.org/officeDocument/2006/relationships/hyperlink" Target="https://www.ukm.my/lestari/program-siswazah/" TargetMode="External"/><Relationship Id="rId46" Type="http://schemas.openxmlformats.org/officeDocument/2006/relationships/hyperlink" Target="https://continuing.mcmaster.ca/programs/business/sustainability/" TargetMode="External"/><Relationship Id="rId59" Type="http://schemas.openxmlformats.org/officeDocument/2006/relationships/hyperlink" Target="https://www.najah.edu/en/academic/postgraduate-programs/program/environmental-sciences/info-card/" TargetMode="External"/><Relationship Id="rId20" Type="http://schemas.openxmlformats.org/officeDocument/2006/relationships/hyperlink" Target="https://www.sps.nyu.edu/homepage/academics/masters-degrees/ms-in-environmental-policy-and-sustainability-management.html" TargetMode="External"/><Relationship Id="rId41" Type="http://schemas.openxmlformats.org/officeDocument/2006/relationships/hyperlink" Target="https://gsles.korea.edu/gsles_en/master/subject07.do" TargetMode="External"/><Relationship Id="rId54" Type="http://schemas.openxmlformats.org/officeDocument/2006/relationships/hyperlink" Target="https://www.uvic.ca/socialsciences/environmental/programs/graduate/index.php" TargetMode="External"/><Relationship Id="rId1" Type="http://schemas.openxmlformats.org/officeDocument/2006/relationships/hyperlink" Target="https://www.lunduniversity.lu.se/study/environmental-studies-and-sustainability-science-master-of-science-programme-SAESS" TargetMode="External"/><Relationship Id="rId6" Type="http://schemas.openxmlformats.org/officeDocument/2006/relationships/hyperlink" Target="https://www.lse.ac.uk/study-at-lse/graduate/msc-environmental-policy-and-regulation" TargetMode="External"/><Relationship Id="rId15" Type="http://schemas.openxmlformats.org/officeDocument/2006/relationships/hyperlink" Target="https://www.smithschool.ox.ac.uk/course/msc-sustainability-enterprise-and-environment" TargetMode="External"/><Relationship Id="rId23" Type="http://schemas.openxmlformats.org/officeDocument/2006/relationships/hyperlink" Target="https://www.helsinki.fi/en/degree-programmes/environmental-change-and-global-sustainability-masters-programme" TargetMode="External"/><Relationship Id="rId28" Type="http://schemas.openxmlformats.org/officeDocument/2006/relationships/hyperlink" Target="https://www.auckland.ac.nz/en/study/study-options/find-a-study-option/master-of-environmental-science-menvsci.html" TargetMode="External"/><Relationship Id="rId36" Type="http://schemas.openxmlformats.org/officeDocument/2006/relationships/hyperlink" Target="https://hygce.hanyang.ac.kr/-eng-1" TargetMode="External"/><Relationship Id="rId49" Type="http://schemas.openxmlformats.org/officeDocument/2006/relationships/hyperlink" Target="https://cee.hkust.edu.hk/msc-environmental-engineering-and-management" TargetMode="External"/><Relationship Id="rId57" Type="http://schemas.openxmlformats.org/officeDocument/2006/relationships/hyperlink" Target="https://www.northumbria.ac.uk/study-at-northumbria/courses/disaster-management-and-sustainable-development-with-advanced-practice-msc-ft-dtsdds6/" TargetMode="External"/><Relationship Id="rId10" Type="http://schemas.openxmlformats.org/officeDocument/2006/relationships/hyperlink" Target="https://www.manchester.ac.uk/study/masters/courses/list/06967/msc-environmental-governance/" TargetMode="External"/><Relationship Id="rId31" Type="http://schemas.openxmlformats.org/officeDocument/2006/relationships/hyperlink" Target="https://www.exeter.ac.uk/masters-degrees/msc-global-sustainability-solutions/" TargetMode="External"/><Relationship Id="rId44" Type="http://schemas.openxmlformats.org/officeDocument/2006/relationships/hyperlink" Target="https://www.pusan.ac.kr/eng/CMS/OrganizationMgr/SpecialGraduateInfo.do?gc_code=280000&amp;gc_parent_code=NONE-009&amp;mCode=MN021" TargetMode="External"/><Relationship Id="rId52" Type="http://schemas.openxmlformats.org/officeDocument/2006/relationships/hyperlink" Target="https://www.en.aau.dk/education/master/sustainable-cities" TargetMode="External"/><Relationship Id="rId60" Type="http://schemas.openxmlformats.org/officeDocument/2006/relationships/hyperlink" Target="https://degrees.apps.asu.edu/masters-phd/major/ASU00/SUSUSOMSUS/sustainability-solutions-msus?init=false&amp;nopassive=true" TargetMode="External"/><Relationship Id="rId4" Type="http://schemas.openxmlformats.org/officeDocument/2006/relationships/hyperlink" Target="https://www.business-school.ed.ac.uk/msc/global-strategy-sustainability" TargetMode="External"/><Relationship Id="rId9" Type="http://schemas.openxmlformats.org/officeDocument/2006/relationships/hyperlink" Target="https://www.mcgill.ca/gradapplicants/program/geography-ms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1"/>
  <sheetViews>
    <sheetView showGridLines="0" topLeftCell="A25" workbookViewId="0">
      <selection sqref="A1:D1"/>
    </sheetView>
  </sheetViews>
  <sheetFormatPr defaultRowHeight="13.5"/>
  <cols>
    <col min="1" max="1" width="31" customWidth="1"/>
    <col min="2" max="2" width="20" customWidth="1"/>
    <col min="3" max="3" width="55" customWidth="1"/>
    <col min="4" max="4" width="40" customWidth="1"/>
  </cols>
  <sheetData>
    <row r="1" spans="1:4" ht="28.05" customHeight="1">
      <c r="A1" s="36" t="s">
        <v>0</v>
      </c>
      <c r="B1" s="36"/>
      <c r="C1" s="36"/>
      <c r="D1" s="36"/>
    </row>
    <row r="2" spans="1:4" ht="34.049999999999997" customHeight="1">
      <c r="A2" s="37" t="s">
        <v>1</v>
      </c>
      <c r="B2" s="37"/>
      <c r="C2" s="37"/>
      <c r="D2" s="37"/>
    </row>
    <row r="4" spans="1:4">
      <c r="A4" s="1" t="s">
        <v>2</v>
      </c>
      <c r="B4" s="1" t="s">
        <v>3</v>
      </c>
      <c r="C4" s="1" t="s">
        <v>4</v>
      </c>
      <c r="D4" s="1" t="s">
        <v>5</v>
      </c>
    </row>
    <row r="5" spans="1:4" ht="28.05" customHeight="1">
      <c r="A5" s="2" t="s">
        <v>6</v>
      </c>
      <c r="B5" s="7">
        <f>COUNTA('Candidate Universities'!A5:A64)</f>
        <v>60</v>
      </c>
      <c r="C5" s="2" t="s">
        <v>7</v>
      </c>
      <c r="D5" s="2" t="s">
        <v>8</v>
      </c>
    </row>
    <row r="6" spans="1:4" ht="28.05" customHeight="1">
      <c r="A6" s="3" t="s">
        <v>9</v>
      </c>
      <c r="B6" s="8">
        <f>COUNTIF('Selection Audit'!A5:A64,"QS")</f>
        <v>30</v>
      </c>
      <c r="C6" s="3" t="s">
        <v>10</v>
      </c>
      <c r="D6" s="3" t="s">
        <v>11</v>
      </c>
    </row>
    <row r="7" spans="1:4" ht="28.05" customHeight="1">
      <c r="A7" s="3" t="s">
        <v>12</v>
      </c>
      <c r="B7" s="8">
        <f>COUNTIF('Selection Audit'!A5:A64,"THE")</f>
        <v>30</v>
      </c>
      <c r="C7" s="3" t="s">
        <v>13</v>
      </c>
      <c r="D7" s="3" t="s">
        <v>14</v>
      </c>
    </row>
    <row r="8" spans="1:4" ht="28.05" customHeight="1">
      <c r="A8" s="3" t="s">
        <v>15</v>
      </c>
      <c r="B8" s="8">
        <f>COUNTIF('Candidate Universities'!D5:D64,"Both")</f>
        <v>5</v>
      </c>
      <c r="C8" s="3" t="s">
        <v>16</v>
      </c>
      <c r="D8" s="3" t="s">
        <v>17</v>
      </c>
    </row>
    <row r="9" spans="1:4" ht="28.05" customHeight="1">
      <c r="A9" s="3" t="s">
        <v>18</v>
      </c>
      <c r="B9" s="8">
        <f>COUNTIF('Candidate Universities'!D5:D64,"QS Sustainability")</f>
        <v>26</v>
      </c>
      <c r="C9" s="3" t="s">
        <v>19</v>
      </c>
      <c r="D9" s="3" t="s">
        <v>20</v>
      </c>
    </row>
    <row r="10" spans="1:4" ht="28.05" customHeight="1">
      <c r="A10" s="3" t="s">
        <v>21</v>
      </c>
      <c r="B10" s="8">
        <f>COUNTIF('Candidate Universities'!D5:D64,"THE Impact")</f>
        <v>29</v>
      </c>
      <c r="C10" s="3" t="s">
        <v>22</v>
      </c>
      <c r="D10" s="3" t="s">
        <v>20</v>
      </c>
    </row>
    <row r="11" spans="1:4" ht="28.05" customHeight="1">
      <c r="A11" s="3" t="s">
        <v>23</v>
      </c>
      <c r="B11" s="8">
        <f>COUNTIF('Program Verification'!G5:G64,"Confirmed")</f>
        <v>59</v>
      </c>
      <c r="C11" s="3" t="s">
        <v>24</v>
      </c>
      <c r="D11" s="3" t="s">
        <v>25</v>
      </c>
    </row>
    <row r="12" spans="1:4" ht="28.05" customHeight="1">
      <c r="A12" s="3" t="s">
        <v>26</v>
      </c>
      <c r="B12" s="8">
        <f>COUNTIF('Program Verification'!G5:G64,"Manual review required")</f>
        <v>1</v>
      </c>
      <c r="C12" s="3" t="s">
        <v>27</v>
      </c>
      <c r="D12" s="3" t="s">
        <v>28</v>
      </c>
    </row>
    <row r="13" spans="1:4" ht="28.05" customHeight="1">
      <c r="A13" s="3" t="s">
        <v>29</v>
      </c>
      <c r="B13" s="8">
        <f>COUNTA('AASHE STARS'!E5:E64)</f>
        <v>11</v>
      </c>
      <c r="C13" s="3" t="s">
        <v>30</v>
      </c>
      <c r="D13" s="3" t="s">
        <v>31</v>
      </c>
    </row>
    <row r="14" spans="1:4" ht="28.05" customHeight="1">
      <c r="A14" s="3" t="s">
        <v>32</v>
      </c>
      <c r="B14" s="8">
        <f>31</f>
        <v>31</v>
      </c>
      <c r="C14" s="3" t="s">
        <v>33</v>
      </c>
      <c r="D14" s="3" t="s">
        <v>34</v>
      </c>
    </row>
    <row r="15" spans="1:4" ht="28.05" customHeight="1">
      <c r="A15" s="3" t="s">
        <v>35</v>
      </c>
      <c r="B15" s="8">
        <f>28</f>
        <v>28</v>
      </c>
      <c r="C15" s="3" t="s">
        <v>36</v>
      </c>
      <c r="D15" s="3" t="s">
        <v>37</v>
      </c>
    </row>
    <row r="16" spans="1:4" ht="28.05" customHeight="1">
      <c r="A16" s="3" t="s">
        <v>38</v>
      </c>
      <c r="B16" s="8">
        <f>52</f>
        <v>52</v>
      </c>
      <c r="C16" s="3" t="s">
        <v>39</v>
      </c>
      <c r="D16" s="3" t="s">
        <v>40</v>
      </c>
    </row>
    <row r="17" spans="1:4" ht="28.05" customHeight="1">
      <c r="A17" s="3" t="s">
        <v>41</v>
      </c>
      <c r="B17" s="8">
        <f>28</f>
        <v>28</v>
      </c>
      <c r="C17" s="3" t="s">
        <v>42</v>
      </c>
      <c r="D17" s="3" t="s">
        <v>43</v>
      </c>
    </row>
    <row r="18" spans="1:4" ht="28.05" customHeight="1">
      <c r="A18" s="3" t="s">
        <v>44</v>
      </c>
      <c r="B18" s="8">
        <f>COUNTA('Program Details'!A5:A64)</f>
        <v>60</v>
      </c>
      <c r="C18" s="3" t="s">
        <v>45</v>
      </c>
      <c r="D18" s="3" t="s">
        <v>46</v>
      </c>
    </row>
    <row r="19" spans="1:4" ht="28.05" customHeight="1">
      <c r="A19" s="4" t="s">
        <v>47</v>
      </c>
      <c r="B19" s="9">
        <f>COUNTIF('URL Audit'!D5:D64,"OK")</f>
        <v>53</v>
      </c>
      <c r="C19" s="4" t="s">
        <v>48</v>
      </c>
      <c r="D19" s="4" t="s">
        <v>49</v>
      </c>
    </row>
    <row r="22" spans="1:4">
      <c r="A22" s="1" t="s">
        <v>50</v>
      </c>
      <c r="B22" s="1" t="s">
        <v>51</v>
      </c>
      <c r="C22" s="1" t="s">
        <v>52</v>
      </c>
      <c r="D22" s="1" t="s">
        <v>53</v>
      </c>
    </row>
    <row r="23" spans="1:4" ht="28.05" customHeight="1">
      <c r="A23" s="2" t="s">
        <v>54</v>
      </c>
      <c r="B23" s="2" t="s">
        <v>55</v>
      </c>
      <c r="C23" s="2" t="s">
        <v>56</v>
      </c>
      <c r="D23" s="10" t="s">
        <v>57</v>
      </c>
    </row>
    <row r="24" spans="1:4" ht="28.05" customHeight="1">
      <c r="A24" s="3" t="s">
        <v>58</v>
      </c>
      <c r="B24" s="3" t="s">
        <v>59</v>
      </c>
      <c r="C24" s="3" t="s">
        <v>60</v>
      </c>
      <c r="D24" s="11" t="s">
        <v>57</v>
      </c>
    </row>
    <row r="25" spans="1:4" ht="28.05" customHeight="1">
      <c r="A25" s="3" t="s">
        <v>61</v>
      </c>
      <c r="B25" s="3" t="s">
        <v>62</v>
      </c>
      <c r="C25" s="3" t="s">
        <v>63</v>
      </c>
      <c r="D25" s="11" t="s">
        <v>57</v>
      </c>
    </row>
    <row r="26" spans="1:4" ht="28.05" customHeight="1">
      <c r="A26" s="3" t="s">
        <v>64</v>
      </c>
      <c r="B26" s="3" t="s">
        <v>65</v>
      </c>
      <c r="C26" s="3" t="s">
        <v>66</v>
      </c>
      <c r="D26" s="11" t="s">
        <v>67</v>
      </c>
    </row>
    <row r="27" spans="1:4" ht="28.05" customHeight="1">
      <c r="A27" s="3" t="s">
        <v>68</v>
      </c>
      <c r="B27" s="3" t="s">
        <v>69</v>
      </c>
      <c r="C27" s="3" t="s">
        <v>70</v>
      </c>
      <c r="D27" s="11" t="s">
        <v>67</v>
      </c>
    </row>
    <row r="28" spans="1:4" ht="28.05" customHeight="1">
      <c r="A28" s="3" t="s">
        <v>71</v>
      </c>
      <c r="B28" s="3" t="s">
        <v>72</v>
      </c>
      <c r="C28" s="3" t="s">
        <v>73</v>
      </c>
      <c r="D28" s="11" t="s">
        <v>57</v>
      </c>
    </row>
    <row r="29" spans="1:4" ht="28.05" customHeight="1">
      <c r="A29" s="3" t="s">
        <v>74</v>
      </c>
      <c r="B29" s="3" t="s">
        <v>75</v>
      </c>
      <c r="C29" s="3" t="s">
        <v>76</v>
      </c>
      <c r="D29" s="11" t="s">
        <v>57</v>
      </c>
    </row>
    <row r="30" spans="1:4" ht="28.05" customHeight="1">
      <c r="A30" s="3" t="s">
        <v>77</v>
      </c>
      <c r="B30" s="3" t="s">
        <v>78</v>
      </c>
      <c r="C30" s="3" t="s">
        <v>79</v>
      </c>
      <c r="D30" s="11" t="s">
        <v>57</v>
      </c>
    </row>
    <row r="31" spans="1:4" ht="28.05" customHeight="1">
      <c r="A31" s="4" t="s">
        <v>80</v>
      </c>
      <c r="B31" s="4" t="s">
        <v>81</v>
      </c>
      <c r="C31" s="4" t="s">
        <v>82</v>
      </c>
      <c r="D31" s="12" t="s">
        <v>57</v>
      </c>
    </row>
  </sheetData>
  <mergeCells count="2">
    <mergeCell ref="A1:D1"/>
    <mergeCell ref="A2:D2"/>
  </mergeCells>
  <phoneticPr fontId="8"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64"/>
  <sheetViews>
    <sheetView showGridLines="0" workbookViewId="0">
      <selection sqref="A1:K1"/>
    </sheetView>
  </sheetViews>
  <sheetFormatPr defaultRowHeight="13.5"/>
  <cols>
    <col min="1" max="1" width="16" customWidth="1"/>
    <col min="2" max="2" width="15" customWidth="1"/>
    <col min="3" max="3" width="8" customWidth="1"/>
    <col min="4" max="4" width="32" customWidth="1"/>
    <col min="5" max="5" width="18" customWidth="1"/>
    <col min="6" max="7" width="11" customWidth="1"/>
    <col min="8" max="8" width="42" customWidth="1"/>
    <col min="9" max="9" width="55" customWidth="1"/>
    <col min="10" max="11" width="44" customWidth="1"/>
  </cols>
  <sheetData>
    <row r="1" spans="1:11" ht="28.05" customHeight="1">
      <c r="A1" s="36" t="s">
        <v>83</v>
      </c>
      <c r="B1" s="36"/>
      <c r="C1" s="36"/>
      <c r="D1" s="36"/>
      <c r="E1" s="36"/>
      <c r="F1" s="36"/>
      <c r="G1" s="36"/>
      <c r="H1" s="36"/>
      <c r="I1" s="36"/>
      <c r="J1" s="36"/>
      <c r="K1" s="36"/>
    </row>
    <row r="2" spans="1:11" ht="34.049999999999997" customHeight="1">
      <c r="A2" s="37" t="s">
        <v>84</v>
      </c>
      <c r="B2" s="37"/>
      <c r="C2" s="37"/>
      <c r="D2" s="37"/>
      <c r="E2" s="37"/>
      <c r="F2" s="37"/>
      <c r="G2" s="37"/>
      <c r="H2" s="37"/>
      <c r="I2" s="37"/>
      <c r="J2" s="37"/>
      <c r="K2" s="37"/>
    </row>
    <row r="4" spans="1:11" ht="38" customHeight="1">
      <c r="A4" s="13" t="s">
        <v>85</v>
      </c>
      <c r="B4" s="14" t="s">
        <v>86</v>
      </c>
      <c r="C4" s="14" t="s">
        <v>87</v>
      </c>
      <c r="D4" s="14" t="s">
        <v>88</v>
      </c>
      <c r="E4" s="14" t="s">
        <v>89</v>
      </c>
      <c r="F4" s="14" t="s">
        <v>90</v>
      </c>
      <c r="G4" s="14" t="s">
        <v>91</v>
      </c>
      <c r="H4" s="14" t="s">
        <v>92</v>
      </c>
      <c r="I4" s="14" t="s">
        <v>93</v>
      </c>
      <c r="J4" s="14" t="s">
        <v>94</v>
      </c>
      <c r="K4" s="15" t="s">
        <v>95</v>
      </c>
    </row>
    <row r="5" spans="1:11" ht="28.05" customHeight="1">
      <c r="A5" s="5" t="s">
        <v>96</v>
      </c>
      <c r="B5" s="16">
        <v>1</v>
      </c>
      <c r="C5" s="22">
        <v>1</v>
      </c>
      <c r="D5" s="16" t="s">
        <v>97</v>
      </c>
      <c r="E5" s="16" t="s">
        <v>98</v>
      </c>
      <c r="F5" s="16" t="s">
        <v>99</v>
      </c>
      <c r="G5" s="16"/>
      <c r="H5" s="16" t="s">
        <v>100</v>
      </c>
      <c r="I5" s="16" t="s">
        <v>101</v>
      </c>
      <c r="J5" s="18" t="s">
        <v>102</v>
      </c>
      <c r="K5" s="18"/>
    </row>
    <row r="6" spans="1:11" ht="28.05" customHeight="1">
      <c r="A6" s="6" t="s">
        <v>96</v>
      </c>
      <c r="B6" s="3">
        <v>2</v>
      </c>
      <c r="C6" s="23">
        <v>2</v>
      </c>
      <c r="D6" s="3" t="s">
        <v>103</v>
      </c>
      <c r="E6" s="3" t="s">
        <v>104</v>
      </c>
      <c r="F6" s="3" t="s">
        <v>105</v>
      </c>
      <c r="G6" s="3"/>
      <c r="H6" s="3" t="s">
        <v>106</v>
      </c>
      <c r="I6" s="3" t="s">
        <v>101</v>
      </c>
      <c r="J6" s="19" t="s">
        <v>107</v>
      </c>
      <c r="K6" s="19"/>
    </row>
    <row r="7" spans="1:11" ht="28.05" customHeight="1">
      <c r="A7" s="6" t="s">
        <v>96</v>
      </c>
      <c r="B7" s="17">
        <v>3</v>
      </c>
      <c r="C7" s="24">
        <v>3</v>
      </c>
      <c r="D7" s="17" t="s">
        <v>108</v>
      </c>
      <c r="E7" s="17" t="s">
        <v>109</v>
      </c>
      <c r="F7" s="17" t="s">
        <v>110</v>
      </c>
      <c r="G7" s="17"/>
      <c r="H7" s="17" t="s">
        <v>111</v>
      </c>
      <c r="I7" s="17" t="s">
        <v>101</v>
      </c>
      <c r="J7" s="20" t="s">
        <v>112</v>
      </c>
      <c r="K7" s="20"/>
    </row>
    <row r="8" spans="1:11" ht="28.05" customHeight="1">
      <c r="A8" s="6" t="s">
        <v>96</v>
      </c>
      <c r="B8" s="3">
        <v>4</v>
      </c>
      <c r="C8" s="23">
        <v>4</v>
      </c>
      <c r="D8" s="3" t="s">
        <v>113</v>
      </c>
      <c r="E8" s="3" t="s">
        <v>109</v>
      </c>
      <c r="F8" s="3" t="s">
        <v>114</v>
      </c>
      <c r="G8" s="3"/>
      <c r="H8" s="3" t="s">
        <v>115</v>
      </c>
      <c r="I8" s="3" t="s">
        <v>101</v>
      </c>
      <c r="J8" s="19" t="s">
        <v>116</v>
      </c>
      <c r="K8" s="19"/>
    </row>
    <row r="9" spans="1:11" ht="28.05" customHeight="1">
      <c r="A9" s="6" t="s">
        <v>96</v>
      </c>
      <c r="B9" s="17">
        <v>5</v>
      </c>
      <c r="C9" s="24">
        <v>5</v>
      </c>
      <c r="D9" s="17" t="s">
        <v>117</v>
      </c>
      <c r="E9" s="17" t="s">
        <v>104</v>
      </c>
      <c r="F9" s="17" t="s">
        <v>118</v>
      </c>
      <c r="G9" s="17"/>
      <c r="H9" s="17" t="s">
        <v>119</v>
      </c>
      <c r="I9" s="17" t="s">
        <v>101</v>
      </c>
      <c r="J9" s="20" t="s">
        <v>120</v>
      </c>
      <c r="K9" s="20"/>
    </row>
    <row r="10" spans="1:11" ht="28.05" customHeight="1">
      <c r="A10" s="6" t="s">
        <v>96</v>
      </c>
      <c r="B10" s="3">
        <v>6</v>
      </c>
      <c r="C10" s="23">
        <v>6</v>
      </c>
      <c r="D10" s="3" t="s">
        <v>121</v>
      </c>
      <c r="E10" s="3" t="s">
        <v>109</v>
      </c>
      <c r="F10" s="3" t="s">
        <v>122</v>
      </c>
      <c r="G10" s="3"/>
      <c r="H10" s="3" t="s">
        <v>123</v>
      </c>
      <c r="I10" s="3" t="s">
        <v>101</v>
      </c>
      <c r="J10" s="19" t="s">
        <v>124</v>
      </c>
      <c r="K10" s="19"/>
    </row>
    <row r="11" spans="1:11" ht="28.05" customHeight="1">
      <c r="A11" s="6" t="s">
        <v>96</v>
      </c>
      <c r="B11" s="17">
        <v>7</v>
      </c>
      <c r="C11" s="24">
        <v>7</v>
      </c>
      <c r="D11" s="17" t="s">
        <v>125</v>
      </c>
      <c r="E11" s="17" t="s">
        <v>109</v>
      </c>
      <c r="F11" s="17">
        <v>7</v>
      </c>
      <c r="G11" s="17"/>
      <c r="H11" s="17" t="s">
        <v>126</v>
      </c>
      <c r="I11" s="17" t="s">
        <v>101</v>
      </c>
      <c r="J11" s="20" t="s">
        <v>127</v>
      </c>
      <c r="K11" s="20"/>
    </row>
    <row r="12" spans="1:11" ht="28.05" customHeight="1">
      <c r="A12" s="6" t="s">
        <v>96</v>
      </c>
      <c r="B12" s="3">
        <v>8</v>
      </c>
      <c r="C12" s="23">
        <v>8</v>
      </c>
      <c r="D12" s="3" t="s">
        <v>128</v>
      </c>
      <c r="E12" s="3" t="s">
        <v>129</v>
      </c>
      <c r="F12" s="3">
        <v>7</v>
      </c>
      <c r="G12" s="3">
        <v>41</v>
      </c>
      <c r="H12" s="3" t="s">
        <v>130</v>
      </c>
      <c r="I12" s="3" t="s">
        <v>101</v>
      </c>
      <c r="J12" s="19" t="s">
        <v>131</v>
      </c>
      <c r="K12" s="19" t="s">
        <v>132</v>
      </c>
    </row>
    <row r="13" spans="1:11" ht="28.05" customHeight="1">
      <c r="A13" s="6" t="s">
        <v>96</v>
      </c>
      <c r="B13" s="17">
        <v>9</v>
      </c>
      <c r="C13" s="24">
        <v>9</v>
      </c>
      <c r="D13" s="17" t="s">
        <v>133</v>
      </c>
      <c r="E13" s="17" t="s">
        <v>104</v>
      </c>
      <c r="F13" s="17" t="s">
        <v>134</v>
      </c>
      <c r="G13" s="17"/>
      <c r="H13" s="17" t="s">
        <v>135</v>
      </c>
      <c r="I13" s="17" t="s">
        <v>101</v>
      </c>
      <c r="J13" s="20" t="s">
        <v>136</v>
      </c>
      <c r="K13" s="20"/>
    </row>
    <row r="14" spans="1:11" ht="28.05" customHeight="1">
      <c r="A14" s="6" t="s">
        <v>96</v>
      </c>
      <c r="B14" s="3">
        <v>10</v>
      </c>
      <c r="C14" s="23">
        <v>10</v>
      </c>
      <c r="D14" s="3" t="s">
        <v>137</v>
      </c>
      <c r="E14" s="3" t="s">
        <v>109</v>
      </c>
      <c r="F14" s="3" t="s">
        <v>138</v>
      </c>
      <c r="G14" s="3" t="s">
        <v>99</v>
      </c>
      <c r="H14" s="3" t="s">
        <v>139</v>
      </c>
      <c r="I14" s="3" t="s">
        <v>101</v>
      </c>
      <c r="J14" s="19" t="s">
        <v>140</v>
      </c>
      <c r="K14" s="19" t="s">
        <v>141</v>
      </c>
    </row>
    <row r="15" spans="1:11" ht="28.05" customHeight="1">
      <c r="A15" s="6" t="s">
        <v>96</v>
      </c>
      <c r="B15" s="17">
        <v>11</v>
      </c>
      <c r="C15" s="24">
        <v>11</v>
      </c>
      <c r="D15" s="17" t="s">
        <v>142</v>
      </c>
      <c r="E15" s="17" t="s">
        <v>143</v>
      </c>
      <c r="F15" s="17">
        <v>11</v>
      </c>
      <c r="G15" s="17"/>
      <c r="H15" s="17" t="s">
        <v>144</v>
      </c>
      <c r="I15" s="17" t="s">
        <v>101</v>
      </c>
      <c r="J15" s="20" t="s">
        <v>145</v>
      </c>
      <c r="K15" s="20"/>
    </row>
    <row r="16" spans="1:11" ht="28.05" customHeight="1">
      <c r="A16" s="6" t="s">
        <v>96</v>
      </c>
      <c r="B16" s="3">
        <v>12</v>
      </c>
      <c r="C16" s="23">
        <v>12</v>
      </c>
      <c r="D16" s="3" t="s">
        <v>146</v>
      </c>
      <c r="E16" s="3" t="s">
        <v>129</v>
      </c>
      <c r="F16" s="3">
        <v>11</v>
      </c>
      <c r="G16" s="3"/>
      <c r="H16" s="3" t="s">
        <v>147</v>
      </c>
      <c r="I16" s="3" t="s">
        <v>101</v>
      </c>
      <c r="J16" s="19" t="s">
        <v>148</v>
      </c>
      <c r="K16" s="19"/>
    </row>
    <row r="17" spans="1:11" ht="28.05" customHeight="1">
      <c r="A17" s="6" t="s">
        <v>96</v>
      </c>
      <c r="B17" s="17">
        <v>13</v>
      </c>
      <c r="C17" s="24">
        <v>13</v>
      </c>
      <c r="D17" s="17" t="s">
        <v>149</v>
      </c>
      <c r="E17" s="17" t="s">
        <v>150</v>
      </c>
      <c r="F17" s="17">
        <v>11</v>
      </c>
      <c r="G17" s="17"/>
      <c r="H17" s="17" t="s">
        <v>151</v>
      </c>
      <c r="I17" s="17" t="s">
        <v>101</v>
      </c>
      <c r="J17" s="20" t="s">
        <v>152</v>
      </c>
      <c r="K17" s="20"/>
    </row>
    <row r="18" spans="1:11" ht="28.05" customHeight="1">
      <c r="A18" s="6" t="s">
        <v>96</v>
      </c>
      <c r="B18" s="3">
        <v>14</v>
      </c>
      <c r="C18" s="23">
        <v>14</v>
      </c>
      <c r="D18" s="3" t="s">
        <v>153</v>
      </c>
      <c r="E18" s="3" t="s">
        <v>150</v>
      </c>
      <c r="F18" s="3" t="s">
        <v>154</v>
      </c>
      <c r="G18" s="3"/>
      <c r="H18" s="3" t="s">
        <v>155</v>
      </c>
      <c r="I18" s="3" t="s">
        <v>101</v>
      </c>
      <c r="J18" s="19" t="s">
        <v>156</v>
      </c>
      <c r="K18" s="19"/>
    </row>
    <row r="19" spans="1:11" ht="28.05" customHeight="1">
      <c r="A19" s="6" t="s">
        <v>96</v>
      </c>
      <c r="B19" s="17">
        <v>15</v>
      </c>
      <c r="C19" s="24">
        <v>15</v>
      </c>
      <c r="D19" s="17" t="s">
        <v>157</v>
      </c>
      <c r="E19" s="17" t="s">
        <v>109</v>
      </c>
      <c r="F19" s="17" t="s">
        <v>158</v>
      </c>
      <c r="G19" s="17"/>
      <c r="H19" s="17" t="s">
        <v>159</v>
      </c>
      <c r="I19" s="17" t="s">
        <v>101</v>
      </c>
      <c r="J19" s="20" t="s">
        <v>160</v>
      </c>
      <c r="K19" s="20"/>
    </row>
    <row r="20" spans="1:11" ht="28.05" customHeight="1">
      <c r="A20" s="6" t="s">
        <v>96</v>
      </c>
      <c r="B20" s="3">
        <v>16</v>
      </c>
      <c r="C20" s="23">
        <v>16</v>
      </c>
      <c r="D20" s="3" t="s">
        <v>161</v>
      </c>
      <c r="E20" s="3" t="s">
        <v>129</v>
      </c>
      <c r="F20" s="3" t="s">
        <v>162</v>
      </c>
      <c r="G20" s="3"/>
      <c r="H20" s="3" t="s">
        <v>163</v>
      </c>
      <c r="I20" s="3" t="s">
        <v>101</v>
      </c>
      <c r="J20" s="19" t="s">
        <v>164</v>
      </c>
      <c r="K20" s="19"/>
    </row>
    <row r="21" spans="1:11" ht="28.05" customHeight="1">
      <c r="A21" s="6" t="s">
        <v>96</v>
      </c>
      <c r="B21" s="17">
        <v>17</v>
      </c>
      <c r="C21" s="24">
        <v>17</v>
      </c>
      <c r="D21" s="17" t="s">
        <v>165</v>
      </c>
      <c r="E21" s="17" t="s">
        <v>129</v>
      </c>
      <c r="F21" s="17">
        <v>16</v>
      </c>
      <c r="G21" s="17"/>
      <c r="H21" s="17" t="s">
        <v>166</v>
      </c>
      <c r="I21" s="17" t="s">
        <v>101</v>
      </c>
      <c r="J21" s="20" t="s">
        <v>167</v>
      </c>
      <c r="K21" s="20"/>
    </row>
    <row r="22" spans="1:11" ht="28.05" customHeight="1">
      <c r="A22" s="6" t="s">
        <v>96</v>
      </c>
      <c r="B22" s="3">
        <v>18</v>
      </c>
      <c r="C22" s="23">
        <v>18</v>
      </c>
      <c r="D22" s="3" t="s">
        <v>168</v>
      </c>
      <c r="E22" s="3" t="s">
        <v>109</v>
      </c>
      <c r="F22" s="3">
        <v>16</v>
      </c>
      <c r="G22" s="3"/>
      <c r="H22" s="3" t="s">
        <v>169</v>
      </c>
      <c r="I22" s="3" t="s">
        <v>101</v>
      </c>
      <c r="J22" s="19" t="s">
        <v>170</v>
      </c>
      <c r="K22" s="19"/>
    </row>
    <row r="23" spans="1:11" ht="28.05" customHeight="1">
      <c r="A23" s="6" t="s">
        <v>96</v>
      </c>
      <c r="B23" s="17">
        <v>19</v>
      </c>
      <c r="C23" s="24">
        <v>19</v>
      </c>
      <c r="D23" s="17" t="s">
        <v>171</v>
      </c>
      <c r="E23" s="17" t="s">
        <v>109</v>
      </c>
      <c r="F23" s="17" t="s">
        <v>172</v>
      </c>
      <c r="G23" s="17"/>
      <c r="H23" s="17" t="s">
        <v>173</v>
      </c>
      <c r="I23" s="17" t="s">
        <v>101</v>
      </c>
      <c r="J23" s="20" t="s">
        <v>174</v>
      </c>
      <c r="K23" s="20"/>
    </row>
    <row r="24" spans="1:11" ht="28.05" customHeight="1">
      <c r="A24" s="6" t="s">
        <v>96</v>
      </c>
      <c r="B24" s="3">
        <v>20</v>
      </c>
      <c r="C24" s="23">
        <v>20</v>
      </c>
      <c r="D24" s="3" t="s">
        <v>175</v>
      </c>
      <c r="E24" s="3" t="s">
        <v>150</v>
      </c>
      <c r="F24" s="3" t="s">
        <v>176</v>
      </c>
      <c r="G24" s="3"/>
      <c r="H24" s="3" t="s">
        <v>177</v>
      </c>
      <c r="I24" s="3" t="s">
        <v>101</v>
      </c>
      <c r="J24" s="19" t="s">
        <v>178</v>
      </c>
      <c r="K24" s="19"/>
    </row>
    <row r="25" spans="1:11" ht="28.05" customHeight="1">
      <c r="A25" s="6" t="s">
        <v>96</v>
      </c>
      <c r="B25" s="17">
        <v>21</v>
      </c>
      <c r="C25" s="24">
        <v>21</v>
      </c>
      <c r="D25" s="17" t="s">
        <v>179</v>
      </c>
      <c r="E25" s="17" t="s">
        <v>150</v>
      </c>
      <c r="F25" s="17" t="s">
        <v>180</v>
      </c>
      <c r="G25" s="17"/>
      <c r="H25" s="17" t="s">
        <v>181</v>
      </c>
      <c r="I25" s="17" t="s">
        <v>101</v>
      </c>
      <c r="J25" s="20" t="s">
        <v>182</v>
      </c>
      <c r="K25" s="20"/>
    </row>
    <row r="26" spans="1:11" ht="28.05" customHeight="1">
      <c r="A26" s="6" t="s">
        <v>96</v>
      </c>
      <c r="B26" s="3">
        <v>22</v>
      </c>
      <c r="C26" s="23">
        <v>22</v>
      </c>
      <c r="D26" s="3" t="s">
        <v>183</v>
      </c>
      <c r="E26" s="3" t="s">
        <v>184</v>
      </c>
      <c r="F26" s="3">
        <v>22</v>
      </c>
      <c r="G26" s="3"/>
      <c r="H26" s="3" t="s">
        <v>185</v>
      </c>
      <c r="I26" s="3" t="s">
        <v>101</v>
      </c>
      <c r="J26" s="19" t="s">
        <v>186</v>
      </c>
      <c r="K26" s="19"/>
    </row>
    <row r="27" spans="1:11" ht="28.05" customHeight="1">
      <c r="A27" s="6" t="s">
        <v>96</v>
      </c>
      <c r="B27" s="17">
        <v>23</v>
      </c>
      <c r="C27" s="24">
        <v>23</v>
      </c>
      <c r="D27" s="17" t="s">
        <v>187</v>
      </c>
      <c r="E27" s="17" t="s">
        <v>188</v>
      </c>
      <c r="F27" s="17">
        <v>22</v>
      </c>
      <c r="G27" s="17"/>
      <c r="H27" s="17" t="s">
        <v>189</v>
      </c>
      <c r="I27" s="17" t="s">
        <v>101</v>
      </c>
      <c r="J27" s="20" t="s">
        <v>190</v>
      </c>
      <c r="K27" s="20"/>
    </row>
    <row r="28" spans="1:11" ht="28.05" customHeight="1">
      <c r="A28" s="6" t="s">
        <v>96</v>
      </c>
      <c r="B28" s="3">
        <v>24</v>
      </c>
      <c r="C28" s="23">
        <v>24</v>
      </c>
      <c r="D28" s="3" t="s">
        <v>191</v>
      </c>
      <c r="E28" s="3" t="s">
        <v>109</v>
      </c>
      <c r="F28" s="3">
        <v>24</v>
      </c>
      <c r="G28" s="3"/>
      <c r="H28" s="3" t="s">
        <v>192</v>
      </c>
      <c r="I28" s="3" t="s">
        <v>101</v>
      </c>
      <c r="J28" s="19" t="s">
        <v>193</v>
      </c>
      <c r="K28" s="19"/>
    </row>
    <row r="29" spans="1:11" ht="28.05" customHeight="1">
      <c r="A29" s="6" t="s">
        <v>96</v>
      </c>
      <c r="B29" s="17">
        <v>25</v>
      </c>
      <c r="C29" s="24">
        <v>25</v>
      </c>
      <c r="D29" s="17" t="s">
        <v>194</v>
      </c>
      <c r="E29" s="17" t="s">
        <v>109</v>
      </c>
      <c r="F29" s="17">
        <v>24</v>
      </c>
      <c r="G29" s="17"/>
      <c r="H29" s="17" t="s">
        <v>195</v>
      </c>
      <c r="I29" s="17" t="s">
        <v>101</v>
      </c>
      <c r="J29" s="20" t="s">
        <v>196</v>
      </c>
      <c r="K29" s="20"/>
    </row>
    <row r="30" spans="1:11" ht="28.05" customHeight="1">
      <c r="A30" s="6" t="s">
        <v>96</v>
      </c>
      <c r="B30" s="3">
        <v>26</v>
      </c>
      <c r="C30" s="23">
        <v>26</v>
      </c>
      <c r="D30" s="3" t="s">
        <v>197</v>
      </c>
      <c r="E30" s="3" t="s">
        <v>104</v>
      </c>
      <c r="F30" s="3">
        <v>24</v>
      </c>
      <c r="G30" s="3">
        <v>12</v>
      </c>
      <c r="H30" s="3" t="s">
        <v>198</v>
      </c>
      <c r="I30" s="3" t="s">
        <v>101</v>
      </c>
      <c r="J30" s="19" t="s">
        <v>199</v>
      </c>
      <c r="K30" s="19" t="s">
        <v>200</v>
      </c>
    </row>
    <row r="31" spans="1:11" ht="28.05" customHeight="1">
      <c r="A31" s="6" t="s">
        <v>96</v>
      </c>
      <c r="B31" s="17">
        <v>27</v>
      </c>
      <c r="C31" s="24">
        <v>27</v>
      </c>
      <c r="D31" s="17" t="s">
        <v>201</v>
      </c>
      <c r="E31" s="17" t="s">
        <v>109</v>
      </c>
      <c r="F31" s="17" t="s">
        <v>202</v>
      </c>
      <c r="G31" s="17" t="s">
        <v>158</v>
      </c>
      <c r="H31" s="17" t="s">
        <v>203</v>
      </c>
      <c r="I31" s="17" t="s">
        <v>101</v>
      </c>
      <c r="J31" s="20" t="s">
        <v>204</v>
      </c>
      <c r="K31" s="20" t="s">
        <v>205</v>
      </c>
    </row>
    <row r="32" spans="1:11" ht="28.05" customHeight="1">
      <c r="A32" s="6" t="s">
        <v>96</v>
      </c>
      <c r="B32" s="3">
        <v>28</v>
      </c>
      <c r="C32" s="23">
        <v>28</v>
      </c>
      <c r="D32" s="3" t="s">
        <v>206</v>
      </c>
      <c r="E32" s="3" t="s">
        <v>207</v>
      </c>
      <c r="F32" s="3" t="s">
        <v>208</v>
      </c>
      <c r="G32" s="3"/>
      <c r="H32" s="3" t="s">
        <v>209</v>
      </c>
      <c r="I32" s="3" t="s">
        <v>101</v>
      </c>
      <c r="J32" s="19" t="s">
        <v>210</v>
      </c>
      <c r="K32" s="19"/>
    </row>
    <row r="33" spans="1:11" ht="28.05" customHeight="1">
      <c r="A33" s="6" t="s">
        <v>96</v>
      </c>
      <c r="B33" s="17">
        <v>29</v>
      </c>
      <c r="C33" s="24">
        <v>29</v>
      </c>
      <c r="D33" s="17" t="s">
        <v>211</v>
      </c>
      <c r="E33" s="17" t="s">
        <v>212</v>
      </c>
      <c r="F33" s="17" t="s">
        <v>213</v>
      </c>
      <c r="G33" s="17"/>
      <c r="H33" s="17" t="s">
        <v>144</v>
      </c>
      <c r="I33" s="17" t="s">
        <v>101</v>
      </c>
      <c r="J33" s="20" t="s">
        <v>214</v>
      </c>
      <c r="K33" s="20"/>
    </row>
    <row r="34" spans="1:11" ht="28.05" customHeight="1">
      <c r="A34" s="6" t="s">
        <v>96</v>
      </c>
      <c r="B34" s="3">
        <v>30</v>
      </c>
      <c r="C34" s="23">
        <v>30</v>
      </c>
      <c r="D34" s="3" t="s">
        <v>215</v>
      </c>
      <c r="E34" s="3" t="s">
        <v>150</v>
      </c>
      <c r="F34" s="3">
        <v>30</v>
      </c>
      <c r="G34" s="3"/>
      <c r="H34" s="3" t="s">
        <v>216</v>
      </c>
      <c r="I34" s="3" t="s">
        <v>101</v>
      </c>
      <c r="J34" s="19" t="s">
        <v>217</v>
      </c>
      <c r="K34" s="19"/>
    </row>
    <row r="35" spans="1:11" ht="28.05" customHeight="1">
      <c r="A35" s="26" t="s">
        <v>218</v>
      </c>
      <c r="B35" s="17">
        <v>1</v>
      </c>
      <c r="C35" s="24">
        <v>52</v>
      </c>
      <c r="D35" s="17" t="s">
        <v>219</v>
      </c>
      <c r="E35" s="17" t="s">
        <v>129</v>
      </c>
      <c r="F35" s="17"/>
      <c r="G35" s="17" t="s">
        <v>105</v>
      </c>
      <c r="H35" s="17" t="s">
        <v>220</v>
      </c>
      <c r="I35" s="17" t="s">
        <v>221</v>
      </c>
      <c r="J35" s="20"/>
      <c r="K35" s="20" t="s">
        <v>222</v>
      </c>
    </row>
    <row r="36" spans="1:11" ht="28.05" customHeight="1">
      <c r="A36" s="26" t="s">
        <v>218</v>
      </c>
      <c r="B36" s="3">
        <v>2</v>
      </c>
      <c r="C36" s="23">
        <v>53</v>
      </c>
      <c r="D36" s="3" t="s">
        <v>223</v>
      </c>
      <c r="E36" s="3" t="s">
        <v>129</v>
      </c>
      <c r="F36" s="3"/>
      <c r="G36" s="3" t="s">
        <v>110</v>
      </c>
      <c r="H36" s="3" t="s">
        <v>224</v>
      </c>
      <c r="I36" s="3" t="s">
        <v>221</v>
      </c>
      <c r="J36" s="19"/>
      <c r="K36" s="19" t="s">
        <v>225</v>
      </c>
    </row>
    <row r="37" spans="1:11" ht="28.05" customHeight="1">
      <c r="A37" s="26" t="s">
        <v>218</v>
      </c>
      <c r="B37" s="17">
        <v>3</v>
      </c>
      <c r="C37" s="24">
        <v>54</v>
      </c>
      <c r="D37" s="17" t="s">
        <v>226</v>
      </c>
      <c r="E37" s="17" t="s">
        <v>104</v>
      </c>
      <c r="F37" s="17"/>
      <c r="G37" s="17" t="s">
        <v>114</v>
      </c>
      <c r="H37" s="17" t="s">
        <v>216</v>
      </c>
      <c r="I37" s="17" t="s">
        <v>221</v>
      </c>
      <c r="J37" s="20"/>
      <c r="K37" s="20" t="s">
        <v>227</v>
      </c>
    </row>
    <row r="38" spans="1:11" ht="28.05" customHeight="1">
      <c r="A38" s="26" t="s">
        <v>218</v>
      </c>
      <c r="B38" s="3">
        <v>4</v>
      </c>
      <c r="C38" s="23">
        <v>55</v>
      </c>
      <c r="D38" s="3" t="s">
        <v>228</v>
      </c>
      <c r="E38" s="3" t="s">
        <v>229</v>
      </c>
      <c r="F38" s="3"/>
      <c r="G38" s="3" t="s">
        <v>118</v>
      </c>
      <c r="H38" s="3" t="s">
        <v>230</v>
      </c>
      <c r="I38" s="3" t="s">
        <v>221</v>
      </c>
      <c r="J38" s="19"/>
      <c r="K38" s="19" t="s">
        <v>231</v>
      </c>
    </row>
    <row r="39" spans="1:11" ht="28.05" customHeight="1">
      <c r="A39" s="26" t="s">
        <v>218</v>
      </c>
      <c r="B39" s="17">
        <v>5</v>
      </c>
      <c r="C39" s="24">
        <v>56</v>
      </c>
      <c r="D39" s="17" t="s">
        <v>232</v>
      </c>
      <c r="E39" s="17" t="s">
        <v>233</v>
      </c>
      <c r="F39" s="17"/>
      <c r="G39" s="17" t="s">
        <v>122</v>
      </c>
      <c r="H39" s="17" t="s">
        <v>234</v>
      </c>
      <c r="I39" s="17" t="s">
        <v>221</v>
      </c>
      <c r="J39" s="20"/>
      <c r="K39" s="20" t="s">
        <v>235</v>
      </c>
    </row>
    <row r="40" spans="1:11" ht="28.05" customHeight="1">
      <c r="A40" s="26" t="s">
        <v>218</v>
      </c>
      <c r="B40" s="3">
        <v>6</v>
      </c>
      <c r="C40" s="23">
        <v>57</v>
      </c>
      <c r="D40" s="3" t="s">
        <v>236</v>
      </c>
      <c r="E40" s="3" t="s">
        <v>237</v>
      </c>
      <c r="F40" s="3"/>
      <c r="G40" s="3">
        <v>7</v>
      </c>
      <c r="H40" s="3" t="s">
        <v>238</v>
      </c>
      <c r="I40" s="3" t="s">
        <v>221</v>
      </c>
      <c r="J40" s="19"/>
      <c r="K40" s="19" t="s">
        <v>239</v>
      </c>
    </row>
    <row r="41" spans="1:11" ht="28.05" customHeight="1">
      <c r="A41" s="26" t="s">
        <v>218</v>
      </c>
      <c r="B41" s="17">
        <v>7</v>
      </c>
      <c r="C41" s="24">
        <v>58</v>
      </c>
      <c r="D41" s="17" t="s">
        <v>240</v>
      </c>
      <c r="E41" s="17" t="s">
        <v>229</v>
      </c>
      <c r="F41" s="17"/>
      <c r="G41" s="17">
        <v>7</v>
      </c>
      <c r="H41" s="17" t="s">
        <v>241</v>
      </c>
      <c r="I41" s="17" t="s">
        <v>221</v>
      </c>
      <c r="J41" s="20"/>
      <c r="K41" s="20" t="s">
        <v>242</v>
      </c>
    </row>
    <row r="42" spans="1:11" ht="28.05" customHeight="1">
      <c r="A42" s="26" t="s">
        <v>218</v>
      </c>
      <c r="B42" s="3">
        <v>8</v>
      </c>
      <c r="C42" s="23">
        <v>59</v>
      </c>
      <c r="D42" s="3" t="s">
        <v>243</v>
      </c>
      <c r="E42" s="3" t="s">
        <v>244</v>
      </c>
      <c r="F42" s="3"/>
      <c r="G42" s="3" t="s">
        <v>134</v>
      </c>
      <c r="H42" s="3" t="s">
        <v>245</v>
      </c>
      <c r="I42" s="3" t="s">
        <v>221</v>
      </c>
      <c r="J42" s="19"/>
      <c r="K42" s="19" t="s">
        <v>246</v>
      </c>
    </row>
    <row r="43" spans="1:11" ht="28.05" customHeight="1">
      <c r="A43" s="26" t="s">
        <v>218</v>
      </c>
      <c r="B43" s="17">
        <v>9</v>
      </c>
      <c r="C43" s="24">
        <v>60</v>
      </c>
      <c r="D43" s="17" t="s">
        <v>247</v>
      </c>
      <c r="E43" s="17" t="s">
        <v>248</v>
      </c>
      <c r="F43" s="17"/>
      <c r="G43" s="17">
        <v>10</v>
      </c>
      <c r="H43" s="17" t="s">
        <v>249</v>
      </c>
      <c r="I43" s="17" t="s">
        <v>221</v>
      </c>
      <c r="J43" s="20"/>
      <c r="K43" s="20" t="s">
        <v>250</v>
      </c>
    </row>
    <row r="44" spans="1:11" ht="28.05" customHeight="1">
      <c r="A44" s="26" t="s">
        <v>218</v>
      </c>
      <c r="B44" s="3">
        <v>10</v>
      </c>
      <c r="C44" s="23">
        <v>61</v>
      </c>
      <c r="D44" s="3" t="s">
        <v>251</v>
      </c>
      <c r="E44" s="3" t="s">
        <v>104</v>
      </c>
      <c r="F44" s="3"/>
      <c r="G44" s="3">
        <v>10</v>
      </c>
      <c r="H44" s="3" t="s">
        <v>163</v>
      </c>
      <c r="I44" s="3" t="s">
        <v>221</v>
      </c>
      <c r="J44" s="19"/>
      <c r="K44" s="19" t="s">
        <v>252</v>
      </c>
    </row>
    <row r="45" spans="1:11" ht="28.05" customHeight="1">
      <c r="A45" s="26" t="s">
        <v>218</v>
      </c>
      <c r="B45" s="17">
        <v>11</v>
      </c>
      <c r="C45" s="24">
        <v>62</v>
      </c>
      <c r="D45" s="17" t="s">
        <v>253</v>
      </c>
      <c r="E45" s="17" t="s">
        <v>233</v>
      </c>
      <c r="F45" s="17"/>
      <c r="G45" s="17">
        <v>12</v>
      </c>
      <c r="H45" s="17" t="s">
        <v>254</v>
      </c>
      <c r="I45" s="17" t="s">
        <v>221</v>
      </c>
      <c r="J45" s="20"/>
      <c r="K45" s="20" t="s">
        <v>255</v>
      </c>
    </row>
    <row r="46" spans="1:11" ht="28.05" customHeight="1">
      <c r="A46" s="26" t="s">
        <v>218</v>
      </c>
      <c r="B46" s="3">
        <v>12</v>
      </c>
      <c r="C46" s="23">
        <v>63</v>
      </c>
      <c r="D46" s="3" t="s">
        <v>256</v>
      </c>
      <c r="E46" s="3" t="s">
        <v>257</v>
      </c>
      <c r="F46" s="3"/>
      <c r="G46" s="3" t="s">
        <v>162</v>
      </c>
      <c r="H46" s="3" t="s">
        <v>258</v>
      </c>
      <c r="I46" s="3" t="s">
        <v>221</v>
      </c>
      <c r="J46" s="19"/>
      <c r="K46" s="19" t="s">
        <v>259</v>
      </c>
    </row>
    <row r="47" spans="1:11" ht="28.05" customHeight="1">
      <c r="A47" s="26" t="s">
        <v>218</v>
      </c>
      <c r="B47" s="17">
        <v>13</v>
      </c>
      <c r="C47" s="24">
        <v>64</v>
      </c>
      <c r="D47" s="17" t="s">
        <v>260</v>
      </c>
      <c r="E47" s="17" t="s">
        <v>233</v>
      </c>
      <c r="F47" s="17"/>
      <c r="G47" s="17">
        <v>16</v>
      </c>
      <c r="H47" s="17" t="s">
        <v>261</v>
      </c>
      <c r="I47" s="17" t="s">
        <v>221</v>
      </c>
      <c r="J47" s="20"/>
      <c r="K47" s="20" t="s">
        <v>262</v>
      </c>
    </row>
    <row r="48" spans="1:11" ht="28.05" customHeight="1">
      <c r="A48" s="26" t="s">
        <v>218</v>
      </c>
      <c r="B48" s="3">
        <v>14</v>
      </c>
      <c r="C48" s="23">
        <v>65</v>
      </c>
      <c r="D48" s="3" t="s">
        <v>263</v>
      </c>
      <c r="E48" s="3" t="s">
        <v>129</v>
      </c>
      <c r="F48" s="3"/>
      <c r="G48" s="3">
        <v>16</v>
      </c>
      <c r="H48" s="3" t="s">
        <v>264</v>
      </c>
      <c r="I48" s="3" t="s">
        <v>221</v>
      </c>
      <c r="J48" s="19"/>
      <c r="K48" s="19" t="s">
        <v>265</v>
      </c>
    </row>
    <row r="49" spans="1:11" ht="28.05" customHeight="1">
      <c r="A49" s="26" t="s">
        <v>218</v>
      </c>
      <c r="B49" s="17">
        <v>15</v>
      </c>
      <c r="C49" s="24">
        <v>66</v>
      </c>
      <c r="D49" s="17" t="s">
        <v>27</v>
      </c>
      <c r="E49" s="17" t="s">
        <v>104</v>
      </c>
      <c r="F49" s="17"/>
      <c r="G49" s="17" t="s">
        <v>266</v>
      </c>
      <c r="H49" s="17" t="s">
        <v>267</v>
      </c>
      <c r="I49" s="17" t="s">
        <v>221</v>
      </c>
      <c r="J49" s="20"/>
      <c r="K49" s="20" t="s">
        <v>268</v>
      </c>
    </row>
    <row r="50" spans="1:11" ht="28.05" customHeight="1">
      <c r="A50" s="26" t="s">
        <v>218</v>
      </c>
      <c r="B50" s="3">
        <v>16</v>
      </c>
      <c r="C50" s="23">
        <v>67</v>
      </c>
      <c r="D50" s="3" t="s">
        <v>269</v>
      </c>
      <c r="E50" s="3" t="s">
        <v>270</v>
      </c>
      <c r="F50" s="3"/>
      <c r="G50" s="3" t="s">
        <v>172</v>
      </c>
      <c r="H50" s="3" t="s">
        <v>271</v>
      </c>
      <c r="I50" s="3" t="s">
        <v>221</v>
      </c>
      <c r="J50" s="19"/>
      <c r="K50" s="19" t="s">
        <v>272</v>
      </c>
    </row>
    <row r="51" spans="1:11" ht="28.05" customHeight="1">
      <c r="A51" s="26" t="s">
        <v>218</v>
      </c>
      <c r="B51" s="17">
        <v>17</v>
      </c>
      <c r="C51" s="24">
        <v>49</v>
      </c>
      <c r="D51" s="17" t="s">
        <v>273</v>
      </c>
      <c r="E51" s="17" t="s">
        <v>109</v>
      </c>
      <c r="F51" s="17">
        <v>48</v>
      </c>
      <c r="G51" s="17">
        <v>20</v>
      </c>
      <c r="H51" s="17" t="s">
        <v>274</v>
      </c>
      <c r="I51" s="17" t="s">
        <v>221</v>
      </c>
      <c r="J51" s="20" t="s">
        <v>275</v>
      </c>
      <c r="K51" s="20" t="s">
        <v>276</v>
      </c>
    </row>
    <row r="52" spans="1:11" ht="28.05" customHeight="1">
      <c r="A52" s="26" t="s">
        <v>218</v>
      </c>
      <c r="B52" s="3">
        <v>18</v>
      </c>
      <c r="C52" s="23">
        <v>68</v>
      </c>
      <c r="D52" s="3" t="s">
        <v>277</v>
      </c>
      <c r="E52" s="3" t="s">
        <v>233</v>
      </c>
      <c r="F52" s="3"/>
      <c r="G52" s="3">
        <v>20</v>
      </c>
      <c r="H52" s="3" t="s">
        <v>278</v>
      </c>
      <c r="I52" s="3" t="s">
        <v>221</v>
      </c>
      <c r="J52" s="19"/>
      <c r="K52" s="19" t="s">
        <v>279</v>
      </c>
    </row>
    <row r="53" spans="1:11" ht="28.05" customHeight="1">
      <c r="A53" s="26" t="s">
        <v>218</v>
      </c>
      <c r="B53" s="17">
        <v>19</v>
      </c>
      <c r="C53" s="24">
        <v>69</v>
      </c>
      <c r="D53" s="17" t="s">
        <v>280</v>
      </c>
      <c r="E53" s="17" t="s">
        <v>281</v>
      </c>
      <c r="F53" s="17"/>
      <c r="G53" s="17">
        <v>20</v>
      </c>
      <c r="H53" s="17" t="s">
        <v>282</v>
      </c>
      <c r="I53" s="17" t="s">
        <v>221</v>
      </c>
      <c r="J53" s="20"/>
      <c r="K53" s="20" t="s">
        <v>283</v>
      </c>
    </row>
    <row r="54" spans="1:11" ht="28.05" customHeight="1">
      <c r="A54" s="26" t="s">
        <v>218</v>
      </c>
      <c r="B54" s="3">
        <v>20</v>
      </c>
      <c r="C54" s="23">
        <v>70</v>
      </c>
      <c r="D54" s="3" t="s">
        <v>284</v>
      </c>
      <c r="E54" s="3" t="s">
        <v>285</v>
      </c>
      <c r="F54" s="3"/>
      <c r="G54" s="3" t="s">
        <v>286</v>
      </c>
      <c r="H54" s="3" t="s">
        <v>144</v>
      </c>
      <c r="I54" s="3" t="s">
        <v>221</v>
      </c>
      <c r="J54" s="19"/>
      <c r="K54" s="19" t="s">
        <v>287</v>
      </c>
    </row>
    <row r="55" spans="1:11" ht="28.05" customHeight="1">
      <c r="A55" s="26" t="s">
        <v>218</v>
      </c>
      <c r="B55" s="17">
        <v>21</v>
      </c>
      <c r="C55" s="24">
        <v>71</v>
      </c>
      <c r="D55" s="17" t="s">
        <v>288</v>
      </c>
      <c r="E55" s="17" t="s">
        <v>229</v>
      </c>
      <c r="F55" s="17"/>
      <c r="G55" s="17" t="s">
        <v>289</v>
      </c>
      <c r="H55" s="17" t="s">
        <v>290</v>
      </c>
      <c r="I55" s="17" t="s">
        <v>221</v>
      </c>
      <c r="J55" s="20"/>
      <c r="K55" s="20" t="s">
        <v>291</v>
      </c>
    </row>
    <row r="56" spans="1:11" ht="28.05" customHeight="1">
      <c r="A56" s="26" t="s">
        <v>218</v>
      </c>
      <c r="B56" s="3">
        <v>22</v>
      </c>
      <c r="C56" s="23">
        <v>72</v>
      </c>
      <c r="D56" s="3" t="s">
        <v>292</v>
      </c>
      <c r="E56" s="3" t="s">
        <v>293</v>
      </c>
      <c r="F56" s="3"/>
      <c r="G56" s="3" t="s">
        <v>294</v>
      </c>
      <c r="H56" s="3" t="s">
        <v>295</v>
      </c>
      <c r="I56" s="3" t="s">
        <v>221</v>
      </c>
      <c r="J56" s="19"/>
      <c r="K56" s="19" t="s">
        <v>296</v>
      </c>
    </row>
    <row r="57" spans="1:11" ht="28.05" customHeight="1">
      <c r="A57" s="26" t="s">
        <v>218</v>
      </c>
      <c r="B57" s="17">
        <v>23</v>
      </c>
      <c r="C57" s="24">
        <v>73</v>
      </c>
      <c r="D57" s="17" t="s">
        <v>297</v>
      </c>
      <c r="E57" s="17" t="s">
        <v>233</v>
      </c>
      <c r="F57" s="17"/>
      <c r="G57" s="17" t="s">
        <v>298</v>
      </c>
      <c r="H57" s="17" t="s">
        <v>299</v>
      </c>
      <c r="I57" s="17" t="s">
        <v>221</v>
      </c>
      <c r="J57" s="20"/>
      <c r="K57" s="20" t="s">
        <v>300</v>
      </c>
    </row>
    <row r="58" spans="1:11" ht="28.05" customHeight="1">
      <c r="A58" s="26" t="s">
        <v>218</v>
      </c>
      <c r="B58" s="3">
        <v>24</v>
      </c>
      <c r="C58" s="23">
        <v>74</v>
      </c>
      <c r="D58" s="3" t="s">
        <v>301</v>
      </c>
      <c r="E58" s="3" t="s">
        <v>104</v>
      </c>
      <c r="F58" s="3"/>
      <c r="G58" s="3" t="s">
        <v>202</v>
      </c>
      <c r="H58" s="3" t="s">
        <v>302</v>
      </c>
      <c r="I58" s="3" t="s">
        <v>221</v>
      </c>
      <c r="J58" s="19"/>
      <c r="K58" s="19" t="s">
        <v>303</v>
      </c>
    </row>
    <row r="59" spans="1:11" ht="28.05" customHeight="1">
      <c r="A59" s="26" t="s">
        <v>218</v>
      </c>
      <c r="B59" s="17">
        <v>25</v>
      </c>
      <c r="C59" s="24">
        <v>76</v>
      </c>
      <c r="D59" s="17" t="s">
        <v>304</v>
      </c>
      <c r="E59" s="17" t="s">
        <v>129</v>
      </c>
      <c r="F59" s="17"/>
      <c r="G59" s="17" t="s">
        <v>213</v>
      </c>
      <c r="H59" s="17" t="s">
        <v>185</v>
      </c>
      <c r="I59" s="17" t="s">
        <v>221</v>
      </c>
      <c r="J59" s="20"/>
      <c r="K59" s="20" t="s">
        <v>305</v>
      </c>
    </row>
    <row r="60" spans="1:11" ht="28.05" customHeight="1">
      <c r="A60" s="26" t="s">
        <v>218</v>
      </c>
      <c r="B60" s="3">
        <v>26</v>
      </c>
      <c r="C60" s="23">
        <v>77</v>
      </c>
      <c r="D60" s="3" t="s">
        <v>306</v>
      </c>
      <c r="E60" s="3" t="s">
        <v>129</v>
      </c>
      <c r="F60" s="3"/>
      <c r="G60" s="3" t="s">
        <v>307</v>
      </c>
      <c r="H60" s="3" t="s">
        <v>308</v>
      </c>
      <c r="I60" s="3" t="s">
        <v>221</v>
      </c>
      <c r="J60" s="19"/>
      <c r="K60" s="19" t="s">
        <v>309</v>
      </c>
    </row>
    <row r="61" spans="1:11" ht="28.05" customHeight="1">
      <c r="A61" s="26" t="s">
        <v>218</v>
      </c>
      <c r="B61" s="17">
        <v>27</v>
      </c>
      <c r="C61" s="24">
        <v>78</v>
      </c>
      <c r="D61" s="17" t="s">
        <v>310</v>
      </c>
      <c r="E61" s="17" t="s">
        <v>109</v>
      </c>
      <c r="F61" s="17"/>
      <c r="G61" s="17">
        <v>31</v>
      </c>
      <c r="H61" s="17" t="s">
        <v>311</v>
      </c>
      <c r="I61" s="17" t="s">
        <v>221</v>
      </c>
      <c r="J61" s="20"/>
      <c r="K61" s="20" t="s">
        <v>312</v>
      </c>
    </row>
    <row r="62" spans="1:11" ht="28.05" customHeight="1">
      <c r="A62" s="26" t="s">
        <v>218</v>
      </c>
      <c r="B62" s="3">
        <v>28</v>
      </c>
      <c r="C62" s="23">
        <v>79</v>
      </c>
      <c r="D62" s="3" t="s">
        <v>313</v>
      </c>
      <c r="E62" s="3" t="s">
        <v>257</v>
      </c>
      <c r="F62" s="3"/>
      <c r="G62" s="3">
        <v>31</v>
      </c>
      <c r="H62" s="3" t="s">
        <v>209</v>
      </c>
      <c r="I62" s="3" t="s">
        <v>221</v>
      </c>
      <c r="J62" s="19"/>
      <c r="K62" s="19" t="s">
        <v>314</v>
      </c>
    </row>
    <row r="63" spans="1:11" ht="28.05" customHeight="1">
      <c r="A63" s="26" t="s">
        <v>218</v>
      </c>
      <c r="B63" s="17">
        <v>29</v>
      </c>
      <c r="C63" s="24">
        <v>80</v>
      </c>
      <c r="D63" s="17" t="s">
        <v>315</v>
      </c>
      <c r="E63" s="17" t="s">
        <v>316</v>
      </c>
      <c r="F63" s="17"/>
      <c r="G63" s="17">
        <v>33</v>
      </c>
      <c r="H63" s="17" t="s">
        <v>144</v>
      </c>
      <c r="I63" s="17" t="s">
        <v>221</v>
      </c>
      <c r="J63" s="20"/>
      <c r="K63" s="20" t="s">
        <v>317</v>
      </c>
    </row>
    <row r="64" spans="1:11" ht="28.05" customHeight="1">
      <c r="A64" s="27" t="s">
        <v>218</v>
      </c>
      <c r="B64" s="4">
        <v>30</v>
      </c>
      <c r="C64" s="25">
        <v>81</v>
      </c>
      <c r="D64" s="4" t="s">
        <v>318</v>
      </c>
      <c r="E64" s="4" t="s">
        <v>150</v>
      </c>
      <c r="F64" s="4"/>
      <c r="G64" s="4">
        <v>33</v>
      </c>
      <c r="H64" s="4" t="s">
        <v>319</v>
      </c>
      <c r="I64" s="4" t="s">
        <v>221</v>
      </c>
      <c r="J64" s="21"/>
      <c r="K64" s="21" t="s">
        <v>320</v>
      </c>
    </row>
  </sheetData>
  <mergeCells count="2">
    <mergeCell ref="A1:K1"/>
    <mergeCell ref="A2:K2"/>
  </mergeCells>
  <phoneticPr fontId="8"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64"/>
  <sheetViews>
    <sheetView showGridLines="0" workbookViewId="0"/>
  </sheetViews>
  <sheetFormatPr defaultRowHeight="13.5"/>
  <cols>
    <col min="1" max="1" width="8" customWidth="1"/>
    <col min="2" max="2" width="32" customWidth="1"/>
    <col min="3" max="3" width="18" customWidth="1"/>
    <col min="4" max="4" width="20" customWidth="1"/>
    <col min="5" max="5" width="10" customWidth="1"/>
    <col min="6" max="6" width="12" customWidth="1"/>
    <col min="7" max="7" width="10" customWidth="1"/>
    <col min="8" max="8" width="14" customWidth="1"/>
    <col min="9" max="10" width="44" customWidth="1"/>
  </cols>
  <sheetData>
    <row r="1" spans="1:10" ht="28.05" customHeight="1">
      <c r="A1" s="36" t="s">
        <v>321</v>
      </c>
      <c r="B1" s="36"/>
      <c r="C1" s="36"/>
      <c r="D1" s="36"/>
      <c r="E1" s="36"/>
      <c r="F1" s="36"/>
      <c r="G1" s="36"/>
      <c r="H1" s="36"/>
      <c r="I1" s="36"/>
      <c r="J1" s="36"/>
    </row>
    <row r="2" spans="1:10" ht="34.049999999999997" customHeight="1">
      <c r="A2" s="37" t="s">
        <v>322</v>
      </c>
      <c r="B2" s="37"/>
      <c r="C2" s="37"/>
      <c r="D2" s="37"/>
      <c r="E2" s="37"/>
      <c r="F2" s="37"/>
      <c r="G2" s="37"/>
      <c r="H2" s="37"/>
      <c r="I2" s="37"/>
      <c r="J2" s="37"/>
    </row>
    <row r="4" spans="1:10" ht="38" customHeight="1">
      <c r="A4" s="13" t="s">
        <v>87</v>
      </c>
      <c r="B4" s="14" t="s">
        <v>88</v>
      </c>
      <c r="C4" s="14" t="s">
        <v>89</v>
      </c>
      <c r="D4" s="14" t="s">
        <v>323</v>
      </c>
      <c r="E4" s="14" t="s">
        <v>90</v>
      </c>
      <c r="F4" s="14" t="s">
        <v>324</v>
      </c>
      <c r="G4" s="14" t="s">
        <v>91</v>
      </c>
      <c r="H4" s="14" t="s">
        <v>325</v>
      </c>
      <c r="I4" s="14" t="s">
        <v>94</v>
      </c>
      <c r="J4" s="15" t="s">
        <v>95</v>
      </c>
    </row>
    <row r="5" spans="1:10" ht="28.05" customHeight="1">
      <c r="A5" s="22">
        <v>1</v>
      </c>
      <c r="B5" s="16" t="s">
        <v>97</v>
      </c>
      <c r="C5" s="16" t="s">
        <v>98</v>
      </c>
      <c r="D5" s="18" t="s">
        <v>326</v>
      </c>
      <c r="E5" s="16" t="s">
        <v>99</v>
      </c>
      <c r="F5" s="16">
        <v>100</v>
      </c>
      <c r="G5" s="16"/>
      <c r="H5" s="16"/>
      <c r="I5" s="18" t="s">
        <v>102</v>
      </c>
      <c r="J5" s="18"/>
    </row>
    <row r="6" spans="1:10" ht="28.05" customHeight="1">
      <c r="A6" s="23">
        <v>2</v>
      </c>
      <c r="B6" s="3" t="s">
        <v>103</v>
      </c>
      <c r="C6" s="3" t="s">
        <v>104</v>
      </c>
      <c r="D6" s="19" t="s">
        <v>326</v>
      </c>
      <c r="E6" s="3" t="s">
        <v>105</v>
      </c>
      <c r="F6" s="3">
        <v>99.8</v>
      </c>
      <c r="G6" s="3"/>
      <c r="H6" s="3"/>
      <c r="I6" s="19" t="s">
        <v>107</v>
      </c>
      <c r="J6" s="19"/>
    </row>
    <row r="7" spans="1:10" ht="28.05" customHeight="1">
      <c r="A7" s="24">
        <v>3</v>
      </c>
      <c r="B7" s="17" t="s">
        <v>108</v>
      </c>
      <c r="C7" s="17" t="s">
        <v>109</v>
      </c>
      <c r="D7" s="20" t="s">
        <v>326</v>
      </c>
      <c r="E7" s="17" t="s">
        <v>110</v>
      </c>
      <c r="F7" s="17">
        <v>99</v>
      </c>
      <c r="G7" s="17"/>
      <c r="H7" s="17"/>
      <c r="I7" s="20" t="s">
        <v>112</v>
      </c>
      <c r="J7" s="20"/>
    </row>
    <row r="8" spans="1:10" ht="28.05" customHeight="1">
      <c r="A8" s="23">
        <v>4</v>
      </c>
      <c r="B8" s="3" t="s">
        <v>113</v>
      </c>
      <c r="C8" s="3" t="s">
        <v>109</v>
      </c>
      <c r="D8" s="19" t="s">
        <v>326</v>
      </c>
      <c r="E8" s="3" t="s">
        <v>114</v>
      </c>
      <c r="F8" s="3">
        <v>98.7</v>
      </c>
      <c r="G8" s="3"/>
      <c r="H8" s="3"/>
      <c r="I8" s="19" t="s">
        <v>116</v>
      </c>
      <c r="J8" s="19"/>
    </row>
    <row r="9" spans="1:10" ht="28.05" customHeight="1">
      <c r="A9" s="24">
        <v>5</v>
      </c>
      <c r="B9" s="17" t="s">
        <v>117</v>
      </c>
      <c r="C9" s="17" t="s">
        <v>104</v>
      </c>
      <c r="D9" s="20" t="s">
        <v>326</v>
      </c>
      <c r="E9" s="17" t="s">
        <v>118</v>
      </c>
      <c r="F9" s="17">
        <v>98.6</v>
      </c>
      <c r="G9" s="17"/>
      <c r="H9" s="17"/>
      <c r="I9" s="20" t="s">
        <v>120</v>
      </c>
      <c r="J9" s="20"/>
    </row>
    <row r="10" spans="1:10" ht="28.05" customHeight="1">
      <c r="A10" s="23">
        <v>6</v>
      </c>
      <c r="B10" s="3" t="s">
        <v>121</v>
      </c>
      <c r="C10" s="3" t="s">
        <v>109</v>
      </c>
      <c r="D10" s="19" t="s">
        <v>326</v>
      </c>
      <c r="E10" s="3" t="s">
        <v>122</v>
      </c>
      <c r="F10" s="3">
        <v>98.5</v>
      </c>
      <c r="G10" s="3"/>
      <c r="H10" s="3"/>
      <c r="I10" s="19" t="s">
        <v>124</v>
      </c>
      <c r="J10" s="19"/>
    </row>
    <row r="11" spans="1:10" ht="28.05" customHeight="1">
      <c r="A11" s="24">
        <v>7</v>
      </c>
      <c r="B11" s="17" t="s">
        <v>125</v>
      </c>
      <c r="C11" s="17" t="s">
        <v>109</v>
      </c>
      <c r="D11" s="20" t="s">
        <v>326</v>
      </c>
      <c r="E11" s="17">
        <v>7</v>
      </c>
      <c r="F11" s="17">
        <v>98.2</v>
      </c>
      <c r="G11" s="17"/>
      <c r="H11" s="17"/>
      <c r="I11" s="20" t="s">
        <v>127</v>
      </c>
      <c r="J11" s="20"/>
    </row>
    <row r="12" spans="1:10" ht="28.05" customHeight="1">
      <c r="A12" s="23">
        <v>8</v>
      </c>
      <c r="B12" s="3" t="s">
        <v>128</v>
      </c>
      <c r="C12" s="3" t="s">
        <v>129</v>
      </c>
      <c r="D12" s="28" t="s">
        <v>327</v>
      </c>
      <c r="E12" s="3">
        <v>7</v>
      </c>
      <c r="F12" s="3">
        <v>98.2</v>
      </c>
      <c r="G12" s="3">
        <v>41</v>
      </c>
      <c r="H12" s="3">
        <v>93.2</v>
      </c>
      <c r="I12" s="19" t="s">
        <v>131</v>
      </c>
      <c r="J12" s="19" t="s">
        <v>132</v>
      </c>
    </row>
    <row r="13" spans="1:10" ht="28.05" customHeight="1">
      <c r="A13" s="24">
        <v>9</v>
      </c>
      <c r="B13" s="17" t="s">
        <v>133</v>
      </c>
      <c r="C13" s="17" t="s">
        <v>104</v>
      </c>
      <c r="D13" s="20" t="s">
        <v>326</v>
      </c>
      <c r="E13" s="17" t="s">
        <v>134</v>
      </c>
      <c r="F13" s="17">
        <v>98.1</v>
      </c>
      <c r="G13" s="17"/>
      <c r="H13" s="17"/>
      <c r="I13" s="20" t="s">
        <v>136</v>
      </c>
      <c r="J13" s="20"/>
    </row>
    <row r="14" spans="1:10" ht="28.05" customHeight="1">
      <c r="A14" s="23">
        <v>10</v>
      </c>
      <c r="B14" s="3" t="s">
        <v>137</v>
      </c>
      <c r="C14" s="3" t="s">
        <v>109</v>
      </c>
      <c r="D14" s="28" t="s">
        <v>327</v>
      </c>
      <c r="E14" s="3" t="s">
        <v>138</v>
      </c>
      <c r="F14" s="3">
        <v>98</v>
      </c>
      <c r="G14" s="3" t="s">
        <v>99</v>
      </c>
      <c r="H14" s="3">
        <v>98.5</v>
      </c>
      <c r="I14" s="19" t="s">
        <v>140</v>
      </c>
      <c r="J14" s="19" t="s">
        <v>141</v>
      </c>
    </row>
    <row r="15" spans="1:10" ht="28.05" customHeight="1">
      <c r="A15" s="24">
        <v>11</v>
      </c>
      <c r="B15" s="17" t="s">
        <v>142</v>
      </c>
      <c r="C15" s="17" t="s">
        <v>143</v>
      </c>
      <c r="D15" s="20" t="s">
        <v>326</v>
      </c>
      <c r="E15" s="17">
        <v>11</v>
      </c>
      <c r="F15" s="17">
        <v>97.9</v>
      </c>
      <c r="G15" s="17"/>
      <c r="H15" s="17"/>
      <c r="I15" s="20" t="s">
        <v>145</v>
      </c>
      <c r="J15" s="20"/>
    </row>
    <row r="16" spans="1:10" ht="28.05" customHeight="1">
      <c r="A16" s="23">
        <v>12</v>
      </c>
      <c r="B16" s="3" t="s">
        <v>146</v>
      </c>
      <c r="C16" s="3" t="s">
        <v>129</v>
      </c>
      <c r="D16" s="19" t="s">
        <v>326</v>
      </c>
      <c r="E16" s="3">
        <v>11</v>
      </c>
      <c r="F16" s="3">
        <v>97.9</v>
      </c>
      <c r="G16" s="3"/>
      <c r="H16" s="3"/>
      <c r="I16" s="19" t="s">
        <v>148</v>
      </c>
      <c r="J16" s="19"/>
    </row>
    <row r="17" spans="1:10" ht="28.05" customHeight="1">
      <c r="A17" s="24">
        <v>13</v>
      </c>
      <c r="B17" s="17" t="s">
        <v>149</v>
      </c>
      <c r="C17" s="17" t="s">
        <v>150</v>
      </c>
      <c r="D17" s="20" t="s">
        <v>326</v>
      </c>
      <c r="E17" s="17">
        <v>11</v>
      </c>
      <c r="F17" s="17">
        <v>97.9</v>
      </c>
      <c r="G17" s="17"/>
      <c r="H17" s="17"/>
      <c r="I17" s="20" t="s">
        <v>152</v>
      </c>
      <c r="J17" s="20"/>
    </row>
    <row r="18" spans="1:10" ht="28.05" customHeight="1">
      <c r="A18" s="23">
        <v>14</v>
      </c>
      <c r="B18" s="3" t="s">
        <v>153</v>
      </c>
      <c r="C18" s="3" t="s">
        <v>150</v>
      </c>
      <c r="D18" s="19" t="s">
        <v>326</v>
      </c>
      <c r="E18" s="3" t="s">
        <v>154</v>
      </c>
      <c r="F18" s="3">
        <v>97.8</v>
      </c>
      <c r="G18" s="3"/>
      <c r="H18" s="3"/>
      <c r="I18" s="19" t="s">
        <v>156</v>
      </c>
      <c r="J18" s="19"/>
    </row>
    <row r="19" spans="1:10" ht="28.05" customHeight="1">
      <c r="A19" s="24">
        <v>15</v>
      </c>
      <c r="B19" s="17" t="s">
        <v>157</v>
      </c>
      <c r="C19" s="17" t="s">
        <v>109</v>
      </c>
      <c r="D19" s="20" t="s">
        <v>326</v>
      </c>
      <c r="E19" s="17" t="s">
        <v>158</v>
      </c>
      <c r="F19" s="17">
        <v>97.7</v>
      </c>
      <c r="G19" s="17"/>
      <c r="H19" s="17"/>
      <c r="I19" s="20" t="s">
        <v>160</v>
      </c>
      <c r="J19" s="20"/>
    </row>
    <row r="20" spans="1:10" ht="28.05" customHeight="1">
      <c r="A20" s="23">
        <v>16</v>
      </c>
      <c r="B20" s="3" t="s">
        <v>161</v>
      </c>
      <c r="C20" s="3" t="s">
        <v>129</v>
      </c>
      <c r="D20" s="19" t="s">
        <v>326</v>
      </c>
      <c r="E20" s="3" t="s">
        <v>162</v>
      </c>
      <c r="F20" s="3">
        <v>97.3</v>
      </c>
      <c r="G20" s="3"/>
      <c r="H20" s="3"/>
      <c r="I20" s="19" t="s">
        <v>164</v>
      </c>
      <c r="J20" s="19"/>
    </row>
    <row r="21" spans="1:10" ht="28.05" customHeight="1">
      <c r="A21" s="24">
        <v>17</v>
      </c>
      <c r="B21" s="17" t="s">
        <v>165</v>
      </c>
      <c r="C21" s="17" t="s">
        <v>129</v>
      </c>
      <c r="D21" s="20" t="s">
        <v>326</v>
      </c>
      <c r="E21" s="17">
        <v>16</v>
      </c>
      <c r="F21" s="17">
        <v>97.2</v>
      </c>
      <c r="G21" s="17"/>
      <c r="H21" s="17"/>
      <c r="I21" s="20" t="s">
        <v>167</v>
      </c>
      <c r="J21" s="20"/>
    </row>
    <row r="22" spans="1:10" ht="28.05" customHeight="1">
      <c r="A22" s="23">
        <v>18</v>
      </c>
      <c r="B22" s="3" t="s">
        <v>168</v>
      </c>
      <c r="C22" s="3" t="s">
        <v>109</v>
      </c>
      <c r="D22" s="19" t="s">
        <v>326</v>
      </c>
      <c r="E22" s="3">
        <v>16</v>
      </c>
      <c r="F22" s="3">
        <v>97.2</v>
      </c>
      <c r="G22" s="3"/>
      <c r="H22" s="3"/>
      <c r="I22" s="19" t="s">
        <v>170</v>
      </c>
      <c r="J22" s="19"/>
    </row>
    <row r="23" spans="1:10" ht="28.05" customHeight="1">
      <c r="A23" s="24">
        <v>19</v>
      </c>
      <c r="B23" s="17" t="s">
        <v>171</v>
      </c>
      <c r="C23" s="17" t="s">
        <v>109</v>
      </c>
      <c r="D23" s="20" t="s">
        <v>326</v>
      </c>
      <c r="E23" s="17" t="s">
        <v>172</v>
      </c>
      <c r="F23" s="17">
        <v>96.9</v>
      </c>
      <c r="G23" s="17"/>
      <c r="H23" s="17"/>
      <c r="I23" s="20" t="s">
        <v>174</v>
      </c>
      <c r="J23" s="20"/>
    </row>
    <row r="24" spans="1:10" ht="28.05" customHeight="1">
      <c r="A24" s="23">
        <v>20</v>
      </c>
      <c r="B24" s="3" t="s">
        <v>175</v>
      </c>
      <c r="C24" s="3" t="s">
        <v>150</v>
      </c>
      <c r="D24" s="19" t="s">
        <v>326</v>
      </c>
      <c r="E24" s="3" t="s">
        <v>176</v>
      </c>
      <c r="F24" s="3">
        <v>96.3</v>
      </c>
      <c r="G24" s="3"/>
      <c r="H24" s="3"/>
      <c r="I24" s="19" t="s">
        <v>178</v>
      </c>
      <c r="J24" s="19"/>
    </row>
    <row r="25" spans="1:10" ht="28.05" customHeight="1">
      <c r="A25" s="24">
        <v>21</v>
      </c>
      <c r="B25" s="17" t="s">
        <v>179</v>
      </c>
      <c r="C25" s="17" t="s">
        <v>150</v>
      </c>
      <c r="D25" s="20" t="s">
        <v>326</v>
      </c>
      <c r="E25" s="17" t="s">
        <v>180</v>
      </c>
      <c r="F25" s="17">
        <v>96.1</v>
      </c>
      <c r="G25" s="17"/>
      <c r="H25" s="17"/>
      <c r="I25" s="20" t="s">
        <v>182</v>
      </c>
      <c r="J25" s="20"/>
    </row>
    <row r="26" spans="1:10" ht="28.05" customHeight="1">
      <c r="A26" s="23">
        <v>22</v>
      </c>
      <c r="B26" s="3" t="s">
        <v>183</v>
      </c>
      <c r="C26" s="3" t="s">
        <v>184</v>
      </c>
      <c r="D26" s="19" t="s">
        <v>326</v>
      </c>
      <c r="E26" s="3">
        <v>22</v>
      </c>
      <c r="F26" s="3">
        <v>95.9</v>
      </c>
      <c r="G26" s="3"/>
      <c r="H26" s="3"/>
      <c r="I26" s="19" t="s">
        <v>186</v>
      </c>
      <c r="J26" s="19"/>
    </row>
    <row r="27" spans="1:10" ht="28.05" customHeight="1">
      <c r="A27" s="24">
        <v>23</v>
      </c>
      <c r="B27" s="17" t="s">
        <v>187</v>
      </c>
      <c r="C27" s="17" t="s">
        <v>188</v>
      </c>
      <c r="D27" s="20" t="s">
        <v>326</v>
      </c>
      <c r="E27" s="17">
        <v>22</v>
      </c>
      <c r="F27" s="17">
        <v>95.9</v>
      </c>
      <c r="G27" s="17"/>
      <c r="H27" s="17"/>
      <c r="I27" s="20" t="s">
        <v>190</v>
      </c>
      <c r="J27" s="20"/>
    </row>
    <row r="28" spans="1:10" ht="28.05" customHeight="1">
      <c r="A28" s="23">
        <v>24</v>
      </c>
      <c r="B28" s="3" t="s">
        <v>191</v>
      </c>
      <c r="C28" s="3" t="s">
        <v>109</v>
      </c>
      <c r="D28" s="19" t="s">
        <v>326</v>
      </c>
      <c r="E28" s="3">
        <v>24</v>
      </c>
      <c r="F28" s="3">
        <v>95.8</v>
      </c>
      <c r="G28" s="3"/>
      <c r="H28" s="3"/>
      <c r="I28" s="19" t="s">
        <v>193</v>
      </c>
      <c r="J28" s="19"/>
    </row>
    <row r="29" spans="1:10" ht="28.05" customHeight="1">
      <c r="A29" s="24">
        <v>25</v>
      </c>
      <c r="B29" s="17" t="s">
        <v>194</v>
      </c>
      <c r="C29" s="17" t="s">
        <v>109</v>
      </c>
      <c r="D29" s="20" t="s">
        <v>326</v>
      </c>
      <c r="E29" s="17">
        <v>24</v>
      </c>
      <c r="F29" s="17">
        <v>95.8</v>
      </c>
      <c r="G29" s="17"/>
      <c r="H29" s="17"/>
      <c r="I29" s="20" t="s">
        <v>196</v>
      </c>
      <c r="J29" s="20"/>
    </row>
    <row r="30" spans="1:10" ht="28.05" customHeight="1">
      <c r="A30" s="23">
        <v>26</v>
      </c>
      <c r="B30" s="3" t="s">
        <v>197</v>
      </c>
      <c r="C30" s="3" t="s">
        <v>104</v>
      </c>
      <c r="D30" s="28" t="s">
        <v>327</v>
      </c>
      <c r="E30" s="3">
        <v>24</v>
      </c>
      <c r="F30" s="3">
        <v>95.8</v>
      </c>
      <c r="G30" s="3">
        <v>12</v>
      </c>
      <c r="H30" s="3">
        <v>95.9</v>
      </c>
      <c r="I30" s="19" t="s">
        <v>199</v>
      </c>
      <c r="J30" s="19" t="s">
        <v>200</v>
      </c>
    </row>
    <row r="31" spans="1:10" ht="28.05" customHeight="1">
      <c r="A31" s="24">
        <v>27</v>
      </c>
      <c r="B31" s="17" t="s">
        <v>201</v>
      </c>
      <c r="C31" s="17" t="s">
        <v>109</v>
      </c>
      <c r="D31" s="28" t="s">
        <v>327</v>
      </c>
      <c r="E31" s="17" t="s">
        <v>202</v>
      </c>
      <c r="F31" s="17">
        <v>95.7</v>
      </c>
      <c r="G31" s="17" t="s">
        <v>158</v>
      </c>
      <c r="H31" s="17">
        <v>95.8</v>
      </c>
      <c r="I31" s="20" t="s">
        <v>204</v>
      </c>
      <c r="J31" s="20" t="s">
        <v>205</v>
      </c>
    </row>
    <row r="32" spans="1:10" ht="28.05" customHeight="1">
      <c r="A32" s="23">
        <v>28</v>
      </c>
      <c r="B32" s="3" t="s">
        <v>206</v>
      </c>
      <c r="C32" s="3" t="s">
        <v>207</v>
      </c>
      <c r="D32" s="19" t="s">
        <v>326</v>
      </c>
      <c r="E32" s="3" t="s">
        <v>208</v>
      </c>
      <c r="F32" s="3">
        <v>95.5</v>
      </c>
      <c r="G32" s="3"/>
      <c r="H32" s="3"/>
      <c r="I32" s="19" t="s">
        <v>210</v>
      </c>
      <c r="J32" s="19"/>
    </row>
    <row r="33" spans="1:10" ht="28.05" customHeight="1">
      <c r="A33" s="24">
        <v>29</v>
      </c>
      <c r="B33" s="17" t="s">
        <v>211</v>
      </c>
      <c r="C33" s="17" t="s">
        <v>212</v>
      </c>
      <c r="D33" s="20" t="s">
        <v>326</v>
      </c>
      <c r="E33" s="17" t="s">
        <v>213</v>
      </c>
      <c r="F33" s="17">
        <v>95.4</v>
      </c>
      <c r="G33" s="17"/>
      <c r="H33" s="17"/>
      <c r="I33" s="20" t="s">
        <v>214</v>
      </c>
      <c r="J33" s="20"/>
    </row>
    <row r="34" spans="1:10" ht="28.05" customHeight="1">
      <c r="A34" s="23">
        <v>30</v>
      </c>
      <c r="B34" s="3" t="s">
        <v>215</v>
      </c>
      <c r="C34" s="3" t="s">
        <v>150</v>
      </c>
      <c r="D34" s="19" t="s">
        <v>326</v>
      </c>
      <c r="E34" s="3">
        <v>30</v>
      </c>
      <c r="F34" s="3">
        <v>95.3</v>
      </c>
      <c r="G34" s="3"/>
      <c r="H34" s="3"/>
      <c r="I34" s="19" t="s">
        <v>217</v>
      </c>
      <c r="J34" s="19"/>
    </row>
    <row r="35" spans="1:10" ht="28.05" customHeight="1">
      <c r="A35" s="24">
        <v>49</v>
      </c>
      <c r="B35" s="17" t="s">
        <v>273</v>
      </c>
      <c r="C35" s="17" t="s">
        <v>109</v>
      </c>
      <c r="D35" s="28" t="s">
        <v>327</v>
      </c>
      <c r="E35" s="17">
        <v>48</v>
      </c>
      <c r="F35" s="17">
        <v>93.5</v>
      </c>
      <c r="G35" s="17">
        <v>20</v>
      </c>
      <c r="H35" s="17">
        <v>95.3</v>
      </c>
      <c r="I35" s="20" t="s">
        <v>275</v>
      </c>
      <c r="J35" s="20" t="s">
        <v>276</v>
      </c>
    </row>
    <row r="36" spans="1:10" ht="28.05" customHeight="1">
      <c r="A36" s="23">
        <v>52</v>
      </c>
      <c r="B36" s="3" t="s">
        <v>219</v>
      </c>
      <c r="C36" s="3" t="s">
        <v>129</v>
      </c>
      <c r="D36" s="19" t="s">
        <v>328</v>
      </c>
      <c r="E36" s="3"/>
      <c r="F36" s="3"/>
      <c r="G36" s="3" t="s">
        <v>105</v>
      </c>
      <c r="H36" s="3">
        <v>97.9</v>
      </c>
      <c r="I36" s="19"/>
      <c r="J36" s="19" t="s">
        <v>222</v>
      </c>
    </row>
    <row r="37" spans="1:10" ht="28.05" customHeight="1">
      <c r="A37" s="24">
        <v>53</v>
      </c>
      <c r="B37" s="17" t="s">
        <v>223</v>
      </c>
      <c r="C37" s="17" t="s">
        <v>129</v>
      </c>
      <c r="D37" s="20" t="s">
        <v>328</v>
      </c>
      <c r="E37" s="17"/>
      <c r="F37" s="17"/>
      <c r="G37" s="17" t="s">
        <v>110</v>
      </c>
      <c r="H37" s="17">
        <v>97.8</v>
      </c>
      <c r="I37" s="20"/>
      <c r="J37" s="20" t="s">
        <v>225</v>
      </c>
    </row>
    <row r="38" spans="1:10" ht="28.05" customHeight="1">
      <c r="A38" s="23">
        <v>54</v>
      </c>
      <c r="B38" s="3" t="s">
        <v>226</v>
      </c>
      <c r="C38" s="3" t="s">
        <v>104</v>
      </c>
      <c r="D38" s="19" t="s">
        <v>328</v>
      </c>
      <c r="E38" s="3"/>
      <c r="F38" s="3"/>
      <c r="G38" s="3" t="s">
        <v>114</v>
      </c>
      <c r="H38" s="3">
        <v>97.5</v>
      </c>
      <c r="I38" s="19"/>
      <c r="J38" s="19" t="s">
        <v>227</v>
      </c>
    </row>
    <row r="39" spans="1:10" ht="28.05" customHeight="1">
      <c r="A39" s="24">
        <v>55</v>
      </c>
      <c r="B39" s="17" t="s">
        <v>228</v>
      </c>
      <c r="C39" s="17" t="s">
        <v>229</v>
      </c>
      <c r="D39" s="20" t="s">
        <v>328</v>
      </c>
      <c r="E39" s="17"/>
      <c r="F39" s="17"/>
      <c r="G39" s="17" t="s">
        <v>118</v>
      </c>
      <c r="H39" s="17">
        <v>97.3</v>
      </c>
      <c r="I39" s="20"/>
      <c r="J39" s="20" t="s">
        <v>231</v>
      </c>
    </row>
    <row r="40" spans="1:10" ht="28.05" customHeight="1">
      <c r="A40" s="23">
        <v>56</v>
      </c>
      <c r="B40" s="3" t="s">
        <v>232</v>
      </c>
      <c r="C40" s="3" t="s">
        <v>233</v>
      </c>
      <c r="D40" s="19" t="s">
        <v>328</v>
      </c>
      <c r="E40" s="3"/>
      <c r="F40" s="3"/>
      <c r="G40" s="3" t="s">
        <v>122</v>
      </c>
      <c r="H40" s="3">
        <v>96.8</v>
      </c>
      <c r="I40" s="19"/>
      <c r="J40" s="19" t="s">
        <v>235</v>
      </c>
    </row>
    <row r="41" spans="1:10" ht="28.05" customHeight="1">
      <c r="A41" s="24">
        <v>57</v>
      </c>
      <c r="B41" s="17" t="s">
        <v>236</v>
      </c>
      <c r="C41" s="17" t="s">
        <v>237</v>
      </c>
      <c r="D41" s="20" t="s">
        <v>328</v>
      </c>
      <c r="E41" s="17"/>
      <c r="F41" s="17"/>
      <c r="G41" s="17">
        <v>7</v>
      </c>
      <c r="H41" s="17">
        <v>96.3</v>
      </c>
      <c r="I41" s="20"/>
      <c r="J41" s="20" t="s">
        <v>239</v>
      </c>
    </row>
    <row r="42" spans="1:10" ht="28.05" customHeight="1">
      <c r="A42" s="23">
        <v>58</v>
      </c>
      <c r="B42" s="3" t="s">
        <v>240</v>
      </c>
      <c r="C42" s="3" t="s">
        <v>229</v>
      </c>
      <c r="D42" s="19" t="s">
        <v>328</v>
      </c>
      <c r="E42" s="3"/>
      <c r="F42" s="3"/>
      <c r="G42" s="3">
        <v>7</v>
      </c>
      <c r="H42" s="3">
        <v>96.3</v>
      </c>
      <c r="I42" s="19"/>
      <c r="J42" s="19" t="s">
        <v>242</v>
      </c>
    </row>
    <row r="43" spans="1:10" ht="28.05" customHeight="1">
      <c r="A43" s="24">
        <v>59</v>
      </c>
      <c r="B43" s="17" t="s">
        <v>243</v>
      </c>
      <c r="C43" s="17" t="s">
        <v>244</v>
      </c>
      <c r="D43" s="20" t="s">
        <v>328</v>
      </c>
      <c r="E43" s="17"/>
      <c r="F43" s="17"/>
      <c r="G43" s="17" t="s">
        <v>134</v>
      </c>
      <c r="H43" s="17">
        <v>96.1</v>
      </c>
      <c r="I43" s="20"/>
      <c r="J43" s="20" t="s">
        <v>246</v>
      </c>
    </row>
    <row r="44" spans="1:10" ht="28.05" customHeight="1">
      <c r="A44" s="23">
        <v>60</v>
      </c>
      <c r="B44" s="3" t="s">
        <v>247</v>
      </c>
      <c r="C44" s="3" t="s">
        <v>248</v>
      </c>
      <c r="D44" s="19" t="s">
        <v>328</v>
      </c>
      <c r="E44" s="3"/>
      <c r="F44" s="3"/>
      <c r="G44" s="3">
        <v>10</v>
      </c>
      <c r="H44" s="3">
        <v>96</v>
      </c>
      <c r="I44" s="19"/>
      <c r="J44" s="19" t="s">
        <v>250</v>
      </c>
    </row>
    <row r="45" spans="1:10" ht="28.05" customHeight="1">
      <c r="A45" s="24">
        <v>61</v>
      </c>
      <c r="B45" s="17" t="s">
        <v>251</v>
      </c>
      <c r="C45" s="17" t="s">
        <v>104</v>
      </c>
      <c r="D45" s="20" t="s">
        <v>328</v>
      </c>
      <c r="E45" s="17"/>
      <c r="F45" s="17"/>
      <c r="G45" s="17">
        <v>10</v>
      </c>
      <c r="H45" s="17">
        <v>96</v>
      </c>
      <c r="I45" s="20"/>
      <c r="J45" s="20" t="s">
        <v>252</v>
      </c>
    </row>
    <row r="46" spans="1:10" ht="28.05" customHeight="1">
      <c r="A46" s="23">
        <v>62</v>
      </c>
      <c r="B46" s="3" t="s">
        <v>253</v>
      </c>
      <c r="C46" s="3" t="s">
        <v>233</v>
      </c>
      <c r="D46" s="19" t="s">
        <v>328</v>
      </c>
      <c r="E46" s="3"/>
      <c r="F46" s="3"/>
      <c r="G46" s="3">
        <v>12</v>
      </c>
      <c r="H46" s="3">
        <v>95.9</v>
      </c>
      <c r="I46" s="19"/>
      <c r="J46" s="19" t="s">
        <v>255</v>
      </c>
    </row>
    <row r="47" spans="1:10" ht="28.05" customHeight="1">
      <c r="A47" s="24">
        <v>63</v>
      </c>
      <c r="B47" s="17" t="s">
        <v>256</v>
      </c>
      <c r="C47" s="17" t="s">
        <v>257</v>
      </c>
      <c r="D47" s="20" t="s">
        <v>328</v>
      </c>
      <c r="E47" s="17"/>
      <c r="F47" s="17"/>
      <c r="G47" s="17" t="s">
        <v>162</v>
      </c>
      <c r="H47" s="17">
        <v>95.7</v>
      </c>
      <c r="I47" s="20"/>
      <c r="J47" s="20" t="s">
        <v>259</v>
      </c>
    </row>
    <row r="48" spans="1:10" ht="28.05" customHeight="1">
      <c r="A48" s="23">
        <v>64</v>
      </c>
      <c r="B48" s="3" t="s">
        <v>260</v>
      </c>
      <c r="C48" s="3" t="s">
        <v>233</v>
      </c>
      <c r="D48" s="19" t="s">
        <v>328</v>
      </c>
      <c r="E48" s="3"/>
      <c r="F48" s="3"/>
      <c r="G48" s="3">
        <v>16</v>
      </c>
      <c r="H48" s="3">
        <v>95.6</v>
      </c>
      <c r="I48" s="19"/>
      <c r="J48" s="19" t="s">
        <v>262</v>
      </c>
    </row>
    <row r="49" spans="1:10" ht="28.05" customHeight="1">
      <c r="A49" s="24">
        <v>65</v>
      </c>
      <c r="B49" s="17" t="s">
        <v>263</v>
      </c>
      <c r="C49" s="17" t="s">
        <v>129</v>
      </c>
      <c r="D49" s="20" t="s">
        <v>328</v>
      </c>
      <c r="E49" s="17"/>
      <c r="F49" s="17"/>
      <c r="G49" s="17">
        <v>16</v>
      </c>
      <c r="H49" s="17">
        <v>95.6</v>
      </c>
      <c r="I49" s="20"/>
      <c r="J49" s="20" t="s">
        <v>265</v>
      </c>
    </row>
    <row r="50" spans="1:10" ht="28.05" customHeight="1">
      <c r="A50" s="23">
        <v>66</v>
      </c>
      <c r="B50" s="3" t="s">
        <v>27</v>
      </c>
      <c r="C50" s="3" t="s">
        <v>104</v>
      </c>
      <c r="D50" s="19" t="s">
        <v>328</v>
      </c>
      <c r="E50" s="3"/>
      <c r="F50" s="3"/>
      <c r="G50" s="3" t="s">
        <v>266</v>
      </c>
      <c r="H50" s="3">
        <v>95.5</v>
      </c>
      <c r="I50" s="19"/>
      <c r="J50" s="19" t="s">
        <v>268</v>
      </c>
    </row>
    <row r="51" spans="1:10" ht="28.05" customHeight="1">
      <c r="A51" s="24">
        <v>67</v>
      </c>
      <c r="B51" s="17" t="s">
        <v>269</v>
      </c>
      <c r="C51" s="17" t="s">
        <v>270</v>
      </c>
      <c r="D51" s="20" t="s">
        <v>328</v>
      </c>
      <c r="E51" s="17"/>
      <c r="F51" s="17"/>
      <c r="G51" s="17" t="s">
        <v>172</v>
      </c>
      <c r="H51" s="17">
        <v>95.4</v>
      </c>
      <c r="I51" s="20"/>
      <c r="J51" s="20" t="s">
        <v>272</v>
      </c>
    </row>
    <row r="52" spans="1:10" ht="28.05" customHeight="1">
      <c r="A52" s="23">
        <v>68</v>
      </c>
      <c r="B52" s="3" t="s">
        <v>277</v>
      </c>
      <c r="C52" s="3" t="s">
        <v>233</v>
      </c>
      <c r="D52" s="19" t="s">
        <v>328</v>
      </c>
      <c r="E52" s="3"/>
      <c r="F52" s="3"/>
      <c r="G52" s="3">
        <v>20</v>
      </c>
      <c r="H52" s="3">
        <v>95.3</v>
      </c>
      <c r="I52" s="19"/>
      <c r="J52" s="19" t="s">
        <v>279</v>
      </c>
    </row>
    <row r="53" spans="1:10" ht="28.05" customHeight="1">
      <c r="A53" s="24">
        <v>69</v>
      </c>
      <c r="B53" s="17" t="s">
        <v>280</v>
      </c>
      <c r="C53" s="17" t="s">
        <v>281</v>
      </c>
      <c r="D53" s="20" t="s">
        <v>328</v>
      </c>
      <c r="E53" s="17"/>
      <c r="F53" s="17"/>
      <c r="G53" s="17">
        <v>20</v>
      </c>
      <c r="H53" s="17">
        <v>95.3</v>
      </c>
      <c r="I53" s="20"/>
      <c r="J53" s="20" t="s">
        <v>283</v>
      </c>
    </row>
    <row r="54" spans="1:10" ht="28.05" customHeight="1">
      <c r="A54" s="23">
        <v>70</v>
      </c>
      <c r="B54" s="3" t="s">
        <v>284</v>
      </c>
      <c r="C54" s="3" t="s">
        <v>285</v>
      </c>
      <c r="D54" s="19" t="s">
        <v>328</v>
      </c>
      <c r="E54" s="3"/>
      <c r="F54" s="3"/>
      <c r="G54" s="3" t="s">
        <v>286</v>
      </c>
      <c r="H54" s="3">
        <v>95.2</v>
      </c>
      <c r="I54" s="19"/>
      <c r="J54" s="19" t="s">
        <v>287</v>
      </c>
    </row>
    <row r="55" spans="1:10" ht="28.05" customHeight="1">
      <c r="A55" s="24">
        <v>71</v>
      </c>
      <c r="B55" s="17" t="s">
        <v>288</v>
      </c>
      <c r="C55" s="17" t="s">
        <v>229</v>
      </c>
      <c r="D55" s="20" t="s">
        <v>328</v>
      </c>
      <c r="E55" s="17"/>
      <c r="F55" s="17"/>
      <c r="G55" s="17" t="s">
        <v>289</v>
      </c>
      <c r="H55" s="17">
        <v>95</v>
      </c>
      <c r="I55" s="20"/>
      <c r="J55" s="20" t="s">
        <v>291</v>
      </c>
    </row>
    <row r="56" spans="1:10" ht="28.05" customHeight="1">
      <c r="A56" s="23">
        <v>72</v>
      </c>
      <c r="B56" s="3" t="s">
        <v>292</v>
      </c>
      <c r="C56" s="3" t="s">
        <v>293</v>
      </c>
      <c r="D56" s="19" t="s">
        <v>328</v>
      </c>
      <c r="E56" s="3"/>
      <c r="F56" s="3"/>
      <c r="G56" s="3" t="s">
        <v>294</v>
      </c>
      <c r="H56" s="3">
        <v>94.9</v>
      </c>
      <c r="I56" s="19"/>
      <c r="J56" s="19" t="s">
        <v>296</v>
      </c>
    </row>
    <row r="57" spans="1:10" ht="28.05" customHeight="1">
      <c r="A57" s="24">
        <v>73</v>
      </c>
      <c r="B57" s="17" t="s">
        <v>297</v>
      </c>
      <c r="C57" s="17" t="s">
        <v>233</v>
      </c>
      <c r="D57" s="20" t="s">
        <v>328</v>
      </c>
      <c r="E57" s="17"/>
      <c r="F57" s="17"/>
      <c r="G57" s="17" t="s">
        <v>298</v>
      </c>
      <c r="H57" s="17">
        <v>94.7</v>
      </c>
      <c r="I57" s="20"/>
      <c r="J57" s="20" t="s">
        <v>300</v>
      </c>
    </row>
    <row r="58" spans="1:10" ht="28.05" customHeight="1">
      <c r="A58" s="23">
        <v>74</v>
      </c>
      <c r="B58" s="3" t="s">
        <v>301</v>
      </c>
      <c r="C58" s="3" t="s">
        <v>104</v>
      </c>
      <c r="D58" s="19" t="s">
        <v>328</v>
      </c>
      <c r="E58" s="3"/>
      <c r="F58" s="3"/>
      <c r="G58" s="3" t="s">
        <v>202</v>
      </c>
      <c r="H58" s="3">
        <v>94.6</v>
      </c>
      <c r="I58" s="19"/>
      <c r="J58" s="19" t="s">
        <v>303</v>
      </c>
    </row>
    <row r="59" spans="1:10" ht="28.05" customHeight="1">
      <c r="A59" s="24">
        <v>76</v>
      </c>
      <c r="B59" s="17" t="s">
        <v>304</v>
      </c>
      <c r="C59" s="17" t="s">
        <v>129</v>
      </c>
      <c r="D59" s="20" t="s">
        <v>328</v>
      </c>
      <c r="E59" s="17"/>
      <c r="F59" s="17"/>
      <c r="G59" s="17" t="s">
        <v>213</v>
      </c>
      <c r="H59" s="17">
        <v>94.3</v>
      </c>
      <c r="I59" s="20"/>
      <c r="J59" s="20" t="s">
        <v>305</v>
      </c>
    </row>
    <row r="60" spans="1:10" ht="28.05" customHeight="1">
      <c r="A60" s="23">
        <v>77</v>
      </c>
      <c r="B60" s="3" t="s">
        <v>306</v>
      </c>
      <c r="C60" s="3" t="s">
        <v>129</v>
      </c>
      <c r="D60" s="19" t="s">
        <v>328</v>
      </c>
      <c r="E60" s="3"/>
      <c r="F60" s="3"/>
      <c r="G60" s="3" t="s">
        <v>307</v>
      </c>
      <c r="H60" s="3">
        <v>94.1</v>
      </c>
      <c r="I60" s="19"/>
      <c r="J60" s="19" t="s">
        <v>309</v>
      </c>
    </row>
    <row r="61" spans="1:10" ht="28.05" customHeight="1">
      <c r="A61" s="24">
        <v>78</v>
      </c>
      <c r="B61" s="17" t="s">
        <v>310</v>
      </c>
      <c r="C61" s="17" t="s">
        <v>109</v>
      </c>
      <c r="D61" s="20" t="s">
        <v>328</v>
      </c>
      <c r="E61" s="17"/>
      <c r="F61" s="17"/>
      <c r="G61" s="17">
        <v>31</v>
      </c>
      <c r="H61" s="17">
        <v>94</v>
      </c>
      <c r="I61" s="20"/>
      <c r="J61" s="20" t="s">
        <v>312</v>
      </c>
    </row>
    <row r="62" spans="1:10" ht="28.05" customHeight="1">
      <c r="A62" s="23">
        <v>79</v>
      </c>
      <c r="B62" s="3" t="s">
        <v>313</v>
      </c>
      <c r="C62" s="3" t="s">
        <v>257</v>
      </c>
      <c r="D62" s="19" t="s">
        <v>328</v>
      </c>
      <c r="E62" s="3"/>
      <c r="F62" s="3"/>
      <c r="G62" s="3">
        <v>31</v>
      </c>
      <c r="H62" s="3">
        <v>94</v>
      </c>
      <c r="I62" s="19"/>
      <c r="J62" s="19" t="s">
        <v>314</v>
      </c>
    </row>
    <row r="63" spans="1:10" ht="28.05" customHeight="1">
      <c r="A63" s="24">
        <v>80</v>
      </c>
      <c r="B63" s="17" t="s">
        <v>315</v>
      </c>
      <c r="C63" s="17" t="s">
        <v>316</v>
      </c>
      <c r="D63" s="20" t="s">
        <v>328</v>
      </c>
      <c r="E63" s="17"/>
      <c r="F63" s="17"/>
      <c r="G63" s="17">
        <v>33</v>
      </c>
      <c r="H63" s="17">
        <v>93.9</v>
      </c>
      <c r="I63" s="20"/>
      <c r="J63" s="20" t="s">
        <v>317</v>
      </c>
    </row>
    <row r="64" spans="1:10" ht="28.05" customHeight="1">
      <c r="A64" s="25">
        <v>81</v>
      </c>
      <c r="B64" s="4" t="s">
        <v>318</v>
      </c>
      <c r="C64" s="4" t="s">
        <v>150</v>
      </c>
      <c r="D64" s="21" t="s">
        <v>328</v>
      </c>
      <c r="E64" s="4"/>
      <c r="F64" s="4"/>
      <c r="G64" s="4">
        <v>33</v>
      </c>
      <c r="H64" s="4">
        <v>93.9</v>
      </c>
      <c r="I64" s="21"/>
      <c r="J64" s="21" t="s">
        <v>320</v>
      </c>
    </row>
  </sheetData>
  <mergeCells count="2">
    <mergeCell ref="A1:J1"/>
    <mergeCell ref="A2:J2"/>
  </mergeCells>
  <phoneticPr fontId="8"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64"/>
  <sheetViews>
    <sheetView showGridLines="0" workbookViewId="0"/>
  </sheetViews>
  <sheetFormatPr defaultRowHeight="13.5"/>
  <cols>
    <col min="1" max="1" width="8" customWidth="1"/>
    <col min="2" max="2" width="30" customWidth="1"/>
    <col min="3" max="3" width="16" customWidth="1"/>
    <col min="4" max="4" width="18" customWidth="1"/>
    <col min="5" max="5" width="44" customWidth="1"/>
    <col min="6" max="6" width="18" customWidth="1"/>
    <col min="7" max="7" width="20" customWidth="1"/>
    <col min="8" max="8" width="50" customWidth="1"/>
    <col min="9" max="9" width="15" customWidth="1"/>
    <col min="10" max="10" width="18" customWidth="1"/>
    <col min="11" max="11" width="12" customWidth="1"/>
    <col min="12" max="12" width="50" customWidth="1"/>
  </cols>
  <sheetData>
    <row r="1" spans="1:12" ht="28.05" customHeight="1">
      <c r="A1" s="36" t="s">
        <v>329</v>
      </c>
      <c r="B1" s="36"/>
      <c r="C1" s="36"/>
      <c r="D1" s="36"/>
      <c r="E1" s="36"/>
      <c r="F1" s="36"/>
      <c r="G1" s="36"/>
      <c r="H1" s="36"/>
      <c r="I1" s="36"/>
      <c r="J1" s="36"/>
      <c r="K1" s="36"/>
      <c r="L1" s="36"/>
    </row>
    <row r="2" spans="1:12" ht="34.049999999999997" customHeight="1">
      <c r="A2" s="37" t="s">
        <v>330</v>
      </c>
      <c r="B2" s="37"/>
      <c r="C2" s="37"/>
      <c r="D2" s="37"/>
      <c r="E2" s="37"/>
      <c r="F2" s="37"/>
      <c r="G2" s="37"/>
      <c r="H2" s="37"/>
      <c r="I2" s="37"/>
      <c r="J2" s="37"/>
      <c r="K2" s="37"/>
      <c r="L2" s="37"/>
    </row>
    <row r="4" spans="1:12" ht="38" customHeight="1">
      <c r="A4" s="13" t="s">
        <v>87</v>
      </c>
      <c r="B4" s="14" t="s">
        <v>88</v>
      </c>
      <c r="C4" s="14" t="s">
        <v>89</v>
      </c>
      <c r="D4" s="14" t="s">
        <v>323</v>
      </c>
      <c r="E4" s="14" t="s">
        <v>331</v>
      </c>
      <c r="F4" s="14" t="s">
        <v>332</v>
      </c>
      <c r="G4" s="14" t="s">
        <v>333</v>
      </c>
      <c r="H4" s="14" t="s">
        <v>334</v>
      </c>
      <c r="I4" s="14" t="s">
        <v>335</v>
      </c>
      <c r="J4" s="14" t="s">
        <v>336</v>
      </c>
      <c r="K4" s="14" t="s">
        <v>337</v>
      </c>
      <c r="L4" s="15" t="s">
        <v>338</v>
      </c>
    </row>
    <row r="5" spans="1:12" ht="28.05" customHeight="1">
      <c r="A5" s="22">
        <v>1</v>
      </c>
      <c r="B5" s="16" t="s">
        <v>97</v>
      </c>
      <c r="C5" s="16" t="s">
        <v>98</v>
      </c>
      <c r="D5" s="18" t="s">
        <v>326</v>
      </c>
      <c r="E5" s="16" t="s">
        <v>100</v>
      </c>
      <c r="F5" s="16" t="s">
        <v>339</v>
      </c>
      <c r="G5" s="16" t="s">
        <v>340</v>
      </c>
      <c r="H5" s="18" t="s">
        <v>341</v>
      </c>
      <c r="I5" s="16" t="s">
        <v>342</v>
      </c>
      <c r="J5" s="18" t="s">
        <v>343</v>
      </c>
      <c r="K5" s="16">
        <v>200</v>
      </c>
      <c r="L5" s="16" t="s">
        <v>344</v>
      </c>
    </row>
    <row r="6" spans="1:12" ht="28.05" customHeight="1">
      <c r="A6" s="23">
        <v>2</v>
      </c>
      <c r="B6" s="3" t="s">
        <v>103</v>
      </c>
      <c r="C6" s="3" t="s">
        <v>104</v>
      </c>
      <c r="D6" s="19" t="s">
        <v>326</v>
      </c>
      <c r="E6" s="3" t="s">
        <v>106</v>
      </c>
      <c r="F6" s="3" t="s">
        <v>339</v>
      </c>
      <c r="G6" s="3" t="s">
        <v>340</v>
      </c>
      <c r="H6" s="19" t="s">
        <v>345</v>
      </c>
      <c r="I6" s="3" t="s">
        <v>342</v>
      </c>
      <c r="J6" s="19" t="s">
        <v>343</v>
      </c>
      <c r="K6" s="3">
        <v>200</v>
      </c>
      <c r="L6" s="3" t="s">
        <v>346</v>
      </c>
    </row>
    <row r="7" spans="1:12" ht="28.05" customHeight="1">
      <c r="A7" s="24">
        <v>3</v>
      </c>
      <c r="B7" s="17" t="s">
        <v>108</v>
      </c>
      <c r="C7" s="17" t="s">
        <v>109</v>
      </c>
      <c r="D7" s="20" t="s">
        <v>326</v>
      </c>
      <c r="E7" s="17" t="s">
        <v>111</v>
      </c>
      <c r="F7" s="17" t="s">
        <v>339</v>
      </c>
      <c r="G7" s="17" t="s">
        <v>340</v>
      </c>
      <c r="H7" s="20" t="s">
        <v>347</v>
      </c>
      <c r="I7" s="17" t="s">
        <v>342</v>
      </c>
      <c r="J7" s="20" t="s">
        <v>343</v>
      </c>
      <c r="K7" s="17">
        <v>200</v>
      </c>
      <c r="L7" s="17" t="s">
        <v>346</v>
      </c>
    </row>
    <row r="8" spans="1:12" ht="28.05" customHeight="1">
      <c r="A8" s="23">
        <v>4</v>
      </c>
      <c r="B8" s="3" t="s">
        <v>113</v>
      </c>
      <c r="C8" s="3" t="s">
        <v>109</v>
      </c>
      <c r="D8" s="19" t="s">
        <v>326</v>
      </c>
      <c r="E8" s="3" t="s">
        <v>115</v>
      </c>
      <c r="F8" s="3" t="s">
        <v>339</v>
      </c>
      <c r="G8" s="3" t="s">
        <v>340</v>
      </c>
      <c r="H8" s="19" t="s">
        <v>348</v>
      </c>
      <c r="I8" s="3" t="s">
        <v>342</v>
      </c>
      <c r="J8" s="19" t="s">
        <v>343</v>
      </c>
      <c r="K8" s="3">
        <v>200</v>
      </c>
      <c r="L8" s="3" t="s">
        <v>346</v>
      </c>
    </row>
    <row r="9" spans="1:12" ht="28.05" customHeight="1">
      <c r="A9" s="24">
        <v>5</v>
      </c>
      <c r="B9" s="17" t="s">
        <v>117</v>
      </c>
      <c r="C9" s="17" t="s">
        <v>104</v>
      </c>
      <c r="D9" s="20" t="s">
        <v>326</v>
      </c>
      <c r="E9" s="17" t="s">
        <v>119</v>
      </c>
      <c r="F9" s="17" t="s">
        <v>339</v>
      </c>
      <c r="G9" s="17" t="s">
        <v>340</v>
      </c>
      <c r="H9" s="20" t="s">
        <v>349</v>
      </c>
      <c r="I9" s="17" t="s">
        <v>342</v>
      </c>
      <c r="J9" s="20" t="s">
        <v>343</v>
      </c>
      <c r="K9" s="17">
        <v>200</v>
      </c>
      <c r="L9" s="17" t="s">
        <v>350</v>
      </c>
    </row>
    <row r="10" spans="1:12" ht="28.05" customHeight="1">
      <c r="A10" s="23">
        <v>6</v>
      </c>
      <c r="B10" s="3" t="s">
        <v>121</v>
      </c>
      <c r="C10" s="3" t="s">
        <v>109</v>
      </c>
      <c r="D10" s="19" t="s">
        <v>326</v>
      </c>
      <c r="E10" s="3" t="s">
        <v>123</v>
      </c>
      <c r="F10" s="3" t="s">
        <v>339</v>
      </c>
      <c r="G10" s="3" t="s">
        <v>340</v>
      </c>
      <c r="H10" s="19" t="s">
        <v>351</v>
      </c>
      <c r="I10" s="3" t="s">
        <v>342</v>
      </c>
      <c r="J10" s="19" t="s">
        <v>343</v>
      </c>
      <c r="K10" s="3">
        <v>200</v>
      </c>
      <c r="L10" s="3" t="s">
        <v>344</v>
      </c>
    </row>
    <row r="11" spans="1:12" ht="28.05" customHeight="1">
      <c r="A11" s="24">
        <v>7</v>
      </c>
      <c r="B11" s="17" t="s">
        <v>125</v>
      </c>
      <c r="C11" s="17" t="s">
        <v>109</v>
      </c>
      <c r="D11" s="20" t="s">
        <v>326</v>
      </c>
      <c r="E11" s="17" t="s">
        <v>126</v>
      </c>
      <c r="F11" s="17" t="s">
        <v>339</v>
      </c>
      <c r="G11" s="17" t="s">
        <v>340</v>
      </c>
      <c r="H11" s="20" t="s">
        <v>352</v>
      </c>
      <c r="I11" s="17" t="s">
        <v>342</v>
      </c>
      <c r="J11" s="20" t="s">
        <v>343</v>
      </c>
      <c r="K11" s="17">
        <v>200</v>
      </c>
      <c r="L11" s="17" t="s">
        <v>346</v>
      </c>
    </row>
    <row r="12" spans="1:12" ht="28.05" customHeight="1">
      <c r="A12" s="23">
        <v>8</v>
      </c>
      <c r="B12" s="3" t="s">
        <v>128</v>
      </c>
      <c r="C12" s="3" t="s">
        <v>129</v>
      </c>
      <c r="D12" s="19" t="s">
        <v>327</v>
      </c>
      <c r="E12" s="3" t="s">
        <v>130</v>
      </c>
      <c r="F12" s="3" t="s">
        <v>339</v>
      </c>
      <c r="G12" s="3" t="s">
        <v>340</v>
      </c>
      <c r="H12" s="19" t="s">
        <v>353</v>
      </c>
      <c r="I12" s="3" t="s">
        <v>342</v>
      </c>
      <c r="J12" s="19" t="s">
        <v>343</v>
      </c>
      <c r="K12" s="3">
        <v>200</v>
      </c>
      <c r="L12" s="3" t="s">
        <v>346</v>
      </c>
    </row>
    <row r="13" spans="1:12" ht="28.05" customHeight="1">
      <c r="A13" s="24">
        <v>9</v>
      </c>
      <c r="B13" s="17" t="s">
        <v>133</v>
      </c>
      <c r="C13" s="17" t="s">
        <v>104</v>
      </c>
      <c r="D13" s="20" t="s">
        <v>326</v>
      </c>
      <c r="E13" s="17" t="s">
        <v>135</v>
      </c>
      <c r="F13" s="17" t="s">
        <v>354</v>
      </c>
      <c r="G13" s="17" t="s">
        <v>340</v>
      </c>
      <c r="H13" s="20" t="s">
        <v>355</v>
      </c>
      <c r="I13" s="17" t="s">
        <v>342</v>
      </c>
      <c r="J13" s="20" t="s">
        <v>343</v>
      </c>
      <c r="K13" s="17">
        <v>200</v>
      </c>
      <c r="L13" s="17" t="s">
        <v>356</v>
      </c>
    </row>
    <row r="14" spans="1:12" ht="28.05" customHeight="1">
      <c r="A14" s="23">
        <v>10</v>
      </c>
      <c r="B14" s="3" t="s">
        <v>137</v>
      </c>
      <c r="C14" s="3" t="s">
        <v>109</v>
      </c>
      <c r="D14" s="19" t="s">
        <v>327</v>
      </c>
      <c r="E14" s="3" t="s">
        <v>139</v>
      </c>
      <c r="F14" s="3" t="s">
        <v>339</v>
      </c>
      <c r="G14" s="3" t="s">
        <v>340</v>
      </c>
      <c r="H14" s="19" t="s">
        <v>357</v>
      </c>
      <c r="I14" s="3" t="s">
        <v>342</v>
      </c>
      <c r="J14" s="19" t="s">
        <v>343</v>
      </c>
      <c r="K14" s="3">
        <v>200</v>
      </c>
      <c r="L14" s="3" t="s">
        <v>358</v>
      </c>
    </row>
    <row r="15" spans="1:12" ht="28.05" customHeight="1">
      <c r="A15" s="24">
        <v>11</v>
      </c>
      <c r="B15" s="17" t="s">
        <v>142</v>
      </c>
      <c r="C15" s="17" t="s">
        <v>143</v>
      </c>
      <c r="D15" s="20" t="s">
        <v>326</v>
      </c>
      <c r="E15" s="17" t="s">
        <v>144</v>
      </c>
      <c r="F15" s="17" t="s">
        <v>339</v>
      </c>
      <c r="G15" s="17" t="s">
        <v>340</v>
      </c>
      <c r="H15" s="20" t="s">
        <v>359</v>
      </c>
      <c r="I15" s="17" t="s">
        <v>342</v>
      </c>
      <c r="J15" s="20" t="s">
        <v>343</v>
      </c>
      <c r="K15" s="17">
        <v>200</v>
      </c>
      <c r="L15" s="17" t="s">
        <v>360</v>
      </c>
    </row>
    <row r="16" spans="1:12" ht="28.05" customHeight="1">
      <c r="A16" s="23">
        <v>12</v>
      </c>
      <c r="B16" s="3" t="s">
        <v>146</v>
      </c>
      <c r="C16" s="3" t="s">
        <v>129</v>
      </c>
      <c r="D16" s="19" t="s">
        <v>326</v>
      </c>
      <c r="E16" s="3" t="s">
        <v>147</v>
      </c>
      <c r="F16" s="3" t="s">
        <v>339</v>
      </c>
      <c r="G16" s="3" t="s">
        <v>340</v>
      </c>
      <c r="H16" s="19" t="s">
        <v>361</v>
      </c>
      <c r="I16" s="3" t="s">
        <v>342</v>
      </c>
      <c r="J16" s="19" t="s">
        <v>362</v>
      </c>
      <c r="K16" s="3">
        <v>403</v>
      </c>
      <c r="L16" s="3" t="s">
        <v>346</v>
      </c>
    </row>
    <row r="17" spans="1:12" ht="28.05" customHeight="1">
      <c r="A17" s="24">
        <v>13</v>
      </c>
      <c r="B17" s="17" t="s">
        <v>149</v>
      </c>
      <c r="C17" s="17" t="s">
        <v>150</v>
      </c>
      <c r="D17" s="20" t="s">
        <v>326</v>
      </c>
      <c r="E17" s="17" t="s">
        <v>151</v>
      </c>
      <c r="F17" s="17" t="s">
        <v>339</v>
      </c>
      <c r="G17" s="17" t="s">
        <v>340</v>
      </c>
      <c r="H17" s="20" t="s">
        <v>363</v>
      </c>
      <c r="I17" s="17" t="s">
        <v>342</v>
      </c>
      <c r="J17" s="20" t="s">
        <v>343</v>
      </c>
      <c r="K17" s="17">
        <v>200</v>
      </c>
      <c r="L17" s="17" t="s">
        <v>346</v>
      </c>
    </row>
    <row r="18" spans="1:12" ht="28.05" customHeight="1">
      <c r="A18" s="23">
        <v>14</v>
      </c>
      <c r="B18" s="3" t="s">
        <v>153</v>
      </c>
      <c r="C18" s="3" t="s">
        <v>150</v>
      </c>
      <c r="D18" s="19" t="s">
        <v>326</v>
      </c>
      <c r="E18" s="3" t="s">
        <v>155</v>
      </c>
      <c r="F18" s="3" t="s">
        <v>364</v>
      </c>
      <c r="G18" s="3" t="s">
        <v>340</v>
      </c>
      <c r="H18" s="19" t="s">
        <v>365</v>
      </c>
      <c r="I18" s="3" t="s">
        <v>342</v>
      </c>
      <c r="J18" s="19" t="s">
        <v>343</v>
      </c>
      <c r="K18" s="3">
        <v>200</v>
      </c>
      <c r="L18" s="3" t="s">
        <v>366</v>
      </c>
    </row>
    <row r="19" spans="1:12" ht="28.05" customHeight="1">
      <c r="A19" s="24">
        <v>15</v>
      </c>
      <c r="B19" s="17" t="s">
        <v>157</v>
      </c>
      <c r="C19" s="17" t="s">
        <v>109</v>
      </c>
      <c r="D19" s="20" t="s">
        <v>326</v>
      </c>
      <c r="E19" s="17" t="s">
        <v>159</v>
      </c>
      <c r="F19" s="17" t="s">
        <v>339</v>
      </c>
      <c r="G19" s="17" t="s">
        <v>340</v>
      </c>
      <c r="H19" s="20" t="s">
        <v>367</v>
      </c>
      <c r="I19" s="17" t="s">
        <v>342</v>
      </c>
      <c r="J19" s="20" t="s">
        <v>343</v>
      </c>
      <c r="K19" s="17">
        <v>200</v>
      </c>
      <c r="L19" s="17" t="s">
        <v>346</v>
      </c>
    </row>
    <row r="20" spans="1:12" ht="28.05" customHeight="1">
      <c r="A20" s="23">
        <v>16</v>
      </c>
      <c r="B20" s="3" t="s">
        <v>161</v>
      </c>
      <c r="C20" s="3" t="s">
        <v>129</v>
      </c>
      <c r="D20" s="19" t="s">
        <v>326</v>
      </c>
      <c r="E20" s="3" t="s">
        <v>163</v>
      </c>
      <c r="F20" s="3" t="s">
        <v>339</v>
      </c>
      <c r="G20" s="3" t="s">
        <v>340</v>
      </c>
      <c r="H20" s="19" t="s">
        <v>368</v>
      </c>
      <c r="I20" s="3" t="s">
        <v>342</v>
      </c>
      <c r="J20" s="19" t="s">
        <v>343</v>
      </c>
      <c r="K20" s="3">
        <v>200</v>
      </c>
      <c r="L20" s="3" t="s">
        <v>346</v>
      </c>
    </row>
    <row r="21" spans="1:12" ht="28.05" customHeight="1">
      <c r="A21" s="24">
        <v>17</v>
      </c>
      <c r="B21" s="17" t="s">
        <v>165</v>
      </c>
      <c r="C21" s="17" t="s">
        <v>129</v>
      </c>
      <c r="D21" s="20" t="s">
        <v>326</v>
      </c>
      <c r="E21" s="17" t="s">
        <v>166</v>
      </c>
      <c r="F21" s="17" t="s">
        <v>339</v>
      </c>
      <c r="G21" s="17" t="s">
        <v>340</v>
      </c>
      <c r="H21" s="20" t="s">
        <v>369</v>
      </c>
      <c r="I21" s="17" t="s">
        <v>342</v>
      </c>
      <c r="J21" s="20" t="s">
        <v>343</v>
      </c>
      <c r="K21" s="17">
        <v>200</v>
      </c>
      <c r="L21" s="17" t="s">
        <v>346</v>
      </c>
    </row>
    <row r="22" spans="1:12" ht="28.05" customHeight="1">
      <c r="A22" s="23">
        <v>18</v>
      </c>
      <c r="B22" s="3" t="s">
        <v>168</v>
      </c>
      <c r="C22" s="3" t="s">
        <v>109</v>
      </c>
      <c r="D22" s="19" t="s">
        <v>326</v>
      </c>
      <c r="E22" s="3" t="s">
        <v>169</v>
      </c>
      <c r="F22" s="3" t="s">
        <v>339</v>
      </c>
      <c r="G22" s="3" t="s">
        <v>340</v>
      </c>
      <c r="H22" s="19" t="s">
        <v>370</v>
      </c>
      <c r="I22" s="3" t="s">
        <v>342</v>
      </c>
      <c r="J22" s="19" t="s">
        <v>343</v>
      </c>
      <c r="K22" s="3">
        <v>200</v>
      </c>
      <c r="L22" s="3" t="s">
        <v>346</v>
      </c>
    </row>
    <row r="23" spans="1:12" ht="28.05" customHeight="1">
      <c r="A23" s="24">
        <v>19</v>
      </c>
      <c r="B23" s="17" t="s">
        <v>171</v>
      </c>
      <c r="C23" s="17" t="s">
        <v>109</v>
      </c>
      <c r="D23" s="20" t="s">
        <v>326</v>
      </c>
      <c r="E23" s="17" t="s">
        <v>173</v>
      </c>
      <c r="F23" s="17" t="s">
        <v>339</v>
      </c>
      <c r="G23" s="17" t="s">
        <v>340</v>
      </c>
      <c r="H23" s="20" t="s">
        <v>371</v>
      </c>
      <c r="I23" s="17" t="s">
        <v>342</v>
      </c>
      <c r="J23" s="20" t="s">
        <v>343</v>
      </c>
      <c r="K23" s="17">
        <v>200</v>
      </c>
      <c r="L23" s="17" t="s">
        <v>344</v>
      </c>
    </row>
    <row r="24" spans="1:12" ht="28.05" customHeight="1">
      <c r="A24" s="23">
        <v>20</v>
      </c>
      <c r="B24" s="3" t="s">
        <v>175</v>
      </c>
      <c r="C24" s="3" t="s">
        <v>150</v>
      </c>
      <c r="D24" s="19" t="s">
        <v>326</v>
      </c>
      <c r="E24" s="3" t="s">
        <v>177</v>
      </c>
      <c r="F24" s="3" t="s">
        <v>339</v>
      </c>
      <c r="G24" s="3" t="s">
        <v>340</v>
      </c>
      <c r="H24" s="19" t="s">
        <v>372</v>
      </c>
      <c r="I24" s="3" t="s">
        <v>342</v>
      </c>
      <c r="J24" s="19" t="s">
        <v>343</v>
      </c>
      <c r="K24" s="3">
        <v>200</v>
      </c>
      <c r="L24" s="3" t="s">
        <v>346</v>
      </c>
    </row>
    <row r="25" spans="1:12" ht="28.05" customHeight="1">
      <c r="A25" s="24">
        <v>21</v>
      </c>
      <c r="B25" s="17" t="s">
        <v>179</v>
      </c>
      <c r="C25" s="17" t="s">
        <v>150</v>
      </c>
      <c r="D25" s="20" t="s">
        <v>326</v>
      </c>
      <c r="E25" s="17" t="s">
        <v>181</v>
      </c>
      <c r="F25" s="17" t="s">
        <v>339</v>
      </c>
      <c r="G25" s="17" t="s">
        <v>340</v>
      </c>
      <c r="H25" s="20" t="s">
        <v>373</v>
      </c>
      <c r="I25" s="17" t="s">
        <v>342</v>
      </c>
      <c r="J25" s="20" t="s">
        <v>343</v>
      </c>
      <c r="K25" s="17">
        <v>200</v>
      </c>
      <c r="L25" s="17" t="s">
        <v>344</v>
      </c>
    </row>
    <row r="26" spans="1:12" ht="28.05" customHeight="1">
      <c r="A26" s="23">
        <v>22</v>
      </c>
      <c r="B26" s="3" t="s">
        <v>183</v>
      </c>
      <c r="C26" s="3" t="s">
        <v>184</v>
      </c>
      <c r="D26" s="19" t="s">
        <v>326</v>
      </c>
      <c r="E26" s="3" t="s">
        <v>185</v>
      </c>
      <c r="F26" s="3" t="s">
        <v>339</v>
      </c>
      <c r="G26" s="3" t="s">
        <v>340</v>
      </c>
      <c r="H26" s="19" t="s">
        <v>374</v>
      </c>
      <c r="I26" s="3" t="s">
        <v>342</v>
      </c>
      <c r="J26" s="19" t="s">
        <v>343</v>
      </c>
      <c r="K26" s="3">
        <v>200</v>
      </c>
      <c r="L26" s="3" t="s">
        <v>346</v>
      </c>
    </row>
    <row r="27" spans="1:12" ht="28.05" customHeight="1">
      <c r="A27" s="24">
        <v>23</v>
      </c>
      <c r="B27" s="17" t="s">
        <v>187</v>
      </c>
      <c r="C27" s="17" t="s">
        <v>188</v>
      </c>
      <c r="D27" s="20" t="s">
        <v>326</v>
      </c>
      <c r="E27" s="17" t="s">
        <v>189</v>
      </c>
      <c r="F27" s="17" t="s">
        <v>339</v>
      </c>
      <c r="G27" s="17" t="s">
        <v>340</v>
      </c>
      <c r="H27" s="20" t="s">
        <v>375</v>
      </c>
      <c r="I27" s="17" t="s">
        <v>342</v>
      </c>
      <c r="J27" s="20" t="s">
        <v>343</v>
      </c>
      <c r="K27" s="17">
        <v>200</v>
      </c>
      <c r="L27" s="17" t="s">
        <v>344</v>
      </c>
    </row>
    <row r="28" spans="1:12" ht="28.05" customHeight="1">
      <c r="A28" s="23">
        <v>24</v>
      </c>
      <c r="B28" s="3" t="s">
        <v>191</v>
      </c>
      <c r="C28" s="3" t="s">
        <v>109</v>
      </c>
      <c r="D28" s="19" t="s">
        <v>326</v>
      </c>
      <c r="E28" s="3" t="s">
        <v>192</v>
      </c>
      <c r="F28" s="3" t="s">
        <v>339</v>
      </c>
      <c r="G28" s="3" t="s">
        <v>340</v>
      </c>
      <c r="H28" s="19" t="s">
        <v>376</v>
      </c>
      <c r="I28" s="3" t="s">
        <v>342</v>
      </c>
      <c r="J28" s="19" t="s">
        <v>343</v>
      </c>
      <c r="K28" s="3">
        <v>200</v>
      </c>
      <c r="L28" s="3" t="s">
        <v>377</v>
      </c>
    </row>
    <row r="29" spans="1:12" ht="28.05" customHeight="1">
      <c r="A29" s="24">
        <v>25</v>
      </c>
      <c r="B29" s="17" t="s">
        <v>194</v>
      </c>
      <c r="C29" s="17" t="s">
        <v>109</v>
      </c>
      <c r="D29" s="20" t="s">
        <v>326</v>
      </c>
      <c r="E29" s="17" t="s">
        <v>195</v>
      </c>
      <c r="F29" s="17" t="s">
        <v>339</v>
      </c>
      <c r="G29" s="17" t="s">
        <v>340</v>
      </c>
      <c r="H29" s="20" t="s">
        <v>378</v>
      </c>
      <c r="I29" s="17" t="s">
        <v>342</v>
      </c>
      <c r="J29" s="20" t="s">
        <v>343</v>
      </c>
      <c r="K29" s="17">
        <v>200</v>
      </c>
      <c r="L29" s="17" t="s">
        <v>379</v>
      </c>
    </row>
    <row r="30" spans="1:12" ht="28.05" customHeight="1">
      <c r="A30" s="23">
        <v>26</v>
      </c>
      <c r="B30" s="3" t="s">
        <v>197</v>
      </c>
      <c r="C30" s="3" t="s">
        <v>104</v>
      </c>
      <c r="D30" s="19" t="s">
        <v>327</v>
      </c>
      <c r="E30" s="3" t="s">
        <v>198</v>
      </c>
      <c r="F30" s="3" t="s">
        <v>339</v>
      </c>
      <c r="G30" s="3" t="s">
        <v>340</v>
      </c>
      <c r="H30" s="19" t="s">
        <v>380</v>
      </c>
      <c r="I30" s="3" t="s">
        <v>342</v>
      </c>
      <c r="J30" s="19" t="s">
        <v>343</v>
      </c>
      <c r="K30" s="3">
        <v>200</v>
      </c>
      <c r="L30" s="3" t="s">
        <v>344</v>
      </c>
    </row>
    <row r="31" spans="1:12" ht="28.05" customHeight="1">
      <c r="A31" s="24">
        <v>27</v>
      </c>
      <c r="B31" s="17" t="s">
        <v>201</v>
      </c>
      <c r="C31" s="17" t="s">
        <v>109</v>
      </c>
      <c r="D31" s="20" t="s">
        <v>327</v>
      </c>
      <c r="E31" s="17" t="s">
        <v>203</v>
      </c>
      <c r="F31" s="17" t="s">
        <v>339</v>
      </c>
      <c r="G31" s="17" t="s">
        <v>340</v>
      </c>
      <c r="H31" s="20" t="s">
        <v>381</v>
      </c>
      <c r="I31" s="17" t="s">
        <v>342</v>
      </c>
      <c r="J31" s="20" t="s">
        <v>343</v>
      </c>
      <c r="K31" s="17">
        <v>200</v>
      </c>
      <c r="L31" s="17" t="s">
        <v>344</v>
      </c>
    </row>
    <row r="32" spans="1:12" ht="28.05" customHeight="1">
      <c r="A32" s="23">
        <v>28</v>
      </c>
      <c r="B32" s="3" t="s">
        <v>206</v>
      </c>
      <c r="C32" s="3" t="s">
        <v>207</v>
      </c>
      <c r="D32" s="19" t="s">
        <v>326</v>
      </c>
      <c r="E32" s="3" t="s">
        <v>209</v>
      </c>
      <c r="F32" s="3" t="s">
        <v>339</v>
      </c>
      <c r="G32" s="3" t="s">
        <v>340</v>
      </c>
      <c r="H32" s="19" t="s">
        <v>382</v>
      </c>
      <c r="I32" s="3" t="s">
        <v>342</v>
      </c>
      <c r="J32" s="19" t="s">
        <v>343</v>
      </c>
      <c r="K32" s="3">
        <v>200</v>
      </c>
      <c r="L32" s="3" t="s">
        <v>344</v>
      </c>
    </row>
    <row r="33" spans="1:12" ht="28.05" customHeight="1">
      <c r="A33" s="24">
        <v>29</v>
      </c>
      <c r="B33" s="17" t="s">
        <v>211</v>
      </c>
      <c r="C33" s="17" t="s">
        <v>212</v>
      </c>
      <c r="D33" s="20" t="s">
        <v>326</v>
      </c>
      <c r="E33" s="17" t="s">
        <v>144</v>
      </c>
      <c r="F33" s="17" t="s">
        <v>339</v>
      </c>
      <c r="G33" s="17" t="s">
        <v>340</v>
      </c>
      <c r="H33" s="20" t="s">
        <v>383</v>
      </c>
      <c r="I33" s="17" t="s">
        <v>342</v>
      </c>
      <c r="J33" s="20" t="s">
        <v>343</v>
      </c>
      <c r="K33" s="17">
        <v>200</v>
      </c>
      <c r="L33" s="17" t="s">
        <v>344</v>
      </c>
    </row>
    <row r="34" spans="1:12" ht="28.05" customHeight="1">
      <c r="A34" s="23">
        <v>30</v>
      </c>
      <c r="B34" s="3" t="s">
        <v>215</v>
      </c>
      <c r="C34" s="3" t="s">
        <v>150</v>
      </c>
      <c r="D34" s="19" t="s">
        <v>326</v>
      </c>
      <c r="E34" s="3" t="s">
        <v>216</v>
      </c>
      <c r="F34" s="3" t="s">
        <v>339</v>
      </c>
      <c r="G34" s="3" t="s">
        <v>340</v>
      </c>
      <c r="H34" s="19" t="s">
        <v>384</v>
      </c>
      <c r="I34" s="3" t="s">
        <v>342</v>
      </c>
      <c r="J34" s="19" t="s">
        <v>343</v>
      </c>
      <c r="K34" s="3">
        <v>200</v>
      </c>
      <c r="L34" s="3" t="s">
        <v>346</v>
      </c>
    </row>
    <row r="35" spans="1:12" ht="28.05" customHeight="1">
      <c r="A35" s="24">
        <v>49</v>
      </c>
      <c r="B35" s="17" t="s">
        <v>273</v>
      </c>
      <c r="C35" s="17" t="s">
        <v>109</v>
      </c>
      <c r="D35" s="20" t="s">
        <v>327</v>
      </c>
      <c r="E35" s="17" t="s">
        <v>274</v>
      </c>
      <c r="F35" s="17" t="s">
        <v>339</v>
      </c>
      <c r="G35" s="17" t="s">
        <v>340</v>
      </c>
      <c r="H35" s="20" t="s">
        <v>385</v>
      </c>
      <c r="I35" s="17" t="s">
        <v>342</v>
      </c>
      <c r="J35" s="20" t="s">
        <v>343</v>
      </c>
      <c r="K35" s="17">
        <v>200</v>
      </c>
      <c r="L35" s="17" t="s">
        <v>386</v>
      </c>
    </row>
    <row r="36" spans="1:12" ht="28.05" customHeight="1">
      <c r="A36" s="23">
        <v>52</v>
      </c>
      <c r="B36" s="3" t="s">
        <v>219</v>
      </c>
      <c r="C36" s="3" t="s">
        <v>129</v>
      </c>
      <c r="D36" s="19" t="s">
        <v>328</v>
      </c>
      <c r="E36" s="3" t="s">
        <v>220</v>
      </c>
      <c r="F36" s="3" t="s">
        <v>387</v>
      </c>
      <c r="G36" s="3" t="s">
        <v>340</v>
      </c>
      <c r="H36" s="19" t="s">
        <v>388</v>
      </c>
      <c r="I36" s="3" t="s">
        <v>342</v>
      </c>
      <c r="J36" s="19" t="s">
        <v>362</v>
      </c>
      <c r="K36" s="3">
        <v>403</v>
      </c>
      <c r="L36" s="3" t="s">
        <v>389</v>
      </c>
    </row>
    <row r="37" spans="1:12" ht="28.05" customHeight="1">
      <c r="A37" s="24">
        <v>53</v>
      </c>
      <c r="B37" s="17" t="s">
        <v>223</v>
      </c>
      <c r="C37" s="17" t="s">
        <v>129</v>
      </c>
      <c r="D37" s="20" t="s">
        <v>328</v>
      </c>
      <c r="E37" s="17" t="s">
        <v>224</v>
      </c>
      <c r="F37" s="17" t="s">
        <v>339</v>
      </c>
      <c r="G37" s="17" t="s">
        <v>340</v>
      </c>
      <c r="H37" s="20" t="s">
        <v>390</v>
      </c>
      <c r="I37" s="17" t="s">
        <v>342</v>
      </c>
      <c r="J37" s="20" t="s">
        <v>343</v>
      </c>
      <c r="K37" s="17">
        <v>200</v>
      </c>
      <c r="L37" s="17" t="s">
        <v>391</v>
      </c>
    </row>
    <row r="38" spans="1:12" ht="28.05" customHeight="1">
      <c r="A38" s="23">
        <v>54</v>
      </c>
      <c r="B38" s="3" t="s">
        <v>226</v>
      </c>
      <c r="C38" s="3" t="s">
        <v>104</v>
      </c>
      <c r="D38" s="19" t="s">
        <v>328</v>
      </c>
      <c r="E38" s="3" t="s">
        <v>216</v>
      </c>
      <c r="F38" s="3" t="s">
        <v>339</v>
      </c>
      <c r="G38" s="3" t="s">
        <v>340</v>
      </c>
      <c r="H38" s="19" t="s">
        <v>392</v>
      </c>
      <c r="I38" s="3" t="s">
        <v>342</v>
      </c>
      <c r="J38" s="19" t="s">
        <v>343</v>
      </c>
      <c r="K38" s="3">
        <v>200</v>
      </c>
      <c r="L38" s="3" t="s">
        <v>393</v>
      </c>
    </row>
    <row r="39" spans="1:12" ht="28.05" customHeight="1">
      <c r="A39" s="24">
        <v>55</v>
      </c>
      <c r="B39" s="17" t="s">
        <v>228</v>
      </c>
      <c r="C39" s="17" t="s">
        <v>229</v>
      </c>
      <c r="D39" s="20" t="s">
        <v>328</v>
      </c>
      <c r="E39" s="17" t="s">
        <v>230</v>
      </c>
      <c r="F39" s="17" t="s">
        <v>339</v>
      </c>
      <c r="G39" s="17" t="s">
        <v>340</v>
      </c>
      <c r="H39" s="20" t="s">
        <v>394</v>
      </c>
      <c r="I39" s="17" t="s">
        <v>342</v>
      </c>
      <c r="J39" s="20" t="s">
        <v>343</v>
      </c>
      <c r="K39" s="17">
        <v>200</v>
      </c>
      <c r="L39" s="17" t="s">
        <v>344</v>
      </c>
    </row>
    <row r="40" spans="1:12" ht="28.05" customHeight="1">
      <c r="A40" s="23">
        <v>56</v>
      </c>
      <c r="B40" s="3" t="s">
        <v>232</v>
      </c>
      <c r="C40" s="3" t="s">
        <v>233</v>
      </c>
      <c r="D40" s="19" t="s">
        <v>328</v>
      </c>
      <c r="E40" s="3" t="s">
        <v>234</v>
      </c>
      <c r="F40" s="3" t="s">
        <v>395</v>
      </c>
      <c r="G40" s="3" t="s">
        <v>340</v>
      </c>
      <c r="H40" s="19" t="s">
        <v>396</v>
      </c>
      <c r="I40" s="3" t="s">
        <v>342</v>
      </c>
      <c r="J40" s="19" t="s">
        <v>343</v>
      </c>
      <c r="K40" s="3">
        <v>200</v>
      </c>
      <c r="L40" s="3" t="s">
        <v>397</v>
      </c>
    </row>
    <row r="41" spans="1:12" ht="28.05" customHeight="1">
      <c r="A41" s="24">
        <v>57</v>
      </c>
      <c r="B41" s="17" t="s">
        <v>236</v>
      </c>
      <c r="C41" s="17" t="s">
        <v>237</v>
      </c>
      <c r="D41" s="20" t="s">
        <v>328</v>
      </c>
      <c r="E41" s="17" t="s">
        <v>238</v>
      </c>
      <c r="F41" s="17" t="s">
        <v>395</v>
      </c>
      <c r="G41" s="17" t="s">
        <v>340</v>
      </c>
      <c r="H41" s="20" t="s">
        <v>398</v>
      </c>
      <c r="I41" s="17" t="s">
        <v>342</v>
      </c>
      <c r="J41" s="20" t="s">
        <v>343</v>
      </c>
      <c r="K41" s="17">
        <v>200</v>
      </c>
      <c r="L41" s="17" t="s">
        <v>399</v>
      </c>
    </row>
    <row r="42" spans="1:12" ht="28.05" customHeight="1">
      <c r="A42" s="23">
        <v>58</v>
      </c>
      <c r="B42" s="3" t="s">
        <v>240</v>
      </c>
      <c r="C42" s="3" t="s">
        <v>229</v>
      </c>
      <c r="D42" s="19" t="s">
        <v>328</v>
      </c>
      <c r="E42" s="3" t="s">
        <v>241</v>
      </c>
      <c r="F42" s="3" t="s">
        <v>354</v>
      </c>
      <c r="G42" s="3" t="s">
        <v>340</v>
      </c>
      <c r="H42" s="19" t="s">
        <v>400</v>
      </c>
      <c r="I42" s="3" t="s">
        <v>342</v>
      </c>
      <c r="J42" s="19" t="s">
        <v>343</v>
      </c>
      <c r="K42" s="3">
        <v>200</v>
      </c>
      <c r="L42" s="3" t="s">
        <v>401</v>
      </c>
    </row>
    <row r="43" spans="1:12" ht="28.05" customHeight="1">
      <c r="A43" s="24">
        <v>59</v>
      </c>
      <c r="B43" s="17" t="s">
        <v>243</v>
      </c>
      <c r="C43" s="17" t="s">
        <v>244</v>
      </c>
      <c r="D43" s="20" t="s">
        <v>328</v>
      </c>
      <c r="E43" s="17" t="s">
        <v>245</v>
      </c>
      <c r="F43" s="17" t="s">
        <v>395</v>
      </c>
      <c r="G43" s="17" t="s">
        <v>340</v>
      </c>
      <c r="H43" s="20" t="s">
        <v>402</v>
      </c>
      <c r="I43" s="17" t="s">
        <v>342</v>
      </c>
      <c r="J43" s="20" t="s">
        <v>343</v>
      </c>
      <c r="K43" s="17">
        <v>200</v>
      </c>
      <c r="L43" s="17" t="s">
        <v>403</v>
      </c>
    </row>
    <row r="44" spans="1:12" ht="28.05" customHeight="1">
      <c r="A44" s="23">
        <v>60</v>
      </c>
      <c r="B44" s="3" t="s">
        <v>247</v>
      </c>
      <c r="C44" s="3" t="s">
        <v>248</v>
      </c>
      <c r="D44" s="19" t="s">
        <v>328</v>
      </c>
      <c r="E44" s="3" t="s">
        <v>249</v>
      </c>
      <c r="F44" s="3" t="s">
        <v>339</v>
      </c>
      <c r="G44" s="3" t="s">
        <v>340</v>
      </c>
      <c r="H44" s="19" t="s">
        <v>404</v>
      </c>
      <c r="I44" s="3" t="s">
        <v>342</v>
      </c>
      <c r="J44" s="19" t="s">
        <v>343</v>
      </c>
      <c r="K44" s="3">
        <v>200</v>
      </c>
      <c r="L44" s="3" t="s">
        <v>405</v>
      </c>
    </row>
    <row r="45" spans="1:12" ht="28.05" customHeight="1">
      <c r="A45" s="24">
        <v>61</v>
      </c>
      <c r="B45" s="17" t="s">
        <v>251</v>
      </c>
      <c r="C45" s="17" t="s">
        <v>104</v>
      </c>
      <c r="D45" s="20" t="s">
        <v>328</v>
      </c>
      <c r="E45" s="17" t="s">
        <v>163</v>
      </c>
      <c r="F45" s="17" t="s">
        <v>339</v>
      </c>
      <c r="G45" s="17" t="s">
        <v>340</v>
      </c>
      <c r="H45" s="20" t="s">
        <v>406</v>
      </c>
      <c r="I45" s="17" t="s">
        <v>342</v>
      </c>
      <c r="J45" s="20" t="s">
        <v>343</v>
      </c>
      <c r="K45" s="17">
        <v>200</v>
      </c>
      <c r="L45" s="17" t="s">
        <v>407</v>
      </c>
    </row>
    <row r="46" spans="1:12" ht="28.05" customHeight="1">
      <c r="A46" s="23">
        <v>62</v>
      </c>
      <c r="B46" s="3" t="s">
        <v>253</v>
      </c>
      <c r="C46" s="3" t="s">
        <v>233</v>
      </c>
      <c r="D46" s="19" t="s">
        <v>328</v>
      </c>
      <c r="E46" s="3" t="s">
        <v>254</v>
      </c>
      <c r="F46" s="3" t="s">
        <v>395</v>
      </c>
      <c r="G46" s="3" t="s">
        <v>340</v>
      </c>
      <c r="H46" s="19" t="s">
        <v>408</v>
      </c>
      <c r="I46" s="3" t="s">
        <v>342</v>
      </c>
      <c r="J46" s="19" t="s">
        <v>343</v>
      </c>
      <c r="K46" s="3">
        <v>200</v>
      </c>
      <c r="L46" s="3" t="s">
        <v>409</v>
      </c>
    </row>
    <row r="47" spans="1:12" ht="28.05" customHeight="1">
      <c r="A47" s="24">
        <v>63</v>
      </c>
      <c r="B47" s="17" t="s">
        <v>256</v>
      </c>
      <c r="C47" s="17" t="s">
        <v>257</v>
      </c>
      <c r="D47" s="20" t="s">
        <v>328</v>
      </c>
      <c r="E47" s="17" t="s">
        <v>258</v>
      </c>
      <c r="F47" s="17" t="s">
        <v>339</v>
      </c>
      <c r="G47" s="17" t="s">
        <v>340</v>
      </c>
      <c r="H47" s="20" t="s">
        <v>410</v>
      </c>
      <c r="I47" s="17" t="s">
        <v>342</v>
      </c>
      <c r="J47" s="20" t="s">
        <v>411</v>
      </c>
      <c r="K47" s="17"/>
      <c r="L47" s="17" t="s">
        <v>412</v>
      </c>
    </row>
    <row r="48" spans="1:12" ht="28.05" customHeight="1">
      <c r="A48" s="23">
        <v>64</v>
      </c>
      <c r="B48" s="3" t="s">
        <v>260</v>
      </c>
      <c r="C48" s="3" t="s">
        <v>233</v>
      </c>
      <c r="D48" s="19" t="s">
        <v>328</v>
      </c>
      <c r="E48" s="3" t="s">
        <v>261</v>
      </c>
      <c r="F48" s="3" t="s">
        <v>395</v>
      </c>
      <c r="G48" s="3" t="s">
        <v>340</v>
      </c>
      <c r="H48" s="19" t="s">
        <v>413</v>
      </c>
      <c r="I48" s="3" t="s">
        <v>342</v>
      </c>
      <c r="J48" s="19" t="s">
        <v>343</v>
      </c>
      <c r="K48" s="3">
        <v>200</v>
      </c>
      <c r="L48" s="3" t="s">
        <v>414</v>
      </c>
    </row>
    <row r="49" spans="1:12" ht="28.05" customHeight="1">
      <c r="A49" s="24">
        <v>65</v>
      </c>
      <c r="B49" s="17" t="s">
        <v>263</v>
      </c>
      <c r="C49" s="17" t="s">
        <v>129</v>
      </c>
      <c r="D49" s="20" t="s">
        <v>328</v>
      </c>
      <c r="E49" s="17" t="s">
        <v>264</v>
      </c>
      <c r="F49" s="17" t="s">
        <v>339</v>
      </c>
      <c r="G49" s="17" t="s">
        <v>340</v>
      </c>
      <c r="H49" s="20" t="s">
        <v>415</v>
      </c>
      <c r="I49" s="17" t="s">
        <v>342</v>
      </c>
      <c r="J49" s="20" t="s">
        <v>362</v>
      </c>
      <c r="K49" s="17">
        <v>403</v>
      </c>
      <c r="L49" s="17" t="s">
        <v>344</v>
      </c>
    </row>
    <row r="50" spans="1:12" ht="28.05" customHeight="1">
      <c r="A50" s="23">
        <v>66</v>
      </c>
      <c r="B50" s="3" t="s">
        <v>27</v>
      </c>
      <c r="C50" s="3" t="s">
        <v>104</v>
      </c>
      <c r="D50" s="19" t="s">
        <v>328</v>
      </c>
      <c r="E50" s="3" t="s">
        <v>267</v>
      </c>
      <c r="F50" s="3" t="s">
        <v>416</v>
      </c>
      <c r="G50" s="3" t="s">
        <v>417</v>
      </c>
      <c r="H50" s="19" t="s">
        <v>418</v>
      </c>
      <c r="I50" s="3" t="s">
        <v>342</v>
      </c>
      <c r="J50" s="19" t="s">
        <v>343</v>
      </c>
      <c r="K50" s="3">
        <v>200</v>
      </c>
      <c r="L50" s="3" t="s">
        <v>419</v>
      </c>
    </row>
    <row r="51" spans="1:12" ht="28.05" customHeight="1">
      <c r="A51" s="24">
        <v>67</v>
      </c>
      <c r="B51" s="17" t="s">
        <v>269</v>
      </c>
      <c r="C51" s="17" t="s">
        <v>270</v>
      </c>
      <c r="D51" s="20" t="s">
        <v>328</v>
      </c>
      <c r="E51" s="17" t="s">
        <v>271</v>
      </c>
      <c r="F51" s="17" t="s">
        <v>339</v>
      </c>
      <c r="G51" s="17" t="s">
        <v>340</v>
      </c>
      <c r="H51" s="20" t="s">
        <v>420</v>
      </c>
      <c r="I51" s="17" t="s">
        <v>342</v>
      </c>
      <c r="J51" s="20" t="s">
        <v>411</v>
      </c>
      <c r="K51" s="17"/>
      <c r="L51" s="17" t="s">
        <v>344</v>
      </c>
    </row>
    <row r="52" spans="1:12" ht="28.05" customHeight="1">
      <c r="A52" s="23">
        <v>68</v>
      </c>
      <c r="B52" s="3" t="s">
        <v>277</v>
      </c>
      <c r="C52" s="3" t="s">
        <v>233</v>
      </c>
      <c r="D52" s="19" t="s">
        <v>328</v>
      </c>
      <c r="E52" s="3" t="s">
        <v>278</v>
      </c>
      <c r="F52" s="3" t="s">
        <v>395</v>
      </c>
      <c r="G52" s="3" t="s">
        <v>340</v>
      </c>
      <c r="H52" s="19" t="s">
        <v>421</v>
      </c>
      <c r="I52" s="3" t="s">
        <v>342</v>
      </c>
      <c r="J52" s="19" t="s">
        <v>343</v>
      </c>
      <c r="K52" s="3">
        <v>200</v>
      </c>
      <c r="L52" s="3" t="s">
        <v>422</v>
      </c>
    </row>
    <row r="53" spans="1:12" ht="28.05" customHeight="1">
      <c r="A53" s="24">
        <v>69</v>
      </c>
      <c r="B53" s="17" t="s">
        <v>280</v>
      </c>
      <c r="C53" s="17" t="s">
        <v>281</v>
      </c>
      <c r="D53" s="20" t="s">
        <v>328</v>
      </c>
      <c r="E53" s="17" t="s">
        <v>282</v>
      </c>
      <c r="F53" s="17" t="s">
        <v>339</v>
      </c>
      <c r="G53" s="17" t="s">
        <v>340</v>
      </c>
      <c r="H53" s="20" t="s">
        <v>423</v>
      </c>
      <c r="I53" s="17" t="s">
        <v>342</v>
      </c>
      <c r="J53" s="20" t="s">
        <v>411</v>
      </c>
      <c r="K53" s="17"/>
      <c r="L53" s="17" t="s">
        <v>346</v>
      </c>
    </row>
    <row r="54" spans="1:12" ht="28.05" customHeight="1">
      <c r="A54" s="23">
        <v>70</v>
      </c>
      <c r="B54" s="3" t="s">
        <v>284</v>
      </c>
      <c r="C54" s="3" t="s">
        <v>285</v>
      </c>
      <c r="D54" s="19" t="s">
        <v>328</v>
      </c>
      <c r="E54" s="3" t="s">
        <v>144</v>
      </c>
      <c r="F54" s="3" t="s">
        <v>339</v>
      </c>
      <c r="G54" s="3" t="s">
        <v>340</v>
      </c>
      <c r="H54" s="19" t="s">
        <v>424</v>
      </c>
      <c r="I54" s="3" t="s">
        <v>342</v>
      </c>
      <c r="J54" s="19" t="s">
        <v>343</v>
      </c>
      <c r="K54" s="3">
        <v>200</v>
      </c>
      <c r="L54" s="3" t="s">
        <v>425</v>
      </c>
    </row>
    <row r="55" spans="1:12" ht="28.05" customHeight="1">
      <c r="A55" s="24">
        <v>71</v>
      </c>
      <c r="B55" s="17" t="s">
        <v>288</v>
      </c>
      <c r="C55" s="17" t="s">
        <v>229</v>
      </c>
      <c r="D55" s="20" t="s">
        <v>328</v>
      </c>
      <c r="E55" s="17" t="s">
        <v>290</v>
      </c>
      <c r="F55" s="17" t="s">
        <v>339</v>
      </c>
      <c r="G55" s="17" t="s">
        <v>340</v>
      </c>
      <c r="H55" s="20" t="s">
        <v>426</v>
      </c>
      <c r="I55" s="17" t="s">
        <v>342</v>
      </c>
      <c r="J55" s="20" t="s">
        <v>343</v>
      </c>
      <c r="K55" s="17">
        <v>200</v>
      </c>
      <c r="L55" s="17" t="s">
        <v>344</v>
      </c>
    </row>
    <row r="56" spans="1:12" ht="28.05" customHeight="1">
      <c r="A56" s="23">
        <v>72</v>
      </c>
      <c r="B56" s="3" t="s">
        <v>292</v>
      </c>
      <c r="C56" s="3" t="s">
        <v>293</v>
      </c>
      <c r="D56" s="19" t="s">
        <v>328</v>
      </c>
      <c r="E56" s="3" t="s">
        <v>295</v>
      </c>
      <c r="F56" s="3" t="s">
        <v>339</v>
      </c>
      <c r="G56" s="3" t="s">
        <v>340</v>
      </c>
      <c r="H56" s="19" t="s">
        <v>427</v>
      </c>
      <c r="I56" s="3" t="s">
        <v>342</v>
      </c>
      <c r="J56" s="19" t="s">
        <v>343</v>
      </c>
      <c r="K56" s="3">
        <v>200</v>
      </c>
      <c r="L56" s="3" t="s">
        <v>344</v>
      </c>
    </row>
    <row r="57" spans="1:12" ht="28.05" customHeight="1">
      <c r="A57" s="24">
        <v>73</v>
      </c>
      <c r="B57" s="17" t="s">
        <v>297</v>
      </c>
      <c r="C57" s="17" t="s">
        <v>233</v>
      </c>
      <c r="D57" s="20" t="s">
        <v>328</v>
      </c>
      <c r="E57" s="17" t="s">
        <v>299</v>
      </c>
      <c r="F57" s="17" t="s">
        <v>395</v>
      </c>
      <c r="G57" s="17" t="s">
        <v>340</v>
      </c>
      <c r="H57" s="20" t="s">
        <v>428</v>
      </c>
      <c r="I57" s="17" t="s">
        <v>342</v>
      </c>
      <c r="J57" s="20" t="s">
        <v>343</v>
      </c>
      <c r="K57" s="17">
        <v>200</v>
      </c>
      <c r="L57" s="17" t="s">
        <v>429</v>
      </c>
    </row>
    <row r="58" spans="1:12" ht="28.05" customHeight="1">
      <c r="A58" s="23">
        <v>74</v>
      </c>
      <c r="B58" s="3" t="s">
        <v>301</v>
      </c>
      <c r="C58" s="3" t="s">
        <v>104</v>
      </c>
      <c r="D58" s="19" t="s">
        <v>328</v>
      </c>
      <c r="E58" s="3" t="s">
        <v>302</v>
      </c>
      <c r="F58" s="3" t="s">
        <v>354</v>
      </c>
      <c r="G58" s="3" t="s">
        <v>340</v>
      </c>
      <c r="H58" s="19" t="s">
        <v>430</v>
      </c>
      <c r="I58" s="3" t="s">
        <v>342</v>
      </c>
      <c r="J58" s="19" t="s">
        <v>343</v>
      </c>
      <c r="K58" s="3">
        <v>200</v>
      </c>
      <c r="L58" s="3" t="s">
        <v>431</v>
      </c>
    </row>
    <row r="59" spans="1:12" ht="28.05" customHeight="1">
      <c r="A59" s="24">
        <v>76</v>
      </c>
      <c r="B59" s="17" t="s">
        <v>304</v>
      </c>
      <c r="C59" s="17" t="s">
        <v>129</v>
      </c>
      <c r="D59" s="20" t="s">
        <v>328</v>
      </c>
      <c r="E59" s="17" t="s">
        <v>185</v>
      </c>
      <c r="F59" s="17" t="s">
        <v>339</v>
      </c>
      <c r="G59" s="17" t="s">
        <v>340</v>
      </c>
      <c r="H59" s="20" t="s">
        <v>432</v>
      </c>
      <c r="I59" s="17" t="s">
        <v>342</v>
      </c>
      <c r="J59" s="20" t="s">
        <v>343</v>
      </c>
      <c r="K59" s="17">
        <v>200</v>
      </c>
      <c r="L59" s="17" t="s">
        <v>433</v>
      </c>
    </row>
    <row r="60" spans="1:12" ht="28.05" customHeight="1">
      <c r="A60" s="23">
        <v>77</v>
      </c>
      <c r="B60" s="3" t="s">
        <v>306</v>
      </c>
      <c r="C60" s="3" t="s">
        <v>129</v>
      </c>
      <c r="D60" s="19" t="s">
        <v>328</v>
      </c>
      <c r="E60" s="3" t="s">
        <v>308</v>
      </c>
      <c r="F60" s="3" t="s">
        <v>339</v>
      </c>
      <c r="G60" s="3" t="s">
        <v>340</v>
      </c>
      <c r="H60" s="19" t="s">
        <v>434</v>
      </c>
      <c r="I60" s="3" t="s">
        <v>342</v>
      </c>
      <c r="J60" s="19" t="s">
        <v>362</v>
      </c>
      <c r="K60" s="3">
        <v>403</v>
      </c>
      <c r="L60" s="3" t="s">
        <v>344</v>
      </c>
    </row>
    <row r="61" spans="1:12" ht="28.05" customHeight="1">
      <c r="A61" s="24">
        <v>78</v>
      </c>
      <c r="B61" s="17" t="s">
        <v>310</v>
      </c>
      <c r="C61" s="17" t="s">
        <v>109</v>
      </c>
      <c r="D61" s="20" t="s">
        <v>328</v>
      </c>
      <c r="E61" s="17" t="s">
        <v>311</v>
      </c>
      <c r="F61" s="17" t="s">
        <v>339</v>
      </c>
      <c r="G61" s="17" t="s">
        <v>340</v>
      </c>
      <c r="H61" s="20" t="s">
        <v>435</v>
      </c>
      <c r="I61" s="17" t="s">
        <v>342</v>
      </c>
      <c r="J61" s="20" t="s">
        <v>343</v>
      </c>
      <c r="K61" s="17">
        <v>200</v>
      </c>
      <c r="L61" s="17" t="s">
        <v>436</v>
      </c>
    </row>
    <row r="62" spans="1:12" ht="28.05" customHeight="1">
      <c r="A62" s="23">
        <v>79</v>
      </c>
      <c r="B62" s="3" t="s">
        <v>313</v>
      </c>
      <c r="C62" s="3" t="s">
        <v>257</v>
      </c>
      <c r="D62" s="19" t="s">
        <v>328</v>
      </c>
      <c r="E62" s="3" t="s">
        <v>209</v>
      </c>
      <c r="F62" s="3" t="s">
        <v>339</v>
      </c>
      <c r="G62" s="3" t="s">
        <v>340</v>
      </c>
      <c r="H62" s="19" t="s">
        <v>437</v>
      </c>
      <c r="I62" s="3" t="s">
        <v>342</v>
      </c>
      <c r="J62" s="19" t="s">
        <v>343</v>
      </c>
      <c r="K62" s="3">
        <v>200</v>
      </c>
      <c r="L62" s="3" t="s">
        <v>344</v>
      </c>
    </row>
    <row r="63" spans="1:12" ht="28.05" customHeight="1">
      <c r="A63" s="24">
        <v>80</v>
      </c>
      <c r="B63" s="17" t="s">
        <v>315</v>
      </c>
      <c r="C63" s="17" t="s">
        <v>316</v>
      </c>
      <c r="D63" s="20" t="s">
        <v>328</v>
      </c>
      <c r="E63" s="17" t="s">
        <v>144</v>
      </c>
      <c r="F63" s="17" t="s">
        <v>339</v>
      </c>
      <c r="G63" s="17" t="s">
        <v>340</v>
      </c>
      <c r="H63" s="20" t="s">
        <v>438</v>
      </c>
      <c r="I63" s="17" t="s">
        <v>342</v>
      </c>
      <c r="J63" s="20" t="s">
        <v>343</v>
      </c>
      <c r="K63" s="17">
        <v>200</v>
      </c>
      <c r="L63" s="17" t="s">
        <v>344</v>
      </c>
    </row>
    <row r="64" spans="1:12" ht="28.05" customHeight="1">
      <c r="A64" s="25">
        <v>81</v>
      </c>
      <c r="B64" s="4" t="s">
        <v>318</v>
      </c>
      <c r="C64" s="4" t="s">
        <v>150</v>
      </c>
      <c r="D64" s="21" t="s">
        <v>328</v>
      </c>
      <c r="E64" s="4" t="s">
        <v>319</v>
      </c>
      <c r="F64" s="4" t="s">
        <v>339</v>
      </c>
      <c r="G64" s="4" t="s">
        <v>340</v>
      </c>
      <c r="H64" s="21" t="s">
        <v>439</v>
      </c>
      <c r="I64" s="4" t="s">
        <v>342</v>
      </c>
      <c r="J64" s="21" t="s">
        <v>343</v>
      </c>
      <c r="K64" s="4">
        <v>200</v>
      </c>
      <c r="L64" s="4" t="s">
        <v>440</v>
      </c>
    </row>
  </sheetData>
  <mergeCells count="2">
    <mergeCell ref="A1:L1"/>
    <mergeCell ref="A2:L2"/>
  </mergeCells>
  <phoneticPr fontId="8"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34"/>
  <sheetViews>
    <sheetView showGridLines="0" workbookViewId="0">
      <selection sqref="A1:O1"/>
    </sheetView>
  </sheetViews>
  <sheetFormatPr defaultRowHeight="13.5"/>
  <cols>
    <col min="1" max="1" width="9" customWidth="1"/>
    <col min="2" max="2" width="11" customWidth="1"/>
    <col min="3" max="3" width="30" customWidth="1"/>
    <col min="4" max="4" width="24" customWidth="1"/>
    <col min="5" max="5" width="18" customWidth="1"/>
    <col min="6" max="6" width="13" customWidth="1"/>
    <col min="7" max="9" width="18" customWidth="1"/>
    <col min="10" max="10" width="14" customWidth="1"/>
    <col min="11" max="12" width="18" customWidth="1"/>
    <col min="13" max="13" width="20" customWidth="1"/>
    <col min="14" max="14" width="16" customWidth="1"/>
    <col min="15" max="15" width="44" customWidth="1"/>
  </cols>
  <sheetData>
    <row r="1" spans="1:15" ht="28.05" customHeight="1">
      <c r="A1" s="36" t="s">
        <v>441</v>
      </c>
      <c r="B1" s="36"/>
      <c r="C1" s="36"/>
      <c r="D1" s="36"/>
      <c r="E1" s="36"/>
      <c r="F1" s="36"/>
      <c r="G1" s="36"/>
      <c r="H1" s="36"/>
      <c r="I1" s="36"/>
      <c r="J1" s="36"/>
      <c r="K1" s="36"/>
      <c r="L1" s="36"/>
      <c r="M1" s="36"/>
      <c r="N1" s="36"/>
      <c r="O1" s="36"/>
    </row>
    <row r="2" spans="1:15" ht="34.049999999999997" customHeight="1">
      <c r="A2" s="37" t="s">
        <v>442</v>
      </c>
      <c r="B2" s="37"/>
      <c r="C2" s="37"/>
      <c r="D2" s="37"/>
      <c r="E2" s="37"/>
      <c r="F2" s="37"/>
      <c r="G2" s="37"/>
      <c r="H2" s="37"/>
      <c r="I2" s="37"/>
      <c r="J2" s="37"/>
      <c r="K2" s="37"/>
      <c r="L2" s="37"/>
      <c r="M2" s="37"/>
      <c r="N2" s="37"/>
      <c r="O2" s="37"/>
    </row>
    <row r="4" spans="1:15" ht="38" customHeight="1">
      <c r="A4" s="13" t="s">
        <v>443</v>
      </c>
      <c r="B4" s="14" t="s">
        <v>444</v>
      </c>
      <c r="C4" s="14" t="s">
        <v>445</v>
      </c>
      <c r="D4" s="14" t="s">
        <v>446</v>
      </c>
      <c r="E4" s="14" t="s">
        <v>89</v>
      </c>
      <c r="F4" s="14" t="s">
        <v>447</v>
      </c>
      <c r="G4" s="14" t="s">
        <v>448</v>
      </c>
      <c r="H4" s="14" t="s">
        <v>449</v>
      </c>
      <c r="I4" s="14" t="s">
        <v>450</v>
      </c>
      <c r="J4" s="14" t="s">
        <v>451</v>
      </c>
      <c r="K4" s="14" t="s">
        <v>452</v>
      </c>
      <c r="L4" s="14" t="s">
        <v>453</v>
      </c>
      <c r="M4" s="14" t="s">
        <v>454</v>
      </c>
      <c r="N4" s="14" t="s">
        <v>455</v>
      </c>
      <c r="O4" s="15" t="s">
        <v>94</v>
      </c>
    </row>
    <row r="5" spans="1:15" ht="36" customHeight="1">
      <c r="A5" s="16" t="s">
        <v>99</v>
      </c>
      <c r="B5" s="16">
        <v>1</v>
      </c>
      <c r="C5" s="16" t="s">
        <v>97</v>
      </c>
      <c r="D5" s="16" t="s">
        <v>456</v>
      </c>
      <c r="E5" s="16" t="s">
        <v>98</v>
      </c>
      <c r="F5" s="16">
        <v>100</v>
      </c>
      <c r="G5" s="16">
        <v>99.8</v>
      </c>
      <c r="H5" s="16">
        <v>98.7</v>
      </c>
      <c r="I5" s="16">
        <v>99.8</v>
      </c>
      <c r="J5" s="16"/>
      <c r="K5" s="16"/>
      <c r="L5" s="16"/>
      <c r="M5" s="16"/>
      <c r="N5" s="16"/>
      <c r="O5" s="18" t="s">
        <v>102</v>
      </c>
    </row>
    <row r="6" spans="1:15" ht="36" customHeight="1">
      <c r="A6" s="3" t="s">
        <v>105</v>
      </c>
      <c r="B6" s="3">
        <v>2</v>
      </c>
      <c r="C6" s="3" t="s">
        <v>103</v>
      </c>
      <c r="D6" s="3" t="s">
        <v>457</v>
      </c>
      <c r="E6" s="3" t="s">
        <v>104</v>
      </c>
      <c r="F6" s="3">
        <v>99.8</v>
      </c>
      <c r="G6" s="3">
        <v>95.1</v>
      </c>
      <c r="H6" s="3">
        <v>99.9</v>
      </c>
      <c r="I6" s="3">
        <v>98.8</v>
      </c>
      <c r="J6" s="3"/>
      <c r="K6" s="3"/>
      <c r="L6" s="3"/>
      <c r="M6" s="3"/>
      <c r="N6" s="3"/>
      <c r="O6" s="19" t="s">
        <v>107</v>
      </c>
    </row>
    <row r="7" spans="1:15" ht="36" customHeight="1">
      <c r="A7" s="17" t="s">
        <v>110</v>
      </c>
      <c r="B7" s="17">
        <v>3</v>
      </c>
      <c r="C7" s="17" t="s">
        <v>108</v>
      </c>
      <c r="D7" s="17" t="s">
        <v>458</v>
      </c>
      <c r="E7" s="17" t="s">
        <v>109</v>
      </c>
      <c r="F7" s="17">
        <v>99</v>
      </c>
      <c r="G7" s="17">
        <v>95.8</v>
      </c>
      <c r="H7" s="17">
        <v>95.5</v>
      </c>
      <c r="I7" s="17">
        <v>98.1</v>
      </c>
      <c r="J7" s="17"/>
      <c r="K7" s="17"/>
      <c r="L7" s="17"/>
      <c r="M7" s="17"/>
      <c r="N7" s="17"/>
      <c r="O7" s="20" t="s">
        <v>112</v>
      </c>
    </row>
    <row r="8" spans="1:15" ht="36" customHeight="1">
      <c r="A8" s="3" t="s">
        <v>114</v>
      </c>
      <c r="B8" s="3">
        <v>4</v>
      </c>
      <c r="C8" s="3" t="s">
        <v>113</v>
      </c>
      <c r="D8" s="3" t="s">
        <v>459</v>
      </c>
      <c r="E8" s="3" t="s">
        <v>109</v>
      </c>
      <c r="F8" s="3">
        <v>98.7</v>
      </c>
      <c r="G8" s="3">
        <v>90.5</v>
      </c>
      <c r="H8" s="3">
        <v>98.7</v>
      </c>
      <c r="I8" s="3">
        <v>97.8</v>
      </c>
      <c r="J8" s="3"/>
      <c r="K8" s="3"/>
      <c r="L8" s="3"/>
      <c r="M8" s="3"/>
      <c r="N8" s="3"/>
      <c r="O8" s="19" t="s">
        <v>116</v>
      </c>
    </row>
    <row r="9" spans="1:15" ht="36" customHeight="1">
      <c r="A9" s="17" t="s">
        <v>118</v>
      </c>
      <c r="B9" s="17">
        <v>5</v>
      </c>
      <c r="C9" s="17" t="s">
        <v>117</v>
      </c>
      <c r="D9" s="17" t="s">
        <v>460</v>
      </c>
      <c r="E9" s="17" t="s">
        <v>104</v>
      </c>
      <c r="F9" s="17">
        <v>98.6</v>
      </c>
      <c r="G9" s="17">
        <v>88.1</v>
      </c>
      <c r="H9" s="17">
        <v>99.5</v>
      </c>
      <c r="I9" s="17">
        <v>98.8</v>
      </c>
      <c r="J9" s="17"/>
      <c r="K9" s="17"/>
      <c r="L9" s="17"/>
      <c r="M9" s="17"/>
      <c r="N9" s="17"/>
      <c r="O9" s="20" t="s">
        <v>120</v>
      </c>
    </row>
    <row r="10" spans="1:15" ht="36" customHeight="1">
      <c r="A10" s="3" t="s">
        <v>122</v>
      </c>
      <c r="B10" s="3">
        <v>6</v>
      </c>
      <c r="C10" s="3" t="s">
        <v>121</v>
      </c>
      <c r="D10" s="3" t="s">
        <v>458</v>
      </c>
      <c r="E10" s="3" t="s">
        <v>109</v>
      </c>
      <c r="F10" s="3">
        <v>98.5</v>
      </c>
      <c r="G10" s="3">
        <v>95.2</v>
      </c>
      <c r="H10" s="3">
        <v>96.1</v>
      </c>
      <c r="I10" s="3">
        <v>95.7</v>
      </c>
      <c r="J10" s="3"/>
      <c r="K10" s="3"/>
      <c r="L10" s="3"/>
      <c r="M10" s="3"/>
      <c r="N10" s="3"/>
      <c r="O10" s="19" t="s">
        <v>124</v>
      </c>
    </row>
    <row r="11" spans="1:15" ht="36" customHeight="1">
      <c r="A11" s="17">
        <v>7</v>
      </c>
      <c r="B11" s="17">
        <v>7</v>
      </c>
      <c r="C11" s="17" t="s">
        <v>125</v>
      </c>
      <c r="D11" s="17" t="s">
        <v>458</v>
      </c>
      <c r="E11" s="17" t="s">
        <v>109</v>
      </c>
      <c r="F11" s="17">
        <v>98.2</v>
      </c>
      <c r="G11" s="17">
        <v>92.6</v>
      </c>
      <c r="H11" s="17">
        <v>99.8</v>
      </c>
      <c r="I11" s="17">
        <v>98</v>
      </c>
      <c r="J11" s="17"/>
      <c r="K11" s="17"/>
      <c r="L11" s="17"/>
      <c r="M11" s="17"/>
      <c r="N11" s="17"/>
      <c r="O11" s="20" t="s">
        <v>127</v>
      </c>
    </row>
    <row r="12" spans="1:15" ht="36" customHeight="1">
      <c r="A12" s="3">
        <v>7</v>
      </c>
      <c r="B12" s="3">
        <v>7</v>
      </c>
      <c r="C12" s="3" t="s">
        <v>128</v>
      </c>
      <c r="D12" s="3" t="s">
        <v>461</v>
      </c>
      <c r="E12" s="3" t="s">
        <v>129</v>
      </c>
      <c r="F12" s="3">
        <v>98.2</v>
      </c>
      <c r="G12" s="3">
        <v>89.9</v>
      </c>
      <c r="H12" s="3">
        <v>99</v>
      </c>
      <c r="I12" s="3">
        <v>92.3</v>
      </c>
      <c r="J12" s="3"/>
      <c r="K12" s="3"/>
      <c r="L12" s="3"/>
      <c r="M12" s="3"/>
      <c r="N12" s="3"/>
      <c r="O12" s="19" t="s">
        <v>131</v>
      </c>
    </row>
    <row r="13" spans="1:15" ht="36" customHeight="1">
      <c r="A13" s="17" t="s">
        <v>134</v>
      </c>
      <c r="B13" s="17">
        <v>9</v>
      </c>
      <c r="C13" s="17" t="s">
        <v>133</v>
      </c>
      <c r="D13" s="17" t="s">
        <v>462</v>
      </c>
      <c r="E13" s="17" t="s">
        <v>104</v>
      </c>
      <c r="F13" s="17">
        <v>98.1</v>
      </c>
      <c r="G13" s="17">
        <v>91.6</v>
      </c>
      <c r="H13" s="17">
        <v>99.7</v>
      </c>
      <c r="I13" s="17">
        <v>98.7</v>
      </c>
      <c r="J13" s="17"/>
      <c r="K13" s="17"/>
      <c r="L13" s="17"/>
      <c r="M13" s="17"/>
      <c r="N13" s="17"/>
      <c r="O13" s="20" t="s">
        <v>136</v>
      </c>
    </row>
    <row r="14" spans="1:15" ht="36" customHeight="1">
      <c r="A14" s="3" t="s">
        <v>138</v>
      </c>
      <c r="B14" s="3">
        <v>10</v>
      </c>
      <c r="C14" s="3" t="s">
        <v>137</v>
      </c>
      <c r="D14" s="3" t="s">
        <v>463</v>
      </c>
      <c r="E14" s="3" t="s">
        <v>109</v>
      </c>
      <c r="F14" s="3">
        <v>98</v>
      </c>
      <c r="G14" s="3">
        <v>85.6</v>
      </c>
      <c r="H14" s="3">
        <v>99.4</v>
      </c>
      <c r="I14" s="3">
        <v>98</v>
      </c>
      <c r="J14" s="3"/>
      <c r="K14" s="3"/>
      <c r="L14" s="3"/>
      <c r="M14" s="3"/>
      <c r="N14" s="3"/>
      <c r="O14" s="19" t="s">
        <v>140</v>
      </c>
    </row>
    <row r="15" spans="1:15" ht="36" customHeight="1">
      <c r="A15" s="17">
        <v>11</v>
      </c>
      <c r="B15" s="17">
        <v>11</v>
      </c>
      <c r="C15" s="17" t="s">
        <v>142</v>
      </c>
      <c r="D15" s="17" t="s">
        <v>464</v>
      </c>
      <c r="E15" s="17" t="s">
        <v>143</v>
      </c>
      <c r="F15" s="17">
        <v>97.9</v>
      </c>
      <c r="G15" s="17">
        <v>92.1</v>
      </c>
      <c r="H15" s="17">
        <v>99.8</v>
      </c>
      <c r="I15" s="17">
        <v>99.5</v>
      </c>
      <c r="J15" s="17"/>
      <c r="K15" s="17"/>
      <c r="L15" s="17"/>
      <c r="M15" s="17"/>
      <c r="N15" s="17"/>
      <c r="O15" s="20" t="s">
        <v>145</v>
      </c>
    </row>
    <row r="16" spans="1:15" ht="36" customHeight="1">
      <c r="A16" s="3">
        <v>11</v>
      </c>
      <c r="B16" s="3">
        <v>11</v>
      </c>
      <c r="C16" s="3" t="s">
        <v>146</v>
      </c>
      <c r="D16" s="3" t="s">
        <v>465</v>
      </c>
      <c r="E16" s="3" t="s">
        <v>129</v>
      </c>
      <c r="F16" s="3">
        <v>97.9</v>
      </c>
      <c r="G16" s="3">
        <v>89</v>
      </c>
      <c r="H16" s="3">
        <v>98.3</v>
      </c>
      <c r="I16" s="3">
        <v>92.2</v>
      </c>
      <c r="J16" s="3"/>
      <c r="K16" s="3"/>
      <c r="L16" s="3"/>
      <c r="M16" s="3"/>
      <c r="N16" s="3"/>
      <c r="O16" s="19" t="s">
        <v>148</v>
      </c>
    </row>
    <row r="17" spans="1:15" ht="36" customHeight="1">
      <c r="A17" s="17">
        <v>11</v>
      </c>
      <c r="B17" s="17">
        <v>11</v>
      </c>
      <c r="C17" s="17" t="s">
        <v>149</v>
      </c>
      <c r="D17" s="17" t="s">
        <v>466</v>
      </c>
      <c r="E17" s="17" t="s">
        <v>150</v>
      </c>
      <c r="F17" s="17">
        <v>97.9</v>
      </c>
      <c r="G17" s="17">
        <v>94.5</v>
      </c>
      <c r="H17" s="17">
        <v>100</v>
      </c>
      <c r="I17" s="17">
        <v>98.4</v>
      </c>
      <c r="J17" s="17"/>
      <c r="K17" s="17"/>
      <c r="L17" s="17"/>
      <c r="M17" s="17"/>
      <c r="N17" s="17"/>
      <c r="O17" s="20" t="s">
        <v>152</v>
      </c>
    </row>
    <row r="18" spans="1:15" ht="36" customHeight="1">
      <c r="A18" s="3" t="s">
        <v>154</v>
      </c>
      <c r="B18" s="3">
        <v>13</v>
      </c>
      <c r="C18" s="3" t="s">
        <v>153</v>
      </c>
      <c r="D18" s="3" t="s">
        <v>467</v>
      </c>
      <c r="E18" s="3" t="s">
        <v>150</v>
      </c>
      <c r="F18" s="3">
        <v>97.8</v>
      </c>
      <c r="G18" s="3">
        <v>93.3</v>
      </c>
      <c r="H18" s="3">
        <v>100</v>
      </c>
      <c r="I18" s="3">
        <v>98.5</v>
      </c>
      <c r="J18" s="3"/>
      <c r="K18" s="3"/>
      <c r="L18" s="3"/>
      <c r="M18" s="3"/>
      <c r="N18" s="3"/>
      <c r="O18" s="19" t="s">
        <v>156</v>
      </c>
    </row>
    <row r="19" spans="1:15" ht="36" customHeight="1">
      <c r="A19" s="17" t="s">
        <v>158</v>
      </c>
      <c r="B19" s="17">
        <v>14</v>
      </c>
      <c r="C19" s="17" t="s">
        <v>157</v>
      </c>
      <c r="D19" s="17" t="s">
        <v>468</v>
      </c>
      <c r="E19" s="17" t="s">
        <v>109</v>
      </c>
      <c r="F19" s="17">
        <v>97.7</v>
      </c>
      <c r="G19" s="17">
        <v>97.7</v>
      </c>
      <c r="H19" s="17">
        <v>100</v>
      </c>
      <c r="I19" s="17">
        <v>98.1</v>
      </c>
      <c r="J19" s="17"/>
      <c r="K19" s="17"/>
      <c r="L19" s="17"/>
      <c r="M19" s="17"/>
      <c r="N19" s="17"/>
      <c r="O19" s="20" t="s">
        <v>160</v>
      </c>
    </row>
    <row r="20" spans="1:15" ht="36" customHeight="1">
      <c r="A20" s="3" t="s">
        <v>162</v>
      </c>
      <c r="B20" s="3">
        <v>15</v>
      </c>
      <c r="C20" s="3" t="s">
        <v>161</v>
      </c>
      <c r="D20" s="3" t="s">
        <v>461</v>
      </c>
      <c r="E20" s="3" t="s">
        <v>129</v>
      </c>
      <c r="F20" s="3">
        <v>97.3</v>
      </c>
      <c r="G20" s="3">
        <v>86</v>
      </c>
      <c r="H20" s="3">
        <v>99.5</v>
      </c>
      <c r="I20" s="3">
        <v>92.2</v>
      </c>
      <c r="J20" s="3"/>
      <c r="K20" s="3"/>
      <c r="L20" s="3"/>
      <c r="M20" s="3"/>
      <c r="N20" s="3"/>
      <c r="O20" s="19" t="s">
        <v>164</v>
      </c>
    </row>
    <row r="21" spans="1:15" ht="36" customHeight="1">
      <c r="A21" s="17">
        <v>16</v>
      </c>
      <c r="B21" s="17">
        <v>16</v>
      </c>
      <c r="C21" s="17" t="s">
        <v>165</v>
      </c>
      <c r="D21" s="17" t="s">
        <v>469</v>
      </c>
      <c r="E21" s="17" t="s">
        <v>129</v>
      </c>
      <c r="F21" s="17">
        <v>97.2</v>
      </c>
      <c r="G21" s="17">
        <v>89.7</v>
      </c>
      <c r="H21" s="17">
        <v>94.8</v>
      </c>
      <c r="I21" s="17">
        <v>92.1</v>
      </c>
      <c r="J21" s="17"/>
      <c r="K21" s="17"/>
      <c r="L21" s="17"/>
      <c r="M21" s="17"/>
      <c r="N21" s="17"/>
      <c r="O21" s="20" t="s">
        <v>167</v>
      </c>
    </row>
    <row r="22" spans="1:15" ht="36" customHeight="1">
      <c r="A22" s="3">
        <v>16</v>
      </c>
      <c r="B22" s="3">
        <v>16</v>
      </c>
      <c r="C22" s="3" t="s">
        <v>168</v>
      </c>
      <c r="D22" s="3" t="s">
        <v>458</v>
      </c>
      <c r="E22" s="3" t="s">
        <v>109</v>
      </c>
      <c r="F22" s="3">
        <v>97.2</v>
      </c>
      <c r="G22" s="3">
        <v>89.7</v>
      </c>
      <c r="H22" s="3">
        <v>94.4</v>
      </c>
      <c r="I22" s="3">
        <v>96.9</v>
      </c>
      <c r="J22" s="3"/>
      <c r="K22" s="3"/>
      <c r="L22" s="3"/>
      <c r="M22" s="3"/>
      <c r="N22" s="3"/>
      <c r="O22" s="19" t="s">
        <v>170</v>
      </c>
    </row>
    <row r="23" spans="1:15" ht="36" customHeight="1">
      <c r="A23" s="17" t="s">
        <v>172</v>
      </c>
      <c r="B23" s="17">
        <v>19</v>
      </c>
      <c r="C23" s="17" t="s">
        <v>171</v>
      </c>
      <c r="D23" s="17" t="s">
        <v>470</v>
      </c>
      <c r="E23" s="17" t="s">
        <v>109</v>
      </c>
      <c r="F23" s="17">
        <v>96.9</v>
      </c>
      <c r="G23" s="17">
        <v>79</v>
      </c>
      <c r="H23" s="17">
        <v>96.7</v>
      </c>
      <c r="I23" s="17">
        <v>97.6</v>
      </c>
      <c r="J23" s="17"/>
      <c r="K23" s="17"/>
      <c r="L23" s="17"/>
      <c r="M23" s="17"/>
      <c r="N23" s="17"/>
      <c r="O23" s="20" t="s">
        <v>174</v>
      </c>
    </row>
    <row r="24" spans="1:15" ht="36" customHeight="1">
      <c r="A24" s="3" t="s">
        <v>176</v>
      </c>
      <c r="B24" s="3">
        <v>20</v>
      </c>
      <c r="C24" s="3" t="s">
        <v>175</v>
      </c>
      <c r="D24" s="3" t="s">
        <v>471</v>
      </c>
      <c r="E24" s="3" t="s">
        <v>150</v>
      </c>
      <c r="F24" s="3">
        <v>96.3</v>
      </c>
      <c r="G24" s="3">
        <v>97.5</v>
      </c>
      <c r="H24" s="3">
        <v>94.5</v>
      </c>
      <c r="I24" s="3">
        <v>96.5</v>
      </c>
      <c r="J24" s="3"/>
      <c r="K24" s="3"/>
      <c r="L24" s="3"/>
      <c r="M24" s="3"/>
      <c r="N24" s="3"/>
      <c r="O24" s="19" t="s">
        <v>178</v>
      </c>
    </row>
    <row r="25" spans="1:15" ht="36" customHeight="1">
      <c r="A25" s="17" t="s">
        <v>180</v>
      </c>
      <c r="B25" s="17">
        <v>21</v>
      </c>
      <c r="C25" s="17" t="s">
        <v>179</v>
      </c>
      <c r="D25" s="17" t="s">
        <v>472</v>
      </c>
      <c r="E25" s="17" t="s">
        <v>150</v>
      </c>
      <c r="F25" s="17">
        <v>96.1</v>
      </c>
      <c r="G25" s="17">
        <v>85.1</v>
      </c>
      <c r="H25" s="17">
        <v>95.3</v>
      </c>
      <c r="I25" s="17">
        <v>98.2</v>
      </c>
      <c r="J25" s="17"/>
      <c r="K25" s="17"/>
      <c r="L25" s="17"/>
      <c r="M25" s="17"/>
      <c r="N25" s="17"/>
      <c r="O25" s="20" t="s">
        <v>182</v>
      </c>
    </row>
    <row r="26" spans="1:15" ht="36" customHeight="1">
      <c r="A26" s="3">
        <v>22</v>
      </c>
      <c r="B26" s="3">
        <v>22</v>
      </c>
      <c r="C26" s="3" t="s">
        <v>183</v>
      </c>
      <c r="D26" s="3" t="s">
        <v>473</v>
      </c>
      <c r="E26" s="3" t="s">
        <v>184</v>
      </c>
      <c r="F26" s="3">
        <v>95.9</v>
      </c>
      <c r="G26" s="3">
        <v>87</v>
      </c>
      <c r="H26" s="3">
        <v>87.9</v>
      </c>
      <c r="I26" s="3">
        <v>99.2</v>
      </c>
      <c r="J26" s="3"/>
      <c r="K26" s="3"/>
      <c r="L26" s="3"/>
      <c r="M26" s="3"/>
      <c r="N26" s="3"/>
      <c r="O26" s="19" t="s">
        <v>186</v>
      </c>
    </row>
    <row r="27" spans="1:15" ht="36" customHeight="1">
      <c r="A27" s="17">
        <v>22</v>
      </c>
      <c r="B27" s="17">
        <v>22</v>
      </c>
      <c r="C27" s="17" t="s">
        <v>187</v>
      </c>
      <c r="D27" s="17" t="s">
        <v>474</v>
      </c>
      <c r="E27" s="17" t="s">
        <v>188</v>
      </c>
      <c r="F27" s="17">
        <v>95.9</v>
      </c>
      <c r="G27" s="17">
        <v>87.9</v>
      </c>
      <c r="H27" s="17">
        <v>91.4</v>
      </c>
      <c r="I27" s="17">
        <v>99.6</v>
      </c>
      <c r="J27" s="17"/>
      <c r="K27" s="17"/>
      <c r="L27" s="17"/>
      <c r="M27" s="17"/>
      <c r="N27" s="17"/>
      <c r="O27" s="20" t="s">
        <v>190</v>
      </c>
    </row>
    <row r="28" spans="1:15" ht="36" customHeight="1">
      <c r="A28" s="3">
        <v>24</v>
      </c>
      <c r="B28" s="3">
        <v>24</v>
      </c>
      <c r="C28" s="3" t="s">
        <v>191</v>
      </c>
      <c r="D28" s="3" t="s">
        <v>475</v>
      </c>
      <c r="E28" s="3" t="s">
        <v>109</v>
      </c>
      <c r="F28" s="3">
        <v>95.8</v>
      </c>
      <c r="G28" s="3">
        <v>82.2</v>
      </c>
      <c r="H28" s="3">
        <v>94.9</v>
      </c>
      <c r="I28" s="3">
        <v>96.7</v>
      </c>
      <c r="J28" s="3"/>
      <c r="K28" s="3"/>
      <c r="L28" s="3"/>
      <c r="M28" s="3"/>
      <c r="N28" s="3"/>
      <c r="O28" s="19" t="s">
        <v>193</v>
      </c>
    </row>
    <row r="29" spans="1:15" ht="36" customHeight="1">
      <c r="A29" s="17">
        <v>24</v>
      </c>
      <c r="B29" s="17">
        <v>24</v>
      </c>
      <c r="C29" s="17" t="s">
        <v>194</v>
      </c>
      <c r="D29" s="17" t="s">
        <v>476</v>
      </c>
      <c r="E29" s="17" t="s">
        <v>109</v>
      </c>
      <c r="F29" s="17">
        <v>95.8</v>
      </c>
      <c r="G29" s="17">
        <v>78.2</v>
      </c>
      <c r="H29" s="17">
        <v>95.4</v>
      </c>
      <c r="I29" s="17">
        <v>98</v>
      </c>
      <c r="J29" s="17"/>
      <c r="K29" s="17"/>
      <c r="L29" s="17"/>
      <c r="M29" s="17"/>
      <c r="N29" s="17"/>
      <c r="O29" s="20" t="s">
        <v>196</v>
      </c>
    </row>
    <row r="30" spans="1:15" ht="36" customHeight="1">
      <c r="A30" s="3">
        <v>24</v>
      </c>
      <c r="B30" s="3">
        <v>24</v>
      </c>
      <c r="C30" s="3" t="s">
        <v>197</v>
      </c>
      <c r="D30" s="3" t="s">
        <v>477</v>
      </c>
      <c r="E30" s="3" t="s">
        <v>104</v>
      </c>
      <c r="F30" s="3">
        <v>95.8</v>
      </c>
      <c r="G30" s="3">
        <v>83.5</v>
      </c>
      <c r="H30" s="3">
        <v>96.2</v>
      </c>
      <c r="I30" s="3">
        <v>97.8</v>
      </c>
      <c r="J30" s="3"/>
      <c r="K30" s="3"/>
      <c r="L30" s="3"/>
      <c r="M30" s="3"/>
      <c r="N30" s="3"/>
      <c r="O30" s="19" t="s">
        <v>199</v>
      </c>
    </row>
    <row r="31" spans="1:15" ht="36" customHeight="1">
      <c r="A31" s="17" t="s">
        <v>202</v>
      </c>
      <c r="B31" s="17">
        <v>27</v>
      </c>
      <c r="C31" s="17" t="s">
        <v>201</v>
      </c>
      <c r="D31" s="17" t="s">
        <v>478</v>
      </c>
      <c r="E31" s="17" t="s">
        <v>109</v>
      </c>
      <c r="F31" s="17">
        <v>95.7</v>
      </c>
      <c r="G31" s="17">
        <v>77.400000000000006</v>
      </c>
      <c r="H31" s="17">
        <v>96</v>
      </c>
      <c r="I31" s="17">
        <v>97.4</v>
      </c>
      <c r="J31" s="17"/>
      <c r="K31" s="17"/>
      <c r="L31" s="17"/>
      <c r="M31" s="17"/>
      <c r="N31" s="17"/>
      <c r="O31" s="20" t="s">
        <v>204</v>
      </c>
    </row>
    <row r="32" spans="1:15" ht="36" customHeight="1">
      <c r="A32" s="3" t="s">
        <v>208</v>
      </c>
      <c r="B32" s="3">
        <v>28</v>
      </c>
      <c r="C32" s="3" t="s">
        <v>206</v>
      </c>
      <c r="D32" s="3" t="s">
        <v>479</v>
      </c>
      <c r="E32" s="3" t="s">
        <v>207</v>
      </c>
      <c r="F32" s="3">
        <v>95.5</v>
      </c>
      <c r="G32" s="3">
        <v>76.400000000000006</v>
      </c>
      <c r="H32" s="3">
        <v>99</v>
      </c>
      <c r="I32" s="3">
        <v>98.1</v>
      </c>
      <c r="J32" s="3"/>
      <c r="K32" s="3"/>
      <c r="L32" s="3"/>
      <c r="M32" s="3"/>
      <c r="N32" s="3"/>
      <c r="O32" s="19" t="s">
        <v>210</v>
      </c>
    </row>
    <row r="33" spans="1:15" ht="36" customHeight="1">
      <c r="A33" s="17" t="s">
        <v>213</v>
      </c>
      <c r="B33" s="17">
        <v>29</v>
      </c>
      <c r="C33" s="17" t="s">
        <v>211</v>
      </c>
      <c r="D33" s="17" t="s">
        <v>480</v>
      </c>
      <c r="E33" s="17" t="s">
        <v>212</v>
      </c>
      <c r="F33" s="17">
        <v>95.4</v>
      </c>
      <c r="G33" s="17">
        <v>77.3</v>
      </c>
      <c r="H33" s="17">
        <v>97.4</v>
      </c>
      <c r="I33" s="17">
        <v>97.5</v>
      </c>
      <c r="J33" s="17"/>
      <c r="K33" s="17"/>
      <c r="L33" s="17"/>
      <c r="M33" s="17"/>
      <c r="N33" s="17"/>
      <c r="O33" s="20" t="s">
        <v>214</v>
      </c>
    </row>
    <row r="34" spans="1:15" ht="36" customHeight="1">
      <c r="A34" s="4">
        <v>30</v>
      </c>
      <c r="B34" s="4">
        <v>30</v>
      </c>
      <c r="C34" s="4" t="s">
        <v>215</v>
      </c>
      <c r="D34" s="4" t="s">
        <v>481</v>
      </c>
      <c r="E34" s="4" t="s">
        <v>150</v>
      </c>
      <c r="F34" s="4">
        <v>95.3</v>
      </c>
      <c r="G34" s="4">
        <v>93.6</v>
      </c>
      <c r="H34" s="4">
        <v>99</v>
      </c>
      <c r="I34" s="4">
        <v>81</v>
      </c>
      <c r="J34" s="4"/>
      <c r="K34" s="4"/>
      <c r="L34" s="4"/>
      <c r="M34" s="4"/>
      <c r="N34" s="4"/>
      <c r="O34" s="21" t="s">
        <v>217</v>
      </c>
    </row>
  </sheetData>
  <mergeCells count="2">
    <mergeCell ref="A1:O1"/>
    <mergeCell ref="A2:O2"/>
  </mergeCells>
  <phoneticPr fontId="8"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34"/>
  <sheetViews>
    <sheetView showGridLines="0" workbookViewId="0">
      <selection sqref="A1:H1"/>
    </sheetView>
  </sheetViews>
  <sheetFormatPr defaultRowHeight="13.5"/>
  <cols>
    <col min="1" max="1" width="9" customWidth="1"/>
    <col min="2" max="2" width="11" customWidth="1"/>
    <col min="3" max="3" width="30" customWidth="1"/>
    <col min="4" max="4" width="18" customWidth="1"/>
    <col min="5" max="6" width="13" customWidth="1"/>
    <col min="7" max="7" width="55" customWidth="1"/>
    <col min="8" max="8" width="48" customWidth="1"/>
  </cols>
  <sheetData>
    <row r="1" spans="1:8" ht="28.05" customHeight="1">
      <c r="A1" s="36" t="s">
        <v>482</v>
      </c>
      <c r="B1" s="36"/>
      <c r="C1" s="36"/>
      <c r="D1" s="36"/>
      <c r="E1" s="36"/>
      <c r="F1" s="36"/>
      <c r="G1" s="36"/>
      <c r="H1" s="36"/>
    </row>
    <row r="2" spans="1:8" ht="34.049999999999997" customHeight="1">
      <c r="A2" s="37" t="s">
        <v>483</v>
      </c>
      <c r="B2" s="37"/>
      <c r="C2" s="37"/>
      <c r="D2" s="37"/>
      <c r="E2" s="37"/>
      <c r="F2" s="37"/>
      <c r="G2" s="37"/>
      <c r="H2" s="37"/>
    </row>
    <row r="4" spans="1:8" ht="38" customHeight="1">
      <c r="A4" s="13" t="s">
        <v>443</v>
      </c>
      <c r="B4" s="14" t="s">
        <v>444</v>
      </c>
      <c r="C4" s="14" t="s">
        <v>445</v>
      </c>
      <c r="D4" s="14" t="s">
        <v>89</v>
      </c>
      <c r="E4" s="14" t="s">
        <v>447</v>
      </c>
      <c r="F4" s="14" t="s">
        <v>484</v>
      </c>
      <c r="G4" s="14" t="s">
        <v>485</v>
      </c>
      <c r="H4" s="15" t="s">
        <v>95</v>
      </c>
    </row>
    <row r="5" spans="1:8" ht="28.05" customHeight="1">
      <c r="A5" s="16" t="s">
        <v>105</v>
      </c>
      <c r="B5" s="16">
        <v>2</v>
      </c>
      <c r="C5" s="16" t="s">
        <v>219</v>
      </c>
      <c r="D5" s="16" t="s">
        <v>129</v>
      </c>
      <c r="E5" s="16">
        <v>97.9</v>
      </c>
      <c r="F5" s="16">
        <v>95.6</v>
      </c>
      <c r="G5" s="16" t="s">
        <v>486</v>
      </c>
      <c r="H5" s="18" t="s">
        <v>222</v>
      </c>
    </row>
    <row r="6" spans="1:8" ht="28.05" customHeight="1">
      <c r="A6" s="3" t="s">
        <v>110</v>
      </c>
      <c r="B6" s="3">
        <v>3</v>
      </c>
      <c r="C6" s="3" t="s">
        <v>223</v>
      </c>
      <c r="D6" s="3" t="s">
        <v>129</v>
      </c>
      <c r="E6" s="3">
        <v>97.8</v>
      </c>
      <c r="F6" s="3">
        <v>94.3</v>
      </c>
      <c r="G6" s="3" t="s">
        <v>487</v>
      </c>
      <c r="H6" s="19" t="s">
        <v>225</v>
      </c>
    </row>
    <row r="7" spans="1:8" ht="28.05" customHeight="1">
      <c r="A7" s="17" t="s">
        <v>114</v>
      </c>
      <c r="B7" s="17">
        <v>4</v>
      </c>
      <c r="C7" s="17" t="s">
        <v>488</v>
      </c>
      <c r="D7" s="17" t="s">
        <v>104</v>
      </c>
      <c r="E7" s="17">
        <v>97.5</v>
      </c>
      <c r="F7" s="17">
        <v>93.5</v>
      </c>
      <c r="G7" s="17" t="s">
        <v>489</v>
      </c>
      <c r="H7" s="20" t="s">
        <v>227</v>
      </c>
    </row>
    <row r="8" spans="1:8" ht="28.05" customHeight="1">
      <c r="A8" s="3" t="s">
        <v>118</v>
      </c>
      <c r="B8" s="3">
        <v>5</v>
      </c>
      <c r="C8" s="3" t="s">
        <v>228</v>
      </c>
      <c r="D8" s="3" t="s">
        <v>229</v>
      </c>
      <c r="E8" s="3">
        <v>97.3</v>
      </c>
      <c r="F8" s="3">
        <v>99.6</v>
      </c>
      <c r="G8" s="3" t="s">
        <v>490</v>
      </c>
      <c r="H8" s="19" t="s">
        <v>231</v>
      </c>
    </row>
    <row r="9" spans="1:8" ht="28.05" customHeight="1">
      <c r="A9" s="17" t="s">
        <v>122</v>
      </c>
      <c r="B9" s="17">
        <v>6</v>
      </c>
      <c r="C9" s="17" t="s">
        <v>232</v>
      </c>
      <c r="D9" s="17" t="s">
        <v>233</v>
      </c>
      <c r="E9" s="17">
        <v>96.8</v>
      </c>
      <c r="F9" s="17">
        <v>95.2</v>
      </c>
      <c r="G9" s="17" t="s">
        <v>491</v>
      </c>
      <c r="H9" s="20" t="s">
        <v>235</v>
      </c>
    </row>
    <row r="10" spans="1:8" ht="28.05" customHeight="1">
      <c r="A10" s="3">
        <v>7</v>
      </c>
      <c r="B10" s="3">
        <v>7</v>
      </c>
      <c r="C10" s="3" t="s">
        <v>236</v>
      </c>
      <c r="D10" s="3" t="s">
        <v>237</v>
      </c>
      <c r="E10" s="3">
        <v>96.3</v>
      </c>
      <c r="F10" s="3">
        <v>94.1</v>
      </c>
      <c r="G10" s="3" t="s">
        <v>492</v>
      </c>
      <c r="H10" s="19" t="s">
        <v>239</v>
      </c>
    </row>
    <row r="11" spans="1:8" ht="28.05" customHeight="1">
      <c r="A11" s="17">
        <v>7</v>
      </c>
      <c r="B11" s="17">
        <v>7</v>
      </c>
      <c r="C11" s="17" t="s">
        <v>240</v>
      </c>
      <c r="D11" s="17" t="s">
        <v>229</v>
      </c>
      <c r="E11" s="17">
        <v>96.3</v>
      </c>
      <c r="F11" s="17">
        <v>96.5</v>
      </c>
      <c r="G11" s="17" t="s">
        <v>493</v>
      </c>
      <c r="H11" s="20" t="s">
        <v>242</v>
      </c>
    </row>
    <row r="12" spans="1:8" ht="28.05" customHeight="1">
      <c r="A12" s="3" t="s">
        <v>134</v>
      </c>
      <c r="B12" s="3">
        <v>9</v>
      </c>
      <c r="C12" s="3" t="s">
        <v>243</v>
      </c>
      <c r="D12" s="3" t="s">
        <v>244</v>
      </c>
      <c r="E12" s="3">
        <v>96.1</v>
      </c>
      <c r="F12" s="3">
        <v>98.9</v>
      </c>
      <c r="G12" s="3" t="s">
        <v>494</v>
      </c>
      <c r="H12" s="19" t="s">
        <v>246</v>
      </c>
    </row>
    <row r="13" spans="1:8" ht="28.05" customHeight="1">
      <c r="A13" s="17">
        <v>10</v>
      </c>
      <c r="B13" s="17">
        <v>10</v>
      </c>
      <c r="C13" s="17" t="s">
        <v>247</v>
      </c>
      <c r="D13" s="17" t="s">
        <v>248</v>
      </c>
      <c r="E13" s="17">
        <v>96</v>
      </c>
      <c r="F13" s="17"/>
      <c r="G13" s="17" t="s">
        <v>495</v>
      </c>
      <c r="H13" s="20" t="s">
        <v>250</v>
      </c>
    </row>
    <row r="14" spans="1:8" ht="28.05" customHeight="1">
      <c r="A14" s="3">
        <v>10</v>
      </c>
      <c r="B14" s="3">
        <v>10</v>
      </c>
      <c r="C14" s="3" t="s">
        <v>251</v>
      </c>
      <c r="D14" s="3" t="s">
        <v>104</v>
      </c>
      <c r="E14" s="3">
        <v>96</v>
      </c>
      <c r="F14" s="3">
        <v>92.9</v>
      </c>
      <c r="G14" s="3" t="s">
        <v>496</v>
      </c>
      <c r="H14" s="19" t="s">
        <v>252</v>
      </c>
    </row>
    <row r="15" spans="1:8" ht="28.05" customHeight="1">
      <c r="A15" s="17">
        <v>12</v>
      </c>
      <c r="B15" s="17">
        <v>12</v>
      </c>
      <c r="C15" s="17" t="s">
        <v>253</v>
      </c>
      <c r="D15" s="17" t="s">
        <v>233</v>
      </c>
      <c r="E15" s="17">
        <v>95.9</v>
      </c>
      <c r="F15" s="17"/>
      <c r="G15" s="17" t="s">
        <v>497</v>
      </c>
      <c r="H15" s="20" t="s">
        <v>255</v>
      </c>
    </row>
    <row r="16" spans="1:8" ht="28.05" customHeight="1">
      <c r="A16" s="3" t="s">
        <v>162</v>
      </c>
      <c r="B16" s="3">
        <v>15</v>
      </c>
      <c r="C16" s="3" t="s">
        <v>256</v>
      </c>
      <c r="D16" s="3" t="s">
        <v>257</v>
      </c>
      <c r="E16" s="3">
        <v>95.7</v>
      </c>
      <c r="F16" s="3">
        <v>89.7</v>
      </c>
      <c r="G16" s="3" t="s">
        <v>498</v>
      </c>
      <c r="H16" s="19" t="s">
        <v>259</v>
      </c>
    </row>
    <row r="17" spans="1:8" ht="28.05" customHeight="1">
      <c r="A17" s="17">
        <v>16</v>
      </c>
      <c r="B17" s="17">
        <v>16</v>
      </c>
      <c r="C17" s="17" t="s">
        <v>260</v>
      </c>
      <c r="D17" s="17" t="s">
        <v>233</v>
      </c>
      <c r="E17" s="17">
        <v>95.6</v>
      </c>
      <c r="F17" s="17">
        <v>91.7</v>
      </c>
      <c r="G17" s="17" t="s">
        <v>499</v>
      </c>
      <c r="H17" s="20" t="s">
        <v>262</v>
      </c>
    </row>
    <row r="18" spans="1:8" ht="28.05" customHeight="1">
      <c r="A18" s="3">
        <v>16</v>
      </c>
      <c r="B18" s="3">
        <v>16</v>
      </c>
      <c r="C18" s="3" t="s">
        <v>263</v>
      </c>
      <c r="D18" s="3" t="s">
        <v>129</v>
      </c>
      <c r="E18" s="3">
        <v>95.6</v>
      </c>
      <c r="F18" s="3">
        <v>92.1</v>
      </c>
      <c r="G18" s="3" t="s">
        <v>500</v>
      </c>
      <c r="H18" s="19" t="s">
        <v>265</v>
      </c>
    </row>
    <row r="19" spans="1:8" ht="28.05" customHeight="1">
      <c r="A19" s="17" t="s">
        <v>266</v>
      </c>
      <c r="B19" s="17">
        <v>18</v>
      </c>
      <c r="C19" s="17" t="s">
        <v>27</v>
      </c>
      <c r="D19" s="17" t="s">
        <v>104</v>
      </c>
      <c r="E19" s="17">
        <v>95.5</v>
      </c>
      <c r="F19" s="17">
        <v>93</v>
      </c>
      <c r="G19" s="17" t="s">
        <v>501</v>
      </c>
      <c r="H19" s="20" t="s">
        <v>268</v>
      </c>
    </row>
    <row r="20" spans="1:8" ht="28.05" customHeight="1">
      <c r="A20" s="3" t="s">
        <v>172</v>
      </c>
      <c r="B20" s="3">
        <v>19</v>
      </c>
      <c r="C20" s="3" t="s">
        <v>269</v>
      </c>
      <c r="D20" s="3" t="s">
        <v>270</v>
      </c>
      <c r="E20" s="3">
        <v>95.4</v>
      </c>
      <c r="F20" s="3">
        <v>94.1</v>
      </c>
      <c r="G20" s="3" t="s">
        <v>502</v>
      </c>
      <c r="H20" s="19" t="s">
        <v>272</v>
      </c>
    </row>
    <row r="21" spans="1:8" ht="28.05" customHeight="1">
      <c r="A21" s="17">
        <v>20</v>
      </c>
      <c r="B21" s="17">
        <v>20</v>
      </c>
      <c r="C21" s="17" t="s">
        <v>277</v>
      </c>
      <c r="D21" s="17" t="s">
        <v>233</v>
      </c>
      <c r="E21" s="17">
        <v>95.3</v>
      </c>
      <c r="F21" s="17"/>
      <c r="G21" s="17" t="s">
        <v>503</v>
      </c>
      <c r="H21" s="20" t="s">
        <v>279</v>
      </c>
    </row>
    <row r="22" spans="1:8" ht="28.05" customHeight="1">
      <c r="A22" s="3">
        <v>20</v>
      </c>
      <c r="B22" s="3">
        <v>20</v>
      </c>
      <c r="C22" s="3" t="s">
        <v>280</v>
      </c>
      <c r="D22" s="3" t="s">
        <v>281</v>
      </c>
      <c r="E22" s="3">
        <v>95.3</v>
      </c>
      <c r="F22" s="3"/>
      <c r="G22" s="3" t="s">
        <v>504</v>
      </c>
      <c r="H22" s="19" t="s">
        <v>283</v>
      </c>
    </row>
    <row r="23" spans="1:8" ht="28.05" customHeight="1">
      <c r="A23" s="17">
        <v>20</v>
      </c>
      <c r="B23" s="17">
        <v>20</v>
      </c>
      <c r="C23" s="17" t="s">
        <v>273</v>
      </c>
      <c r="D23" s="17" t="s">
        <v>109</v>
      </c>
      <c r="E23" s="17">
        <v>95.3</v>
      </c>
      <c r="F23" s="17">
        <v>92.7</v>
      </c>
      <c r="G23" s="17" t="s">
        <v>505</v>
      </c>
      <c r="H23" s="20" t="s">
        <v>276</v>
      </c>
    </row>
    <row r="24" spans="1:8" ht="28.05" customHeight="1">
      <c r="A24" s="3" t="s">
        <v>286</v>
      </c>
      <c r="B24" s="3">
        <v>23</v>
      </c>
      <c r="C24" s="3" t="s">
        <v>284</v>
      </c>
      <c r="D24" s="3" t="s">
        <v>285</v>
      </c>
      <c r="E24" s="3">
        <v>95.2</v>
      </c>
      <c r="F24" s="3">
        <v>90.1</v>
      </c>
      <c r="G24" s="3" t="s">
        <v>506</v>
      </c>
      <c r="H24" s="19" t="s">
        <v>287</v>
      </c>
    </row>
    <row r="25" spans="1:8" ht="28.05" customHeight="1">
      <c r="A25" s="17" t="s">
        <v>289</v>
      </c>
      <c r="B25" s="17">
        <v>24</v>
      </c>
      <c r="C25" s="17" t="s">
        <v>288</v>
      </c>
      <c r="D25" s="17" t="s">
        <v>229</v>
      </c>
      <c r="E25" s="17">
        <v>95</v>
      </c>
      <c r="F25" s="17">
        <v>91.9</v>
      </c>
      <c r="G25" s="17" t="s">
        <v>507</v>
      </c>
      <c r="H25" s="20" t="s">
        <v>291</v>
      </c>
    </row>
    <row r="26" spans="1:8" ht="28.05" customHeight="1">
      <c r="A26" s="3" t="s">
        <v>294</v>
      </c>
      <c r="B26" s="3">
        <v>25</v>
      </c>
      <c r="C26" s="3" t="s">
        <v>292</v>
      </c>
      <c r="D26" s="3" t="s">
        <v>293</v>
      </c>
      <c r="E26" s="3">
        <v>94.9</v>
      </c>
      <c r="F26" s="3">
        <v>89.7</v>
      </c>
      <c r="G26" s="3" t="s">
        <v>508</v>
      </c>
      <c r="H26" s="19" t="s">
        <v>296</v>
      </c>
    </row>
    <row r="27" spans="1:8" ht="28.05" customHeight="1">
      <c r="A27" s="17" t="s">
        <v>298</v>
      </c>
      <c r="B27" s="17">
        <v>26</v>
      </c>
      <c r="C27" s="17" t="s">
        <v>297</v>
      </c>
      <c r="D27" s="17" t="s">
        <v>233</v>
      </c>
      <c r="E27" s="17">
        <v>94.7</v>
      </c>
      <c r="F27" s="17"/>
      <c r="G27" s="17" t="s">
        <v>509</v>
      </c>
      <c r="H27" s="20" t="s">
        <v>300</v>
      </c>
    </row>
    <row r="28" spans="1:8" ht="28.05" customHeight="1">
      <c r="A28" s="3" t="s">
        <v>202</v>
      </c>
      <c r="B28" s="3">
        <v>27</v>
      </c>
      <c r="C28" s="3" t="s">
        <v>301</v>
      </c>
      <c r="D28" s="3" t="s">
        <v>104</v>
      </c>
      <c r="E28" s="3">
        <v>94.6</v>
      </c>
      <c r="F28" s="3"/>
      <c r="G28" s="3" t="s">
        <v>510</v>
      </c>
      <c r="H28" s="19" t="s">
        <v>303</v>
      </c>
    </row>
    <row r="29" spans="1:8" ht="28.05" customHeight="1">
      <c r="A29" s="17" t="s">
        <v>213</v>
      </c>
      <c r="B29" s="17">
        <v>29</v>
      </c>
      <c r="C29" s="17" t="s">
        <v>304</v>
      </c>
      <c r="D29" s="17" t="s">
        <v>129</v>
      </c>
      <c r="E29" s="17">
        <v>94.3</v>
      </c>
      <c r="F29" s="17">
        <v>96.8</v>
      </c>
      <c r="G29" s="17" t="s">
        <v>511</v>
      </c>
      <c r="H29" s="20" t="s">
        <v>305</v>
      </c>
    </row>
    <row r="30" spans="1:8" ht="28.05" customHeight="1">
      <c r="A30" s="3" t="s">
        <v>307</v>
      </c>
      <c r="B30" s="3">
        <v>30</v>
      </c>
      <c r="C30" s="3" t="s">
        <v>306</v>
      </c>
      <c r="D30" s="3" t="s">
        <v>129</v>
      </c>
      <c r="E30" s="3">
        <v>94.1</v>
      </c>
      <c r="F30" s="3"/>
      <c r="G30" s="3" t="s">
        <v>512</v>
      </c>
      <c r="H30" s="19" t="s">
        <v>309</v>
      </c>
    </row>
    <row r="31" spans="1:8" ht="28.05" customHeight="1">
      <c r="A31" s="17">
        <v>31</v>
      </c>
      <c r="B31" s="17">
        <v>31</v>
      </c>
      <c r="C31" s="17" t="s">
        <v>310</v>
      </c>
      <c r="D31" s="17" t="s">
        <v>109</v>
      </c>
      <c r="E31" s="17">
        <v>94</v>
      </c>
      <c r="F31" s="17">
        <v>90.2</v>
      </c>
      <c r="G31" s="17" t="s">
        <v>513</v>
      </c>
      <c r="H31" s="20" t="s">
        <v>312</v>
      </c>
    </row>
    <row r="32" spans="1:8" ht="28.05" customHeight="1">
      <c r="A32" s="3">
        <v>31</v>
      </c>
      <c r="B32" s="3">
        <v>31</v>
      </c>
      <c r="C32" s="3" t="s">
        <v>313</v>
      </c>
      <c r="D32" s="3" t="s">
        <v>257</v>
      </c>
      <c r="E32" s="3">
        <v>94</v>
      </c>
      <c r="F32" s="3"/>
      <c r="G32" s="3" t="s">
        <v>514</v>
      </c>
      <c r="H32" s="19" t="s">
        <v>314</v>
      </c>
    </row>
    <row r="33" spans="1:8" ht="28.05" customHeight="1">
      <c r="A33" s="17">
        <v>33</v>
      </c>
      <c r="B33" s="17">
        <v>33</v>
      </c>
      <c r="C33" s="17" t="s">
        <v>315</v>
      </c>
      <c r="D33" s="17" t="s">
        <v>316</v>
      </c>
      <c r="E33" s="17">
        <v>93.9</v>
      </c>
      <c r="F33" s="17">
        <v>95.7</v>
      </c>
      <c r="G33" s="17" t="s">
        <v>515</v>
      </c>
      <c r="H33" s="20" t="s">
        <v>317</v>
      </c>
    </row>
    <row r="34" spans="1:8" ht="28.05" customHeight="1">
      <c r="A34" s="4">
        <v>33</v>
      </c>
      <c r="B34" s="4">
        <v>33</v>
      </c>
      <c r="C34" s="4" t="s">
        <v>318</v>
      </c>
      <c r="D34" s="4" t="s">
        <v>150</v>
      </c>
      <c r="E34" s="4">
        <v>93.9</v>
      </c>
      <c r="F34" s="4"/>
      <c r="G34" s="4" t="s">
        <v>516</v>
      </c>
      <c r="H34" s="21" t="s">
        <v>320</v>
      </c>
    </row>
  </sheetData>
  <mergeCells count="2">
    <mergeCell ref="A1:H1"/>
    <mergeCell ref="A2:H2"/>
  </mergeCells>
  <phoneticPr fontId="8"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9"/>
  <sheetViews>
    <sheetView showGridLines="0" workbookViewId="0">
      <selection sqref="A1:J1"/>
    </sheetView>
  </sheetViews>
  <sheetFormatPr defaultRowHeight="13.5"/>
  <cols>
    <col min="1" max="1" width="8" customWidth="1"/>
    <col min="2" max="2" width="32" customWidth="1"/>
    <col min="3" max="3" width="18" customWidth="1"/>
    <col min="4" max="4" width="10" customWidth="1"/>
    <col min="5" max="5" width="11" customWidth="1"/>
    <col min="6" max="6" width="10" customWidth="1"/>
    <col min="7" max="7" width="11" customWidth="1"/>
    <col min="8" max="9" width="30" customWidth="1"/>
    <col min="10" max="10" width="40" customWidth="1"/>
  </cols>
  <sheetData>
    <row r="1" spans="1:10" ht="28.05" customHeight="1">
      <c r="A1" s="36" t="s">
        <v>517</v>
      </c>
      <c r="B1" s="36"/>
      <c r="C1" s="36"/>
      <c r="D1" s="36"/>
      <c r="E1" s="36"/>
      <c r="F1" s="36"/>
      <c r="G1" s="36"/>
      <c r="H1" s="36"/>
      <c r="I1" s="36"/>
      <c r="J1" s="36"/>
    </row>
    <row r="2" spans="1:10" ht="34.049999999999997" customHeight="1">
      <c r="A2" s="37" t="s">
        <v>518</v>
      </c>
      <c r="B2" s="37"/>
      <c r="C2" s="37"/>
      <c r="D2" s="37"/>
      <c r="E2" s="37"/>
      <c r="F2" s="37"/>
      <c r="G2" s="37"/>
      <c r="H2" s="37"/>
      <c r="I2" s="37"/>
      <c r="J2" s="37"/>
    </row>
    <row r="4" spans="1:10" ht="38" customHeight="1">
      <c r="A4" s="13" t="s">
        <v>87</v>
      </c>
      <c r="B4" s="14" t="s">
        <v>519</v>
      </c>
      <c r="C4" s="14" t="s">
        <v>89</v>
      </c>
      <c r="D4" s="14" t="s">
        <v>90</v>
      </c>
      <c r="E4" s="14" t="s">
        <v>324</v>
      </c>
      <c r="F4" s="14" t="s">
        <v>91</v>
      </c>
      <c r="G4" s="14" t="s">
        <v>520</v>
      </c>
      <c r="H4" s="14" t="s">
        <v>521</v>
      </c>
      <c r="I4" s="14" t="s">
        <v>522</v>
      </c>
      <c r="J4" s="15" t="s">
        <v>523</v>
      </c>
    </row>
    <row r="5" spans="1:10" ht="28.05" customHeight="1">
      <c r="A5" s="22">
        <v>8</v>
      </c>
      <c r="B5" s="16" t="s">
        <v>128</v>
      </c>
      <c r="C5" s="16" t="s">
        <v>129</v>
      </c>
      <c r="D5" s="16">
        <v>7</v>
      </c>
      <c r="E5" s="16">
        <v>98.2</v>
      </c>
      <c r="F5" s="16">
        <v>41</v>
      </c>
      <c r="G5" s="16">
        <v>93.2</v>
      </c>
      <c r="H5" s="16" t="s">
        <v>128</v>
      </c>
      <c r="I5" s="16" t="s">
        <v>524</v>
      </c>
      <c r="J5" s="16" t="s">
        <v>525</v>
      </c>
    </row>
    <row r="6" spans="1:10" ht="28.05" customHeight="1">
      <c r="A6" s="23">
        <v>10</v>
      </c>
      <c r="B6" s="3" t="s">
        <v>137</v>
      </c>
      <c r="C6" s="3" t="s">
        <v>109</v>
      </c>
      <c r="D6" s="3" t="s">
        <v>138</v>
      </c>
      <c r="E6" s="3">
        <v>98</v>
      </c>
      <c r="F6" s="3" t="s">
        <v>99</v>
      </c>
      <c r="G6" s="3">
        <v>98.5</v>
      </c>
      <c r="H6" s="3" t="s">
        <v>137</v>
      </c>
      <c r="I6" s="3" t="s">
        <v>526</v>
      </c>
      <c r="J6" s="3" t="s">
        <v>525</v>
      </c>
    </row>
    <row r="7" spans="1:10" ht="28.05" customHeight="1">
      <c r="A7" s="24">
        <v>26</v>
      </c>
      <c r="B7" s="17" t="s">
        <v>197</v>
      </c>
      <c r="C7" s="17" t="s">
        <v>104</v>
      </c>
      <c r="D7" s="17">
        <v>24</v>
      </c>
      <c r="E7" s="17">
        <v>95.8</v>
      </c>
      <c r="F7" s="17">
        <v>12</v>
      </c>
      <c r="G7" s="17">
        <v>95.9</v>
      </c>
      <c r="H7" s="17" t="s">
        <v>197</v>
      </c>
      <c r="I7" s="17" t="s">
        <v>197</v>
      </c>
      <c r="J7" s="17" t="s">
        <v>525</v>
      </c>
    </row>
    <row r="8" spans="1:10" ht="28.05" customHeight="1">
      <c r="A8" s="23">
        <v>27</v>
      </c>
      <c r="B8" s="3" t="s">
        <v>201</v>
      </c>
      <c r="C8" s="3" t="s">
        <v>109</v>
      </c>
      <c r="D8" s="3" t="s">
        <v>202</v>
      </c>
      <c r="E8" s="3">
        <v>95.7</v>
      </c>
      <c r="F8" s="3" t="s">
        <v>158</v>
      </c>
      <c r="G8" s="3">
        <v>95.8</v>
      </c>
      <c r="H8" s="3" t="s">
        <v>201</v>
      </c>
      <c r="I8" s="3" t="s">
        <v>201</v>
      </c>
      <c r="J8" s="3" t="s">
        <v>525</v>
      </c>
    </row>
    <row r="9" spans="1:10" ht="28.05" customHeight="1">
      <c r="A9" s="30">
        <v>49</v>
      </c>
      <c r="B9" s="29" t="s">
        <v>273</v>
      </c>
      <c r="C9" s="29" t="s">
        <v>109</v>
      </c>
      <c r="D9" s="29">
        <v>48</v>
      </c>
      <c r="E9" s="29">
        <v>93.5</v>
      </c>
      <c r="F9" s="29">
        <v>20</v>
      </c>
      <c r="G9" s="29">
        <v>95.3</v>
      </c>
      <c r="H9" s="29" t="s">
        <v>273</v>
      </c>
      <c r="I9" s="29" t="s">
        <v>273</v>
      </c>
      <c r="J9" s="29" t="s">
        <v>525</v>
      </c>
    </row>
  </sheetData>
  <mergeCells count="2">
    <mergeCell ref="A1:J1"/>
    <mergeCell ref="A2:J2"/>
  </mergeCells>
  <phoneticPr fontId="8"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64"/>
  <sheetViews>
    <sheetView showGridLines="0" topLeftCell="A46" workbookViewId="0">
      <selection sqref="A1:K1"/>
    </sheetView>
  </sheetViews>
  <sheetFormatPr defaultRowHeight="13.5"/>
  <cols>
    <col min="1" max="1" width="8" customWidth="1"/>
    <col min="2" max="2" width="28" customWidth="1"/>
    <col min="3" max="3" width="24" customWidth="1"/>
    <col min="4" max="4" width="28" customWidth="1"/>
    <col min="5" max="5" width="12" customWidth="1"/>
    <col min="6" max="6" width="10" customWidth="1"/>
    <col min="7" max="7" width="16" customWidth="1"/>
    <col min="8" max="10" width="42" customWidth="1"/>
    <col min="11" max="11" width="50" customWidth="1"/>
  </cols>
  <sheetData>
    <row r="1" spans="1:11" ht="28.05" customHeight="1">
      <c r="A1" s="36" t="s">
        <v>527</v>
      </c>
      <c r="B1" s="36"/>
      <c r="C1" s="36"/>
      <c r="D1" s="36"/>
      <c r="E1" s="36"/>
      <c r="F1" s="36"/>
      <c r="G1" s="36"/>
      <c r="H1" s="36"/>
      <c r="I1" s="36"/>
      <c r="J1" s="36"/>
      <c r="K1" s="36"/>
    </row>
    <row r="2" spans="1:11" ht="34.049999999999997" customHeight="1">
      <c r="A2" s="37" t="s">
        <v>528</v>
      </c>
      <c r="B2" s="37"/>
      <c r="C2" s="37"/>
      <c r="D2" s="37"/>
      <c r="E2" s="37"/>
      <c r="F2" s="37"/>
      <c r="G2" s="37"/>
      <c r="H2" s="37"/>
      <c r="I2" s="37"/>
      <c r="J2" s="37"/>
      <c r="K2" s="37"/>
    </row>
    <row r="4" spans="1:11" ht="38" customHeight="1">
      <c r="A4" s="13" t="s">
        <v>87</v>
      </c>
      <c r="B4" s="14" t="s">
        <v>529</v>
      </c>
      <c r="C4" s="14" t="s">
        <v>530</v>
      </c>
      <c r="D4" s="14" t="s">
        <v>531</v>
      </c>
      <c r="E4" s="14" t="s">
        <v>532</v>
      </c>
      <c r="F4" s="14" t="s">
        <v>533</v>
      </c>
      <c r="G4" s="14" t="s">
        <v>534</v>
      </c>
      <c r="H4" s="14" t="s">
        <v>535</v>
      </c>
      <c r="I4" s="14" t="s">
        <v>536</v>
      </c>
      <c r="J4" s="14" t="s">
        <v>537</v>
      </c>
      <c r="K4" s="15" t="s">
        <v>538</v>
      </c>
    </row>
    <row r="5" spans="1:11" ht="28.05" customHeight="1">
      <c r="A5" s="22">
        <v>1</v>
      </c>
      <c r="B5" s="16" t="s">
        <v>97</v>
      </c>
      <c r="C5" s="16" t="s">
        <v>539</v>
      </c>
      <c r="D5" s="16"/>
      <c r="E5" s="16"/>
      <c r="F5" s="16"/>
      <c r="G5" s="16"/>
      <c r="H5" s="18"/>
      <c r="I5" s="18"/>
      <c r="J5" s="18" t="s">
        <v>540</v>
      </c>
      <c r="K5" s="16" t="s">
        <v>541</v>
      </c>
    </row>
    <row r="6" spans="1:11" ht="28.05" customHeight="1">
      <c r="A6" s="23">
        <v>2</v>
      </c>
      <c r="B6" s="3" t="s">
        <v>103</v>
      </c>
      <c r="C6" s="3" t="s">
        <v>542</v>
      </c>
      <c r="D6" s="3" t="s">
        <v>543</v>
      </c>
      <c r="E6" s="3"/>
      <c r="F6" s="3"/>
      <c r="G6" s="3"/>
      <c r="H6" s="19" t="s">
        <v>544</v>
      </c>
      <c r="I6" s="19" t="s">
        <v>545</v>
      </c>
      <c r="J6" s="19" t="s">
        <v>540</v>
      </c>
      <c r="K6" s="3" t="s">
        <v>546</v>
      </c>
    </row>
    <row r="7" spans="1:11" ht="28.05" customHeight="1">
      <c r="A7" s="24">
        <v>3</v>
      </c>
      <c r="B7" s="17" t="s">
        <v>108</v>
      </c>
      <c r="C7" s="17" t="s">
        <v>539</v>
      </c>
      <c r="D7" s="17"/>
      <c r="E7" s="17"/>
      <c r="F7" s="17"/>
      <c r="G7" s="17"/>
      <c r="H7" s="20"/>
      <c r="I7" s="20"/>
      <c r="J7" s="20" t="s">
        <v>540</v>
      </c>
      <c r="K7" s="17" t="s">
        <v>541</v>
      </c>
    </row>
    <row r="8" spans="1:11" ht="28.05" customHeight="1">
      <c r="A8" s="23">
        <v>4</v>
      </c>
      <c r="B8" s="3" t="s">
        <v>113</v>
      </c>
      <c r="C8" s="3" t="s">
        <v>539</v>
      </c>
      <c r="D8" s="3"/>
      <c r="E8" s="3"/>
      <c r="F8" s="3"/>
      <c r="G8" s="3"/>
      <c r="H8" s="19"/>
      <c r="I8" s="19"/>
      <c r="J8" s="19" t="s">
        <v>540</v>
      </c>
      <c r="K8" s="3" t="s">
        <v>541</v>
      </c>
    </row>
    <row r="9" spans="1:11" ht="28.05" customHeight="1">
      <c r="A9" s="24">
        <v>5</v>
      </c>
      <c r="B9" s="17" t="s">
        <v>117</v>
      </c>
      <c r="C9" s="17" t="s">
        <v>539</v>
      </c>
      <c r="D9" s="17"/>
      <c r="E9" s="17"/>
      <c r="F9" s="17"/>
      <c r="G9" s="17"/>
      <c r="H9" s="20"/>
      <c r="I9" s="20"/>
      <c r="J9" s="20" t="s">
        <v>540</v>
      </c>
      <c r="K9" s="17" t="s">
        <v>541</v>
      </c>
    </row>
    <row r="10" spans="1:11" ht="28.05" customHeight="1">
      <c r="A10" s="23">
        <v>6</v>
      </c>
      <c r="B10" s="3" t="s">
        <v>121</v>
      </c>
      <c r="C10" s="3" t="s">
        <v>539</v>
      </c>
      <c r="D10" s="3"/>
      <c r="E10" s="3"/>
      <c r="F10" s="3"/>
      <c r="G10" s="3"/>
      <c r="H10" s="19"/>
      <c r="I10" s="19"/>
      <c r="J10" s="19" t="s">
        <v>540</v>
      </c>
      <c r="K10" s="3" t="s">
        <v>541</v>
      </c>
    </row>
    <row r="11" spans="1:11" ht="28.05" customHeight="1">
      <c r="A11" s="24">
        <v>7</v>
      </c>
      <c r="B11" s="17" t="s">
        <v>125</v>
      </c>
      <c r="C11" s="17" t="s">
        <v>539</v>
      </c>
      <c r="D11" s="17"/>
      <c r="E11" s="17"/>
      <c r="F11" s="17"/>
      <c r="G11" s="17"/>
      <c r="H11" s="20"/>
      <c r="I11" s="20"/>
      <c r="J11" s="20" t="s">
        <v>540</v>
      </c>
      <c r="K11" s="17" t="s">
        <v>541</v>
      </c>
    </row>
    <row r="12" spans="1:11" ht="28.05" customHeight="1">
      <c r="A12" s="23">
        <v>8</v>
      </c>
      <c r="B12" s="3" t="s">
        <v>128</v>
      </c>
      <c r="C12" s="3" t="s">
        <v>539</v>
      </c>
      <c r="D12" s="3"/>
      <c r="E12" s="3"/>
      <c r="F12" s="3"/>
      <c r="G12" s="3"/>
      <c r="H12" s="19"/>
      <c r="I12" s="19"/>
      <c r="J12" s="19" t="s">
        <v>540</v>
      </c>
      <c r="K12" s="3" t="s">
        <v>541</v>
      </c>
    </row>
    <row r="13" spans="1:11" ht="28.05" customHeight="1">
      <c r="A13" s="24">
        <v>9</v>
      </c>
      <c r="B13" s="17" t="s">
        <v>133</v>
      </c>
      <c r="C13" s="17" t="s">
        <v>547</v>
      </c>
      <c r="D13" s="17" t="s">
        <v>133</v>
      </c>
      <c r="E13" s="17" t="s">
        <v>548</v>
      </c>
      <c r="F13" s="17">
        <v>100</v>
      </c>
      <c r="G13" s="17" t="s">
        <v>549</v>
      </c>
      <c r="H13" s="20" t="s">
        <v>550</v>
      </c>
      <c r="I13" s="20" t="s">
        <v>551</v>
      </c>
      <c r="J13" s="20" t="s">
        <v>540</v>
      </c>
      <c r="K13" s="17" t="s">
        <v>552</v>
      </c>
    </row>
    <row r="14" spans="1:11" ht="28.05" customHeight="1">
      <c r="A14" s="23">
        <v>10</v>
      </c>
      <c r="B14" s="3" t="s">
        <v>137</v>
      </c>
      <c r="C14" s="3" t="s">
        <v>539</v>
      </c>
      <c r="D14" s="3"/>
      <c r="E14" s="3"/>
      <c r="F14" s="3"/>
      <c r="G14" s="3"/>
      <c r="H14" s="19"/>
      <c r="I14" s="19"/>
      <c r="J14" s="19" t="s">
        <v>540</v>
      </c>
      <c r="K14" s="3" t="s">
        <v>541</v>
      </c>
    </row>
    <row r="15" spans="1:11" ht="28.05" customHeight="1">
      <c r="A15" s="24">
        <v>11</v>
      </c>
      <c r="B15" s="17" t="s">
        <v>142</v>
      </c>
      <c r="C15" s="17" t="s">
        <v>539</v>
      </c>
      <c r="D15" s="17"/>
      <c r="E15" s="17"/>
      <c r="F15" s="17"/>
      <c r="G15" s="17"/>
      <c r="H15" s="20"/>
      <c r="I15" s="20"/>
      <c r="J15" s="20" t="s">
        <v>540</v>
      </c>
      <c r="K15" s="17" t="s">
        <v>541</v>
      </c>
    </row>
    <row r="16" spans="1:11" ht="28.05" customHeight="1">
      <c r="A16" s="23">
        <v>12</v>
      </c>
      <c r="B16" s="3" t="s">
        <v>146</v>
      </c>
      <c r="C16" s="3" t="s">
        <v>539</v>
      </c>
      <c r="D16" s="3"/>
      <c r="E16" s="3"/>
      <c r="F16" s="3"/>
      <c r="G16" s="3"/>
      <c r="H16" s="19"/>
      <c r="I16" s="19"/>
      <c r="J16" s="19" t="s">
        <v>540</v>
      </c>
      <c r="K16" s="3" t="s">
        <v>541</v>
      </c>
    </row>
    <row r="17" spans="1:11" ht="28.05" customHeight="1">
      <c r="A17" s="24">
        <v>13</v>
      </c>
      <c r="B17" s="17" t="s">
        <v>149</v>
      </c>
      <c r="C17" s="17" t="s">
        <v>553</v>
      </c>
      <c r="D17" s="17" t="s">
        <v>554</v>
      </c>
      <c r="E17" s="17" t="s">
        <v>548</v>
      </c>
      <c r="F17" s="17">
        <v>100</v>
      </c>
      <c r="G17" s="17" t="s">
        <v>555</v>
      </c>
      <c r="H17" s="20" t="s">
        <v>556</v>
      </c>
      <c r="I17" s="20" t="s">
        <v>557</v>
      </c>
      <c r="J17" s="20" t="s">
        <v>540</v>
      </c>
      <c r="K17" s="17" t="s">
        <v>558</v>
      </c>
    </row>
    <row r="18" spans="1:11" ht="28.05" customHeight="1">
      <c r="A18" s="23">
        <v>14</v>
      </c>
      <c r="B18" s="3" t="s">
        <v>153</v>
      </c>
      <c r="C18" s="3" t="s">
        <v>547</v>
      </c>
      <c r="D18" s="3" t="s">
        <v>153</v>
      </c>
      <c r="E18" s="3" t="s">
        <v>548</v>
      </c>
      <c r="F18" s="3">
        <v>100</v>
      </c>
      <c r="G18" s="3" t="s">
        <v>559</v>
      </c>
      <c r="H18" s="19" t="s">
        <v>560</v>
      </c>
      <c r="I18" s="19" t="s">
        <v>561</v>
      </c>
      <c r="J18" s="19" t="s">
        <v>540</v>
      </c>
      <c r="K18" s="3" t="s">
        <v>552</v>
      </c>
    </row>
    <row r="19" spans="1:11" ht="28.05" customHeight="1">
      <c r="A19" s="24">
        <v>15</v>
      </c>
      <c r="B19" s="17" t="s">
        <v>157</v>
      </c>
      <c r="C19" s="17" t="s">
        <v>539</v>
      </c>
      <c r="D19" s="17"/>
      <c r="E19" s="17"/>
      <c r="F19" s="17"/>
      <c r="G19" s="17"/>
      <c r="H19" s="20"/>
      <c r="I19" s="20"/>
      <c r="J19" s="20" t="s">
        <v>540</v>
      </c>
      <c r="K19" s="17" t="s">
        <v>541</v>
      </c>
    </row>
    <row r="20" spans="1:11" ht="28.05" customHeight="1">
      <c r="A20" s="23">
        <v>16</v>
      </c>
      <c r="B20" s="3" t="s">
        <v>161</v>
      </c>
      <c r="C20" s="3" t="s">
        <v>539</v>
      </c>
      <c r="D20" s="3"/>
      <c r="E20" s="3"/>
      <c r="F20" s="3"/>
      <c r="G20" s="3"/>
      <c r="H20" s="19"/>
      <c r="I20" s="19"/>
      <c r="J20" s="19" t="s">
        <v>540</v>
      </c>
      <c r="K20" s="3" t="s">
        <v>541</v>
      </c>
    </row>
    <row r="21" spans="1:11" ht="28.05" customHeight="1">
      <c r="A21" s="24">
        <v>17</v>
      </c>
      <c r="B21" s="17" t="s">
        <v>165</v>
      </c>
      <c r="C21" s="17" t="s">
        <v>539</v>
      </c>
      <c r="D21" s="17"/>
      <c r="E21" s="17"/>
      <c r="F21" s="17"/>
      <c r="G21" s="17"/>
      <c r="H21" s="20"/>
      <c r="I21" s="20"/>
      <c r="J21" s="20" t="s">
        <v>540</v>
      </c>
      <c r="K21" s="17" t="s">
        <v>541</v>
      </c>
    </row>
    <row r="22" spans="1:11" ht="28.05" customHeight="1">
      <c r="A22" s="23">
        <v>18</v>
      </c>
      <c r="B22" s="3" t="s">
        <v>168</v>
      </c>
      <c r="C22" s="3" t="s">
        <v>539</v>
      </c>
      <c r="D22" s="3"/>
      <c r="E22" s="3"/>
      <c r="F22" s="3"/>
      <c r="G22" s="3"/>
      <c r="H22" s="19"/>
      <c r="I22" s="19"/>
      <c r="J22" s="19" t="s">
        <v>540</v>
      </c>
      <c r="K22" s="3" t="s">
        <v>541</v>
      </c>
    </row>
    <row r="23" spans="1:11" ht="28.05" customHeight="1">
      <c r="A23" s="24">
        <v>19</v>
      </c>
      <c r="B23" s="17" t="s">
        <v>171</v>
      </c>
      <c r="C23" s="17" t="s">
        <v>539</v>
      </c>
      <c r="D23" s="17"/>
      <c r="E23" s="17"/>
      <c r="F23" s="17"/>
      <c r="G23" s="17"/>
      <c r="H23" s="20"/>
      <c r="I23" s="20"/>
      <c r="J23" s="20" t="s">
        <v>540</v>
      </c>
      <c r="K23" s="17" t="s">
        <v>541</v>
      </c>
    </row>
    <row r="24" spans="1:11" ht="28.05" customHeight="1">
      <c r="A24" s="23">
        <v>20</v>
      </c>
      <c r="B24" s="3" t="s">
        <v>175</v>
      </c>
      <c r="C24" s="3" t="s">
        <v>547</v>
      </c>
      <c r="D24" s="3" t="s">
        <v>562</v>
      </c>
      <c r="E24" s="3" t="s">
        <v>563</v>
      </c>
      <c r="F24" s="3">
        <v>85</v>
      </c>
      <c r="G24" s="3" t="s">
        <v>564</v>
      </c>
      <c r="H24" s="19" t="s">
        <v>565</v>
      </c>
      <c r="I24" s="19" t="s">
        <v>566</v>
      </c>
      <c r="J24" s="19" t="s">
        <v>540</v>
      </c>
      <c r="K24" s="3" t="s">
        <v>552</v>
      </c>
    </row>
    <row r="25" spans="1:11" ht="28.05" customHeight="1">
      <c r="A25" s="24">
        <v>21</v>
      </c>
      <c r="B25" s="17" t="s">
        <v>179</v>
      </c>
      <c r="C25" s="17" t="s">
        <v>547</v>
      </c>
      <c r="D25" s="17" t="s">
        <v>179</v>
      </c>
      <c r="E25" s="17" t="s">
        <v>563</v>
      </c>
      <c r="F25" s="17">
        <v>85</v>
      </c>
      <c r="G25" s="17" t="s">
        <v>567</v>
      </c>
      <c r="H25" s="20" t="s">
        <v>568</v>
      </c>
      <c r="I25" s="20" t="s">
        <v>569</v>
      </c>
      <c r="J25" s="20" t="s">
        <v>540</v>
      </c>
      <c r="K25" s="17" t="s">
        <v>552</v>
      </c>
    </row>
    <row r="26" spans="1:11" ht="28.05" customHeight="1">
      <c r="A26" s="23">
        <v>22</v>
      </c>
      <c r="B26" s="3" t="s">
        <v>183</v>
      </c>
      <c r="C26" s="3" t="s">
        <v>539</v>
      </c>
      <c r="D26" s="3"/>
      <c r="E26" s="3"/>
      <c r="F26" s="3"/>
      <c r="G26" s="3"/>
      <c r="H26" s="19"/>
      <c r="I26" s="19"/>
      <c r="J26" s="19" t="s">
        <v>540</v>
      </c>
      <c r="K26" s="3" t="s">
        <v>541</v>
      </c>
    </row>
    <row r="27" spans="1:11" ht="28.05" customHeight="1">
      <c r="A27" s="24">
        <v>23</v>
      </c>
      <c r="B27" s="17" t="s">
        <v>187</v>
      </c>
      <c r="C27" s="17" t="s">
        <v>539</v>
      </c>
      <c r="D27" s="17"/>
      <c r="E27" s="17"/>
      <c r="F27" s="17"/>
      <c r="G27" s="17"/>
      <c r="H27" s="20"/>
      <c r="I27" s="20"/>
      <c r="J27" s="20" t="s">
        <v>540</v>
      </c>
      <c r="K27" s="17" t="s">
        <v>541</v>
      </c>
    </row>
    <row r="28" spans="1:11" ht="28.05" customHeight="1">
      <c r="A28" s="23">
        <v>24</v>
      </c>
      <c r="B28" s="3" t="s">
        <v>191</v>
      </c>
      <c r="C28" s="3" t="s">
        <v>539</v>
      </c>
      <c r="D28" s="3"/>
      <c r="E28" s="3"/>
      <c r="F28" s="3"/>
      <c r="G28" s="3"/>
      <c r="H28" s="19"/>
      <c r="I28" s="19"/>
      <c r="J28" s="19" t="s">
        <v>540</v>
      </c>
      <c r="K28" s="3" t="s">
        <v>541</v>
      </c>
    </row>
    <row r="29" spans="1:11" ht="28.05" customHeight="1">
      <c r="A29" s="24">
        <v>25</v>
      </c>
      <c r="B29" s="17" t="s">
        <v>194</v>
      </c>
      <c r="C29" s="17" t="s">
        <v>539</v>
      </c>
      <c r="D29" s="17"/>
      <c r="E29" s="17"/>
      <c r="F29" s="17"/>
      <c r="G29" s="17"/>
      <c r="H29" s="20"/>
      <c r="I29" s="20"/>
      <c r="J29" s="20" t="s">
        <v>540</v>
      </c>
      <c r="K29" s="17" t="s">
        <v>541</v>
      </c>
    </row>
    <row r="30" spans="1:11" ht="28.05" customHeight="1">
      <c r="A30" s="23">
        <v>26</v>
      </c>
      <c r="B30" s="3" t="s">
        <v>197</v>
      </c>
      <c r="C30" s="3" t="s">
        <v>547</v>
      </c>
      <c r="D30" s="3" t="s">
        <v>197</v>
      </c>
      <c r="E30" s="3" t="s">
        <v>563</v>
      </c>
      <c r="F30" s="3">
        <v>85</v>
      </c>
      <c r="G30" s="3" t="s">
        <v>570</v>
      </c>
      <c r="H30" s="19" t="s">
        <v>571</v>
      </c>
      <c r="I30" s="19" t="s">
        <v>572</v>
      </c>
      <c r="J30" s="19" t="s">
        <v>540</v>
      </c>
      <c r="K30" s="3" t="s">
        <v>552</v>
      </c>
    </row>
    <row r="31" spans="1:11" ht="28.05" customHeight="1">
      <c r="A31" s="24">
        <v>27</v>
      </c>
      <c r="B31" s="17" t="s">
        <v>201</v>
      </c>
      <c r="C31" s="17" t="s">
        <v>539</v>
      </c>
      <c r="D31" s="17"/>
      <c r="E31" s="17"/>
      <c r="F31" s="17"/>
      <c r="G31" s="17"/>
      <c r="H31" s="20"/>
      <c r="I31" s="20"/>
      <c r="J31" s="20" t="s">
        <v>540</v>
      </c>
      <c r="K31" s="17" t="s">
        <v>541</v>
      </c>
    </row>
    <row r="32" spans="1:11" ht="28.05" customHeight="1">
      <c r="A32" s="23">
        <v>28</v>
      </c>
      <c r="B32" s="3" t="s">
        <v>206</v>
      </c>
      <c r="C32" s="3" t="s">
        <v>539</v>
      </c>
      <c r="D32" s="3"/>
      <c r="E32" s="3"/>
      <c r="F32" s="3"/>
      <c r="G32" s="3"/>
      <c r="H32" s="19"/>
      <c r="I32" s="19"/>
      <c r="J32" s="19" t="s">
        <v>540</v>
      </c>
      <c r="K32" s="3" t="s">
        <v>541</v>
      </c>
    </row>
    <row r="33" spans="1:11" ht="28.05" customHeight="1">
      <c r="A33" s="24">
        <v>29</v>
      </c>
      <c r="B33" s="17" t="s">
        <v>211</v>
      </c>
      <c r="C33" s="17" t="s">
        <v>539</v>
      </c>
      <c r="D33" s="17"/>
      <c r="E33" s="17"/>
      <c r="F33" s="17"/>
      <c r="G33" s="17"/>
      <c r="H33" s="20"/>
      <c r="I33" s="20"/>
      <c r="J33" s="20" t="s">
        <v>540</v>
      </c>
      <c r="K33" s="17" t="s">
        <v>541</v>
      </c>
    </row>
    <row r="34" spans="1:11" ht="28.05" customHeight="1">
      <c r="A34" s="23">
        <v>30</v>
      </c>
      <c r="B34" s="3" t="s">
        <v>215</v>
      </c>
      <c r="C34" s="3" t="s">
        <v>547</v>
      </c>
      <c r="D34" s="3" t="s">
        <v>215</v>
      </c>
      <c r="E34" s="3" t="s">
        <v>563</v>
      </c>
      <c r="F34" s="3">
        <v>85</v>
      </c>
      <c r="G34" s="3" t="s">
        <v>573</v>
      </c>
      <c r="H34" s="19" t="s">
        <v>574</v>
      </c>
      <c r="I34" s="19" t="s">
        <v>575</v>
      </c>
      <c r="J34" s="19" t="s">
        <v>540</v>
      </c>
      <c r="K34" s="3" t="s">
        <v>552</v>
      </c>
    </row>
    <row r="35" spans="1:11" ht="28.05" customHeight="1">
      <c r="A35" s="24">
        <v>49</v>
      </c>
      <c r="B35" s="17" t="s">
        <v>273</v>
      </c>
      <c r="C35" s="17" t="s">
        <v>539</v>
      </c>
      <c r="D35" s="17"/>
      <c r="E35" s="17"/>
      <c r="F35" s="17"/>
      <c r="G35" s="17"/>
      <c r="H35" s="20"/>
      <c r="I35" s="20"/>
      <c r="J35" s="20" t="s">
        <v>540</v>
      </c>
      <c r="K35" s="17" t="s">
        <v>541</v>
      </c>
    </row>
    <row r="36" spans="1:11" ht="28.05" customHeight="1">
      <c r="A36" s="23">
        <v>52</v>
      </c>
      <c r="B36" s="3" t="s">
        <v>219</v>
      </c>
      <c r="C36" s="3" t="s">
        <v>539</v>
      </c>
      <c r="D36" s="3"/>
      <c r="E36" s="3"/>
      <c r="F36" s="3"/>
      <c r="G36" s="3"/>
      <c r="H36" s="19"/>
      <c r="I36" s="19"/>
      <c r="J36" s="19" t="s">
        <v>540</v>
      </c>
      <c r="K36" s="3" t="s">
        <v>541</v>
      </c>
    </row>
    <row r="37" spans="1:11" ht="28.05" customHeight="1">
      <c r="A37" s="24">
        <v>53</v>
      </c>
      <c r="B37" s="17" t="s">
        <v>223</v>
      </c>
      <c r="C37" s="17" t="s">
        <v>539</v>
      </c>
      <c r="D37" s="17"/>
      <c r="E37" s="17"/>
      <c r="F37" s="17"/>
      <c r="G37" s="17"/>
      <c r="H37" s="20"/>
      <c r="I37" s="20"/>
      <c r="J37" s="20" t="s">
        <v>540</v>
      </c>
      <c r="K37" s="17" t="s">
        <v>541</v>
      </c>
    </row>
    <row r="38" spans="1:11" ht="28.05" customHeight="1">
      <c r="A38" s="23">
        <v>54</v>
      </c>
      <c r="B38" s="3" t="s">
        <v>226</v>
      </c>
      <c r="C38" s="3" t="s">
        <v>539</v>
      </c>
      <c r="D38" s="3"/>
      <c r="E38" s="3"/>
      <c r="F38" s="3"/>
      <c r="G38" s="3"/>
      <c r="H38" s="19"/>
      <c r="I38" s="19"/>
      <c r="J38" s="19" t="s">
        <v>540</v>
      </c>
      <c r="K38" s="3" t="s">
        <v>541</v>
      </c>
    </row>
    <row r="39" spans="1:11" ht="28.05" customHeight="1">
      <c r="A39" s="24">
        <v>55</v>
      </c>
      <c r="B39" s="17" t="s">
        <v>228</v>
      </c>
      <c r="C39" s="17" t="s">
        <v>539</v>
      </c>
      <c r="D39" s="17"/>
      <c r="E39" s="17"/>
      <c r="F39" s="17"/>
      <c r="G39" s="17"/>
      <c r="H39" s="20"/>
      <c r="I39" s="20"/>
      <c r="J39" s="20" t="s">
        <v>540</v>
      </c>
      <c r="K39" s="17" t="s">
        <v>541</v>
      </c>
    </row>
    <row r="40" spans="1:11" ht="28.05" customHeight="1">
      <c r="A40" s="23">
        <v>56</v>
      </c>
      <c r="B40" s="3" t="s">
        <v>232</v>
      </c>
      <c r="C40" s="3" t="s">
        <v>539</v>
      </c>
      <c r="D40" s="3"/>
      <c r="E40" s="3"/>
      <c r="F40" s="3"/>
      <c r="G40" s="3"/>
      <c r="H40" s="19"/>
      <c r="I40" s="19"/>
      <c r="J40" s="19" t="s">
        <v>540</v>
      </c>
      <c r="K40" s="3" t="s">
        <v>541</v>
      </c>
    </row>
    <row r="41" spans="1:11" ht="28.05" customHeight="1">
      <c r="A41" s="24">
        <v>57</v>
      </c>
      <c r="B41" s="17" t="s">
        <v>236</v>
      </c>
      <c r="C41" s="17" t="s">
        <v>539</v>
      </c>
      <c r="D41" s="17"/>
      <c r="E41" s="17"/>
      <c r="F41" s="17"/>
      <c r="G41" s="17"/>
      <c r="H41" s="20"/>
      <c r="I41" s="20"/>
      <c r="J41" s="20" t="s">
        <v>540</v>
      </c>
      <c r="K41" s="17" t="s">
        <v>541</v>
      </c>
    </row>
    <row r="42" spans="1:11" ht="28.05" customHeight="1">
      <c r="A42" s="23">
        <v>58</v>
      </c>
      <c r="B42" s="3" t="s">
        <v>240</v>
      </c>
      <c r="C42" s="3" t="s">
        <v>539</v>
      </c>
      <c r="D42" s="3"/>
      <c r="E42" s="3"/>
      <c r="F42" s="3"/>
      <c r="G42" s="3"/>
      <c r="H42" s="19"/>
      <c r="I42" s="19"/>
      <c r="J42" s="19" t="s">
        <v>540</v>
      </c>
      <c r="K42" s="3" t="s">
        <v>541</v>
      </c>
    </row>
    <row r="43" spans="1:11" ht="28.05" customHeight="1">
      <c r="A43" s="24">
        <v>59</v>
      </c>
      <c r="B43" s="17" t="s">
        <v>243</v>
      </c>
      <c r="C43" s="17" t="s">
        <v>539</v>
      </c>
      <c r="D43" s="17"/>
      <c r="E43" s="17"/>
      <c r="F43" s="17"/>
      <c r="G43" s="17"/>
      <c r="H43" s="20"/>
      <c r="I43" s="20"/>
      <c r="J43" s="20" t="s">
        <v>540</v>
      </c>
      <c r="K43" s="17" t="s">
        <v>541</v>
      </c>
    </row>
    <row r="44" spans="1:11" ht="28.05" customHeight="1">
      <c r="A44" s="23">
        <v>60</v>
      </c>
      <c r="B44" s="3" t="s">
        <v>247</v>
      </c>
      <c r="C44" s="3" t="s">
        <v>539</v>
      </c>
      <c r="D44" s="3"/>
      <c r="E44" s="3"/>
      <c r="F44" s="3"/>
      <c r="G44" s="3"/>
      <c r="H44" s="19"/>
      <c r="I44" s="19"/>
      <c r="J44" s="19" t="s">
        <v>540</v>
      </c>
      <c r="K44" s="3" t="s">
        <v>541</v>
      </c>
    </row>
    <row r="45" spans="1:11" ht="28.05" customHeight="1">
      <c r="A45" s="24">
        <v>61</v>
      </c>
      <c r="B45" s="17" t="s">
        <v>251</v>
      </c>
      <c r="C45" s="17" t="s">
        <v>547</v>
      </c>
      <c r="D45" s="17" t="s">
        <v>251</v>
      </c>
      <c r="E45" s="17" t="s">
        <v>563</v>
      </c>
      <c r="F45" s="17">
        <v>85</v>
      </c>
      <c r="G45" s="17" t="s">
        <v>576</v>
      </c>
      <c r="H45" s="20" t="s">
        <v>577</v>
      </c>
      <c r="I45" s="20" t="s">
        <v>578</v>
      </c>
      <c r="J45" s="20" t="s">
        <v>540</v>
      </c>
      <c r="K45" s="17" t="s">
        <v>552</v>
      </c>
    </row>
    <row r="46" spans="1:11" ht="28.05" customHeight="1">
      <c r="A46" s="23">
        <v>62</v>
      </c>
      <c r="B46" s="3" t="s">
        <v>253</v>
      </c>
      <c r="C46" s="3" t="s">
        <v>539</v>
      </c>
      <c r="D46" s="3"/>
      <c r="E46" s="3"/>
      <c r="F46" s="3"/>
      <c r="G46" s="3"/>
      <c r="H46" s="19"/>
      <c r="I46" s="19"/>
      <c r="J46" s="19" t="s">
        <v>540</v>
      </c>
      <c r="K46" s="3" t="s">
        <v>541</v>
      </c>
    </row>
    <row r="47" spans="1:11" ht="28.05" customHeight="1">
      <c r="A47" s="24">
        <v>63</v>
      </c>
      <c r="B47" s="17" t="s">
        <v>256</v>
      </c>
      <c r="C47" s="17" t="s">
        <v>539</v>
      </c>
      <c r="D47" s="17"/>
      <c r="E47" s="17"/>
      <c r="F47" s="17"/>
      <c r="G47" s="17"/>
      <c r="H47" s="20"/>
      <c r="I47" s="20"/>
      <c r="J47" s="20" t="s">
        <v>540</v>
      </c>
      <c r="K47" s="17" t="s">
        <v>541</v>
      </c>
    </row>
    <row r="48" spans="1:11" ht="28.05" customHeight="1">
      <c r="A48" s="23">
        <v>64</v>
      </c>
      <c r="B48" s="3" t="s">
        <v>260</v>
      </c>
      <c r="C48" s="3" t="s">
        <v>539</v>
      </c>
      <c r="D48" s="3"/>
      <c r="E48" s="3"/>
      <c r="F48" s="3"/>
      <c r="G48" s="3"/>
      <c r="H48" s="19"/>
      <c r="I48" s="19"/>
      <c r="J48" s="19" t="s">
        <v>540</v>
      </c>
      <c r="K48" s="3" t="s">
        <v>541</v>
      </c>
    </row>
    <row r="49" spans="1:11" ht="28.05" customHeight="1">
      <c r="A49" s="24">
        <v>65</v>
      </c>
      <c r="B49" s="17" t="s">
        <v>263</v>
      </c>
      <c r="C49" s="17" t="s">
        <v>539</v>
      </c>
      <c r="D49" s="17"/>
      <c r="E49" s="17"/>
      <c r="F49" s="17"/>
      <c r="G49" s="17"/>
      <c r="H49" s="20"/>
      <c r="I49" s="20"/>
      <c r="J49" s="20" t="s">
        <v>540</v>
      </c>
      <c r="K49" s="17" t="s">
        <v>541</v>
      </c>
    </row>
    <row r="50" spans="1:11" ht="28.05" customHeight="1">
      <c r="A50" s="23">
        <v>66</v>
      </c>
      <c r="B50" s="3" t="s">
        <v>27</v>
      </c>
      <c r="C50" s="3" t="s">
        <v>547</v>
      </c>
      <c r="D50" s="3" t="s">
        <v>27</v>
      </c>
      <c r="E50" s="3" t="s">
        <v>563</v>
      </c>
      <c r="F50" s="3">
        <v>85</v>
      </c>
      <c r="G50" s="3" t="s">
        <v>579</v>
      </c>
      <c r="H50" s="19" t="s">
        <v>580</v>
      </c>
      <c r="I50" s="19" t="s">
        <v>581</v>
      </c>
      <c r="J50" s="19" t="s">
        <v>540</v>
      </c>
      <c r="K50" s="3" t="s">
        <v>552</v>
      </c>
    </row>
    <row r="51" spans="1:11" ht="28.05" customHeight="1">
      <c r="A51" s="24">
        <v>67</v>
      </c>
      <c r="B51" s="17" t="s">
        <v>269</v>
      </c>
      <c r="C51" s="17" t="s">
        <v>539</v>
      </c>
      <c r="D51" s="17"/>
      <c r="E51" s="17"/>
      <c r="F51" s="17"/>
      <c r="G51" s="17"/>
      <c r="H51" s="20"/>
      <c r="I51" s="20"/>
      <c r="J51" s="20" t="s">
        <v>540</v>
      </c>
      <c r="K51" s="17" t="s">
        <v>541</v>
      </c>
    </row>
    <row r="52" spans="1:11" ht="28.05" customHeight="1">
      <c r="A52" s="23">
        <v>68</v>
      </c>
      <c r="B52" s="3" t="s">
        <v>277</v>
      </c>
      <c r="C52" s="3" t="s">
        <v>539</v>
      </c>
      <c r="D52" s="3"/>
      <c r="E52" s="3"/>
      <c r="F52" s="3"/>
      <c r="G52" s="3"/>
      <c r="H52" s="19"/>
      <c r="I52" s="19"/>
      <c r="J52" s="19" t="s">
        <v>540</v>
      </c>
      <c r="K52" s="3" t="s">
        <v>541</v>
      </c>
    </row>
    <row r="53" spans="1:11" ht="28.05" customHeight="1">
      <c r="A53" s="24">
        <v>69</v>
      </c>
      <c r="B53" s="17" t="s">
        <v>280</v>
      </c>
      <c r="C53" s="17" t="s">
        <v>539</v>
      </c>
      <c r="D53" s="17"/>
      <c r="E53" s="17"/>
      <c r="F53" s="17"/>
      <c r="G53" s="17"/>
      <c r="H53" s="20"/>
      <c r="I53" s="20"/>
      <c r="J53" s="20" t="s">
        <v>540</v>
      </c>
      <c r="K53" s="17" t="s">
        <v>541</v>
      </c>
    </row>
    <row r="54" spans="1:11" ht="28.05" customHeight="1">
      <c r="A54" s="23">
        <v>70</v>
      </c>
      <c r="B54" s="3" t="s">
        <v>284</v>
      </c>
      <c r="C54" s="3" t="s">
        <v>539</v>
      </c>
      <c r="D54" s="3"/>
      <c r="E54" s="3"/>
      <c r="F54" s="3"/>
      <c r="G54" s="3"/>
      <c r="H54" s="19"/>
      <c r="I54" s="19"/>
      <c r="J54" s="19" t="s">
        <v>540</v>
      </c>
      <c r="K54" s="3" t="s">
        <v>541</v>
      </c>
    </row>
    <row r="55" spans="1:11" ht="28.05" customHeight="1">
      <c r="A55" s="24">
        <v>71</v>
      </c>
      <c r="B55" s="17" t="s">
        <v>288</v>
      </c>
      <c r="C55" s="17" t="s">
        <v>539</v>
      </c>
      <c r="D55" s="17"/>
      <c r="E55" s="17"/>
      <c r="F55" s="17"/>
      <c r="G55" s="17"/>
      <c r="H55" s="20"/>
      <c r="I55" s="20"/>
      <c r="J55" s="20" t="s">
        <v>540</v>
      </c>
      <c r="K55" s="17" t="s">
        <v>541</v>
      </c>
    </row>
    <row r="56" spans="1:11" ht="28.05" customHeight="1">
      <c r="A56" s="23">
        <v>72</v>
      </c>
      <c r="B56" s="3" t="s">
        <v>292</v>
      </c>
      <c r="C56" s="3" t="s">
        <v>539</v>
      </c>
      <c r="D56" s="3"/>
      <c r="E56" s="3"/>
      <c r="F56" s="3"/>
      <c r="G56" s="3"/>
      <c r="H56" s="19"/>
      <c r="I56" s="19"/>
      <c r="J56" s="19" t="s">
        <v>540</v>
      </c>
      <c r="K56" s="3" t="s">
        <v>541</v>
      </c>
    </row>
    <row r="57" spans="1:11" ht="28.05" customHeight="1">
      <c r="A57" s="24">
        <v>73</v>
      </c>
      <c r="B57" s="17" t="s">
        <v>297</v>
      </c>
      <c r="C57" s="17" t="s">
        <v>539</v>
      </c>
      <c r="D57" s="17"/>
      <c r="E57" s="17"/>
      <c r="F57" s="17"/>
      <c r="G57" s="17"/>
      <c r="H57" s="20"/>
      <c r="I57" s="20"/>
      <c r="J57" s="20" t="s">
        <v>540</v>
      </c>
      <c r="K57" s="17" t="s">
        <v>541</v>
      </c>
    </row>
    <row r="58" spans="1:11" ht="28.05" customHeight="1">
      <c r="A58" s="23">
        <v>74</v>
      </c>
      <c r="B58" s="3" t="s">
        <v>301</v>
      </c>
      <c r="C58" s="3" t="s">
        <v>547</v>
      </c>
      <c r="D58" s="3" t="s">
        <v>301</v>
      </c>
      <c r="E58" s="3" t="s">
        <v>548</v>
      </c>
      <c r="F58" s="3">
        <v>100</v>
      </c>
      <c r="G58" s="3" t="s">
        <v>582</v>
      </c>
      <c r="H58" s="19" t="s">
        <v>583</v>
      </c>
      <c r="I58" s="19" t="s">
        <v>584</v>
      </c>
      <c r="J58" s="19" t="s">
        <v>540</v>
      </c>
      <c r="K58" s="3" t="s">
        <v>552</v>
      </c>
    </row>
    <row r="59" spans="1:11" ht="28.05" customHeight="1">
      <c r="A59" s="24">
        <v>76</v>
      </c>
      <c r="B59" s="17" t="s">
        <v>304</v>
      </c>
      <c r="C59" s="17" t="s">
        <v>539</v>
      </c>
      <c r="D59" s="17"/>
      <c r="E59" s="17"/>
      <c r="F59" s="17"/>
      <c r="G59" s="17"/>
      <c r="H59" s="20"/>
      <c r="I59" s="20"/>
      <c r="J59" s="20" t="s">
        <v>540</v>
      </c>
      <c r="K59" s="17" t="s">
        <v>541</v>
      </c>
    </row>
    <row r="60" spans="1:11" ht="28.05" customHeight="1">
      <c r="A60" s="23">
        <v>77</v>
      </c>
      <c r="B60" s="3" t="s">
        <v>306</v>
      </c>
      <c r="C60" s="3" t="s">
        <v>539</v>
      </c>
      <c r="D60" s="3"/>
      <c r="E60" s="3"/>
      <c r="F60" s="3"/>
      <c r="G60" s="3"/>
      <c r="H60" s="19"/>
      <c r="I60" s="19"/>
      <c r="J60" s="19" t="s">
        <v>540</v>
      </c>
      <c r="K60" s="3" t="s">
        <v>541</v>
      </c>
    </row>
    <row r="61" spans="1:11" ht="28.05" customHeight="1">
      <c r="A61" s="24">
        <v>78</v>
      </c>
      <c r="B61" s="17" t="s">
        <v>310</v>
      </c>
      <c r="C61" s="17" t="s">
        <v>539</v>
      </c>
      <c r="D61" s="17"/>
      <c r="E61" s="17"/>
      <c r="F61" s="17"/>
      <c r="G61" s="17"/>
      <c r="H61" s="20"/>
      <c r="I61" s="20"/>
      <c r="J61" s="20" t="s">
        <v>540</v>
      </c>
      <c r="K61" s="17" t="s">
        <v>541</v>
      </c>
    </row>
    <row r="62" spans="1:11" ht="28.05" customHeight="1">
      <c r="A62" s="23">
        <v>79</v>
      </c>
      <c r="B62" s="3" t="s">
        <v>313</v>
      </c>
      <c r="C62" s="3" t="s">
        <v>539</v>
      </c>
      <c r="D62" s="3"/>
      <c r="E62" s="3"/>
      <c r="F62" s="3"/>
      <c r="G62" s="3"/>
      <c r="H62" s="19"/>
      <c r="I62" s="19"/>
      <c r="J62" s="19" t="s">
        <v>540</v>
      </c>
      <c r="K62" s="3" t="s">
        <v>541</v>
      </c>
    </row>
    <row r="63" spans="1:11" ht="28.05" customHeight="1">
      <c r="A63" s="24">
        <v>80</v>
      </c>
      <c r="B63" s="17" t="s">
        <v>315</v>
      </c>
      <c r="C63" s="17" t="s">
        <v>539</v>
      </c>
      <c r="D63" s="17"/>
      <c r="E63" s="17"/>
      <c r="F63" s="17"/>
      <c r="G63" s="17"/>
      <c r="H63" s="20"/>
      <c r="I63" s="20"/>
      <c r="J63" s="20" t="s">
        <v>540</v>
      </c>
      <c r="K63" s="17" t="s">
        <v>541</v>
      </c>
    </row>
    <row r="64" spans="1:11" ht="28.05" customHeight="1">
      <c r="A64" s="25">
        <v>81</v>
      </c>
      <c r="B64" s="4" t="s">
        <v>318</v>
      </c>
      <c r="C64" s="4" t="s">
        <v>585</v>
      </c>
      <c r="D64" s="4" t="s">
        <v>586</v>
      </c>
      <c r="E64" s="4" t="s">
        <v>548</v>
      </c>
      <c r="F64" s="4">
        <v>100</v>
      </c>
      <c r="G64" s="4" t="s">
        <v>587</v>
      </c>
      <c r="H64" s="21" t="s">
        <v>588</v>
      </c>
      <c r="I64" s="21" t="s">
        <v>589</v>
      </c>
      <c r="J64" s="21" t="s">
        <v>540</v>
      </c>
      <c r="K64" s="4" t="s">
        <v>590</v>
      </c>
    </row>
  </sheetData>
  <mergeCells count="2">
    <mergeCell ref="A1:K1"/>
    <mergeCell ref="A2:K2"/>
  </mergeCells>
  <phoneticPr fontId="8"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64"/>
  <sheetViews>
    <sheetView showGridLines="0" workbookViewId="0">
      <selection sqref="A1:Q1"/>
    </sheetView>
  </sheetViews>
  <sheetFormatPr defaultRowHeight="13.5"/>
  <cols>
    <col min="1" max="1" width="8" customWidth="1"/>
    <col min="2" max="2" width="28" customWidth="1"/>
    <col min="3" max="3" width="16" customWidth="1"/>
    <col min="4" max="4" width="24" customWidth="1"/>
    <col min="5" max="5" width="30" customWidth="1"/>
    <col min="6" max="6" width="22" customWidth="1"/>
    <col min="7" max="7" width="14" customWidth="1"/>
    <col min="8" max="9" width="15" customWidth="1"/>
    <col min="10" max="10" width="16" customWidth="1"/>
    <col min="11" max="11" width="35" customWidth="1"/>
    <col min="12" max="12" width="45" customWidth="1"/>
    <col min="13" max="13" width="42" customWidth="1"/>
    <col min="14" max="14" width="38" customWidth="1"/>
    <col min="15" max="15" width="12" customWidth="1"/>
    <col min="16" max="16" width="28" customWidth="1"/>
    <col min="17" max="17" width="55" customWidth="1"/>
  </cols>
  <sheetData>
    <row r="1" spans="1:17" ht="28.05" customHeight="1">
      <c r="A1" s="36" t="s">
        <v>591</v>
      </c>
      <c r="B1" s="36"/>
      <c r="C1" s="36"/>
      <c r="D1" s="36"/>
      <c r="E1" s="36"/>
      <c r="F1" s="36"/>
      <c r="G1" s="36"/>
      <c r="H1" s="36"/>
      <c r="I1" s="36"/>
      <c r="J1" s="36"/>
      <c r="K1" s="36"/>
      <c r="L1" s="36"/>
      <c r="M1" s="36"/>
      <c r="N1" s="36"/>
      <c r="O1" s="36"/>
      <c r="P1" s="36"/>
      <c r="Q1" s="36"/>
    </row>
    <row r="2" spans="1:17" ht="34.049999999999997" customHeight="1">
      <c r="A2" s="37" t="s">
        <v>592</v>
      </c>
      <c r="B2" s="37"/>
      <c r="C2" s="37"/>
      <c r="D2" s="37"/>
      <c r="E2" s="37"/>
      <c r="F2" s="37"/>
      <c r="G2" s="37"/>
      <c r="H2" s="37"/>
      <c r="I2" s="37"/>
      <c r="J2" s="37"/>
      <c r="K2" s="37"/>
      <c r="L2" s="37"/>
      <c r="M2" s="37"/>
      <c r="N2" s="37"/>
      <c r="O2" s="37"/>
      <c r="P2" s="37"/>
      <c r="Q2" s="37"/>
    </row>
    <row r="4" spans="1:17" ht="38" customHeight="1">
      <c r="A4" s="13" t="s">
        <v>87</v>
      </c>
      <c r="B4" s="14" t="s">
        <v>529</v>
      </c>
      <c r="C4" s="14" t="s">
        <v>89</v>
      </c>
      <c r="D4" s="14" t="s">
        <v>593</v>
      </c>
      <c r="E4" s="14" t="s">
        <v>594</v>
      </c>
      <c r="F4" s="14" t="s">
        <v>595</v>
      </c>
      <c r="G4" s="14" t="s">
        <v>596</v>
      </c>
      <c r="H4" s="14" t="s">
        <v>597</v>
      </c>
      <c r="I4" s="14" t="s">
        <v>598</v>
      </c>
      <c r="J4" s="14" t="s">
        <v>599</v>
      </c>
      <c r="K4" s="14" t="s">
        <v>600</v>
      </c>
      <c r="L4" s="14" t="s">
        <v>601</v>
      </c>
      <c r="M4" s="14" t="s">
        <v>602</v>
      </c>
      <c r="N4" s="14" t="s">
        <v>537</v>
      </c>
      <c r="O4" s="14" t="s">
        <v>603</v>
      </c>
      <c r="P4" s="14" t="s">
        <v>604</v>
      </c>
      <c r="Q4" s="15" t="s">
        <v>605</v>
      </c>
    </row>
    <row r="5" spans="1:17" ht="36" customHeight="1">
      <c r="A5" s="22">
        <v>1</v>
      </c>
      <c r="B5" s="16" t="s">
        <v>97</v>
      </c>
      <c r="C5" s="16" t="s">
        <v>98</v>
      </c>
      <c r="D5" s="16" t="s">
        <v>606</v>
      </c>
      <c r="E5" s="16" t="s">
        <v>607</v>
      </c>
      <c r="F5" s="16" t="s">
        <v>608</v>
      </c>
      <c r="G5" s="16" t="s">
        <v>609</v>
      </c>
      <c r="H5" s="16">
        <v>3</v>
      </c>
      <c r="I5" s="16">
        <v>2025</v>
      </c>
      <c r="J5" s="16" t="s">
        <v>610</v>
      </c>
      <c r="K5" s="16" t="s">
        <v>611</v>
      </c>
      <c r="L5" s="18" t="s">
        <v>612</v>
      </c>
      <c r="M5" s="18" t="s">
        <v>613</v>
      </c>
      <c r="N5" s="18" t="s">
        <v>614</v>
      </c>
      <c r="O5" s="16">
        <v>1</v>
      </c>
      <c r="P5" s="16" t="s">
        <v>615</v>
      </c>
      <c r="Q5" s="16" t="s">
        <v>616</v>
      </c>
    </row>
    <row r="6" spans="1:17" ht="36" customHeight="1">
      <c r="A6" s="23">
        <v>2</v>
      </c>
      <c r="B6" s="3" t="s">
        <v>103</v>
      </c>
      <c r="C6" s="3" t="s">
        <v>104</v>
      </c>
      <c r="D6" s="3" t="s">
        <v>606</v>
      </c>
      <c r="E6" s="3" t="s">
        <v>617</v>
      </c>
      <c r="F6" s="3" t="s">
        <v>608</v>
      </c>
      <c r="G6" s="3" t="s">
        <v>618</v>
      </c>
      <c r="H6" s="3">
        <v>0</v>
      </c>
      <c r="I6" s="3"/>
      <c r="J6" s="3"/>
      <c r="K6" s="3"/>
      <c r="L6" s="19"/>
      <c r="M6" s="19" t="s">
        <v>619</v>
      </c>
      <c r="N6" s="19" t="s">
        <v>614</v>
      </c>
      <c r="O6" s="3">
        <v>1</v>
      </c>
      <c r="P6" s="3" t="s">
        <v>617</v>
      </c>
      <c r="Q6" s="3" t="s">
        <v>616</v>
      </c>
    </row>
    <row r="7" spans="1:17" ht="36" customHeight="1">
      <c r="A7" s="24">
        <v>3</v>
      </c>
      <c r="B7" s="17" t="s">
        <v>108</v>
      </c>
      <c r="C7" s="17" t="s">
        <v>109</v>
      </c>
      <c r="D7" s="17" t="s">
        <v>620</v>
      </c>
      <c r="E7" s="17"/>
      <c r="F7" s="17"/>
      <c r="G7" s="17"/>
      <c r="H7" s="17"/>
      <c r="I7" s="17"/>
      <c r="J7" s="17"/>
      <c r="K7" s="17"/>
      <c r="L7" s="20"/>
      <c r="M7" s="20"/>
      <c r="N7" s="20" t="s">
        <v>614</v>
      </c>
      <c r="O7" s="17"/>
      <c r="P7" s="17"/>
      <c r="Q7" s="17" t="s">
        <v>621</v>
      </c>
    </row>
    <row r="8" spans="1:17" ht="36" customHeight="1">
      <c r="A8" s="23">
        <v>4</v>
      </c>
      <c r="B8" s="3" t="s">
        <v>113</v>
      </c>
      <c r="C8" s="3" t="s">
        <v>109</v>
      </c>
      <c r="D8" s="3" t="s">
        <v>606</v>
      </c>
      <c r="E8" s="3" t="s">
        <v>622</v>
      </c>
      <c r="F8" s="3" t="s">
        <v>608</v>
      </c>
      <c r="G8" s="3" t="s">
        <v>623</v>
      </c>
      <c r="H8" s="3">
        <v>3</v>
      </c>
      <c r="I8" s="3">
        <v>2025</v>
      </c>
      <c r="J8" s="3" t="s">
        <v>624</v>
      </c>
      <c r="K8" s="3" t="s">
        <v>625</v>
      </c>
      <c r="L8" s="19" t="s">
        <v>626</v>
      </c>
      <c r="M8" s="19" t="s">
        <v>627</v>
      </c>
      <c r="N8" s="19" t="s">
        <v>614</v>
      </c>
      <c r="O8" s="3">
        <v>1</v>
      </c>
      <c r="P8" s="3" t="s">
        <v>622</v>
      </c>
      <c r="Q8" s="3" t="s">
        <v>616</v>
      </c>
    </row>
    <row r="9" spans="1:17" ht="36" customHeight="1">
      <c r="A9" s="24">
        <v>5</v>
      </c>
      <c r="B9" s="17" t="s">
        <v>117</v>
      </c>
      <c r="C9" s="17" t="s">
        <v>104</v>
      </c>
      <c r="D9" s="17" t="s">
        <v>620</v>
      </c>
      <c r="E9" s="17"/>
      <c r="F9" s="17"/>
      <c r="G9" s="17"/>
      <c r="H9" s="17"/>
      <c r="I9" s="17"/>
      <c r="J9" s="17"/>
      <c r="K9" s="17"/>
      <c r="L9" s="20"/>
      <c r="M9" s="20"/>
      <c r="N9" s="20" t="s">
        <v>614</v>
      </c>
      <c r="O9" s="17"/>
      <c r="P9" s="17"/>
      <c r="Q9" s="17" t="s">
        <v>628</v>
      </c>
    </row>
    <row r="10" spans="1:17" ht="36" customHeight="1">
      <c r="A10" s="23">
        <v>6</v>
      </c>
      <c r="B10" s="3" t="s">
        <v>121</v>
      </c>
      <c r="C10" s="3" t="s">
        <v>109</v>
      </c>
      <c r="D10" s="3" t="s">
        <v>620</v>
      </c>
      <c r="E10" s="3"/>
      <c r="F10" s="3"/>
      <c r="G10" s="3"/>
      <c r="H10" s="3"/>
      <c r="I10" s="3"/>
      <c r="J10" s="3"/>
      <c r="K10" s="3"/>
      <c r="L10" s="19"/>
      <c r="M10" s="19"/>
      <c r="N10" s="19" t="s">
        <v>614</v>
      </c>
      <c r="O10" s="3"/>
      <c r="P10" s="3"/>
      <c r="Q10" s="3" t="s">
        <v>621</v>
      </c>
    </row>
    <row r="11" spans="1:17" ht="36" customHeight="1">
      <c r="A11" s="24">
        <v>7</v>
      </c>
      <c r="B11" s="17" t="s">
        <v>125</v>
      </c>
      <c r="C11" s="17" t="s">
        <v>109</v>
      </c>
      <c r="D11" s="17" t="s">
        <v>620</v>
      </c>
      <c r="E11" s="17"/>
      <c r="F11" s="17"/>
      <c r="G11" s="17"/>
      <c r="H11" s="17"/>
      <c r="I11" s="17"/>
      <c r="J11" s="17"/>
      <c r="K11" s="17"/>
      <c r="L11" s="20"/>
      <c r="M11" s="20"/>
      <c r="N11" s="20" t="s">
        <v>614</v>
      </c>
      <c r="O11" s="17"/>
      <c r="P11" s="17"/>
      <c r="Q11" s="17" t="s">
        <v>621</v>
      </c>
    </row>
    <row r="12" spans="1:17" ht="36" customHeight="1">
      <c r="A12" s="23">
        <v>8</v>
      </c>
      <c r="B12" s="3" t="s">
        <v>128</v>
      </c>
      <c r="C12" s="3" t="s">
        <v>129</v>
      </c>
      <c r="D12" s="3" t="s">
        <v>606</v>
      </c>
      <c r="E12" s="3" t="s">
        <v>629</v>
      </c>
      <c r="F12" s="3" t="s">
        <v>630</v>
      </c>
      <c r="G12" s="3" t="s">
        <v>631</v>
      </c>
      <c r="H12" s="3">
        <v>1</v>
      </c>
      <c r="I12" s="3">
        <v>2024</v>
      </c>
      <c r="J12" s="3" t="s">
        <v>632</v>
      </c>
      <c r="K12" s="3" t="s">
        <v>633</v>
      </c>
      <c r="L12" s="19" t="s">
        <v>634</v>
      </c>
      <c r="M12" s="19" t="s">
        <v>635</v>
      </c>
      <c r="N12" s="19" t="s">
        <v>614</v>
      </c>
      <c r="O12" s="3">
        <v>1</v>
      </c>
      <c r="P12" s="3" t="s">
        <v>629</v>
      </c>
      <c r="Q12" s="3" t="s">
        <v>616</v>
      </c>
    </row>
    <row r="13" spans="1:17" ht="36" customHeight="1">
      <c r="A13" s="24">
        <v>9</v>
      </c>
      <c r="B13" s="17" t="s">
        <v>133</v>
      </c>
      <c r="C13" s="17" t="s">
        <v>104</v>
      </c>
      <c r="D13" s="17" t="s">
        <v>606</v>
      </c>
      <c r="E13" s="17" t="s">
        <v>636</v>
      </c>
      <c r="F13" s="17" t="s">
        <v>608</v>
      </c>
      <c r="G13" s="17" t="s">
        <v>637</v>
      </c>
      <c r="H13" s="17">
        <v>0</v>
      </c>
      <c r="I13" s="17"/>
      <c r="J13" s="17"/>
      <c r="K13" s="17"/>
      <c r="L13" s="20"/>
      <c r="M13" s="20" t="s">
        <v>638</v>
      </c>
      <c r="N13" s="20" t="s">
        <v>614</v>
      </c>
      <c r="O13" s="17">
        <v>1</v>
      </c>
      <c r="P13" s="17" t="s">
        <v>636</v>
      </c>
      <c r="Q13" s="17" t="s">
        <v>616</v>
      </c>
    </row>
    <row r="14" spans="1:17" ht="36" customHeight="1">
      <c r="A14" s="23">
        <v>10</v>
      </c>
      <c r="B14" s="3" t="s">
        <v>137</v>
      </c>
      <c r="C14" s="3" t="s">
        <v>109</v>
      </c>
      <c r="D14" s="3" t="s">
        <v>606</v>
      </c>
      <c r="E14" s="3" t="s">
        <v>639</v>
      </c>
      <c r="F14" s="3" t="s">
        <v>608</v>
      </c>
      <c r="G14" s="3" t="s">
        <v>640</v>
      </c>
      <c r="H14" s="3">
        <v>2</v>
      </c>
      <c r="I14" s="3">
        <v>2025</v>
      </c>
      <c r="J14" s="3" t="s">
        <v>641</v>
      </c>
      <c r="K14" s="3" t="s">
        <v>642</v>
      </c>
      <c r="L14" s="19" t="s">
        <v>643</v>
      </c>
      <c r="M14" s="19" t="s">
        <v>644</v>
      </c>
      <c r="N14" s="19" t="s">
        <v>614</v>
      </c>
      <c r="O14" s="3">
        <v>1</v>
      </c>
      <c r="P14" s="3" t="s">
        <v>639</v>
      </c>
      <c r="Q14" s="3" t="s">
        <v>616</v>
      </c>
    </row>
    <row r="15" spans="1:17" ht="36" customHeight="1">
      <c r="A15" s="24">
        <v>11</v>
      </c>
      <c r="B15" s="17" t="s">
        <v>142</v>
      </c>
      <c r="C15" s="17" t="s">
        <v>143</v>
      </c>
      <c r="D15" s="17" t="s">
        <v>620</v>
      </c>
      <c r="E15" s="17"/>
      <c r="F15" s="17"/>
      <c r="G15" s="17"/>
      <c r="H15" s="17"/>
      <c r="I15" s="17"/>
      <c r="J15" s="17"/>
      <c r="K15" s="17"/>
      <c r="L15" s="20"/>
      <c r="M15" s="20"/>
      <c r="N15" s="20" t="s">
        <v>614</v>
      </c>
      <c r="O15" s="17"/>
      <c r="P15" s="17"/>
      <c r="Q15" s="17" t="s">
        <v>621</v>
      </c>
    </row>
    <row r="16" spans="1:17" ht="36" customHeight="1">
      <c r="A16" s="23">
        <v>12</v>
      </c>
      <c r="B16" s="3" t="s">
        <v>146</v>
      </c>
      <c r="C16" s="3" t="s">
        <v>129</v>
      </c>
      <c r="D16" s="3" t="s">
        <v>606</v>
      </c>
      <c r="E16" s="3" t="s">
        <v>645</v>
      </c>
      <c r="F16" s="3" t="s">
        <v>608</v>
      </c>
      <c r="G16" s="3" t="s">
        <v>646</v>
      </c>
      <c r="H16" s="3">
        <v>2</v>
      </c>
      <c r="I16" s="3">
        <v>2025</v>
      </c>
      <c r="J16" s="3" t="s">
        <v>647</v>
      </c>
      <c r="K16" s="3" t="s">
        <v>648</v>
      </c>
      <c r="L16" s="19" t="s">
        <v>649</v>
      </c>
      <c r="M16" s="19" t="s">
        <v>650</v>
      </c>
      <c r="N16" s="19" t="s">
        <v>614</v>
      </c>
      <c r="O16" s="3">
        <v>0.96</v>
      </c>
      <c r="P16" s="3" t="s">
        <v>651</v>
      </c>
      <c r="Q16" s="3" t="s">
        <v>616</v>
      </c>
    </row>
    <row r="17" spans="1:17" ht="36" customHeight="1">
      <c r="A17" s="24">
        <v>13</v>
      </c>
      <c r="B17" s="17" t="s">
        <v>149</v>
      </c>
      <c r="C17" s="17" t="s">
        <v>150</v>
      </c>
      <c r="D17" s="17" t="s">
        <v>606</v>
      </c>
      <c r="E17" s="17" t="s">
        <v>652</v>
      </c>
      <c r="F17" s="17" t="s">
        <v>608</v>
      </c>
      <c r="G17" s="17" t="s">
        <v>653</v>
      </c>
      <c r="H17" s="17">
        <v>2</v>
      </c>
      <c r="I17" s="17">
        <v>2025</v>
      </c>
      <c r="J17" s="17" t="s">
        <v>654</v>
      </c>
      <c r="K17" s="17" t="s">
        <v>655</v>
      </c>
      <c r="L17" s="20" t="s">
        <v>656</v>
      </c>
      <c r="M17" s="20" t="s">
        <v>657</v>
      </c>
      <c r="N17" s="20" t="s">
        <v>614</v>
      </c>
      <c r="O17" s="17">
        <v>1</v>
      </c>
      <c r="P17" s="17" t="s">
        <v>652</v>
      </c>
      <c r="Q17" s="17" t="s">
        <v>616</v>
      </c>
    </row>
    <row r="18" spans="1:17" ht="36" customHeight="1">
      <c r="A18" s="23">
        <v>14</v>
      </c>
      <c r="B18" s="3" t="s">
        <v>153</v>
      </c>
      <c r="C18" s="3" t="s">
        <v>150</v>
      </c>
      <c r="D18" s="3" t="s">
        <v>620</v>
      </c>
      <c r="E18" s="3"/>
      <c r="F18" s="3"/>
      <c r="G18" s="3"/>
      <c r="H18" s="3"/>
      <c r="I18" s="3"/>
      <c r="J18" s="3"/>
      <c r="K18" s="3"/>
      <c r="L18" s="19"/>
      <c r="M18" s="19"/>
      <c r="N18" s="19" t="s">
        <v>614</v>
      </c>
      <c r="O18" s="3"/>
      <c r="P18" s="3"/>
      <c r="Q18" s="3" t="s">
        <v>621</v>
      </c>
    </row>
    <row r="19" spans="1:17" ht="36" customHeight="1">
      <c r="A19" s="24">
        <v>15</v>
      </c>
      <c r="B19" s="17" t="s">
        <v>157</v>
      </c>
      <c r="C19" s="17" t="s">
        <v>109</v>
      </c>
      <c r="D19" s="17" t="s">
        <v>620</v>
      </c>
      <c r="E19" s="17"/>
      <c r="F19" s="17"/>
      <c r="G19" s="17"/>
      <c r="H19" s="17"/>
      <c r="I19" s="17"/>
      <c r="J19" s="17"/>
      <c r="K19" s="17"/>
      <c r="L19" s="20"/>
      <c r="M19" s="20"/>
      <c r="N19" s="20" t="s">
        <v>614</v>
      </c>
      <c r="O19" s="17"/>
      <c r="P19" s="17"/>
      <c r="Q19" s="17" t="s">
        <v>658</v>
      </c>
    </row>
    <row r="20" spans="1:17" ht="36" customHeight="1">
      <c r="A20" s="23">
        <v>16</v>
      </c>
      <c r="B20" s="3" t="s">
        <v>161</v>
      </c>
      <c r="C20" s="3" t="s">
        <v>129</v>
      </c>
      <c r="D20" s="3" t="s">
        <v>606</v>
      </c>
      <c r="E20" s="3" t="s">
        <v>659</v>
      </c>
      <c r="F20" s="3" t="s">
        <v>608</v>
      </c>
      <c r="G20" s="3" t="s">
        <v>660</v>
      </c>
      <c r="H20" s="3">
        <v>3</v>
      </c>
      <c r="I20" s="3">
        <v>2025</v>
      </c>
      <c r="J20" s="3" t="s">
        <v>624</v>
      </c>
      <c r="K20" s="3" t="s">
        <v>661</v>
      </c>
      <c r="L20" s="19" t="s">
        <v>662</v>
      </c>
      <c r="M20" s="19" t="s">
        <v>663</v>
      </c>
      <c r="N20" s="19" t="s">
        <v>614</v>
      </c>
      <c r="O20" s="3">
        <v>1</v>
      </c>
      <c r="P20" s="3" t="s">
        <v>659</v>
      </c>
      <c r="Q20" s="3" t="s">
        <v>616</v>
      </c>
    </row>
    <row r="21" spans="1:17" ht="36" customHeight="1">
      <c r="A21" s="24">
        <v>17</v>
      </c>
      <c r="B21" s="17" t="s">
        <v>165</v>
      </c>
      <c r="C21" s="17" t="s">
        <v>129</v>
      </c>
      <c r="D21" s="17" t="s">
        <v>620</v>
      </c>
      <c r="E21" s="17"/>
      <c r="F21" s="17"/>
      <c r="G21" s="17"/>
      <c r="H21" s="17"/>
      <c r="I21" s="17"/>
      <c r="J21" s="17"/>
      <c r="K21" s="17"/>
      <c r="L21" s="20"/>
      <c r="M21" s="20"/>
      <c r="N21" s="20" t="s">
        <v>614</v>
      </c>
      <c r="O21" s="17"/>
      <c r="P21" s="17"/>
      <c r="Q21" s="17" t="s">
        <v>621</v>
      </c>
    </row>
    <row r="22" spans="1:17" ht="36" customHeight="1">
      <c r="A22" s="23">
        <v>18</v>
      </c>
      <c r="B22" s="3" t="s">
        <v>168</v>
      </c>
      <c r="C22" s="3" t="s">
        <v>109</v>
      </c>
      <c r="D22" s="3" t="s">
        <v>606</v>
      </c>
      <c r="E22" s="3" t="s">
        <v>664</v>
      </c>
      <c r="F22" s="3" t="s">
        <v>608</v>
      </c>
      <c r="G22" s="3" t="s">
        <v>665</v>
      </c>
      <c r="H22" s="3">
        <v>2</v>
      </c>
      <c r="I22" s="3">
        <v>2025</v>
      </c>
      <c r="J22" s="3" t="s">
        <v>666</v>
      </c>
      <c r="K22" s="3" t="s">
        <v>667</v>
      </c>
      <c r="L22" s="19" t="s">
        <v>668</v>
      </c>
      <c r="M22" s="19" t="s">
        <v>669</v>
      </c>
      <c r="N22" s="19" t="s">
        <v>614</v>
      </c>
      <c r="O22" s="3">
        <v>1</v>
      </c>
      <c r="P22" s="3" t="s">
        <v>664</v>
      </c>
      <c r="Q22" s="3" t="s">
        <v>616</v>
      </c>
    </row>
    <row r="23" spans="1:17" ht="36" customHeight="1">
      <c r="A23" s="24">
        <v>19</v>
      </c>
      <c r="B23" s="17" t="s">
        <v>171</v>
      </c>
      <c r="C23" s="17" t="s">
        <v>109</v>
      </c>
      <c r="D23" s="17" t="s">
        <v>606</v>
      </c>
      <c r="E23" s="17" t="s">
        <v>670</v>
      </c>
      <c r="F23" s="17" t="s">
        <v>608</v>
      </c>
      <c r="G23" s="17" t="s">
        <v>671</v>
      </c>
      <c r="H23" s="17">
        <v>0</v>
      </c>
      <c r="I23" s="17"/>
      <c r="J23" s="17"/>
      <c r="K23" s="17"/>
      <c r="L23" s="20"/>
      <c r="M23" s="20" t="s">
        <v>672</v>
      </c>
      <c r="N23" s="20" t="s">
        <v>614</v>
      </c>
      <c r="O23" s="17">
        <v>1</v>
      </c>
      <c r="P23" s="17" t="s">
        <v>670</v>
      </c>
      <c r="Q23" s="17" t="s">
        <v>616</v>
      </c>
    </row>
    <row r="24" spans="1:17" ht="36" customHeight="1">
      <c r="A24" s="23">
        <v>20</v>
      </c>
      <c r="B24" s="3" t="s">
        <v>175</v>
      </c>
      <c r="C24" s="3" t="s">
        <v>150</v>
      </c>
      <c r="D24" s="3" t="s">
        <v>620</v>
      </c>
      <c r="E24" s="3"/>
      <c r="F24" s="3"/>
      <c r="G24" s="3"/>
      <c r="H24" s="3"/>
      <c r="I24" s="3"/>
      <c r="J24" s="3"/>
      <c r="K24" s="3"/>
      <c r="L24" s="19"/>
      <c r="M24" s="19"/>
      <c r="N24" s="19" t="s">
        <v>614</v>
      </c>
      <c r="O24" s="3"/>
      <c r="P24" s="3"/>
      <c r="Q24" s="3" t="s">
        <v>621</v>
      </c>
    </row>
    <row r="25" spans="1:17" ht="36" customHeight="1">
      <c r="A25" s="24">
        <v>21</v>
      </c>
      <c r="B25" s="17" t="s">
        <v>179</v>
      </c>
      <c r="C25" s="17" t="s">
        <v>150</v>
      </c>
      <c r="D25" s="17" t="s">
        <v>620</v>
      </c>
      <c r="E25" s="17"/>
      <c r="F25" s="17"/>
      <c r="G25" s="17"/>
      <c r="H25" s="17"/>
      <c r="I25" s="17"/>
      <c r="J25" s="17"/>
      <c r="K25" s="17"/>
      <c r="L25" s="20"/>
      <c r="M25" s="20"/>
      <c r="N25" s="20" t="s">
        <v>614</v>
      </c>
      <c r="O25" s="17"/>
      <c r="P25" s="17"/>
      <c r="Q25" s="17" t="s">
        <v>621</v>
      </c>
    </row>
    <row r="26" spans="1:17" ht="36" customHeight="1">
      <c r="A26" s="23">
        <v>22</v>
      </c>
      <c r="B26" s="3" t="s">
        <v>183</v>
      </c>
      <c r="C26" s="3" t="s">
        <v>184</v>
      </c>
      <c r="D26" s="3" t="s">
        <v>606</v>
      </c>
      <c r="E26" s="3" t="s">
        <v>673</v>
      </c>
      <c r="F26" s="3" t="s">
        <v>608</v>
      </c>
      <c r="G26" s="3" t="s">
        <v>674</v>
      </c>
      <c r="H26" s="3">
        <v>2</v>
      </c>
      <c r="I26" s="3">
        <v>2025</v>
      </c>
      <c r="J26" s="3" t="s">
        <v>675</v>
      </c>
      <c r="K26" s="3" t="s">
        <v>676</v>
      </c>
      <c r="L26" s="19" t="s">
        <v>677</v>
      </c>
      <c r="M26" s="19" t="s">
        <v>678</v>
      </c>
      <c r="N26" s="19" t="s">
        <v>614</v>
      </c>
      <c r="O26" s="3">
        <v>1</v>
      </c>
      <c r="P26" s="3" t="s">
        <v>673</v>
      </c>
      <c r="Q26" s="3" t="s">
        <v>616</v>
      </c>
    </row>
    <row r="27" spans="1:17" ht="36" customHeight="1">
      <c r="A27" s="24">
        <v>23</v>
      </c>
      <c r="B27" s="17" t="s">
        <v>187</v>
      </c>
      <c r="C27" s="17" t="s">
        <v>188</v>
      </c>
      <c r="D27" s="17" t="s">
        <v>620</v>
      </c>
      <c r="E27" s="17"/>
      <c r="F27" s="17"/>
      <c r="G27" s="17"/>
      <c r="H27" s="17"/>
      <c r="I27" s="17"/>
      <c r="J27" s="17"/>
      <c r="K27" s="17"/>
      <c r="L27" s="20"/>
      <c r="M27" s="20"/>
      <c r="N27" s="20" t="s">
        <v>614</v>
      </c>
      <c r="O27" s="17"/>
      <c r="P27" s="17"/>
      <c r="Q27" s="17" t="s">
        <v>621</v>
      </c>
    </row>
    <row r="28" spans="1:17" ht="36" customHeight="1">
      <c r="A28" s="23">
        <v>24</v>
      </c>
      <c r="B28" s="3" t="s">
        <v>191</v>
      </c>
      <c r="C28" s="3" t="s">
        <v>109</v>
      </c>
      <c r="D28" s="3" t="s">
        <v>606</v>
      </c>
      <c r="E28" s="3" t="s">
        <v>679</v>
      </c>
      <c r="F28" s="3" t="s">
        <v>608</v>
      </c>
      <c r="G28" s="3" t="s">
        <v>680</v>
      </c>
      <c r="H28" s="3">
        <v>3</v>
      </c>
      <c r="I28" s="3">
        <v>2025</v>
      </c>
      <c r="J28" s="3" t="s">
        <v>654</v>
      </c>
      <c r="K28" s="3" t="s">
        <v>681</v>
      </c>
      <c r="L28" s="19" t="s">
        <v>682</v>
      </c>
      <c r="M28" s="19" t="s">
        <v>683</v>
      </c>
      <c r="N28" s="19" t="s">
        <v>614</v>
      </c>
      <c r="O28" s="3">
        <v>1</v>
      </c>
      <c r="P28" s="3" t="s">
        <v>679</v>
      </c>
      <c r="Q28" s="3" t="s">
        <v>616</v>
      </c>
    </row>
    <row r="29" spans="1:17" ht="36" customHeight="1">
      <c r="A29" s="24">
        <v>25</v>
      </c>
      <c r="B29" s="17" t="s">
        <v>194</v>
      </c>
      <c r="C29" s="17" t="s">
        <v>109</v>
      </c>
      <c r="D29" s="17" t="s">
        <v>606</v>
      </c>
      <c r="E29" s="17" t="s">
        <v>684</v>
      </c>
      <c r="F29" s="17" t="s">
        <v>608</v>
      </c>
      <c r="G29" s="17" t="s">
        <v>685</v>
      </c>
      <c r="H29" s="17">
        <v>1</v>
      </c>
      <c r="I29" s="17">
        <v>2025</v>
      </c>
      <c r="J29" s="17" t="s">
        <v>686</v>
      </c>
      <c r="K29" s="17" t="s">
        <v>687</v>
      </c>
      <c r="L29" s="20" t="s">
        <v>688</v>
      </c>
      <c r="M29" s="20" t="s">
        <v>689</v>
      </c>
      <c r="N29" s="20" t="s">
        <v>614</v>
      </c>
      <c r="O29" s="17">
        <v>1</v>
      </c>
      <c r="P29" s="17" t="s">
        <v>684</v>
      </c>
      <c r="Q29" s="17" t="s">
        <v>616</v>
      </c>
    </row>
    <row r="30" spans="1:17" ht="36" customHeight="1">
      <c r="A30" s="23">
        <v>26</v>
      </c>
      <c r="B30" s="3" t="s">
        <v>197</v>
      </c>
      <c r="C30" s="3" t="s">
        <v>104</v>
      </c>
      <c r="D30" s="3" t="s">
        <v>606</v>
      </c>
      <c r="E30" s="3" t="s">
        <v>690</v>
      </c>
      <c r="F30" s="3" t="s">
        <v>608</v>
      </c>
      <c r="G30" s="3" t="s">
        <v>691</v>
      </c>
      <c r="H30" s="3">
        <v>2</v>
      </c>
      <c r="I30" s="3">
        <v>2025</v>
      </c>
      <c r="J30" s="3" t="s">
        <v>686</v>
      </c>
      <c r="K30" s="3" t="s">
        <v>692</v>
      </c>
      <c r="L30" s="19" t="s">
        <v>693</v>
      </c>
      <c r="M30" s="19" t="s">
        <v>694</v>
      </c>
      <c r="N30" s="19" t="s">
        <v>614</v>
      </c>
      <c r="O30" s="3">
        <v>1</v>
      </c>
      <c r="P30" s="3" t="s">
        <v>690</v>
      </c>
      <c r="Q30" s="3" t="s">
        <v>616</v>
      </c>
    </row>
    <row r="31" spans="1:17" ht="36" customHeight="1">
      <c r="A31" s="24">
        <v>27</v>
      </c>
      <c r="B31" s="17" t="s">
        <v>201</v>
      </c>
      <c r="C31" s="17" t="s">
        <v>109</v>
      </c>
      <c r="D31" s="17" t="s">
        <v>606</v>
      </c>
      <c r="E31" s="17" t="s">
        <v>695</v>
      </c>
      <c r="F31" s="17" t="s">
        <v>608</v>
      </c>
      <c r="G31" s="17" t="s">
        <v>696</v>
      </c>
      <c r="H31" s="17">
        <v>3</v>
      </c>
      <c r="I31" s="17">
        <v>2025</v>
      </c>
      <c r="J31" s="17" t="s">
        <v>686</v>
      </c>
      <c r="K31" s="17" t="s">
        <v>697</v>
      </c>
      <c r="L31" s="20" t="s">
        <v>698</v>
      </c>
      <c r="M31" s="20" t="s">
        <v>699</v>
      </c>
      <c r="N31" s="20" t="s">
        <v>614</v>
      </c>
      <c r="O31" s="17">
        <v>1</v>
      </c>
      <c r="P31" s="17" t="s">
        <v>695</v>
      </c>
      <c r="Q31" s="17" t="s">
        <v>616</v>
      </c>
    </row>
    <row r="32" spans="1:17" ht="36" customHeight="1">
      <c r="A32" s="23">
        <v>28</v>
      </c>
      <c r="B32" s="3" t="s">
        <v>206</v>
      </c>
      <c r="C32" s="3" t="s">
        <v>207</v>
      </c>
      <c r="D32" s="3" t="s">
        <v>606</v>
      </c>
      <c r="E32" s="3" t="s">
        <v>700</v>
      </c>
      <c r="F32" s="3" t="s">
        <v>608</v>
      </c>
      <c r="G32" s="3" t="s">
        <v>701</v>
      </c>
      <c r="H32" s="3">
        <v>3</v>
      </c>
      <c r="I32" s="3">
        <v>2025</v>
      </c>
      <c r="J32" s="3" t="s">
        <v>702</v>
      </c>
      <c r="K32" s="3" t="s">
        <v>703</v>
      </c>
      <c r="L32" s="19" t="s">
        <v>704</v>
      </c>
      <c r="M32" s="19" t="s">
        <v>705</v>
      </c>
      <c r="N32" s="19" t="s">
        <v>614</v>
      </c>
      <c r="O32" s="3">
        <v>1</v>
      </c>
      <c r="P32" s="3" t="s">
        <v>700</v>
      </c>
      <c r="Q32" s="3" t="s">
        <v>616</v>
      </c>
    </row>
    <row r="33" spans="1:17" ht="36" customHeight="1">
      <c r="A33" s="24">
        <v>29</v>
      </c>
      <c r="B33" s="17" t="s">
        <v>211</v>
      </c>
      <c r="C33" s="17" t="s">
        <v>212</v>
      </c>
      <c r="D33" s="17" t="s">
        <v>606</v>
      </c>
      <c r="E33" s="17" t="s">
        <v>706</v>
      </c>
      <c r="F33" s="17" t="s">
        <v>608</v>
      </c>
      <c r="G33" s="17" t="s">
        <v>707</v>
      </c>
      <c r="H33" s="17">
        <v>3</v>
      </c>
      <c r="I33" s="17">
        <v>2025</v>
      </c>
      <c r="J33" s="17" t="s">
        <v>666</v>
      </c>
      <c r="K33" s="17" t="s">
        <v>708</v>
      </c>
      <c r="L33" s="20" t="s">
        <v>709</v>
      </c>
      <c r="M33" s="20" t="s">
        <v>710</v>
      </c>
      <c r="N33" s="20" t="s">
        <v>614</v>
      </c>
      <c r="O33" s="17">
        <v>1</v>
      </c>
      <c r="P33" s="17" t="s">
        <v>706</v>
      </c>
      <c r="Q33" s="17" t="s">
        <v>616</v>
      </c>
    </row>
    <row r="34" spans="1:17" ht="36" customHeight="1">
      <c r="A34" s="23">
        <v>30</v>
      </c>
      <c r="B34" s="3" t="s">
        <v>215</v>
      </c>
      <c r="C34" s="3" t="s">
        <v>150</v>
      </c>
      <c r="D34" s="3" t="s">
        <v>711</v>
      </c>
      <c r="E34" s="3" t="s">
        <v>712</v>
      </c>
      <c r="F34" s="3" t="s">
        <v>608</v>
      </c>
      <c r="G34" s="3" t="s">
        <v>713</v>
      </c>
      <c r="H34" s="3">
        <v>2</v>
      </c>
      <c r="I34" s="3">
        <v>2025</v>
      </c>
      <c r="J34" s="3" t="s">
        <v>714</v>
      </c>
      <c r="K34" s="3" t="s">
        <v>715</v>
      </c>
      <c r="L34" s="19" t="s">
        <v>716</v>
      </c>
      <c r="M34" s="19" t="s">
        <v>717</v>
      </c>
      <c r="N34" s="19" t="s">
        <v>614</v>
      </c>
      <c r="O34" s="3">
        <v>0.96</v>
      </c>
      <c r="P34" s="3" t="s">
        <v>215</v>
      </c>
      <c r="Q34" s="3" t="s">
        <v>616</v>
      </c>
    </row>
    <row r="35" spans="1:17" ht="36" customHeight="1">
      <c r="A35" s="24">
        <v>49</v>
      </c>
      <c r="B35" s="17" t="s">
        <v>273</v>
      </c>
      <c r="C35" s="17" t="s">
        <v>109</v>
      </c>
      <c r="D35" s="17" t="s">
        <v>606</v>
      </c>
      <c r="E35" s="17" t="s">
        <v>718</v>
      </c>
      <c r="F35" s="17" t="s">
        <v>608</v>
      </c>
      <c r="G35" s="17" t="s">
        <v>719</v>
      </c>
      <c r="H35" s="17">
        <v>3</v>
      </c>
      <c r="I35" s="17">
        <v>2025</v>
      </c>
      <c r="J35" s="17" t="s">
        <v>654</v>
      </c>
      <c r="K35" s="17" t="s">
        <v>720</v>
      </c>
      <c r="L35" s="20" t="s">
        <v>721</v>
      </c>
      <c r="M35" s="20" t="s">
        <v>722</v>
      </c>
      <c r="N35" s="20" t="s">
        <v>614</v>
      </c>
      <c r="O35" s="17">
        <v>1</v>
      </c>
      <c r="P35" s="17" t="s">
        <v>718</v>
      </c>
      <c r="Q35" s="17" t="s">
        <v>616</v>
      </c>
    </row>
    <row r="36" spans="1:17" ht="36" customHeight="1">
      <c r="A36" s="23">
        <v>52</v>
      </c>
      <c r="B36" s="3" t="s">
        <v>219</v>
      </c>
      <c r="C36" s="3" t="s">
        <v>129</v>
      </c>
      <c r="D36" s="3" t="s">
        <v>606</v>
      </c>
      <c r="E36" s="3" t="s">
        <v>723</v>
      </c>
      <c r="F36" s="3" t="s">
        <v>608</v>
      </c>
      <c r="G36" s="3" t="s">
        <v>691</v>
      </c>
      <c r="H36" s="3">
        <v>2</v>
      </c>
      <c r="I36" s="3">
        <v>2025</v>
      </c>
      <c r="J36" s="3" t="s">
        <v>724</v>
      </c>
      <c r="K36" s="3" t="s">
        <v>725</v>
      </c>
      <c r="L36" s="19" t="s">
        <v>726</v>
      </c>
      <c r="M36" s="19" t="s">
        <v>727</v>
      </c>
      <c r="N36" s="19" t="s">
        <v>614</v>
      </c>
      <c r="O36" s="3">
        <v>1</v>
      </c>
      <c r="P36" s="3" t="s">
        <v>723</v>
      </c>
      <c r="Q36" s="3" t="s">
        <v>616</v>
      </c>
    </row>
    <row r="37" spans="1:17" ht="36" customHeight="1">
      <c r="A37" s="24">
        <v>53</v>
      </c>
      <c r="B37" s="17" t="s">
        <v>223</v>
      </c>
      <c r="C37" s="17" t="s">
        <v>129</v>
      </c>
      <c r="D37" s="17" t="s">
        <v>620</v>
      </c>
      <c r="E37" s="17"/>
      <c r="F37" s="17"/>
      <c r="G37" s="17"/>
      <c r="H37" s="17"/>
      <c r="I37" s="17"/>
      <c r="J37" s="17"/>
      <c r="K37" s="17"/>
      <c r="L37" s="20"/>
      <c r="M37" s="20"/>
      <c r="N37" s="20" t="s">
        <v>614</v>
      </c>
      <c r="O37" s="17"/>
      <c r="P37" s="17"/>
      <c r="Q37" s="17" t="s">
        <v>728</v>
      </c>
    </row>
    <row r="38" spans="1:17" ht="36" customHeight="1">
      <c r="A38" s="23">
        <v>54</v>
      </c>
      <c r="B38" s="3" t="s">
        <v>226</v>
      </c>
      <c r="C38" s="3" t="s">
        <v>104</v>
      </c>
      <c r="D38" s="3" t="s">
        <v>606</v>
      </c>
      <c r="E38" s="3" t="s">
        <v>729</v>
      </c>
      <c r="F38" s="3" t="s">
        <v>630</v>
      </c>
      <c r="G38" s="3" t="s">
        <v>691</v>
      </c>
      <c r="H38" s="3">
        <v>1</v>
      </c>
      <c r="I38" s="3">
        <v>2022</v>
      </c>
      <c r="J38" s="3" t="s">
        <v>730</v>
      </c>
      <c r="K38" s="3" t="s">
        <v>731</v>
      </c>
      <c r="L38" s="19" t="s">
        <v>732</v>
      </c>
      <c r="M38" s="19" t="s">
        <v>733</v>
      </c>
      <c r="N38" s="19" t="s">
        <v>614</v>
      </c>
      <c r="O38" s="3">
        <v>1</v>
      </c>
      <c r="P38" s="3" t="s">
        <v>729</v>
      </c>
      <c r="Q38" s="3" t="s">
        <v>616</v>
      </c>
    </row>
    <row r="39" spans="1:17" ht="36" customHeight="1">
      <c r="A39" s="24">
        <v>55</v>
      </c>
      <c r="B39" s="17" t="s">
        <v>228</v>
      </c>
      <c r="C39" s="17" t="s">
        <v>229</v>
      </c>
      <c r="D39" s="17" t="s">
        <v>606</v>
      </c>
      <c r="E39" s="17" t="s">
        <v>734</v>
      </c>
      <c r="F39" s="17" t="s">
        <v>608</v>
      </c>
      <c r="G39" s="17" t="s">
        <v>735</v>
      </c>
      <c r="H39" s="17">
        <v>0</v>
      </c>
      <c r="I39" s="17"/>
      <c r="J39" s="17"/>
      <c r="K39" s="17"/>
      <c r="L39" s="20"/>
      <c r="M39" s="20" t="s">
        <v>736</v>
      </c>
      <c r="N39" s="20" t="s">
        <v>614</v>
      </c>
      <c r="O39" s="17">
        <v>1</v>
      </c>
      <c r="P39" s="17" t="s">
        <v>734</v>
      </c>
      <c r="Q39" s="17" t="s">
        <v>616</v>
      </c>
    </row>
    <row r="40" spans="1:17" ht="36" customHeight="1">
      <c r="A40" s="23">
        <v>56</v>
      </c>
      <c r="B40" s="3" t="s">
        <v>232</v>
      </c>
      <c r="C40" s="3" t="s">
        <v>233</v>
      </c>
      <c r="D40" s="3" t="s">
        <v>620</v>
      </c>
      <c r="E40" s="3"/>
      <c r="F40" s="3"/>
      <c r="G40" s="3"/>
      <c r="H40" s="3"/>
      <c r="I40" s="3"/>
      <c r="J40" s="3"/>
      <c r="K40" s="3"/>
      <c r="L40" s="19"/>
      <c r="M40" s="19"/>
      <c r="N40" s="19" t="s">
        <v>614</v>
      </c>
      <c r="O40" s="3"/>
      <c r="P40" s="3"/>
      <c r="Q40" s="3" t="s">
        <v>737</v>
      </c>
    </row>
    <row r="41" spans="1:17" ht="36" customHeight="1">
      <c r="A41" s="24">
        <v>57</v>
      </c>
      <c r="B41" s="17" t="s">
        <v>236</v>
      </c>
      <c r="C41" s="17" t="s">
        <v>237</v>
      </c>
      <c r="D41" s="17" t="s">
        <v>620</v>
      </c>
      <c r="E41" s="17"/>
      <c r="F41" s="17"/>
      <c r="G41" s="17"/>
      <c r="H41" s="17"/>
      <c r="I41" s="17"/>
      <c r="J41" s="17"/>
      <c r="K41" s="17"/>
      <c r="L41" s="20"/>
      <c r="M41" s="20"/>
      <c r="N41" s="20" t="s">
        <v>614</v>
      </c>
      <c r="O41" s="17"/>
      <c r="P41" s="17"/>
      <c r="Q41" s="17" t="s">
        <v>621</v>
      </c>
    </row>
    <row r="42" spans="1:17" ht="36" customHeight="1">
      <c r="A42" s="23">
        <v>58</v>
      </c>
      <c r="B42" s="3" t="s">
        <v>240</v>
      </c>
      <c r="C42" s="3" t="s">
        <v>229</v>
      </c>
      <c r="D42" s="3" t="s">
        <v>620</v>
      </c>
      <c r="E42" s="3"/>
      <c r="F42" s="3"/>
      <c r="G42" s="3"/>
      <c r="H42" s="3"/>
      <c r="I42" s="3"/>
      <c r="J42" s="3"/>
      <c r="K42" s="3"/>
      <c r="L42" s="19"/>
      <c r="M42" s="19"/>
      <c r="N42" s="19" t="s">
        <v>614</v>
      </c>
      <c r="O42" s="3"/>
      <c r="P42" s="3"/>
      <c r="Q42" s="3" t="s">
        <v>738</v>
      </c>
    </row>
    <row r="43" spans="1:17" ht="36" customHeight="1">
      <c r="A43" s="24">
        <v>59</v>
      </c>
      <c r="B43" s="17" t="s">
        <v>243</v>
      </c>
      <c r="C43" s="17" t="s">
        <v>244</v>
      </c>
      <c r="D43" s="17" t="s">
        <v>620</v>
      </c>
      <c r="E43" s="17"/>
      <c r="F43" s="17"/>
      <c r="G43" s="17"/>
      <c r="H43" s="17"/>
      <c r="I43" s="17"/>
      <c r="J43" s="17"/>
      <c r="K43" s="17"/>
      <c r="L43" s="20"/>
      <c r="M43" s="20"/>
      <c r="N43" s="20" t="s">
        <v>614</v>
      </c>
      <c r="O43" s="17"/>
      <c r="P43" s="17"/>
      <c r="Q43" s="17" t="s">
        <v>621</v>
      </c>
    </row>
    <row r="44" spans="1:17" ht="36" customHeight="1">
      <c r="A44" s="23">
        <v>60</v>
      </c>
      <c r="B44" s="3" t="s">
        <v>247</v>
      </c>
      <c r="C44" s="3" t="s">
        <v>248</v>
      </c>
      <c r="D44" s="3" t="s">
        <v>620</v>
      </c>
      <c r="E44" s="3"/>
      <c r="F44" s="3"/>
      <c r="G44" s="3"/>
      <c r="H44" s="3"/>
      <c r="I44" s="3"/>
      <c r="J44" s="3"/>
      <c r="K44" s="3"/>
      <c r="L44" s="19"/>
      <c r="M44" s="19"/>
      <c r="N44" s="19" t="s">
        <v>614</v>
      </c>
      <c r="O44" s="3"/>
      <c r="P44" s="3"/>
      <c r="Q44" s="3" t="s">
        <v>621</v>
      </c>
    </row>
    <row r="45" spans="1:17" ht="36" customHeight="1">
      <c r="A45" s="24">
        <v>61</v>
      </c>
      <c r="B45" s="17" t="s">
        <v>251</v>
      </c>
      <c r="C45" s="17" t="s">
        <v>104</v>
      </c>
      <c r="D45" s="17" t="s">
        <v>620</v>
      </c>
      <c r="E45" s="17"/>
      <c r="F45" s="17"/>
      <c r="G45" s="17"/>
      <c r="H45" s="17"/>
      <c r="I45" s="17"/>
      <c r="J45" s="17"/>
      <c r="K45" s="17"/>
      <c r="L45" s="20"/>
      <c r="M45" s="20"/>
      <c r="N45" s="20" t="s">
        <v>614</v>
      </c>
      <c r="O45" s="17"/>
      <c r="P45" s="17"/>
      <c r="Q45" s="17" t="s">
        <v>621</v>
      </c>
    </row>
    <row r="46" spans="1:17" ht="36" customHeight="1">
      <c r="A46" s="23">
        <v>62</v>
      </c>
      <c r="B46" s="3" t="s">
        <v>253</v>
      </c>
      <c r="C46" s="3" t="s">
        <v>233</v>
      </c>
      <c r="D46" s="3" t="s">
        <v>620</v>
      </c>
      <c r="E46" s="3"/>
      <c r="F46" s="3"/>
      <c r="G46" s="3"/>
      <c r="H46" s="3"/>
      <c r="I46" s="3"/>
      <c r="J46" s="3"/>
      <c r="K46" s="3"/>
      <c r="L46" s="19"/>
      <c r="M46" s="19"/>
      <c r="N46" s="19" t="s">
        <v>614</v>
      </c>
      <c r="O46" s="3"/>
      <c r="P46" s="3"/>
      <c r="Q46" s="3" t="s">
        <v>737</v>
      </c>
    </row>
    <row r="47" spans="1:17" ht="36" customHeight="1">
      <c r="A47" s="24">
        <v>63</v>
      </c>
      <c r="B47" s="17" t="s">
        <v>256</v>
      </c>
      <c r="C47" s="17" t="s">
        <v>257</v>
      </c>
      <c r="D47" s="17" t="s">
        <v>711</v>
      </c>
      <c r="E47" s="17" t="s">
        <v>256</v>
      </c>
      <c r="F47" s="17" t="s">
        <v>608</v>
      </c>
      <c r="G47" s="17" t="s">
        <v>739</v>
      </c>
      <c r="H47" s="17">
        <v>0</v>
      </c>
      <c r="I47" s="17"/>
      <c r="J47" s="17"/>
      <c r="K47" s="17"/>
      <c r="L47" s="20"/>
      <c r="M47" s="20" t="s">
        <v>740</v>
      </c>
      <c r="N47" s="20" t="s">
        <v>614</v>
      </c>
      <c r="O47" s="17">
        <v>1</v>
      </c>
      <c r="P47" s="17" t="s">
        <v>256</v>
      </c>
      <c r="Q47" s="17" t="s">
        <v>616</v>
      </c>
    </row>
    <row r="48" spans="1:17" ht="36" customHeight="1">
      <c r="A48" s="23">
        <v>64</v>
      </c>
      <c r="B48" s="3" t="s">
        <v>260</v>
      </c>
      <c r="C48" s="3" t="s">
        <v>233</v>
      </c>
      <c r="D48" s="3" t="s">
        <v>620</v>
      </c>
      <c r="E48" s="3"/>
      <c r="F48" s="3"/>
      <c r="G48" s="3"/>
      <c r="H48" s="3"/>
      <c r="I48" s="3"/>
      <c r="J48" s="3"/>
      <c r="K48" s="3"/>
      <c r="L48" s="19"/>
      <c r="M48" s="19"/>
      <c r="N48" s="19" t="s">
        <v>614</v>
      </c>
      <c r="O48" s="3"/>
      <c r="P48" s="3"/>
      <c r="Q48" s="3" t="s">
        <v>737</v>
      </c>
    </row>
    <row r="49" spans="1:17" ht="36" customHeight="1">
      <c r="A49" s="24">
        <v>65</v>
      </c>
      <c r="B49" s="17" t="s">
        <v>263</v>
      </c>
      <c r="C49" s="17" t="s">
        <v>129</v>
      </c>
      <c r="D49" s="17" t="s">
        <v>606</v>
      </c>
      <c r="E49" s="17" t="s">
        <v>741</v>
      </c>
      <c r="F49" s="17" t="s">
        <v>608</v>
      </c>
      <c r="G49" s="17" t="s">
        <v>742</v>
      </c>
      <c r="H49" s="17">
        <v>3</v>
      </c>
      <c r="I49" s="17">
        <v>2026</v>
      </c>
      <c r="J49" s="17" t="s">
        <v>743</v>
      </c>
      <c r="K49" s="17" t="s">
        <v>744</v>
      </c>
      <c r="L49" s="20" t="s">
        <v>745</v>
      </c>
      <c r="M49" s="20" t="s">
        <v>746</v>
      </c>
      <c r="N49" s="20" t="s">
        <v>614</v>
      </c>
      <c r="O49" s="17">
        <v>1</v>
      </c>
      <c r="P49" s="17" t="s">
        <v>747</v>
      </c>
      <c r="Q49" s="17" t="s">
        <v>616</v>
      </c>
    </row>
    <row r="50" spans="1:17" ht="36" customHeight="1">
      <c r="A50" s="23">
        <v>66</v>
      </c>
      <c r="B50" s="3" t="s">
        <v>27</v>
      </c>
      <c r="C50" s="3" t="s">
        <v>104</v>
      </c>
      <c r="D50" s="3" t="s">
        <v>620</v>
      </c>
      <c r="E50" s="3"/>
      <c r="F50" s="3"/>
      <c r="G50" s="3"/>
      <c r="H50" s="3"/>
      <c r="I50" s="3"/>
      <c r="J50" s="3"/>
      <c r="K50" s="3"/>
      <c r="L50" s="19"/>
      <c r="M50" s="19"/>
      <c r="N50" s="19" t="s">
        <v>614</v>
      </c>
      <c r="O50" s="3"/>
      <c r="P50" s="3"/>
      <c r="Q50" s="3" t="s">
        <v>621</v>
      </c>
    </row>
    <row r="51" spans="1:17" ht="36" customHeight="1">
      <c r="A51" s="24">
        <v>67</v>
      </c>
      <c r="B51" s="17" t="s">
        <v>269</v>
      </c>
      <c r="C51" s="17" t="s">
        <v>270</v>
      </c>
      <c r="D51" s="17" t="s">
        <v>606</v>
      </c>
      <c r="E51" s="17" t="s">
        <v>748</v>
      </c>
      <c r="F51" s="17" t="s">
        <v>608</v>
      </c>
      <c r="G51" s="17" t="s">
        <v>749</v>
      </c>
      <c r="H51" s="17">
        <v>0</v>
      </c>
      <c r="I51" s="17"/>
      <c r="J51" s="17"/>
      <c r="K51" s="17"/>
      <c r="L51" s="20"/>
      <c r="M51" s="20" t="s">
        <v>750</v>
      </c>
      <c r="N51" s="20" t="s">
        <v>614</v>
      </c>
      <c r="O51" s="17">
        <v>1</v>
      </c>
      <c r="P51" s="17" t="s">
        <v>748</v>
      </c>
      <c r="Q51" s="17" t="s">
        <v>616</v>
      </c>
    </row>
    <row r="52" spans="1:17" ht="36" customHeight="1">
      <c r="A52" s="23">
        <v>68</v>
      </c>
      <c r="B52" s="3" t="s">
        <v>277</v>
      </c>
      <c r="C52" s="3" t="s">
        <v>233</v>
      </c>
      <c r="D52" s="3" t="s">
        <v>620</v>
      </c>
      <c r="E52" s="3"/>
      <c r="F52" s="3"/>
      <c r="G52" s="3"/>
      <c r="H52" s="3"/>
      <c r="I52" s="3"/>
      <c r="J52" s="3"/>
      <c r="K52" s="3"/>
      <c r="L52" s="19"/>
      <c r="M52" s="19"/>
      <c r="N52" s="19" t="s">
        <v>614</v>
      </c>
      <c r="O52" s="3"/>
      <c r="P52" s="3"/>
      <c r="Q52" s="3" t="s">
        <v>737</v>
      </c>
    </row>
    <row r="53" spans="1:17" ht="36" customHeight="1">
      <c r="A53" s="24">
        <v>69</v>
      </c>
      <c r="B53" s="17" t="s">
        <v>280</v>
      </c>
      <c r="C53" s="17" t="s">
        <v>281</v>
      </c>
      <c r="D53" s="17" t="s">
        <v>606</v>
      </c>
      <c r="E53" s="17" t="s">
        <v>751</v>
      </c>
      <c r="F53" s="17" t="s">
        <v>630</v>
      </c>
      <c r="G53" s="17" t="s">
        <v>752</v>
      </c>
      <c r="H53" s="17">
        <v>0</v>
      </c>
      <c r="I53" s="17">
        <v>2015</v>
      </c>
      <c r="J53" s="17" t="s">
        <v>753</v>
      </c>
      <c r="K53" s="17" t="s">
        <v>754</v>
      </c>
      <c r="L53" s="20" t="s">
        <v>755</v>
      </c>
      <c r="M53" s="20" t="s">
        <v>756</v>
      </c>
      <c r="N53" s="20" t="s">
        <v>614</v>
      </c>
      <c r="O53" s="17">
        <v>1</v>
      </c>
      <c r="P53" s="17" t="s">
        <v>751</v>
      </c>
      <c r="Q53" s="17" t="s">
        <v>616</v>
      </c>
    </row>
    <row r="54" spans="1:17" ht="36" customHeight="1">
      <c r="A54" s="23">
        <v>70</v>
      </c>
      <c r="B54" s="3" t="s">
        <v>284</v>
      </c>
      <c r="C54" s="3" t="s">
        <v>285</v>
      </c>
      <c r="D54" s="3" t="s">
        <v>620</v>
      </c>
      <c r="E54" s="3"/>
      <c r="F54" s="3"/>
      <c r="G54" s="3"/>
      <c r="H54" s="3"/>
      <c r="I54" s="3"/>
      <c r="J54" s="3"/>
      <c r="K54" s="3"/>
      <c r="L54" s="19"/>
      <c r="M54" s="19"/>
      <c r="N54" s="19" t="s">
        <v>614</v>
      </c>
      <c r="O54" s="3"/>
      <c r="P54" s="3"/>
      <c r="Q54" s="3" t="s">
        <v>757</v>
      </c>
    </row>
    <row r="55" spans="1:17" ht="36" customHeight="1">
      <c r="A55" s="24">
        <v>71</v>
      </c>
      <c r="B55" s="17" t="s">
        <v>288</v>
      </c>
      <c r="C55" s="17" t="s">
        <v>229</v>
      </c>
      <c r="D55" s="17" t="s">
        <v>620</v>
      </c>
      <c r="E55" s="17"/>
      <c r="F55" s="17"/>
      <c r="G55" s="17"/>
      <c r="H55" s="17"/>
      <c r="I55" s="17"/>
      <c r="J55" s="17"/>
      <c r="K55" s="17"/>
      <c r="L55" s="20"/>
      <c r="M55" s="20"/>
      <c r="N55" s="20" t="s">
        <v>614</v>
      </c>
      <c r="O55" s="17"/>
      <c r="P55" s="17"/>
      <c r="Q55" s="17" t="s">
        <v>621</v>
      </c>
    </row>
    <row r="56" spans="1:17" ht="36" customHeight="1">
      <c r="A56" s="23">
        <v>72</v>
      </c>
      <c r="B56" s="3" t="s">
        <v>292</v>
      </c>
      <c r="C56" s="3" t="s">
        <v>293</v>
      </c>
      <c r="D56" s="3" t="s">
        <v>620</v>
      </c>
      <c r="E56" s="3"/>
      <c r="F56" s="3"/>
      <c r="G56" s="3"/>
      <c r="H56" s="3"/>
      <c r="I56" s="3"/>
      <c r="J56" s="3"/>
      <c r="K56" s="3"/>
      <c r="L56" s="19"/>
      <c r="M56" s="19"/>
      <c r="N56" s="19" t="s">
        <v>614</v>
      </c>
      <c r="O56" s="3"/>
      <c r="P56" s="3"/>
      <c r="Q56" s="3" t="s">
        <v>621</v>
      </c>
    </row>
    <row r="57" spans="1:17" ht="36" customHeight="1">
      <c r="A57" s="24">
        <v>73</v>
      </c>
      <c r="B57" s="17" t="s">
        <v>297</v>
      </c>
      <c r="C57" s="17" t="s">
        <v>233</v>
      </c>
      <c r="D57" s="17" t="s">
        <v>620</v>
      </c>
      <c r="E57" s="17"/>
      <c r="F57" s="17"/>
      <c r="G57" s="17"/>
      <c r="H57" s="17"/>
      <c r="I57" s="17"/>
      <c r="J57" s="17"/>
      <c r="K57" s="17"/>
      <c r="L57" s="20"/>
      <c r="M57" s="20"/>
      <c r="N57" s="20" t="s">
        <v>614</v>
      </c>
      <c r="O57" s="17"/>
      <c r="P57" s="17"/>
      <c r="Q57" s="17" t="s">
        <v>737</v>
      </c>
    </row>
    <row r="58" spans="1:17" ht="36" customHeight="1">
      <c r="A58" s="23">
        <v>74</v>
      </c>
      <c r="B58" s="3" t="s">
        <v>301</v>
      </c>
      <c r="C58" s="3" t="s">
        <v>104</v>
      </c>
      <c r="D58" s="3" t="s">
        <v>606</v>
      </c>
      <c r="E58" s="3" t="s">
        <v>758</v>
      </c>
      <c r="F58" s="3" t="s">
        <v>608</v>
      </c>
      <c r="G58" s="3" t="s">
        <v>759</v>
      </c>
      <c r="H58" s="3">
        <v>3</v>
      </c>
      <c r="I58" s="3">
        <v>2025</v>
      </c>
      <c r="J58" s="3" t="s">
        <v>654</v>
      </c>
      <c r="K58" s="3" t="s">
        <v>760</v>
      </c>
      <c r="L58" s="19" t="s">
        <v>761</v>
      </c>
      <c r="M58" s="19" t="s">
        <v>762</v>
      </c>
      <c r="N58" s="19" t="s">
        <v>614</v>
      </c>
      <c r="O58" s="3">
        <v>1</v>
      </c>
      <c r="P58" s="3" t="s">
        <v>758</v>
      </c>
      <c r="Q58" s="3" t="s">
        <v>616</v>
      </c>
    </row>
    <row r="59" spans="1:17" ht="36" customHeight="1">
      <c r="A59" s="24">
        <v>76</v>
      </c>
      <c r="B59" s="17" t="s">
        <v>304</v>
      </c>
      <c r="C59" s="17" t="s">
        <v>129</v>
      </c>
      <c r="D59" s="17" t="s">
        <v>711</v>
      </c>
      <c r="E59" s="17" t="s">
        <v>763</v>
      </c>
      <c r="F59" s="17" t="s">
        <v>608</v>
      </c>
      <c r="G59" s="17" t="s">
        <v>764</v>
      </c>
      <c r="H59" s="17">
        <v>3</v>
      </c>
      <c r="I59" s="17">
        <v>2025</v>
      </c>
      <c r="J59" s="17" t="s">
        <v>702</v>
      </c>
      <c r="K59" s="17" t="s">
        <v>765</v>
      </c>
      <c r="L59" s="20" t="s">
        <v>766</v>
      </c>
      <c r="M59" s="20" t="s">
        <v>767</v>
      </c>
      <c r="N59" s="20" t="s">
        <v>614</v>
      </c>
      <c r="O59" s="17">
        <v>0.96</v>
      </c>
      <c r="P59" s="17" t="s">
        <v>304</v>
      </c>
      <c r="Q59" s="17" t="s">
        <v>616</v>
      </c>
    </row>
    <row r="60" spans="1:17" ht="36" customHeight="1">
      <c r="A60" s="23">
        <v>77</v>
      </c>
      <c r="B60" s="3" t="s">
        <v>306</v>
      </c>
      <c r="C60" s="3" t="s">
        <v>129</v>
      </c>
      <c r="D60" s="3" t="s">
        <v>606</v>
      </c>
      <c r="E60" s="3" t="s">
        <v>768</v>
      </c>
      <c r="F60" s="3" t="s">
        <v>608</v>
      </c>
      <c r="G60" s="3" t="s">
        <v>769</v>
      </c>
      <c r="H60" s="3">
        <v>0</v>
      </c>
      <c r="I60" s="3"/>
      <c r="J60" s="3"/>
      <c r="K60" s="3"/>
      <c r="L60" s="19"/>
      <c r="M60" s="19" t="s">
        <v>770</v>
      </c>
      <c r="N60" s="19" t="s">
        <v>614</v>
      </c>
      <c r="O60" s="3">
        <v>1</v>
      </c>
      <c r="P60" s="3" t="s">
        <v>768</v>
      </c>
      <c r="Q60" s="3" t="s">
        <v>616</v>
      </c>
    </row>
    <row r="61" spans="1:17" ht="36" customHeight="1">
      <c r="A61" s="24">
        <v>78</v>
      </c>
      <c r="B61" s="17" t="s">
        <v>310</v>
      </c>
      <c r="C61" s="17" t="s">
        <v>109</v>
      </c>
      <c r="D61" s="17" t="s">
        <v>606</v>
      </c>
      <c r="E61" s="17" t="s">
        <v>771</v>
      </c>
      <c r="F61" s="17" t="s">
        <v>608</v>
      </c>
      <c r="G61" s="17" t="s">
        <v>772</v>
      </c>
      <c r="H61" s="17">
        <v>0</v>
      </c>
      <c r="I61" s="17"/>
      <c r="J61" s="17"/>
      <c r="K61" s="17"/>
      <c r="L61" s="20"/>
      <c r="M61" s="20" t="s">
        <v>773</v>
      </c>
      <c r="N61" s="20" t="s">
        <v>614</v>
      </c>
      <c r="O61" s="17">
        <v>1</v>
      </c>
      <c r="P61" s="17" t="s">
        <v>771</v>
      </c>
      <c r="Q61" s="17" t="s">
        <v>616</v>
      </c>
    </row>
    <row r="62" spans="1:17" ht="36" customHeight="1">
      <c r="A62" s="23">
        <v>79</v>
      </c>
      <c r="B62" s="3" t="s">
        <v>313</v>
      </c>
      <c r="C62" s="3" t="s">
        <v>257</v>
      </c>
      <c r="D62" s="3" t="s">
        <v>620</v>
      </c>
      <c r="E62" s="3"/>
      <c r="F62" s="3"/>
      <c r="G62" s="3"/>
      <c r="H62" s="3"/>
      <c r="I62" s="3"/>
      <c r="J62" s="3"/>
      <c r="K62" s="3"/>
      <c r="L62" s="19"/>
      <c r="M62" s="19"/>
      <c r="N62" s="19" t="s">
        <v>614</v>
      </c>
      <c r="O62" s="3"/>
      <c r="P62" s="3"/>
      <c r="Q62" s="3" t="s">
        <v>774</v>
      </c>
    </row>
    <row r="63" spans="1:17" ht="36" customHeight="1">
      <c r="A63" s="24">
        <v>80</v>
      </c>
      <c r="B63" s="17" t="s">
        <v>315</v>
      </c>
      <c r="C63" s="17" t="s">
        <v>316</v>
      </c>
      <c r="D63" s="17" t="s">
        <v>620</v>
      </c>
      <c r="E63" s="17"/>
      <c r="F63" s="17"/>
      <c r="G63" s="17"/>
      <c r="H63" s="17"/>
      <c r="I63" s="17"/>
      <c r="J63" s="17"/>
      <c r="K63" s="17"/>
      <c r="L63" s="20"/>
      <c r="M63" s="20"/>
      <c r="N63" s="20" t="s">
        <v>614</v>
      </c>
      <c r="O63" s="17"/>
      <c r="P63" s="17"/>
      <c r="Q63" s="17" t="s">
        <v>737</v>
      </c>
    </row>
    <row r="64" spans="1:17" ht="36" customHeight="1">
      <c r="A64" s="25">
        <v>81</v>
      </c>
      <c r="B64" s="4" t="s">
        <v>318</v>
      </c>
      <c r="C64" s="4" t="s">
        <v>150</v>
      </c>
      <c r="D64" s="4" t="s">
        <v>620</v>
      </c>
      <c r="E64" s="4"/>
      <c r="F64" s="4"/>
      <c r="G64" s="4"/>
      <c r="H64" s="4"/>
      <c r="I64" s="4"/>
      <c r="J64" s="4"/>
      <c r="K64" s="4"/>
      <c r="L64" s="21"/>
      <c r="M64" s="21"/>
      <c r="N64" s="21" t="s">
        <v>614</v>
      </c>
      <c r="O64" s="4"/>
      <c r="P64" s="4"/>
      <c r="Q64" s="4" t="s">
        <v>621</v>
      </c>
    </row>
  </sheetData>
  <mergeCells count="2">
    <mergeCell ref="A1:Q1"/>
    <mergeCell ref="A2:Q2"/>
  </mergeCells>
  <phoneticPr fontId="8"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U64"/>
  <sheetViews>
    <sheetView showGridLines="0" workbookViewId="0">
      <selection sqref="A1:U1"/>
    </sheetView>
  </sheetViews>
  <sheetFormatPr defaultRowHeight="13.5"/>
  <cols>
    <col min="1" max="1" width="8" customWidth="1"/>
    <col min="2" max="2" width="28" customWidth="1"/>
    <col min="3" max="3" width="16" customWidth="1"/>
    <col min="4" max="4" width="20" customWidth="1"/>
    <col min="5" max="5" width="30" customWidth="1"/>
    <col min="6" max="6" width="18" customWidth="1"/>
    <col min="7" max="7" width="12" customWidth="1"/>
    <col min="8" max="8" width="14" customWidth="1"/>
    <col min="9" max="9" width="16" customWidth="1"/>
    <col min="10" max="10" width="28" customWidth="1"/>
    <col min="11" max="11" width="24" customWidth="1"/>
    <col min="12" max="12" width="14" customWidth="1"/>
    <col min="13" max="13" width="15" customWidth="1"/>
    <col min="14" max="14" width="14" customWidth="1"/>
    <col min="15" max="16" width="16" customWidth="1"/>
    <col min="17" max="17" width="14" customWidth="1"/>
    <col min="18" max="19" width="55" customWidth="1"/>
    <col min="20" max="20" width="50" customWidth="1"/>
    <col min="21" max="21" width="55" customWidth="1"/>
  </cols>
  <sheetData>
    <row r="1" spans="1:21" ht="28.05" customHeight="1">
      <c r="A1" s="36" t="s">
        <v>775</v>
      </c>
      <c r="B1" s="36"/>
      <c r="C1" s="36"/>
      <c r="D1" s="36"/>
      <c r="E1" s="36"/>
      <c r="F1" s="36"/>
      <c r="G1" s="36"/>
      <c r="H1" s="36"/>
      <c r="I1" s="36"/>
      <c r="J1" s="36"/>
      <c r="K1" s="36"/>
      <c r="L1" s="36"/>
      <c r="M1" s="36"/>
      <c r="N1" s="36"/>
      <c r="O1" s="36"/>
      <c r="P1" s="36"/>
      <c r="Q1" s="36"/>
      <c r="R1" s="36"/>
      <c r="S1" s="36"/>
      <c r="T1" s="36"/>
      <c r="U1" s="36"/>
    </row>
    <row r="2" spans="1:21" ht="34.049999999999997" customHeight="1">
      <c r="A2" s="37" t="s">
        <v>776</v>
      </c>
      <c r="B2" s="37"/>
      <c r="C2" s="37"/>
      <c r="D2" s="37"/>
      <c r="E2" s="37"/>
      <c r="F2" s="37"/>
      <c r="G2" s="37"/>
      <c r="H2" s="37"/>
      <c r="I2" s="37"/>
      <c r="J2" s="37"/>
      <c r="K2" s="37"/>
      <c r="L2" s="37"/>
      <c r="M2" s="37"/>
      <c r="N2" s="37"/>
      <c r="O2" s="37"/>
      <c r="P2" s="37"/>
      <c r="Q2" s="37"/>
      <c r="R2" s="37"/>
      <c r="S2" s="37"/>
      <c r="T2" s="37"/>
      <c r="U2" s="37"/>
    </row>
    <row r="4" spans="1:21" ht="38" customHeight="1">
      <c r="A4" s="13" t="s">
        <v>87</v>
      </c>
      <c r="B4" s="14" t="s">
        <v>529</v>
      </c>
      <c r="C4" s="14" t="s">
        <v>89</v>
      </c>
      <c r="D4" s="14" t="s">
        <v>777</v>
      </c>
      <c r="E4" s="14" t="s">
        <v>778</v>
      </c>
      <c r="F4" s="14" t="s">
        <v>779</v>
      </c>
      <c r="G4" s="14" t="s">
        <v>603</v>
      </c>
      <c r="H4" s="14" t="s">
        <v>780</v>
      </c>
      <c r="I4" s="14" t="s">
        <v>781</v>
      </c>
      <c r="J4" s="14" t="s">
        <v>782</v>
      </c>
      <c r="K4" s="14" t="s">
        <v>783</v>
      </c>
      <c r="L4" s="14" t="s">
        <v>784</v>
      </c>
      <c r="M4" s="14" t="s">
        <v>785</v>
      </c>
      <c r="N4" s="14" t="s">
        <v>786</v>
      </c>
      <c r="O4" s="14" t="s">
        <v>787</v>
      </c>
      <c r="P4" s="14" t="s">
        <v>788</v>
      </c>
      <c r="Q4" s="14" t="s">
        <v>789</v>
      </c>
      <c r="R4" s="14" t="s">
        <v>790</v>
      </c>
      <c r="S4" s="14" t="s">
        <v>791</v>
      </c>
      <c r="T4" s="14" t="s">
        <v>792</v>
      </c>
      <c r="U4" s="15" t="s">
        <v>793</v>
      </c>
    </row>
    <row r="5" spans="1:21" ht="36" customHeight="1">
      <c r="A5" s="22">
        <v>1</v>
      </c>
      <c r="B5" s="16" t="s">
        <v>97</v>
      </c>
      <c r="C5" s="16" t="s">
        <v>98</v>
      </c>
      <c r="D5" s="16" t="s">
        <v>794</v>
      </c>
      <c r="E5" s="16" t="s">
        <v>97</v>
      </c>
      <c r="F5" s="16" t="s">
        <v>795</v>
      </c>
      <c r="G5" s="16">
        <v>1</v>
      </c>
      <c r="H5" s="16" t="s">
        <v>796</v>
      </c>
      <c r="I5" s="16" t="s">
        <v>797</v>
      </c>
      <c r="J5" s="16" t="s">
        <v>798</v>
      </c>
      <c r="K5" s="16" t="s">
        <v>799</v>
      </c>
      <c r="L5" s="16">
        <v>235413</v>
      </c>
      <c r="M5" s="16">
        <v>22224211</v>
      </c>
      <c r="N5" s="16">
        <v>1076</v>
      </c>
      <c r="O5" s="16">
        <v>3.362402620640295</v>
      </c>
      <c r="P5" s="16">
        <v>14149</v>
      </c>
      <c r="Q5" s="16">
        <v>25737</v>
      </c>
      <c r="R5" s="16" t="s">
        <v>800</v>
      </c>
      <c r="S5" s="18" t="s">
        <v>801</v>
      </c>
      <c r="T5" s="18" t="s">
        <v>802</v>
      </c>
      <c r="U5" s="16"/>
    </row>
    <row r="6" spans="1:21" ht="36" customHeight="1">
      <c r="A6" s="23">
        <v>2</v>
      </c>
      <c r="B6" s="3" t="s">
        <v>103</v>
      </c>
      <c r="C6" s="3" t="s">
        <v>104</v>
      </c>
      <c r="D6" s="3" t="s">
        <v>794</v>
      </c>
      <c r="E6" s="3" t="s">
        <v>103</v>
      </c>
      <c r="F6" s="3" t="s">
        <v>795</v>
      </c>
      <c r="G6" s="3">
        <v>1</v>
      </c>
      <c r="H6" s="3" t="s">
        <v>803</v>
      </c>
      <c r="I6" s="3" t="s">
        <v>797</v>
      </c>
      <c r="J6" s="3" t="s">
        <v>804</v>
      </c>
      <c r="K6" s="3" t="s">
        <v>805</v>
      </c>
      <c r="L6" s="3">
        <v>553930</v>
      </c>
      <c r="M6" s="3">
        <v>58615111</v>
      </c>
      <c r="N6" s="3">
        <v>1782</v>
      </c>
      <c r="O6" s="3">
        <v>4.394456194033209</v>
      </c>
      <c r="P6" s="3">
        <v>27148</v>
      </c>
      <c r="Q6" s="3">
        <v>58181</v>
      </c>
      <c r="R6" s="3" t="s">
        <v>806</v>
      </c>
      <c r="S6" s="19" t="s">
        <v>807</v>
      </c>
      <c r="T6" s="19" t="s">
        <v>808</v>
      </c>
      <c r="U6" s="3"/>
    </row>
    <row r="7" spans="1:21" ht="36" customHeight="1">
      <c r="A7" s="24">
        <v>3</v>
      </c>
      <c r="B7" s="17" t="s">
        <v>108</v>
      </c>
      <c r="C7" s="17" t="s">
        <v>109</v>
      </c>
      <c r="D7" s="17" t="s">
        <v>794</v>
      </c>
      <c r="E7" s="17" t="s">
        <v>809</v>
      </c>
      <c r="F7" s="17" t="s">
        <v>795</v>
      </c>
      <c r="G7" s="17">
        <v>1</v>
      </c>
      <c r="H7" s="17" t="s">
        <v>810</v>
      </c>
      <c r="I7" s="17" t="s">
        <v>797</v>
      </c>
      <c r="J7" s="17" t="s">
        <v>811</v>
      </c>
      <c r="K7" s="17" t="s">
        <v>812</v>
      </c>
      <c r="L7" s="17">
        <v>583087</v>
      </c>
      <c r="M7" s="17">
        <v>65779892</v>
      </c>
      <c r="N7" s="17">
        <v>2066</v>
      </c>
      <c r="O7" s="17">
        <v>5.2052346972906678</v>
      </c>
      <c r="P7" s="17">
        <v>36401</v>
      </c>
      <c r="Q7" s="17">
        <v>69680</v>
      </c>
      <c r="R7" s="17" t="s">
        <v>806</v>
      </c>
      <c r="S7" s="20" t="s">
        <v>813</v>
      </c>
      <c r="T7" s="20" t="s">
        <v>814</v>
      </c>
      <c r="U7" s="17"/>
    </row>
    <row r="8" spans="1:21" ht="36" customHeight="1">
      <c r="A8" s="23">
        <v>4</v>
      </c>
      <c r="B8" s="3" t="s">
        <v>113</v>
      </c>
      <c r="C8" s="3" t="s">
        <v>109</v>
      </c>
      <c r="D8" s="3" t="s">
        <v>815</v>
      </c>
      <c r="E8" s="3"/>
      <c r="F8" s="3"/>
      <c r="G8" s="3"/>
      <c r="H8" s="3"/>
      <c r="I8" s="3"/>
      <c r="J8" s="3"/>
      <c r="K8" s="3"/>
      <c r="L8" s="3"/>
      <c r="M8" s="3"/>
      <c r="N8" s="3"/>
      <c r="O8" s="3"/>
      <c r="P8" s="3"/>
      <c r="Q8" s="3"/>
      <c r="R8" s="3"/>
      <c r="S8" s="19"/>
      <c r="T8" s="19" t="s">
        <v>816</v>
      </c>
      <c r="U8" s="3" t="s">
        <v>817</v>
      </c>
    </row>
    <row r="9" spans="1:21" ht="36" customHeight="1">
      <c r="A9" s="24">
        <v>5</v>
      </c>
      <c r="B9" s="17" t="s">
        <v>117</v>
      </c>
      <c r="C9" s="17" t="s">
        <v>104</v>
      </c>
      <c r="D9" s="17" t="s">
        <v>794</v>
      </c>
      <c r="E9" s="17" t="s">
        <v>117</v>
      </c>
      <c r="F9" s="17" t="s">
        <v>795</v>
      </c>
      <c r="G9" s="17">
        <v>1</v>
      </c>
      <c r="H9" s="17" t="s">
        <v>803</v>
      </c>
      <c r="I9" s="17" t="s">
        <v>797</v>
      </c>
      <c r="J9" s="17" t="s">
        <v>818</v>
      </c>
      <c r="K9" s="17" t="s">
        <v>819</v>
      </c>
      <c r="L9" s="17">
        <v>374948</v>
      </c>
      <c r="M9" s="17">
        <v>32396043</v>
      </c>
      <c r="N9" s="17">
        <v>1334</v>
      </c>
      <c r="O9" s="17">
        <v>3.1642443448803408</v>
      </c>
      <c r="P9" s="17">
        <v>19674</v>
      </c>
      <c r="Q9" s="17">
        <v>36457</v>
      </c>
      <c r="R9" s="17" t="s">
        <v>820</v>
      </c>
      <c r="S9" s="20" t="s">
        <v>821</v>
      </c>
      <c r="T9" s="20" t="s">
        <v>822</v>
      </c>
      <c r="U9" s="17"/>
    </row>
    <row r="10" spans="1:21" ht="36" customHeight="1">
      <c r="A10" s="23">
        <v>6</v>
      </c>
      <c r="B10" s="3" t="s">
        <v>121</v>
      </c>
      <c r="C10" s="3" t="s">
        <v>109</v>
      </c>
      <c r="D10" s="3" t="s">
        <v>794</v>
      </c>
      <c r="E10" s="3" t="s">
        <v>823</v>
      </c>
      <c r="F10" s="3" t="s">
        <v>795</v>
      </c>
      <c r="G10" s="3">
        <v>1</v>
      </c>
      <c r="H10" s="3" t="s">
        <v>810</v>
      </c>
      <c r="I10" s="3" t="s">
        <v>797</v>
      </c>
      <c r="J10" s="3" t="s">
        <v>824</v>
      </c>
      <c r="K10" s="3" t="s">
        <v>825</v>
      </c>
      <c r="L10" s="3">
        <v>73569</v>
      </c>
      <c r="M10" s="3">
        <v>2719235</v>
      </c>
      <c r="N10" s="3">
        <v>550</v>
      </c>
      <c r="O10" s="3">
        <v>3.0330352941176471</v>
      </c>
      <c r="P10" s="3">
        <v>5387</v>
      </c>
      <c r="Q10" s="3">
        <v>15795</v>
      </c>
      <c r="R10" s="3" t="s">
        <v>826</v>
      </c>
      <c r="S10" s="19" t="s">
        <v>827</v>
      </c>
      <c r="T10" s="19" t="s">
        <v>828</v>
      </c>
      <c r="U10" s="3"/>
    </row>
    <row r="11" spans="1:21" ht="36" customHeight="1">
      <c r="A11" s="24">
        <v>7</v>
      </c>
      <c r="B11" s="17" t="s">
        <v>125</v>
      </c>
      <c r="C11" s="17" t="s">
        <v>109</v>
      </c>
      <c r="D11" s="17" t="s">
        <v>794</v>
      </c>
      <c r="E11" s="17" t="s">
        <v>125</v>
      </c>
      <c r="F11" s="17" t="s">
        <v>795</v>
      </c>
      <c r="G11" s="17">
        <v>1</v>
      </c>
      <c r="H11" s="17" t="s">
        <v>810</v>
      </c>
      <c r="I11" s="17" t="s">
        <v>797</v>
      </c>
      <c r="J11" s="17" t="s">
        <v>829</v>
      </c>
      <c r="K11" s="17" t="s">
        <v>830</v>
      </c>
      <c r="L11" s="17">
        <v>387396</v>
      </c>
      <c r="M11" s="17">
        <v>42109070</v>
      </c>
      <c r="N11" s="17">
        <v>1551</v>
      </c>
      <c r="O11" s="17">
        <v>6.4991002434635332</v>
      </c>
      <c r="P11" s="17">
        <v>22297</v>
      </c>
      <c r="Q11" s="17">
        <v>47844</v>
      </c>
      <c r="R11" s="17" t="s">
        <v>831</v>
      </c>
      <c r="S11" s="20" t="s">
        <v>832</v>
      </c>
      <c r="T11" s="20" t="s">
        <v>833</v>
      </c>
      <c r="U11" s="17"/>
    </row>
    <row r="12" spans="1:21" ht="36" customHeight="1">
      <c r="A12" s="23">
        <v>8</v>
      </c>
      <c r="B12" s="3" t="s">
        <v>128</v>
      </c>
      <c r="C12" s="3" t="s">
        <v>129</v>
      </c>
      <c r="D12" s="3" t="s">
        <v>794</v>
      </c>
      <c r="E12" s="3" t="s">
        <v>524</v>
      </c>
      <c r="F12" s="3" t="s">
        <v>795</v>
      </c>
      <c r="G12" s="3">
        <v>1</v>
      </c>
      <c r="H12" s="3" t="s">
        <v>834</v>
      </c>
      <c r="I12" s="3" t="s">
        <v>797</v>
      </c>
      <c r="J12" s="3" t="s">
        <v>835</v>
      </c>
      <c r="K12" s="3" t="s">
        <v>836</v>
      </c>
      <c r="L12" s="3">
        <v>273345</v>
      </c>
      <c r="M12" s="3">
        <v>20091565</v>
      </c>
      <c r="N12" s="3">
        <v>1041</v>
      </c>
      <c r="O12" s="3">
        <v>5.1931423023077272</v>
      </c>
      <c r="P12" s="3">
        <v>19127</v>
      </c>
      <c r="Q12" s="3">
        <v>41208</v>
      </c>
      <c r="R12" s="3" t="s">
        <v>837</v>
      </c>
      <c r="S12" s="19" t="s">
        <v>838</v>
      </c>
      <c r="T12" s="19" t="s">
        <v>839</v>
      </c>
      <c r="U12" s="3"/>
    </row>
    <row r="13" spans="1:21" ht="36" customHeight="1">
      <c r="A13" s="24">
        <v>9</v>
      </c>
      <c r="B13" s="17" t="s">
        <v>133</v>
      </c>
      <c r="C13" s="17" t="s">
        <v>104</v>
      </c>
      <c r="D13" s="17" t="s">
        <v>794</v>
      </c>
      <c r="E13" s="17" t="s">
        <v>133</v>
      </c>
      <c r="F13" s="17" t="s">
        <v>795</v>
      </c>
      <c r="G13" s="17">
        <v>1</v>
      </c>
      <c r="H13" s="17" t="s">
        <v>803</v>
      </c>
      <c r="I13" s="17" t="s">
        <v>797</v>
      </c>
      <c r="J13" s="17" t="s">
        <v>840</v>
      </c>
      <c r="K13" s="17" t="s">
        <v>841</v>
      </c>
      <c r="L13" s="17">
        <v>296965</v>
      </c>
      <c r="M13" s="17">
        <v>27391298</v>
      </c>
      <c r="N13" s="17">
        <v>1225</v>
      </c>
      <c r="O13" s="17">
        <v>3.9382953152983315</v>
      </c>
      <c r="P13" s="17">
        <v>14699</v>
      </c>
      <c r="Q13" s="17">
        <v>35508</v>
      </c>
      <c r="R13" s="17" t="s">
        <v>842</v>
      </c>
      <c r="S13" s="20" t="s">
        <v>843</v>
      </c>
      <c r="T13" s="20" t="s">
        <v>844</v>
      </c>
      <c r="U13" s="17"/>
    </row>
    <row r="14" spans="1:21" ht="36" customHeight="1">
      <c r="A14" s="23">
        <v>10</v>
      </c>
      <c r="B14" s="3" t="s">
        <v>137</v>
      </c>
      <c r="C14" s="3" t="s">
        <v>109</v>
      </c>
      <c r="D14" s="3" t="s">
        <v>815</v>
      </c>
      <c r="E14" s="3"/>
      <c r="F14" s="3"/>
      <c r="G14" s="3"/>
      <c r="H14" s="3"/>
      <c r="I14" s="3"/>
      <c r="J14" s="3"/>
      <c r="K14" s="3"/>
      <c r="L14" s="3"/>
      <c r="M14" s="3"/>
      <c r="N14" s="3"/>
      <c r="O14" s="3"/>
      <c r="P14" s="3"/>
      <c r="Q14" s="3"/>
      <c r="R14" s="3"/>
      <c r="S14" s="19"/>
      <c r="T14" s="19" t="s">
        <v>845</v>
      </c>
      <c r="U14" s="3" t="s">
        <v>817</v>
      </c>
    </row>
    <row r="15" spans="1:21" ht="36" customHeight="1">
      <c r="A15" s="24">
        <v>11</v>
      </c>
      <c r="B15" s="17" t="s">
        <v>142</v>
      </c>
      <c r="C15" s="17" t="s">
        <v>143</v>
      </c>
      <c r="D15" s="17" t="s">
        <v>794</v>
      </c>
      <c r="E15" s="17" t="s">
        <v>142</v>
      </c>
      <c r="F15" s="17" t="s">
        <v>795</v>
      </c>
      <c r="G15" s="17">
        <v>1</v>
      </c>
      <c r="H15" s="17" t="s">
        <v>846</v>
      </c>
      <c r="I15" s="17" t="s">
        <v>797</v>
      </c>
      <c r="J15" s="17" t="s">
        <v>847</v>
      </c>
      <c r="K15" s="17" t="s">
        <v>848</v>
      </c>
      <c r="L15" s="17">
        <v>247076</v>
      </c>
      <c r="M15" s="17">
        <v>26965222</v>
      </c>
      <c r="N15" s="17">
        <v>1171</v>
      </c>
      <c r="O15" s="17">
        <v>3.6387697457893085</v>
      </c>
      <c r="P15" s="17">
        <v>17955</v>
      </c>
      <c r="Q15" s="17">
        <v>35288</v>
      </c>
      <c r="R15" s="17" t="s">
        <v>837</v>
      </c>
      <c r="S15" s="20" t="s">
        <v>849</v>
      </c>
      <c r="T15" s="20" t="s">
        <v>850</v>
      </c>
      <c r="U15" s="17"/>
    </row>
    <row r="16" spans="1:21" ht="36" customHeight="1">
      <c r="A16" s="23">
        <v>12</v>
      </c>
      <c r="B16" s="3" t="s">
        <v>146</v>
      </c>
      <c r="C16" s="3" t="s">
        <v>129</v>
      </c>
      <c r="D16" s="3" t="s">
        <v>794</v>
      </c>
      <c r="E16" s="3" t="s">
        <v>146</v>
      </c>
      <c r="F16" s="3" t="s">
        <v>795</v>
      </c>
      <c r="G16" s="3">
        <v>1</v>
      </c>
      <c r="H16" s="3" t="s">
        <v>834</v>
      </c>
      <c r="I16" s="3" t="s">
        <v>797</v>
      </c>
      <c r="J16" s="3" t="s">
        <v>851</v>
      </c>
      <c r="K16" s="3" t="s">
        <v>852</v>
      </c>
      <c r="L16" s="3">
        <v>345056</v>
      </c>
      <c r="M16" s="3">
        <v>30804922</v>
      </c>
      <c r="N16" s="3">
        <v>1272</v>
      </c>
      <c r="O16" s="3">
        <v>4.0733425436553201</v>
      </c>
      <c r="P16" s="3">
        <v>22783</v>
      </c>
      <c r="Q16" s="3">
        <v>35238</v>
      </c>
      <c r="R16" s="3" t="s">
        <v>853</v>
      </c>
      <c r="S16" s="19" t="s">
        <v>854</v>
      </c>
      <c r="T16" s="19" t="s">
        <v>855</v>
      </c>
      <c r="U16" s="3"/>
    </row>
    <row r="17" spans="1:21" ht="36" customHeight="1">
      <c r="A17" s="24">
        <v>13</v>
      </c>
      <c r="B17" s="17" t="s">
        <v>149</v>
      </c>
      <c r="C17" s="17" t="s">
        <v>150</v>
      </c>
      <c r="D17" s="17" t="s">
        <v>794</v>
      </c>
      <c r="E17" s="17" t="s">
        <v>554</v>
      </c>
      <c r="F17" s="17" t="s">
        <v>795</v>
      </c>
      <c r="G17" s="17">
        <v>1</v>
      </c>
      <c r="H17" s="17" t="s">
        <v>856</v>
      </c>
      <c r="I17" s="17" t="s">
        <v>797</v>
      </c>
      <c r="J17" s="17" t="s">
        <v>857</v>
      </c>
      <c r="K17" s="17" t="s">
        <v>858</v>
      </c>
      <c r="L17" s="17">
        <v>450823</v>
      </c>
      <c r="M17" s="17">
        <v>56370727</v>
      </c>
      <c r="N17" s="17">
        <v>1876</v>
      </c>
      <c r="O17" s="17">
        <v>3.9172101960231278</v>
      </c>
      <c r="P17" s="17">
        <v>15635</v>
      </c>
      <c r="Q17" s="17">
        <v>34640</v>
      </c>
      <c r="R17" s="17" t="s">
        <v>859</v>
      </c>
      <c r="S17" s="20" t="s">
        <v>860</v>
      </c>
      <c r="T17" s="20" t="s">
        <v>861</v>
      </c>
      <c r="U17" s="17"/>
    </row>
    <row r="18" spans="1:21" ht="36" customHeight="1">
      <c r="A18" s="23">
        <v>14</v>
      </c>
      <c r="B18" s="3" t="s">
        <v>153</v>
      </c>
      <c r="C18" s="3" t="s">
        <v>150</v>
      </c>
      <c r="D18" s="3" t="s">
        <v>794</v>
      </c>
      <c r="E18" s="3" t="s">
        <v>153</v>
      </c>
      <c r="F18" s="3" t="s">
        <v>795</v>
      </c>
      <c r="G18" s="3">
        <v>1</v>
      </c>
      <c r="H18" s="3" t="s">
        <v>856</v>
      </c>
      <c r="I18" s="3" t="s">
        <v>797</v>
      </c>
      <c r="J18" s="3" t="s">
        <v>862</v>
      </c>
      <c r="K18" s="3" t="s">
        <v>863</v>
      </c>
      <c r="L18" s="3">
        <v>528279</v>
      </c>
      <c r="M18" s="3">
        <v>87451954</v>
      </c>
      <c r="N18" s="3">
        <v>2487</v>
      </c>
      <c r="O18" s="3">
        <v>6.412806063072928</v>
      </c>
      <c r="P18" s="3">
        <v>20548</v>
      </c>
      <c r="Q18" s="3">
        <v>46013</v>
      </c>
      <c r="R18" s="3" t="s">
        <v>831</v>
      </c>
      <c r="S18" s="19" t="s">
        <v>864</v>
      </c>
      <c r="T18" s="19" t="s">
        <v>865</v>
      </c>
      <c r="U18" s="3"/>
    </row>
    <row r="19" spans="1:21" ht="36" customHeight="1">
      <c r="A19" s="24">
        <v>15</v>
      </c>
      <c r="B19" s="17" t="s">
        <v>157</v>
      </c>
      <c r="C19" s="17" t="s">
        <v>109</v>
      </c>
      <c r="D19" s="17" t="s">
        <v>794</v>
      </c>
      <c r="E19" s="17" t="s">
        <v>157</v>
      </c>
      <c r="F19" s="17" t="s">
        <v>795</v>
      </c>
      <c r="G19" s="17">
        <v>1</v>
      </c>
      <c r="H19" s="17" t="s">
        <v>810</v>
      </c>
      <c r="I19" s="17" t="s">
        <v>797</v>
      </c>
      <c r="J19" s="17" t="s">
        <v>866</v>
      </c>
      <c r="K19" s="17" t="s">
        <v>867</v>
      </c>
      <c r="L19" s="17">
        <v>595350</v>
      </c>
      <c r="M19" s="17">
        <v>63481881</v>
      </c>
      <c r="N19" s="17">
        <v>2073</v>
      </c>
      <c r="O19" s="17">
        <v>4.6769795200123951</v>
      </c>
      <c r="P19" s="17">
        <v>30045</v>
      </c>
      <c r="Q19" s="17">
        <v>59188</v>
      </c>
      <c r="R19" s="17" t="s">
        <v>868</v>
      </c>
      <c r="S19" s="20" t="s">
        <v>869</v>
      </c>
      <c r="T19" s="20" t="s">
        <v>870</v>
      </c>
      <c r="U19" s="17"/>
    </row>
    <row r="20" spans="1:21" ht="36" customHeight="1">
      <c r="A20" s="23">
        <v>16</v>
      </c>
      <c r="B20" s="3" t="s">
        <v>161</v>
      </c>
      <c r="C20" s="3" t="s">
        <v>129</v>
      </c>
      <c r="D20" s="3" t="s">
        <v>794</v>
      </c>
      <c r="E20" s="3" t="s">
        <v>161</v>
      </c>
      <c r="F20" s="3" t="s">
        <v>795</v>
      </c>
      <c r="G20" s="3">
        <v>1</v>
      </c>
      <c r="H20" s="3" t="s">
        <v>834</v>
      </c>
      <c r="I20" s="3" t="s">
        <v>797</v>
      </c>
      <c r="J20" s="3" t="s">
        <v>871</v>
      </c>
      <c r="K20" s="3" t="s">
        <v>872</v>
      </c>
      <c r="L20" s="3">
        <v>334397</v>
      </c>
      <c r="M20" s="3">
        <v>26953302</v>
      </c>
      <c r="N20" s="3">
        <v>1277</v>
      </c>
      <c r="O20" s="3">
        <v>4.8034872451139989</v>
      </c>
      <c r="P20" s="3">
        <v>19613</v>
      </c>
      <c r="Q20" s="3">
        <v>33889</v>
      </c>
      <c r="R20" s="3" t="s">
        <v>873</v>
      </c>
      <c r="S20" s="19" t="s">
        <v>874</v>
      </c>
      <c r="T20" s="19" t="s">
        <v>875</v>
      </c>
      <c r="U20" s="3"/>
    </row>
    <row r="21" spans="1:21" ht="36" customHeight="1">
      <c r="A21" s="24">
        <v>17</v>
      </c>
      <c r="B21" s="17" t="s">
        <v>165</v>
      </c>
      <c r="C21" s="17" t="s">
        <v>129</v>
      </c>
      <c r="D21" s="17" t="s">
        <v>794</v>
      </c>
      <c r="E21" s="17" t="s">
        <v>876</v>
      </c>
      <c r="F21" s="17" t="s">
        <v>795</v>
      </c>
      <c r="G21" s="17">
        <v>1</v>
      </c>
      <c r="H21" s="17" t="s">
        <v>834</v>
      </c>
      <c r="I21" s="17" t="s">
        <v>797</v>
      </c>
      <c r="J21" s="17" t="s">
        <v>877</v>
      </c>
      <c r="K21" s="17" t="s">
        <v>878</v>
      </c>
      <c r="L21" s="17">
        <v>192747</v>
      </c>
      <c r="M21" s="17">
        <v>14656752</v>
      </c>
      <c r="N21" s="17">
        <v>1070</v>
      </c>
      <c r="O21" s="17">
        <v>4.3532116186983441</v>
      </c>
      <c r="P21" s="17">
        <v>10091</v>
      </c>
      <c r="Q21" s="17">
        <v>28831</v>
      </c>
      <c r="R21" s="17" t="s">
        <v>800</v>
      </c>
      <c r="S21" s="20" t="s">
        <v>879</v>
      </c>
      <c r="T21" s="20" t="s">
        <v>880</v>
      </c>
      <c r="U21" s="17"/>
    </row>
    <row r="22" spans="1:21" ht="36" customHeight="1">
      <c r="A22" s="23">
        <v>18</v>
      </c>
      <c r="B22" s="3" t="s">
        <v>168</v>
      </c>
      <c r="C22" s="3" t="s">
        <v>109</v>
      </c>
      <c r="D22" s="3" t="s">
        <v>794</v>
      </c>
      <c r="E22" s="3" t="s">
        <v>168</v>
      </c>
      <c r="F22" s="3" t="s">
        <v>795</v>
      </c>
      <c r="G22" s="3">
        <v>1</v>
      </c>
      <c r="H22" s="3" t="s">
        <v>810</v>
      </c>
      <c r="I22" s="3" t="s">
        <v>797</v>
      </c>
      <c r="J22" s="3" t="s">
        <v>881</v>
      </c>
      <c r="K22" s="3" t="s">
        <v>882</v>
      </c>
      <c r="L22" s="3">
        <v>260530</v>
      </c>
      <c r="M22" s="3">
        <v>22819015</v>
      </c>
      <c r="N22" s="3">
        <v>1242</v>
      </c>
      <c r="O22" s="3">
        <v>3.8004042500297244</v>
      </c>
      <c r="P22" s="3">
        <v>17300</v>
      </c>
      <c r="Q22" s="3">
        <v>46130</v>
      </c>
      <c r="R22" s="3" t="s">
        <v>868</v>
      </c>
      <c r="S22" s="19" t="s">
        <v>883</v>
      </c>
      <c r="T22" s="19" t="s">
        <v>884</v>
      </c>
      <c r="U22" s="3"/>
    </row>
    <row r="23" spans="1:21" ht="36" customHeight="1">
      <c r="A23" s="24">
        <v>19</v>
      </c>
      <c r="B23" s="17" t="s">
        <v>171</v>
      </c>
      <c r="C23" s="17" t="s">
        <v>109</v>
      </c>
      <c r="D23" s="17" t="s">
        <v>794</v>
      </c>
      <c r="E23" s="17" t="s">
        <v>171</v>
      </c>
      <c r="F23" s="17" t="s">
        <v>795</v>
      </c>
      <c r="G23" s="17">
        <v>1</v>
      </c>
      <c r="H23" s="17" t="s">
        <v>810</v>
      </c>
      <c r="I23" s="17" t="s">
        <v>797</v>
      </c>
      <c r="J23" s="17" t="s">
        <v>885</v>
      </c>
      <c r="K23" s="17" t="s">
        <v>886</v>
      </c>
      <c r="L23" s="17">
        <v>215481</v>
      </c>
      <c r="M23" s="17">
        <v>21630291</v>
      </c>
      <c r="N23" s="17">
        <v>1175</v>
      </c>
      <c r="O23" s="17">
        <v>3.236909050805088</v>
      </c>
      <c r="P23" s="17">
        <v>13276</v>
      </c>
      <c r="Q23" s="17">
        <v>50018</v>
      </c>
      <c r="R23" s="17" t="s">
        <v>806</v>
      </c>
      <c r="S23" s="20" t="s">
        <v>887</v>
      </c>
      <c r="T23" s="20" t="s">
        <v>888</v>
      </c>
      <c r="U23" s="17"/>
    </row>
    <row r="24" spans="1:21" ht="36" customHeight="1">
      <c r="A24" s="23">
        <v>20</v>
      </c>
      <c r="B24" s="3" t="s">
        <v>175</v>
      </c>
      <c r="C24" s="3" t="s">
        <v>150</v>
      </c>
      <c r="D24" s="3" t="s">
        <v>794</v>
      </c>
      <c r="E24" s="3" t="s">
        <v>562</v>
      </c>
      <c r="F24" s="3" t="s">
        <v>795</v>
      </c>
      <c r="G24" s="3">
        <v>1</v>
      </c>
      <c r="H24" s="3" t="s">
        <v>856</v>
      </c>
      <c r="I24" s="3" t="s">
        <v>797</v>
      </c>
      <c r="J24" s="3" t="s">
        <v>889</v>
      </c>
      <c r="K24" s="3" t="s">
        <v>890</v>
      </c>
      <c r="L24" s="3">
        <v>276763</v>
      </c>
      <c r="M24" s="3">
        <v>26848678</v>
      </c>
      <c r="N24" s="3">
        <v>1382</v>
      </c>
      <c r="O24" s="3">
        <v>3.8648340421487801</v>
      </c>
      <c r="P24" s="3">
        <v>11658</v>
      </c>
      <c r="Q24" s="3">
        <v>30128</v>
      </c>
      <c r="R24" s="3" t="s">
        <v>891</v>
      </c>
      <c r="S24" s="19" t="s">
        <v>892</v>
      </c>
      <c r="T24" s="19" t="s">
        <v>893</v>
      </c>
      <c r="U24" s="3"/>
    </row>
    <row r="25" spans="1:21" ht="36" customHeight="1">
      <c r="A25" s="24">
        <v>21</v>
      </c>
      <c r="B25" s="17" t="s">
        <v>179</v>
      </c>
      <c r="C25" s="17" t="s">
        <v>150</v>
      </c>
      <c r="D25" s="17" t="s">
        <v>794</v>
      </c>
      <c r="E25" s="17" t="s">
        <v>179</v>
      </c>
      <c r="F25" s="17" t="s">
        <v>795</v>
      </c>
      <c r="G25" s="17">
        <v>1</v>
      </c>
      <c r="H25" s="17" t="s">
        <v>856</v>
      </c>
      <c r="I25" s="17" t="s">
        <v>797</v>
      </c>
      <c r="J25" s="17" t="s">
        <v>894</v>
      </c>
      <c r="K25" s="17" t="s">
        <v>895</v>
      </c>
      <c r="L25" s="17">
        <v>335116</v>
      </c>
      <c r="M25" s="17">
        <v>27586539</v>
      </c>
      <c r="N25" s="17">
        <v>1262</v>
      </c>
      <c r="O25" s="17">
        <v>4.0828260310383264</v>
      </c>
      <c r="P25" s="17">
        <v>14142</v>
      </c>
      <c r="Q25" s="17">
        <v>25764</v>
      </c>
      <c r="R25" s="17" t="s">
        <v>896</v>
      </c>
      <c r="S25" s="20" t="s">
        <v>897</v>
      </c>
      <c r="T25" s="20" t="s">
        <v>898</v>
      </c>
      <c r="U25" s="17"/>
    </row>
    <row r="26" spans="1:21" ht="36" customHeight="1">
      <c r="A26" s="23">
        <v>22</v>
      </c>
      <c r="B26" s="3" t="s">
        <v>183</v>
      </c>
      <c r="C26" s="3" t="s">
        <v>184</v>
      </c>
      <c r="D26" s="3" t="s">
        <v>794</v>
      </c>
      <c r="E26" s="3" t="s">
        <v>183</v>
      </c>
      <c r="F26" s="3" t="s">
        <v>795</v>
      </c>
      <c r="G26" s="3">
        <v>1</v>
      </c>
      <c r="H26" s="3" t="s">
        <v>899</v>
      </c>
      <c r="I26" s="3" t="s">
        <v>797</v>
      </c>
      <c r="J26" s="3" t="s">
        <v>900</v>
      </c>
      <c r="K26" s="3" t="s">
        <v>901</v>
      </c>
      <c r="L26" s="3">
        <v>309364</v>
      </c>
      <c r="M26" s="3">
        <v>29046987</v>
      </c>
      <c r="N26" s="3">
        <v>1309</v>
      </c>
      <c r="O26" s="3">
        <v>3.787423467687415</v>
      </c>
      <c r="P26" s="3">
        <v>16786</v>
      </c>
      <c r="Q26" s="3">
        <v>32958</v>
      </c>
      <c r="R26" s="3" t="s">
        <v>902</v>
      </c>
      <c r="S26" s="19" t="s">
        <v>903</v>
      </c>
      <c r="T26" s="19" t="s">
        <v>904</v>
      </c>
      <c r="U26" s="3"/>
    </row>
    <row r="27" spans="1:21" ht="36" customHeight="1">
      <c r="A27" s="24">
        <v>23</v>
      </c>
      <c r="B27" s="17" t="s">
        <v>187</v>
      </c>
      <c r="C27" s="17" t="s">
        <v>188</v>
      </c>
      <c r="D27" s="17" t="s">
        <v>794</v>
      </c>
      <c r="E27" s="17" t="s">
        <v>187</v>
      </c>
      <c r="F27" s="17" t="s">
        <v>795</v>
      </c>
      <c r="G27" s="17">
        <v>1</v>
      </c>
      <c r="H27" s="17" t="s">
        <v>905</v>
      </c>
      <c r="I27" s="17" t="s">
        <v>797</v>
      </c>
      <c r="J27" s="17" t="s">
        <v>906</v>
      </c>
      <c r="K27" s="17" t="s">
        <v>907</v>
      </c>
      <c r="L27" s="17">
        <v>221579</v>
      </c>
      <c r="M27" s="17">
        <v>21675313</v>
      </c>
      <c r="N27" s="17">
        <v>1168</v>
      </c>
      <c r="O27" s="17">
        <v>3.0656081006171547</v>
      </c>
      <c r="P27" s="17">
        <v>15740</v>
      </c>
      <c r="Q27" s="17">
        <v>30942</v>
      </c>
      <c r="R27" s="17" t="s">
        <v>908</v>
      </c>
      <c r="S27" s="20" t="s">
        <v>909</v>
      </c>
      <c r="T27" s="20" t="s">
        <v>910</v>
      </c>
      <c r="U27" s="17"/>
    </row>
    <row r="28" spans="1:21" ht="36" customHeight="1">
      <c r="A28" s="23">
        <v>24</v>
      </c>
      <c r="B28" s="3" t="s">
        <v>191</v>
      </c>
      <c r="C28" s="3" t="s">
        <v>109</v>
      </c>
      <c r="D28" s="3" t="s">
        <v>794</v>
      </c>
      <c r="E28" s="3" t="s">
        <v>191</v>
      </c>
      <c r="F28" s="3" t="s">
        <v>795</v>
      </c>
      <c r="G28" s="3">
        <v>1</v>
      </c>
      <c r="H28" s="3" t="s">
        <v>810</v>
      </c>
      <c r="I28" s="3" t="s">
        <v>797</v>
      </c>
      <c r="J28" s="3" t="s">
        <v>911</v>
      </c>
      <c r="K28" s="3" t="s">
        <v>912</v>
      </c>
      <c r="L28" s="3">
        <v>110496</v>
      </c>
      <c r="M28" s="3">
        <v>6959426</v>
      </c>
      <c r="N28" s="3">
        <v>731</v>
      </c>
      <c r="O28" s="3">
        <v>5.0510972661335316</v>
      </c>
      <c r="P28" s="3">
        <v>6481</v>
      </c>
      <c r="Q28" s="3">
        <v>31001</v>
      </c>
      <c r="R28" s="3" t="s">
        <v>913</v>
      </c>
      <c r="S28" s="19" t="s">
        <v>914</v>
      </c>
      <c r="T28" s="19" t="s">
        <v>915</v>
      </c>
      <c r="U28" s="3"/>
    </row>
    <row r="29" spans="1:21" ht="36" customHeight="1">
      <c r="A29" s="24">
        <v>25</v>
      </c>
      <c r="B29" s="17" t="s">
        <v>194</v>
      </c>
      <c r="C29" s="17" t="s">
        <v>109</v>
      </c>
      <c r="D29" s="17" t="s">
        <v>794</v>
      </c>
      <c r="E29" s="17" t="s">
        <v>194</v>
      </c>
      <c r="F29" s="17" t="s">
        <v>795</v>
      </c>
      <c r="G29" s="17">
        <v>1</v>
      </c>
      <c r="H29" s="17" t="s">
        <v>810</v>
      </c>
      <c r="I29" s="17" t="s">
        <v>797</v>
      </c>
      <c r="J29" s="17" t="s">
        <v>916</v>
      </c>
      <c r="K29" s="17" t="s">
        <v>917</v>
      </c>
      <c r="L29" s="17">
        <v>195765</v>
      </c>
      <c r="M29" s="17">
        <v>13854929</v>
      </c>
      <c r="N29" s="17">
        <v>938</v>
      </c>
      <c r="O29" s="17">
        <v>3.2439456913272373</v>
      </c>
      <c r="P29" s="17">
        <v>13763</v>
      </c>
      <c r="Q29" s="17">
        <v>23617</v>
      </c>
      <c r="R29" s="17" t="s">
        <v>826</v>
      </c>
      <c r="S29" s="20" t="s">
        <v>918</v>
      </c>
      <c r="T29" s="20" t="s">
        <v>919</v>
      </c>
      <c r="U29" s="17"/>
    </row>
    <row r="30" spans="1:21" ht="36" customHeight="1">
      <c r="A30" s="23">
        <v>26</v>
      </c>
      <c r="B30" s="3" t="s">
        <v>197</v>
      </c>
      <c r="C30" s="3" t="s">
        <v>104</v>
      </c>
      <c r="D30" s="3" t="s">
        <v>794</v>
      </c>
      <c r="E30" s="3" t="s">
        <v>197</v>
      </c>
      <c r="F30" s="3" t="s">
        <v>795</v>
      </c>
      <c r="G30" s="3">
        <v>1</v>
      </c>
      <c r="H30" s="3" t="s">
        <v>803</v>
      </c>
      <c r="I30" s="3" t="s">
        <v>797</v>
      </c>
      <c r="J30" s="3" t="s">
        <v>920</v>
      </c>
      <c r="K30" s="3" t="s">
        <v>921</v>
      </c>
      <c r="L30" s="3">
        <v>170934</v>
      </c>
      <c r="M30" s="3">
        <v>12351882</v>
      </c>
      <c r="N30" s="3">
        <v>837</v>
      </c>
      <c r="O30" s="3">
        <v>3.6689402827768607</v>
      </c>
      <c r="P30" s="3">
        <v>8457</v>
      </c>
      <c r="Q30" s="3">
        <v>20687</v>
      </c>
      <c r="R30" s="3" t="s">
        <v>922</v>
      </c>
      <c r="S30" s="19" t="s">
        <v>923</v>
      </c>
      <c r="T30" s="19" t="s">
        <v>924</v>
      </c>
      <c r="U30" s="3"/>
    </row>
    <row r="31" spans="1:21" ht="36" customHeight="1">
      <c r="A31" s="24">
        <v>27</v>
      </c>
      <c r="B31" s="17" t="s">
        <v>201</v>
      </c>
      <c r="C31" s="17" t="s">
        <v>109</v>
      </c>
      <c r="D31" s="17" t="s">
        <v>794</v>
      </c>
      <c r="E31" s="17" t="s">
        <v>201</v>
      </c>
      <c r="F31" s="17" t="s">
        <v>795</v>
      </c>
      <c r="G31" s="17">
        <v>1</v>
      </c>
      <c r="H31" s="17" t="s">
        <v>810</v>
      </c>
      <c r="I31" s="17" t="s">
        <v>797</v>
      </c>
      <c r="J31" s="17" t="s">
        <v>925</v>
      </c>
      <c r="K31" s="17" t="s">
        <v>926</v>
      </c>
      <c r="L31" s="17">
        <v>193634</v>
      </c>
      <c r="M31" s="17">
        <v>23342341</v>
      </c>
      <c r="N31" s="17">
        <v>1458</v>
      </c>
      <c r="O31" s="17">
        <v>4.6656622763419486</v>
      </c>
      <c r="P31" s="17">
        <v>12888</v>
      </c>
      <c r="Q31" s="17">
        <v>48132</v>
      </c>
      <c r="R31" s="17" t="s">
        <v>927</v>
      </c>
      <c r="S31" s="20" t="s">
        <v>928</v>
      </c>
      <c r="T31" s="20" t="s">
        <v>929</v>
      </c>
      <c r="U31" s="17"/>
    </row>
    <row r="32" spans="1:21" ht="36" customHeight="1">
      <c r="A32" s="23">
        <v>28</v>
      </c>
      <c r="B32" s="3" t="s">
        <v>206</v>
      </c>
      <c r="C32" s="3" t="s">
        <v>207</v>
      </c>
      <c r="D32" s="3" t="s">
        <v>815</v>
      </c>
      <c r="E32" s="3"/>
      <c r="F32" s="3"/>
      <c r="G32" s="3"/>
      <c r="H32" s="3"/>
      <c r="I32" s="3"/>
      <c r="J32" s="3"/>
      <c r="K32" s="3"/>
      <c r="L32" s="3"/>
      <c r="M32" s="3"/>
      <c r="N32" s="3"/>
      <c r="O32" s="3"/>
      <c r="P32" s="3"/>
      <c r="Q32" s="3"/>
      <c r="R32" s="3"/>
      <c r="S32" s="19"/>
      <c r="T32" s="19" t="s">
        <v>930</v>
      </c>
      <c r="U32" s="3" t="s">
        <v>817</v>
      </c>
    </row>
    <row r="33" spans="1:21" ht="36" customHeight="1">
      <c r="A33" s="24">
        <v>29</v>
      </c>
      <c r="B33" s="17" t="s">
        <v>211</v>
      </c>
      <c r="C33" s="17" t="s">
        <v>212</v>
      </c>
      <c r="D33" s="17" t="s">
        <v>794</v>
      </c>
      <c r="E33" s="17" t="s">
        <v>931</v>
      </c>
      <c r="F33" s="17" t="s">
        <v>795</v>
      </c>
      <c r="G33" s="17">
        <v>1</v>
      </c>
      <c r="H33" s="17" t="s">
        <v>932</v>
      </c>
      <c r="I33" s="17" t="s">
        <v>797</v>
      </c>
      <c r="J33" s="17" t="s">
        <v>933</v>
      </c>
      <c r="K33" s="17" t="s">
        <v>934</v>
      </c>
      <c r="L33" s="17">
        <v>96010</v>
      </c>
      <c r="M33" s="17">
        <v>7854805</v>
      </c>
      <c r="N33" s="17">
        <v>856</v>
      </c>
      <c r="O33" s="17">
        <v>3.9828273022461755</v>
      </c>
      <c r="P33" s="17">
        <v>7031</v>
      </c>
      <c r="Q33" s="17">
        <v>31034</v>
      </c>
      <c r="R33" s="17" t="s">
        <v>837</v>
      </c>
      <c r="S33" s="20" t="s">
        <v>935</v>
      </c>
      <c r="T33" s="20" t="s">
        <v>936</v>
      </c>
      <c r="U33" s="17"/>
    </row>
    <row r="34" spans="1:21" ht="36" customHeight="1">
      <c r="A34" s="23">
        <v>30</v>
      </c>
      <c r="B34" s="3" t="s">
        <v>215</v>
      </c>
      <c r="C34" s="3" t="s">
        <v>150</v>
      </c>
      <c r="D34" s="3" t="s">
        <v>794</v>
      </c>
      <c r="E34" s="3" t="s">
        <v>215</v>
      </c>
      <c r="F34" s="3" t="s">
        <v>795</v>
      </c>
      <c r="G34" s="3">
        <v>1</v>
      </c>
      <c r="H34" s="3" t="s">
        <v>856</v>
      </c>
      <c r="I34" s="3" t="s">
        <v>797</v>
      </c>
      <c r="J34" s="3" t="s">
        <v>937</v>
      </c>
      <c r="K34" s="3" t="s">
        <v>938</v>
      </c>
      <c r="L34" s="3">
        <v>381274</v>
      </c>
      <c r="M34" s="3">
        <v>54895634</v>
      </c>
      <c r="N34" s="3">
        <v>1747</v>
      </c>
      <c r="O34" s="3">
        <v>6.0837522949947669</v>
      </c>
      <c r="P34" s="3">
        <v>16180</v>
      </c>
      <c r="Q34" s="3">
        <v>57986</v>
      </c>
      <c r="R34" s="3" t="s">
        <v>939</v>
      </c>
      <c r="S34" s="19" t="s">
        <v>940</v>
      </c>
      <c r="T34" s="19" t="s">
        <v>941</v>
      </c>
      <c r="U34" s="3"/>
    </row>
    <row r="35" spans="1:21" ht="36" customHeight="1">
      <c r="A35" s="24">
        <v>49</v>
      </c>
      <c r="B35" s="17" t="s">
        <v>273</v>
      </c>
      <c r="C35" s="17" t="s">
        <v>109</v>
      </c>
      <c r="D35" s="17" t="s">
        <v>794</v>
      </c>
      <c r="E35" s="17" t="s">
        <v>273</v>
      </c>
      <c r="F35" s="17" t="s">
        <v>795</v>
      </c>
      <c r="G35" s="17">
        <v>1</v>
      </c>
      <c r="H35" s="17" t="s">
        <v>810</v>
      </c>
      <c r="I35" s="17" t="s">
        <v>797</v>
      </c>
      <c r="J35" s="17" t="s">
        <v>942</v>
      </c>
      <c r="K35" s="17" t="s">
        <v>943</v>
      </c>
      <c r="L35" s="17">
        <v>117984</v>
      </c>
      <c r="M35" s="17">
        <v>7480551</v>
      </c>
      <c r="N35" s="17">
        <v>800</v>
      </c>
      <c r="O35" s="17">
        <v>4.0595733610822062</v>
      </c>
      <c r="P35" s="17">
        <v>13013</v>
      </c>
      <c r="Q35" s="17">
        <v>35199</v>
      </c>
      <c r="R35" s="17" t="s">
        <v>800</v>
      </c>
      <c r="S35" s="20" t="s">
        <v>944</v>
      </c>
      <c r="T35" s="20" t="s">
        <v>945</v>
      </c>
      <c r="U35" s="17"/>
    </row>
    <row r="36" spans="1:21" ht="36" customHeight="1">
      <c r="A36" s="23">
        <v>52</v>
      </c>
      <c r="B36" s="3" t="s">
        <v>219</v>
      </c>
      <c r="C36" s="3" t="s">
        <v>129</v>
      </c>
      <c r="D36" s="3" t="s">
        <v>946</v>
      </c>
      <c r="E36" s="3"/>
      <c r="F36" s="3"/>
      <c r="G36" s="3"/>
      <c r="H36" s="3"/>
      <c r="I36" s="3"/>
      <c r="J36" s="3"/>
      <c r="K36" s="3"/>
      <c r="L36" s="3"/>
      <c r="M36" s="3"/>
      <c r="N36" s="3"/>
      <c r="O36" s="3"/>
      <c r="P36" s="3"/>
      <c r="Q36" s="3"/>
      <c r="R36" s="3"/>
      <c r="S36" s="19"/>
      <c r="T36" s="19"/>
      <c r="U36" s="3" t="s">
        <v>947</v>
      </c>
    </row>
    <row r="37" spans="1:21" ht="36" customHeight="1">
      <c r="A37" s="24">
        <v>53</v>
      </c>
      <c r="B37" s="17" t="s">
        <v>223</v>
      </c>
      <c r="C37" s="17" t="s">
        <v>129</v>
      </c>
      <c r="D37" s="17" t="s">
        <v>946</v>
      </c>
      <c r="E37" s="17"/>
      <c r="F37" s="17"/>
      <c r="G37" s="17"/>
      <c r="H37" s="17"/>
      <c r="I37" s="17"/>
      <c r="J37" s="17"/>
      <c r="K37" s="17"/>
      <c r="L37" s="17"/>
      <c r="M37" s="17"/>
      <c r="N37" s="17"/>
      <c r="O37" s="17"/>
      <c r="P37" s="17"/>
      <c r="Q37" s="17"/>
      <c r="R37" s="17"/>
      <c r="S37" s="20"/>
      <c r="T37" s="20"/>
      <c r="U37" s="17" t="s">
        <v>947</v>
      </c>
    </row>
    <row r="38" spans="1:21" ht="36" customHeight="1">
      <c r="A38" s="23">
        <v>54</v>
      </c>
      <c r="B38" s="3" t="s">
        <v>226</v>
      </c>
      <c r="C38" s="3" t="s">
        <v>104</v>
      </c>
      <c r="D38" s="3" t="s">
        <v>946</v>
      </c>
      <c r="E38" s="3"/>
      <c r="F38" s="3"/>
      <c r="G38" s="3"/>
      <c r="H38" s="3"/>
      <c r="I38" s="3"/>
      <c r="J38" s="3"/>
      <c r="K38" s="3"/>
      <c r="L38" s="3"/>
      <c r="M38" s="3"/>
      <c r="N38" s="3"/>
      <c r="O38" s="3"/>
      <c r="P38" s="3"/>
      <c r="Q38" s="3"/>
      <c r="R38" s="3"/>
      <c r="S38" s="19"/>
      <c r="T38" s="19"/>
      <c r="U38" s="3" t="s">
        <v>947</v>
      </c>
    </row>
    <row r="39" spans="1:21" ht="36" customHeight="1">
      <c r="A39" s="24">
        <v>55</v>
      </c>
      <c r="B39" s="17" t="s">
        <v>228</v>
      </c>
      <c r="C39" s="17" t="s">
        <v>229</v>
      </c>
      <c r="D39" s="17" t="s">
        <v>946</v>
      </c>
      <c r="E39" s="17"/>
      <c r="F39" s="17"/>
      <c r="G39" s="17"/>
      <c r="H39" s="17"/>
      <c r="I39" s="17"/>
      <c r="J39" s="17"/>
      <c r="K39" s="17"/>
      <c r="L39" s="17"/>
      <c r="M39" s="17"/>
      <c r="N39" s="17"/>
      <c r="O39" s="17"/>
      <c r="P39" s="17"/>
      <c r="Q39" s="17"/>
      <c r="R39" s="17"/>
      <c r="S39" s="20"/>
      <c r="T39" s="20"/>
      <c r="U39" s="17" t="s">
        <v>947</v>
      </c>
    </row>
    <row r="40" spans="1:21" ht="36" customHeight="1">
      <c r="A40" s="23">
        <v>56</v>
      </c>
      <c r="B40" s="3" t="s">
        <v>232</v>
      </c>
      <c r="C40" s="3" t="s">
        <v>233</v>
      </c>
      <c r="D40" s="3" t="s">
        <v>946</v>
      </c>
      <c r="E40" s="3"/>
      <c r="F40" s="3"/>
      <c r="G40" s="3"/>
      <c r="H40" s="3"/>
      <c r="I40" s="3"/>
      <c r="J40" s="3"/>
      <c r="K40" s="3"/>
      <c r="L40" s="3"/>
      <c r="M40" s="3"/>
      <c r="N40" s="3"/>
      <c r="O40" s="3"/>
      <c r="P40" s="3"/>
      <c r="Q40" s="3"/>
      <c r="R40" s="3"/>
      <c r="S40" s="19"/>
      <c r="T40" s="19"/>
      <c r="U40" s="3" t="s">
        <v>947</v>
      </c>
    </row>
    <row r="41" spans="1:21" ht="36" customHeight="1">
      <c r="A41" s="24">
        <v>57</v>
      </c>
      <c r="B41" s="17" t="s">
        <v>236</v>
      </c>
      <c r="C41" s="17" t="s">
        <v>237</v>
      </c>
      <c r="D41" s="17" t="s">
        <v>946</v>
      </c>
      <c r="E41" s="17"/>
      <c r="F41" s="17"/>
      <c r="G41" s="17"/>
      <c r="H41" s="17"/>
      <c r="I41" s="17"/>
      <c r="J41" s="17"/>
      <c r="K41" s="17"/>
      <c r="L41" s="17"/>
      <c r="M41" s="17"/>
      <c r="N41" s="17"/>
      <c r="O41" s="17"/>
      <c r="P41" s="17"/>
      <c r="Q41" s="17"/>
      <c r="R41" s="17"/>
      <c r="S41" s="20"/>
      <c r="T41" s="20"/>
      <c r="U41" s="17" t="s">
        <v>947</v>
      </c>
    </row>
    <row r="42" spans="1:21" ht="36" customHeight="1">
      <c r="A42" s="23">
        <v>58</v>
      </c>
      <c r="B42" s="3" t="s">
        <v>240</v>
      </c>
      <c r="C42" s="3" t="s">
        <v>229</v>
      </c>
      <c r="D42" s="3" t="s">
        <v>946</v>
      </c>
      <c r="E42" s="3"/>
      <c r="F42" s="3"/>
      <c r="G42" s="3"/>
      <c r="H42" s="3"/>
      <c r="I42" s="3"/>
      <c r="J42" s="3"/>
      <c r="K42" s="3"/>
      <c r="L42" s="3"/>
      <c r="M42" s="3"/>
      <c r="N42" s="3"/>
      <c r="O42" s="3"/>
      <c r="P42" s="3"/>
      <c r="Q42" s="3"/>
      <c r="R42" s="3"/>
      <c r="S42" s="19"/>
      <c r="T42" s="19"/>
      <c r="U42" s="3" t="s">
        <v>947</v>
      </c>
    </row>
    <row r="43" spans="1:21" ht="36" customHeight="1">
      <c r="A43" s="24">
        <v>59</v>
      </c>
      <c r="B43" s="17" t="s">
        <v>243</v>
      </c>
      <c r="C43" s="17" t="s">
        <v>244</v>
      </c>
      <c r="D43" s="17" t="s">
        <v>946</v>
      </c>
      <c r="E43" s="17"/>
      <c r="F43" s="17"/>
      <c r="G43" s="17"/>
      <c r="H43" s="17"/>
      <c r="I43" s="17"/>
      <c r="J43" s="17"/>
      <c r="K43" s="17"/>
      <c r="L43" s="17"/>
      <c r="M43" s="17"/>
      <c r="N43" s="17"/>
      <c r="O43" s="17"/>
      <c r="P43" s="17"/>
      <c r="Q43" s="17"/>
      <c r="R43" s="17"/>
      <c r="S43" s="20"/>
      <c r="T43" s="20"/>
      <c r="U43" s="17" t="s">
        <v>947</v>
      </c>
    </row>
    <row r="44" spans="1:21" ht="36" customHeight="1">
      <c r="A44" s="23">
        <v>60</v>
      </c>
      <c r="B44" s="3" t="s">
        <v>247</v>
      </c>
      <c r="C44" s="3" t="s">
        <v>248</v>
      </c>
      <c r="D44" s="3" t="s">
        <v>946</v>
      </c>
      <c r="E44" s="3"/>
      <c r="F44" s="3"/>
      <c r="G44" s="3"/>
      <c r="H44" s="3"/>
      <c r="I44" s="3"/>
      <c r="J44" s="3"/>
      <c r="K44" s="3"/>
      <c r="L44" s="3"/>
      <c r="M44" s="3"/>
      <c r="N44" s="3"/>
      <c r="O44" s="3"/>
      <c r="P44" s="3"/>
      <c r="Q44" s="3"/>
      <c r="R44" s="3"/>
      <c r="S44" s="19"/>
      <c r="T44" s="19"/>
      <c r="U44" s="3" t="s">
        <v>947</v>
      </c>
    </row>
    <row r="45" spans="1:21" ht="36" customHeight="1">
      <c r="A45" s="24">
        <v>61</v>
      </c>
      <c r="B45" s="17" t="s">
        <v>251</v>
      </c>
      <c r="C45" s="17" t="s">
        <v>104</v>
      </c>
      <c r="D45" s="17" t="s">
        <v>946</v>
      </c>
      <c r="E45" s="17"/>
      <c r="F45" s="17"/>
      <c r="G45" s="17"/>
      <c r="H45" s="17"/>
      <c r="I45" s="17"/>
      <c r="J45" s="17"/>
      <c r="K45" s="17"/>
      <c r="L45" s="17"/>
      <c r="M45" s="17"/>
      <c r="N45" s="17"/>
      <c r="O45" s="17"/>
      <c r="P45" s="17"/>
      <c r="Q45" s="17"/>
      <c r="R45" s="17"/>
      <c r="S45" s="20"/>
      <c r="T45" s="20"/>
      <c r="U45" s="17" t="s">
        <v>947</v>
      </c>
    </row>
    <row r="46" spans="1:21" ht="36" customHeight="1">
      <c r="A46" s="23">
        <v>62</v>
      </c>
      <c r="B46" s="3" t="s">
        <v>253</v>
      </c>
      <c r="C46" s="3" t="s">
        <v>233</v>
      </c>
      <c r="D46" s="3" t="s">
        <v>946</v>
      </c>
      <c r="E46" s="3"/>
      <c r="F46" s="3"/>
      <c r="G46" s="3"/>
      <c r="H46" s="3"/>
      <c r="I46" s="3"/>
      <c r="J46" s="3"/>
      <c r="K46" s="3"/>
      <c r="L46" s="3"/>
      <c r="M46" s="3"/>
      <c r="N46" s="3"/>
      <c r="O46" s="3"/>
      <c r="P46" s="3"/>
      <c r="Q46" s="3"/>
      <c r="R46" s="3"/>
      <c r="S46" s="19"/>
      <c r="T46" s="19"/>
      <c r="U46" s="3" t="s">
        <v>947</v>
      </c>
    </row>
    <row r="47" spans="1:21" ht="36" customHeight="1">
      <c r="A47" s="24">
        <v>63</v>
      </c>
      <c r="B47" s="17" t="s">
        <v>256</v>
      </c>
      <c r="C47" s="17" t="s">
        <v>257</v>
      </c>
      <c r="D47" s="17" t="s">
        <v>946</v>
      </c>
      <c r="E47" s="17"/>
      <c r="F47" s="17"/>
      <c r="G47" s="17"/>
      <c r="H47" s="17"/>
      <c r="I47" s="17"/>
      <c r="J47" s="17"/>
      <c r="K47" s="17"/>
      <c r="L47" s="17"/>
      <c r="M47" s="17"/>
      <c r="N47" s="17"/>
      <c r="O47" s="17"/>
      <c r="P47" s="17"/>
      <c r="Q47" s="17"/>
      <c r="R47" s="17"/>
      <c r="S47" s="20"/>
      <c r="T47" s="20"/>
      <c r="U47" s="17" t="s">
        <v>947</v>
      </c>
    </row>
    <row r="48" spans="1:21" ht="36" customHeight="1">
      <c r="A48" s="23">
        <v>64</v>
      </c>
      <c r="B48" s="3" t="s">
        <v>260</v>
      </c>
      <c r="C48" s="3" t="s">
        <v>233</v>
      </c>
      <c r="D48" s="3" t="s">
        <v>946</v>
      </c>
      <c r="E48" s="3"/>
      <c r="F48" s="3"/>
      <c r="G48" s="3"/>
      <c r="H48" s="3"/>
      <c r="I48" s="3"/>
      <c r="J48" s="3"/>
      <c r="K48" s="3"/>
      <c r="L48" s="3"/>
      <c r="M48" s="3"/>
      <c r="N48" s="3"/>
      <c r="O48" s="3"/>
      <c r="P48" s="3"/>
      <c r="Q48" s="3"/>
      <c r="R48" s="3"/>
      <c r="S48" s="19"/>
      <c r="T48" s="19"/>
      <c r="U48" s="3" t="s">
        <v>947</v>
      </c>
    </row>
    <row r="49" spans="1:21" ht="36" customHeight="1">
      <c r="A49" s="24">
        <v>65</v>
      </c>
      <c r="B49" s="17" t="s">
        <v>263</v>
      </c>
      <c r="C49" s="17" t="s">
        <v>129</v>
      </c>
      <c r="D49" s="17" t="s">
        <v>946</v>
      </c>
      <c r="E49" s="17"/>
      <c r="F49" s="17"/>
      <c r="G49" s="17"/>
      <c r="H49" s="17"/>
      <c r="I49" s="17"/>
      <c r="J49" s="17"/>
      <c r="K49" s="17"/>
      <c r="L49" s="17"/>
      <c r="M49" s="17"/>
      <c r="N49" s="17"/>
      <c r="O49" s="17"/>
      <c r="P49" s="17"/>
      <c r="Q49" s="17"/>
      <c r="R49" s="17"/>
      <c r="S49" s="20"/>
      <c r="T49" s="20"/>
      <c r="U49" s="17" t="s">
        <v>947</v>
      </c>
    </row>
    <row r="50" spans="1:21" ht="36" customHeight="1">
      <c r="A50" s="23">
        <v>66</v>
      </c>
      <c r="B50" s="3" t="s">
        <v>27</v>
      </c>
      <c r="C50" s="3" t="s">
        <v>104</v>
      </c>
      <c r="D50" s="3" t="s">
        <v>946</v>
      </c>
      <c r="E50" s="3"/>
      <c r="F50" s="3"/>
      <c r="G50" s="3"/>
      <c r="H50" s="3"/>
      <c r="I50" s="3"/>
      <c r="J50" s="3"/>
      <c r="K50" s="3"/>
      <c r="L50" s="3"/>
      <c r="M50" s="3"/>
      <c r="N50" s="3"/>
      <c r="O50" s="3"/>
      <c r="P50" s="3"/>
      <c r="Q50" s="3"/>
      <c r="R50" s="3"/>
      <c r="S50" s="19"/>
      <c r="T50" s="19"/>
      <c r="U50" s="3" t="s">
        <v>947</v>
      </c>
    </row>
    <row r="51" spans="1:21" ht="36" customHeight="1">
      <c r="A51" s="24">
        <v>67</v>
      </c>
      <c r="B51" s="17" t="s">
        <v>269</v>
      </c>
      <c r="C51" s="17" t="s">
        <v>270</v>
      </c>
      <c r="D51" s="17" t="s">
        <v>946</v>
      </c>
      <c r="E51" s="17"/>
      <c r="F51" s="17"/>
      <c r="G51" s="17"/>
      <c r="H51" s="17"/>
      <c r="I51" s="17"/>
      <c r="J51" s="17"/>
      <c r="K51" s="17"/>
      <c r="L51" s="17"/>
      <c r="M51" s="17"/>
      <c r="N51" s="17"/>
      <c r="O51" s="17"/>
      <c r="P51" s="17"/>
      <c r="Q51" s="17"/>
      <c r="R51" s="17"/>
      <c r="S51" s="20"/>
      <c r="T51" s="20"/>
      <c r="U51" s="17" t="s">
        <v>947</v>
      </c>
    </row>
    <row r="52" spans="1:21" ht="36" customHeight="1">
      <c r="A52" s="23">
        <v>68</v>
      </c>
      <c r="B52" s="3" t="s">
        <v>277</v>
      </c>
      <c r="C52" s="3" t="s">
        <v>233</v>
      </c>
      <c r="D52" s="3" t="s">
        <v>946</v>
      </c>
      <c r="E52" s="3"/>
      <c r="F52" s="3"/>
      <c r="G52" s="3"/>
      <c r="H52" s="3"/>
      <c r="I52" s="3"/>
      <c r="J52" s="3"/>
      <c r="K52" s="3"/>
      <c r="L52" s="3"/>
      <c r="M52" s="3"/>
      <c r="N52" s="3"/>
      <c r="O52" s="3"/>
      <c r="P52" s="3"/>
      <c r="Q52" s="3"/>
      <c r="R52" s="3"/>
      <c r="S52" s="19"/>
      <c r="T52" s="19"/>
      <c r="U52" s="3" t="s">
        <v>947</v>
      </c>
    </row>
    <row r="53" spans="1:21" ht="36" customHeight="1">
      <c r="A53" s="24">
        <v>69</v>
      </c>
      <c r="B53" s="17" t="s">
        <v>280</v>
      </c>
      <c r="C53" s="17" t="s">
        <v>281</v>
      </c>
      <c r="D53" s="17" t="s">
        <v>946</v>
      </c>
      <c r="E53" s="17"/>
      <c r="F53" s="17"/>
      <c r="G53" s="17"/>
      <c r="H53" s="17"/>
      <c r="I53" s="17"/>
      <c r="J53" s="17"/>
      <c r="K53" s="17"/>
      <c r="L53" s="17"/>
      <c r="M53" s="17"/>
      <c r="N53" s="17"/>
      <c r="O53" s="17"/>
      <c r="P53" s="17"/>
      <c r="Q53" s="17"/>
      <c r="R53" s="17"/>
      <c r="S53" s="20"/>
      <c r="T53" s="20"/>
      <c r="U53" s="17" t="s">
        <v>947</v>
      </c>
    </row>
    <row r="54" spans="1:21" ht="36" customHeight="1">
      <c r="A54" s="23">
        <v>70</v>
      </c>
      <c r="B54" s="3" t="s">
        <v>284</v>
      </c>
      <c r="C54" s="3" t="s">
        <v>285</v>
      </c>
      <c r="D54" s="3" t="s">
        <v>946</v>
      </c>
      <c r="E54" s="3"/>
      <c r="F54" s="3"/>
      <c r="G54" s="3"/>
      <c r="H54" s="3"/>
      <c r="I54" s="3"/>
      <c r="J54" s="3"/>
      <c r="K54" s="3"/>
      <c r="L54" s="3"/>
      <c r="M54" s="3"/>
      <c r="N54" s="3"/>
      <c r="O54" s="3"/>
      <c r="P54" s="3"/>
      <c r="Q54" s="3"/>
      <c r="R54" s="3"/>
      <c r="S54" s="19"/>
      <c r="T54" s="19"/>
      <c r="U54" s="3" t="s">
        <v>947</v>
      </c>
    </row>
    <row r="55" spans="1:21" ht="36" customHeight="1">
      <c r="A55" s="24">
        <v>71</v>
      </c>
      <c r="B55" s="17" t="s">
        <v>288</v>
      </c>
      <c r="C55" s="17" t="s">
        <v>229</v>
      </c>
      <c r="D55" s="17" t="s">
        <v>946</v>
      </c>
      <c r="E55" s="17"/>
      <c r="F55" s="17"/>
      <c r="G55" s="17"/>
      <c r="H55" s="17"/>
      <c r="I55" s="17"/>
      <c r="J55" s="17"/>
      <c r="K55" s="17"/>
      <c r="L55" s="17"/>
      <c r="M55" s="17"/>
      <c r="N55" s="17"/>
      <c r="O55" s="17"/>
      <c r="P55" s="17"/>
      <c r="Q55" s="17"/>
      <c r="R55" s="17"/>
      <c r="S55" s="20"/>
      <c r="T55" s="20"/>
      <c r="U55" s="17" t="s">
        <v>947</v>
      </c>
    </row>
    <row r="56" spans="1:21" ht="36" customHeight="1">
      <c r="A56" s="23">
        <v>72</v>
      </c>
      <c r="B56" s="3" t="s">
        <v>292</v>
      </c>
      <c r="C56" s="3" t="s">
        <v>293</v>
      </c>
      <c r="D56" s="3" t="s">
        <v>946</v>
      </c>
      <c r="E56" s="3"/>
      <c r="F56" s="3"/>
      <c r="G56" s="3"/>
      <c r="H56" s="3"/>
      <c r="I56" s="3"/>
      <c r="J56" s="3"/>
      <c r="K56" s="3"/>
      <c r="L56" s="3"/>
      <c r="M56" s="3"/>
      <c r="N56" s="3"/>
      <c r="O56" s="3"/>
      <c r="P56" s="3"/>
      <c r="Q56" s="3"/>
      <c r="R56" s="3"/>
      <c r="S56" s="19"/>
      <c r="T56" s="19"/>
      <c r="U56" s="3" t="s">
        <v>947</v>
      </c>
    </row>
    <row r="57" spans="1:21" ht="36" customHeight="1">
      <c r="A57" s="24">
        <v>73</v>
      </c>
      <c r="B57" s="17" t="s">
        <v>297</v>
      </c>
      <c r="C57" s="17" t="s">
        <v>233</v>
      </c>
      <c r="D57" s="17" t="s">
        <v>946</v>
      </c>
      <c r="E57" s="17"/>
      <c r="F57" s="17"/>
      <c r="G57" s="17"/>
      <c r="H57" s="17"/>
      <c r="I57" s="17"/>
      <c r="J57" s="17"/>
      <c r="K57" s="17"/>
      <c r="L57" s="17"/>
      <c r="M57" s="17"/>
      <c r="N57" s="17"/>
      <c r="O57" s="17"/>
      <c r="P57" s="17"/>
      <c r="Q57" s="17"/>
      <c r="R57" s="17"/>
      <c r="S57" s="20"/>
      <c r="T57" s="20"/>
      <c r="U57" s="17" t="s">
        <v>947</v>
      </c>
    </row>
    <row r="58" spans="1:21" ht="36" customHeight="1">
      <c r="A58" s="23">
        <v>74</v>
      </c>
      <c r="B58" s="3" t="s">
        <v>301</v>
      </c>
      <c r="C58" s="3" t="s">
        <v>104</v>
      </c>
      <c r="D58" s="3" t="s">
        <v>946</v>
      </c>
      <c r="E58" s="3"/>
      <c r="F58" s="3"/>
      <c r="G58" s="3"/>
      <c r="H58" s="3"/>
      <c r="I58" s="3"/>
      <c r="J58" s="3"/>
      <c r="K58" s="3"/>
      <c r="L58" s="3"/>
      <c r="M58" s="3"/>
      <c r="N58" s="3"/>
      <c r="O58" s="3"/>
      <c r="P58" s="3"/>
      <c r="Q58" s="3"/>
      <c r="R58" s="3"/>
      <c r="S58" s="19"/>
      <c r="T58" s="19"/>
      <c r="U58" s="3" t="s">
        <v>947</v>
      </c>
    </row>
    <row r="59" spans="1:21" ht="36" customHeight="1">
      <c r="A59" s="24">
        <v>76</v>
      </c>
      <c r="B59" s="17" t="s">
        <v>304</v>
      </c>
      <c r="C59" s="17" t="s">
        <v>129</v>
      </c>
      <c r="D59" s="17" t="s">
        <v>946</v>
      </c>
      <c r="E59" s="17"/>
      <c r="F59" s="17"/>
      <c r="G59" s="17"/>
      <c r="H59" s="17"/>
      <c r="I59" s="17"/>
      <c r="J59" s="17"/>
      <c r="K59" s="17"/>
      <c r="L59" s="17"/>
      <c r="M59" s="17"/>
      <c r="N59" s="17"/>
      <c r="O59" s="17"/>
      <c r="P59" s="17"/>
      <c r="Q59" s="17"/>
      <c r="R59" s="17"/>
      <c r="S59" s="20"/>
      <c r="T59" s="20"/>
      <c r="U59" s="17" t="s">
        <v>947</v>
      </c>
    </row>
    <row r="60" spans="1:21" ht="36" customHeight="1">
      <c r="A60" s="23">
        <v>77</v>
      </c>
      <c r="B60" s="3" t="s">
        <v>306</v>
      </c>
      <c r="C60" s="3" t="s">
        <v>129</v>
      </c>
      <c r="D60" s="3" t="s">
        <v>946</v>
      </c>
      <c r="E60" s="3"/>
      <c r="F60" s="3"/>
      <c r="G60" s="3"/>
      <c r="H60" s="3"/>
      <c r="I60" s="3"/>
      <c r="J60" s="3"/>
      <c r="K60" s="3"/>
      <c r="L60" s="3"/>
      <c r="M60" s="3"/>
      <c r="N60" s="3"/>
      <c r="O60" s="3"/>
      <c r="P60" s="3"/>
      <c r="Q60" s="3"/>
      <c r="R60" s="3"/>
      <c r="S60" s="19"/>
      <c r="T60" s="19"/>
      <c r="U60" s="3" t="s">
        <v>947</v>
      </c>
    </row>
    <row r="61" spans="1:21" ht="36" customHeight="1">
      <c r="A61" s="24">
        <v>78</v>
      </c>
      <c r="B61" s="17" t="s">
        <v>310</v>
      </c>
      <c r="C61" s="17" t="s">
        <v>109</v>
      </c>
      <c r="D61" s="17" t="s">
        <v>946</v>
      </c>
      <c r="E61" s="17"/>
      <c r="F61" s="17"/>
      <c r="G61" s="17"/>
      <c r="H61" s="17"/>
      <c r="I61" s="17"/>
      <c r="J61" s="17"/>
      <c r="K61" s="17"/>
      <c r="L61" s="17"/>
      <c r="M61" s="17"/>
      <c r="N61" s="17"/>
      <c r="O61" s="17"/>
      <c r="P61" s="17"/>
      <c r="Q61" s="17"/>
      <c r="R61" s="17"/>
      <c r="S61" s="20"/>
      <c r="T61" s="20"/>
      <c r="U61" s="17" t="s">
        <v>947</v>
      </c>
    </row>
    <row r="62" spans="1:21" ht="36" customHeight="1">
      <c r="A62" s="23">
        <v>79</v>
      </c>
      <c r="B62" s="3" t="s">
        <v>313</v>
      </c>
      <c r="C62" s="3" t="s">
        <v>257</v>
      </c>
      <c r="D62" s="3" t="s">
        <v>946</v>
      </c>
      <c r="E62" s="3"/>
      <c r="F62" s="3"/>
      <c r="G62" s="3"/>
      <c r="H62" s="3"/>
      <c r="I62" s="3"/>
      <c r="J62" s="3"/>
      <c r="K62" s="3"/>
      <c r="L62" s="3"/>
      <c r="M62" s="3"/>
      <c r="N62" s="3"/>
      <c r="O62" s="3"/>
      <c r="P62" s="3"/>
      <c r="Q62" s="3"/>
      <c r="R62" s="3"/>
      <c r="S62" s="19"/>
      <c r="T62" s="19"/>
      <c r="U62" s="3" t="s">
        <v>947</v>
      </c>
    </row>
    <row r="63" spans="1:21" ht="36" customHeight="1">
      <c r="A63" s="24">
        <v>80</v>
      </c>
      <c r="B63" s="17" t="s">
        <v>315</v>
      </c>
      <c r="C63" s="17" t="s">
        <v>316</v>
      </c>
      <c r="D63" s="17" t="s">
        <v>946</v>
      </c>
      <c r="E63" s="17"/>
      <c r="F63" s="17"/>
      <c r="G63" s="17"/>
      <c r="H63" s="17"/>
      <c r="I63" s="17"/>
      <c r="J63" s="17"/>
      <c r="K63" s="17"/>
      <c r="L63" s="17"/>
      <c r="M63" s="17"/>
      <c r="N63" s="17"/>
      <c r="O63" s="17"/>
      <c r="P63" s="17"/>
      <c r="Q63" s="17"/>
      <c r="R63" s="17"/>
      <c r="S63" s="20"/>
      <c r="T63" s="20"/>
      <c r="U63" s="17" t="s">
        <v>947</v>
      </c>
    </row>
    <row r="64" spans="1:21" ht="36" customHeight="1">
      <c r="A64" s="25">
        <v>81</v>
      </c>
      <c r="B64" s="4" t="s">
        <v>318</v>
      </c>
      <c r="C64" s="4" t="s">
        <v>150</v>
      </c>
      <c r="D64" s="4" t="s">
        <v>946</v>
      </c>
      <c r="E64" s="4"/>
      <c r="F64" s="4"/>
      <c r="G64" s="4"/>
      <c r="H64" s="4"/>
      <c r="I64" s="4"/>
      <c r="J64" s="4"/>
      <c r="K64" s="4"/>
      <c r="L64" s="4"/>
      <c r="M64" s="4"/>
      <c r="N64" s="4"/>
      <c r="O64" s="4"/>
      <c r="P64" s="4"/>
      <c r="Q64" s="4"/>
      <c r="R64" s="4"/>
      <c r="S64" s="21"/>
      <c r="T64" s="21"/>
      <c r="U64" s="4" t="s">
        <v>947</v>
      </c>
    </row>
  </sheetData>
  <mergeCells count="2">
    <mergeCell ref="A1:U1"/>
    <mergeCell ref="A2:U2"/>
  </mergeCells>
  <phoneticPr fontId="8"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64"/>
  <sheetViews>
    <sheetView showGridLines="0" tabSelected="1" topLeftCell="E61" workbookViewId="0">
      <selection activeCell="E73" sqref="E73"/>
    </sheetView>
  </sheetViews>
  <sheetFormatPr defaultRowHeight="13.5"/>
  <cols>
    <col min="1" max="1" width="8" customWidth="1"/>
    <col min="2" max="2" width="28" customWidth="1"/>
    <col min="3" max="3" width="16" customWidth="1"/>
    <col min="4" max="4" width="38" customWidth="1"/>
    <col min="5" max="5" width="40" customWidth="1"/>
    <col min="6" max="6" width="45" customWidth="1"/>
    <col min="7" max="7" width="22" customWidth="1"/>
    <col min="8" max="10" width="40" customWidth="1"/>
    <col min="11" max="11" width="52" customWidth="1"/>
    <col min="12" max="12" width="45" customWidth="1"/>
    <col min="13" max="13" width="40" customWidth="1"/>
    <col min="14" max="14" width="16" customWidth="1"/>
    <col min="15" max="15" width="45" customWidth="1"/>
    <col min="16" max="17" width="50" customWidth="1"/>
    <col min="18" max="18" width="38" customWidth="1"/>
    <col min="19" max="19" width="55" customWidth="1"/>
  </cols>
  <sheetData>
    <row r="1" spans="1:19" ht="28.05" customHeight="1">
      <c r="A1" s="36" t="s">
        <v>948</v>
      </c>
      <c r="B1" s="36"/>
      <c r="C1" s="36"/>
      <c r="D1" s="36"/>
      <c r="E1" s="36"/>
      <c r="F1" s="36"/>
      <c r="G1" s="36"/>
      <c r="H1" s="36"/>
      <c r="I1" s="36"/>
      <c r="J1" s="36"/>
      <c r="K1" s="36"/>
      <c r="L1" s="36"/>
      <c r="M1" s="36"/>
      <c r="N1" s="36"/>
      <c r="O1" s="36"/>
      <c r="P1" s="36"/>
      <c r="Q1" s="36"/>
      <c r="R1" s="36"/>
      <c r="S1" s="36"/>
    </row>
    <row r="2" spans="1:19" ht="34.049999999999997" customHeight="1">
      <c r="A2" s="37" t="s">
        <v>949</v>
      </c>
      <c r="B2" s="37"/>
      <c r="C2" s="37"/>
      <c r="D2" s="37"/>
      <c r="E2" s="37"/>
      <c r="F2" s="37"/>
      <c r="G2" s="37"/>
      <c r="H2" s="37"/>
      <c r="I2" s="37"/>
      <c r="J2" s="37"/>
      <c r="K2" s="37"/>
      <c r="L2" s="37"/>
      <c r="M2" s="37"/>
      <c r="N2" s="37"/>
      <c r="O2" s="37"/>
      <c r="P2" s="37"/>
      <c r="Q2" s="37"/>
      <c r="R2" s="37"/>
      <c r="S2" s="37"/>
    </row>
    <row r="4" spans="1:19" ht="38" customHeight="1">
      <c r="A4" s="13" t="s">
        <v>87</v>
      </c>
      <c r="B4" s="14" t="s">
        <v>88</v>
      </c>
      <c r="C4" s="14" t="s">
        <v>89</v>
      </c>
      <c r="D4" s="14" t="s">
        <v>92</v>
      </c>
      <c r="E4" s="14" t="s">
        <v>950</v>
      </c>
      <c r="F4" s="14" t="s">
        <v>951</v>
      </c>
      <c r="G4" s="14" t="s">
        <v>952</v>
      </c>
      <c r="H4" s="14" t="s">
        <v>953</v>
      </c>
      <c r="I4" s="14" t="s">
        <v>1435</v>
      </c>
      <c r="J4" s="14" t="s">
        <v>1436</v>
      </c>
      <c r="K4" s="14" t="s">
        <v>954</v>
      </c>
      <c r="L4" s="14" t="s">
        <v>956</v>
      </c>
      <c r="M4" s="14" t="s">
        <v>957</v>
      </c>
      <c r="N4" s="14" t="s">
        <v>958</v>
      </c>
      <c r="O4" s="14" t="s">
        <v>334</v>
      </c>
      <c r="P4" s="14" t="s">
        <v>959</v>
      </c>
      <c r="Q4" s="14" t="s">
        <v>960</v>
      </c>
      <c r="R4" s="15" t="s">
        <v>961</v>
      </c>
      <c r="S4" t="s">
        <v>1529</v>
      </c>
    </row>
    <row r="5" spans="1:19" ht="54" customHeight="1">
      <c r="A5" s="22">
        <v>1</v>
      </c>
      <c r="B5" s="16" t="s">
        <v>97</v>
      </c>
      <c r="C5" s="16" t="s">
        <v>98</v>
      </c>
      <c r="D5" s="16" t="s">
        <v>100</v>
      </c>
      <c r="E5" s="16" t="s">
        <v>962</v>
      </c>
      <c r="F5" s="16" t="s">
        <v>1437</v>
      </c>
      <c r="G5" s="16" t="s">
        <v>963</v>
      </c>
      <c r="H5" s="16" t="s">
        <v>1438</v>
      </c>
      <c r="I5" s="16" t="s">
        <v>1440</v>
      </c>
      <c r="J5" s="16" t="s">
        <v>1441</v>
      </c>
      <c r="K5" s="16" t="s">
        <v>964</v>
      </c>
      <c r="L5" s="16" t="s">
        <v>965</v>
      </c>
      <c r="M5" s="16" t="s">
        <v>966</v>
      </c>
      <c r="N5" s="16" t="s">
        <v>1442</v>
      </c>
      <c r="O5" s="31" t="s">
        <v>1429</v>
      </c>
      <c r="P5" s="18" t="s">
        <v>967</v>
      </c>
      <c r="Q5" s="16" t="s">
        <v>968</v>
      </c>
      <c r="R5" s="16" t="s">
        <v>969</v>
      </c>
    </row>
    <row r="6" spans="1:19" ht="54" customHeight="1">
      <c r="A6" s="23">
        <v>2</v>
      </c>
      <c r="B6" s="3" t="s">
        <v>103</v>
      </c>
      <c r="C6" s="3" t="s">
        <v>104</v>
      </c>
      <c r="D6" s="3" t="s">
        <v>106</v>
      </c>
      <c r="E6" s="3" t="s">
        <v>970</v>
      </c>
      <c r="F6" s="3" t="s">
        <v>1445</v>
      </c>
      <c r="G6" s="3" t="s">
        <v>963</v>
      </c>
      <c r="H6" s="3" t="s">
        <v>1443</v>
      </c>
      <c r="I6" s="34" t="s">
        <v>1440</v>
      </c>
      <c r="J6" s="3" t="s">
        <v>1448</v>
      </c>
      <c r="K6" s="3" t="s">
        <v>1444</v>
      </c>
      <c r="L6" s="3" t="s">
        <v>965</v>
      </c>
      <c r="M6" s="3" t="s">
        <v>966</v>
      </c>
      <c r="N6" s="3" t="s">
        <v>965</v>
      </c>
      <c r="O6" s="32" t="s">
        <v>1430</v>
      </c>
      <c r="P6" s="19" t="s">
        <v>971</v>
      </c>
      <c r="Q6" s="3" t="s">
        <v>972</v>
      </c>
      <c r="R6" s="3" t="s">
        <v>969</v>
      </c>
    </row>
    <row r="7" spans="1:19" ht="54" customHeight="1">
      <c r="A7" s="24">
        <v>3</v>
      </c>
      <c r="B7" s="17" t="s">
        <v>108</v>
      </c>
      <c r="C7" s="17" t="s">
        <v>109</v>
      </c>
      <c r="D7" s="17" t="s">
        <v>111</v>
      </c>
      <c r="E7" s="17" t="s">
        <v>973</v>
      </c>
      <c r="F7" s="17" t="s">
        <v>1449</v>
      </c>
      <c r="G7" s="17" t="s">
        <v>1451</v>
      </c>
      <c r="H7" s="17" t="s">
        <v>974</v>
      </c>
      <c r="I7" s="17" t="s">
        <v>1439</v>
      </c>
      <c r="J7" s="17" t="s">
        <v>1446</v>
      </c>
      <c r="K7" s="17" t="s">
        <v>1447</v>
      </c>
      <c r="L7" s="17" t="s">
        <v>975</v>
      </c>
      <c r="M7" s="17" t="s">
        <v>965</v>
      </c>
      <c r="N7" s="17" t="s">
        <v>1450</v>
      </c>
      <c r="O7" s="33" t="s">
        <v>1431</v>
      </c>
      <c r="P7" s="20" t="s">
        <v>976</v>
      </c>
      <c r="Q7" s="17" t="s">
        <v>977</v>
      </c>
      <c r="R7" s="17" t="s">
        <v>969</v>
      </c>
    </row>
    <row r="8" spans="1:19" ht="54" customHeight="1">
      <c r="A8" s="23">
        <v>4</v>
      </c>
      <c r="B8" s="3" t="s">
        <v>113</v>
      </c>
      <c r="C8" s="3" t="s">
        <v>109</v>
      </c>
      <c r="D8" s="3" t="s">
        <v>115</v>
      </c>
      <c r="E8" s="3" t="s">
        <v>1452</v>
      </c>
      <c r="F8" s="3" t="s">
        <v>1449</v>
      </c>
      <c r="G8" s="3" t="s">
        <v>1451</v>
      </c>
      <c r="H8" s="3" t="s">
        <v>1453</v>
      </c>
      <c r="I8" s="3" t="s">
        <v>1439</v>
      </c>
      <c r="J8" s="3" t="s">
        <v>1454</v>
      </c>
      <c r="K8" s="3" t="s">
        <v>978</v>
      </c>
      <c r="L8" s="3" t="s">
        <v>979</v>
      </c>
      <c r="M8" s="3" t="s">
        <v>965</v>
      </c>
      <c r="N8" s="3" t="s">
        <v>980</v>
      </c>
      <c r="O8" s="32" t="s">
        <v>1432</v>
      </c>
      <c r="P8" s="19" t="s">
        <v>981</v>
      </c>
      <c r="Q8" s="3" t="s">
        <v>982</v>
      </c>
      <c r="R8" s="3" t="s">
        <v>969</v>
      </c>
    </row>
    <row r="9" spans="1:19" ht="54" customHeight="1">
      <c r="A9" s="24">
        <v>5</v>
      </c>
      <c r="B9" s="17" t="s">
        <v>117</v>
      </c>
      <c r="C9" s="17" t="s">
        <v>104</v>
      </c>
      <c r="D9" s="17" t="s">
        <v>119</v>
      </c>
      <c r="E9" s="17" t="s">
        <v>1459</v>
      </c>
      <c r="F9" s="17" t="s">
        <v>1445</v>
      </c>
      <c r="G9" s="17" t="s">
        <v>1451</v>
      </c>
      <c r="H9" s="17" t="s">
        <v>1457</v>
      </c>
      <c r="I9" s="17" t="s">
        <v>1439</v>
      </c>
      <c r="J9" s="17" t="s">
        <v>1458</v>
      </c>
      <c r="K9" s="17" t="s">
        <v>1455</v>
      </c>
      <c r="L9" s="17" t="s">
        <v>965</v>
      </c>
      <c r="M9" s="17" t="s">
        <v>965</v>
      </c>
      <c r="N9" s="17" t="s">
        <v>1456</v>
      </c>
      <c r="O9" s="33" t="s">
        <v>1433</v>
      </c>
      <c r="P9" s="20" t="s">
        <v>983</v>
      </c>
      <c r="Q9" s="17" t="s">
        <v>984</v>
      </c>
      <c r="R9" s="17" t="s">
        <v>969</v>
      </c>
    </row>
    <row r="10" spans="1:19" ht="54" customHeight="1">
      <c r="A10" s="23">
        <v>6</v>
      </c>
      <c r="B10" s="3" t="s">
        <v>121</v>
      </c>
      <c r="C10" s="3" t="s">
        <v>109</v>
      </c>
      <c r="D10" s="3" t="s">
        <v>123</v>
      </c>
      <c r="E10" s="3" t="s">
        <v>1468</v>
      </c>
      <c r="F10" s="3" t="s">
        <v>1465</v>
      </c>
      <c r="G10" s="3" t="s">
        <v>1451</v>
      </c>
      <c r="H10" s="3" t="s">
        <v>1466</v>
      </c>
      <c r="I10" s="3" t="s">
        <v>1439</v>
      </c>
      <c r="J10" s="3" t="s">
        <v>1467</v>
      </c>
      <c r="K10" s="3" t="s">
        <v>1469</v>
      </c>
      <c r="L10" s="3" t="s">
        <v>1470</v>
      </c>
      <c r="M10" s="3" t="s">
        <v>965</v>
      </c>
      <c r="N10" s="3" t="s">
        <v>985</v>
      </c>
      <c r="O10" s="32" t="s">
        <v>1460</v>
      </c>
      <c r="P10" s="19"/>
      <c r="Q10" s="3" t="s">
        <v>986</v>
      </c>
      <c r="R10" s="3" t="s">
        <v>969</v>
      </c>
    </row>
    <row r="11" spans="1:19" ht="54" customHeight="1">
      <c r="A11" s="24">
        <v>7</v>
      </c>
      <c r="B11" s="17" t="s">
        <v>125</v>
      </c>
      <c r="C11" s="17" t="s">
        <v>109</v>
      </c>
      <c r="D11" s="17" t="s">
        <v>126</v>
      </c>
      <c r="E11" s="17" t="s">
        <v>1475</v>
      </c>
      <c r="F11" s="17" t="s">
        <v>1445</v>
      </c>
      <c r="G11" s="17" t="s">
        <v>1451</v>
      </c>
      <c r="H11" s="17" t="s">
        <v>1474</v>
      </c>
      <c r="I11" s="17" t="s">
        <v>1439</v>
      </c>
      <c r="J11" s="17" t="s">
        <v>1480</v>
      </c>
      <c r="K11" s="17" t="s">
        <v>1471</v>
      </c>
      <c r="L11" s="17" t="s">
        <v>1472</v>
      </c>
      <c r="M11" s="17" t="s">
        <v>965</v>
      </c>
      <c r="N11" s="17" t="s">
        <v>1473</v>
      </c>
      <c r="O11" s="33" t="s">
        <v>1461</v>
      </c>
      <c r="P11" s="20" t="s">
        <v>987</v>
      </c>
      <c r="Q11" s="17" t="s">
        <v>986</v>
      </c>
      <c r="R11" s="17" t="s">
        <v>969</v>
      </c>
    </row>
    <row r="12" spans="1:19" ht="54" customHeight="1">
      <c r="A12" s="23">
        <v>8</v>
      </c>
      <c r="B12" s="3" t="s">
        <v>128</v>
      </c>
      <c r="C12" s="3" t="s">
        <v>129</v>
      </c>
      <c r="D12" s="3" t="s">
        <v>130</v>
      </c>
      <c r="E12" s="3" t="s">
        <v>1482</v>
      </c>
      <c r="F12" s="3" t="s">
        <v>1476</v>
      </c>
      <c r="G12" s="3" t="s">
        <v>1477</v>
      </c>
      <c r="H12" s="3" t="s">
        <v>1479</v>
      </c>
      <c r="I12" s="3" t="s">
        <v>1439</v>
      </c>
      <c r="J12" s="3" t="s">
        <v>1481</v>
      </c>
      <c r="K12" s="3" t="s">
        <v>1478</v>
      </c>
      <c r="L12" s="3" t="s">
        <v>965</v>
      </c>
      <c r="M12" s="3" t="s">
        <v>965</v>
      </c>
      <c r="N12" s="3" t="s">
        <v>988</v>
      </c>
      <c r="O12" s="32" t="s">
        <v>1462</v>
      </c>
      <c r="P12" s="19"/>
      <c r="Q12" s="3" t="s">
        <v>989</v>
      </c>
      <c r="R12" s="3" t="s">
        <v>969</v>
      </c>
    </row>
    <row r="13" spans="1:19" ht="54" customHeight="1">
      <c r="A13" s="24">
        <v>9</v>
      </c>
      <c r="B13" s="17" t="s">
        <v>133</v>
      </c>
      <c r="C13" s="17" t="s">
        <v>104</v>
      </c>
      <c r="D13" s="17" t="s">
        <v>135</v>
      </c>
      <c r="E13" s="17" t="s">
        <v>965</v>
      </c>
      <c r="F13" s="17" t="s">
        <v>1434</v>
      </c>
      <c r="G13" s="17" t="s">
        <v>1451</v>
      </c>
      <c r="H13" s="17" t="s">
        <v>1484</v>
      </c>
      <c r="I13" s="16" t="s">
        <v>1440</v>
      </c>
      <c r="J13" s="17" t="s">
        <v>1485</v>
      </c>
      <c r="K13" s="17" t="s">
        <v>1486</v>
      </c>
      <c r="L13" s="17" t="s">
        <v>965</v>
      </c>
      <c r="M13" s="17" t="s">
        <v>1483</v>
      </c>
      <c r="N13" s="17" t="s">
        <v>965</v>
      </c>
      <c r="O13" s="33" t="s">
        <v>1463</v>
      </c>
      <c r="P13" s="20"/>
      <c r="Q13" s="17" t="s">
        <v>990</v>
      </c>
      <c r="R13" s="17" t="s">
        <v>969</v>
      </c>
    </row>
    <row r="14" spans="1:19" ht="54" customHeight="1">
      <c r="A14" s="23">
        <v>10</v>
      </c>
      <c r="B14" s="3" t="s">
        <v>137</v>
      </c>
      <c r="C14" s="3" t="s">
        <v>109</v>
      </c>
      <c r="D14" s="3" t="s">
        <v>139</v>
      </c>
      <c r="E14" s="3" t="s">
        <v>1491</v>
      </c>
      <c r="F14" s="3" t="s">
        <v>1487</v>
      </c>
      <c r="G14" s="3" t="s">
        <v>1451</v>
      </c>
      <c r="H14" s="3" t="s">
        <v>1488</v>
      </c>
      <c r="I14" s="34" t="s">
        <v>1440</v>
      </c>
      <c r="J14" s="3" t="s">
        <v>1489</v>
      </c>
      <c r="K14" s="3" t="s">
        <v>1490</v>
      </c>
      <c r="L14" s="3" t="s">
        <v>991</v>
      </c>
      <c r="M14" s="3" t="s">
        <v>965</v>
      </c>
      <c r="N14" s="3" t="s">
        <v>965</v>
      </c>
      <c r="O14" s="32" t="s">
        <v>1464</v>
      </c>
      <c r="P14" s="19" t="s">
        <v>992</v>
      </c>
      <c r="Q14" s="3" t="s">
        <v>993</v>
      </c>
      <c r="R14" s="3" t="s">
        <v>969</v>
      </c>
    </row>
    <row r="15" spans="1:19" ht="54" customHeight="1">
      <c r="A15" s="24">
        <v>11</v>
      </c>
      <c r="B15" s="17" t="s">
        <v>142</v>
      </c>
      <c r="C15" s="17" t="s">
        <v>143</v>
      </c>
      <c r="D15" s="17" t="s">
        <v>144</v>
      </c>
      <c r="E15" s="17" t="s">
        <v>965</v>
      </c>
      <c r="F15" s="17" t="s">
        <v>994</v>
      </c>
      <c r="G15" s="17" t="s">
        <v>965</v>
      </c>
      <c r="H15" s="17" t="s">
        <v>965</v>
      </c>
      <c r="I15" s="17" t="s">
        <v>1439</v>
      </c>
      <c r="J15" s="17"/>
      <c r="K15" s="17" t="s">
        <v>1497</v>
      </c>
      <c r="L15" s="17" t="s">
        <v>965</v>
      </c>
      <c r="M15" s="17" t="s">
        <v>1483</v>
      </c>
      <c r="N15" s="17" t="s">
        <v>965</v>
      </c>
      <c r="O15" s="33" t="s">
        <v>1492</v>
      </c>
      <c r="P15" s="20"/>
      <c r="Q15" s="17" t="s">
        <v>990</v>
      </c>
      <c r="R15" s="17" t="s">
        <v>969</v>
      </c>
    </row>
    <row r="16" spans="1:19" ht="54" customHeight="1">
      <c r="A16" s="23">
        <v>12</v>
      </c>
      <c r="B16" s="3" t="s">
        <v>146</v>
      </c>
      <c r="C16" s="3" t="s">
        <v>129</v>
      </c>
      <c r="D16" s="3" t="s">
        <v>147</v>
      </c>
      <c r="E16" s="3" t="s">
        <v>1498</v>
      </c>
      <c r="F16" s="3" t="s">
        <v>995</v>
      </c>
      <c r="G16" s="3" t="s">
        <v>996</v>
      </c>
      <c r="H16" s="3" t="s">
        <v>1500</v>
      </c>
      <c r="I16" s="3" t="s">
        <v>1439</v>
      </c>
      <c r="J16" s="3" t="s">
        <v>1503</v>
      </c>
      <c r="K16" s="3" t="s">
        <v>997</v>
      </c>
      <c r="L16" s="3" t="s">
        <v>1502</v>
      </c>
      <c r="M16" s="3" t="s">
        <v>965</v>
      </c>
      <c r="N16" s="3" t="s">
        <v>1501</v>
      </c>
      <c r="O16" s="32" t="s">
        <v>1493</v>
      </c>
      <c r="P16" s="19" t="s">
        <v>361</v>
      </c>
      <c r="Q16" s="3" t="s">
        <v>998</v>
      </c>
      <c r="R16" s="3" t="s">
        <v>999</v>
      </c>
    </row>
    <row r="17" spans="1:19" ht="54" customHeight="1">
      <c r="A17" s="24">
        <v>13</v>
      </c>
      <c r="B17" s="17" t="s">
        <v>149</v>
      </c>
      <c r="C17" s="17" t="s">
        <v>150</v>
      </c>
      <c r="D17" s="17" t="s">
        <v>151</v>
      </c>
      <c r="E17" s="17" t="s">
        <v>1506</v>
      </c>
      <c r="F17" s="17" t="s">
        <v>1487</v>
      </c>
      <c r="G17" s="17" t="s">
        <v>1451</v>
      </c>
      <c r="H17" s="17" t="s">
        <v>1504</v>
      </c>
      <c r="I17" s="17" t="s">
        <v>1439</v>
      </c>
      <c r="J17" s="17" t="s">
        <v>1512</v>
      </c>
      <c r="K17" s="17" t="s">
        <v>1499</v>
      </c>
      <c r="L17" s="17" t="s">
        <v>1505</v>
      </c>
      <c r="M17" s="17" t="s">
        <v>965</v>
      </c>
      <c r="N17" s="17" t="s">
        <v>1507</v>
      </c>
      <c r="O17" s="33" t="s">
        <v>1494</v>
      </c>
      <c r="P17" s="20" t="s">
        <v>1000</v>
      </c>
      <c r="Q17" s="17" t="s">
        <v>1001</v>
      </c>
      <c r="R17" s="17" t="s">
        <v>969</v>
      </c>
    </row>
    <row r="18" spans="1:19" ht="54" customHeight="1">
      <c r="A18" s="23">
        <v>14</v>
      </c>
      <c r="B18" s="3" t="s">
        <v>153</v>
      </c>
      <c r="C18" s="3" t="s">
        <v>150</v>
      </c>
      <c r="D18" s="3" t="s">
        <v>155</v>
      </c>
      <c r="E18" s="3" t="s">
        <v>1441</v>
      </c>
      <c r="F18" s="3" t="s">
        <v>965</v>
      </c>
      <c r="G18" s="3" t="s">
        <v>1002</v>
      </c>
      <c r="H18" s="3" t="s">
        <v>965</v>
      </c>
      <c r="I18" s="3" t="s">
        <v>1439</v>
      </c>
      <c r="J18" s="3"/>
      <c r="K18" s="3" t="s">
        <v>1508</v>
      </c>
      <c r="L18" s="3" t="s">
        <v>965</v>
      </c>
      <c r="M18" s="3" t="s">
        <v>965</v>
      </c>
      <c r="N18" s="3" t="s">
        <v>965</v>
      </c>
      <c r="O18" s="32" t="s">
        <v>1495</v>
      </c>
      <c r="P18" s="19" t="s">
        <v>1003</v>
      </c>
      <c r="Q18" s="3" t="s">
        <v>1004</v>
      </c>
      <c r="R18" s="3" t="s">
        <v>969</v>
      </c>
    </row>
    <row r="19" spans="1:19" ht="54" customHeight="1">
      <c r="A19" s="24">
        <v>15</v>
      </c>
      <c r="B19" s="17" t="s">
        <v>157</v>
      </c>
      <c r="C19" s="17" t="s">
        <v>109</v>
      </c>
      <c r="D19" s="17" t="s">
        <v>159</v>
      </c>
      <c r="E19" s="17" t="s">
        <v>1509</v>
      </c>
      <c r="F19" s="17" t="s">
        <v>1005</v>
      </c>
      <c r="G19" s="17" t="s">
        <v>1451</v>
      </c>
      <c r="H19" s="17" t="s">
        <v>1510</v>
      </c>
      <c r="I19" s="17" t="s">
        <v>1439</v>
      </c>
      <c r="J19" s="17" t="s">
        <v>1511</v>
      </c>
      <c r="K19" s="17" t="s">
        <v>1006</v>
      </c>
      <c r="L19" s="17" t="s">
        <v>1007</v>
      </c>
      <c r="M19" s="17" t="s">
        <v>1483</v>
      </c>
      <c r="N19" s="17" t="s">
        <v>965</v>
      </c>
      <c r="O19" s="33" t="s">
        <v>1496</v>
      </c>
      <c r="P19" s="20"/>
      <c r="Q19" s="17" t="s">
        <v>1008</v>
      </c>
      <c r="R19" s="17" t="s">
        <v>969</v>
      </c>
    </row>
    <row r="20" spans="1:19" ht="54" customHeight="1">
      <c r="A20" s="23">
        <v>16</v>
      </c>
      <c r="B20" s="3" t="s">
        <v>161</v>
      </c>
      <c r="C20" s="3" t="s">
        <v>129</v>
      </c>
      <c r="D20" s="3" t="s">
        <v>163</v>
      </c>
      <c r="E20" s="3" t="s">
        <v>1522</v>
      </c>
      <c r="F20" s="3" t="s">
        <v>1518</v>
      </c>
      <c r="G20" s="3" t="s">
        <v>1451</v>
      </c>
      <c r="H20" s="3" t="s">
        <v>1521</v>
      </c>
      <c r="I20" s="3" t="s">
        <v>1439</v>
      </c>
      <c r="J20" s="3" t="s">
        <v>1520</v>
      </c>
      <c r="K20" s="3" t="s">
        <v>1519</v>
      </c>
      <c r="L20" s="3" t="s">
        <v>1523</v>
      </c>
      <c r="M20" s="3" t="s">
        <v>965</v>
      </c>
      <c r="N20" s="3" t="s">
        <v>965</v>
      </c>
      <c r="O20" s="32" t="s">
        <v>1513</v>
      </c>
      <c r="P20" s="19"/>
      <c r="Q20" s="3" t="s">
        <v>1009</v>
      </c>
      <c r="R20" s="3" t="s">
        <v>969</v>
      </c>
    </row>
    <row r="21" spans="1:19" ht="54" customHeight="1">
      <c r="A21" s="24">
        <v>17</v>
      </c>
      <c r="B21" s="17" t="s">
        <v>165</v>
      </c>
      <c r="C21" s="17" t="s">
        <v>129</v>
      </c>
      <c r="D21" s="17" t="s">
        <v>166</v>
      </c>
      <c r="E21" s="17" t="s">
        <v>1010</v>
      </c>
      <c r="F21" s="17" t="s">
        <v>1011</v>
      </c>
      <c r="G21" s="17" t="s">
        <v>1012</v>
      </c>
      <c r="H21" s="17" t="s">
        <v>1013</v>
      </c>
      <c r="I21" s="16" t="s">
        <v>1440</v>
      </c>
      <c r="J21" s="17"/>
      <c r="K21" s="17" t="s">
        <v>1014</v>
      </c>
      <c r="L21" s="17" t="s">
        <v>965</v>
      </c>
      <c r="M21" s="17" t="s">
        <v>965</v>
      </c>
      <c r="N21" s="17" t="s">
        <v>965</v>
      </c>
      <c r="O21" s="33" t="s">
        <v>1514</v>
      </c>
      <c r="P21" s="20" t="s">
        <v>1015</v>
      </c>
      <c r="Q21" s="17" t="s">
        <v>998</v>
      </c>
      <c r="R21" s="17" t="s">
        <v>999</v>
      </c>
      <c r="S21" t="s">
        <v>1524</v>
      </c>
    </row>
    <row r="22" spans="1:19" ht="54" customHeight="1">
      <c r="A22" s="23">
        <v>18</v>
      </c>
      <c r="B22" s="3" t="s">
        <v>168</v>
      </c>
      <c r="C22" s="3" t="s">
        <v>109</v>
      </c>
      <c r="D22" s="3" t="s">
        <v>169</v>
      </c>
      <c r="E22" s="3" t="s">
        <v>1525</v>
      </c>
      <c r="F22" s="3" t="s">
        <v>1016</v>
      </c>
      <c r="G22" s="3" t="s">
        <v>1451</v>
      </c>
      <c r="H22" s="3" t="s">
        <v>1526</v>
      </c>
      <c r="I22" s="34" t="s">
        <v>1440</v>
      </c>
      <c r="J22" s="3" t="s">
        <v>1527</v>
      </c>
      <c r="K22" s="3" t="s">
        <v>1528</v>
      </c>
      <c r="L22" s="3" t="s">
        <v>1017</v>
      </c>
      <c r="M22" s="3" t="s">
        <v>1483</v>
      </c>
      <c r="N22" s="3" t="s">
        <v>965</v>
      </c>
      <c r="O22" s="32" t="s">
        <v>1515</v>
      </c>
      <c r="P22" s="19"/>
      <c r="Q22" s="3" t="s">
        <v>1018</v>
      </c>
      <c r="R22" s="3" t="s">
        <v>969</v>
      </c>
    </row>
    <row r="23" spans="1:19" ht="54" customHeight="1">
      <c r="A23" s="24">
        <v>19</v>
      </c>
      <c r="B23" s="17" t="s">
        <v>171</v>
      </c>
      <c r="C23" s="17" t="s">
        <v>109</v>
      </c>
      <c r="D23" s="17" t="s">
        <v>173</v>
      </c>
      <c r="E23" s="17" t="s">
        <v>1532</v>
      </c>
      <c r="F23" s="17" t="s">
        <v>1531</v>
      </c>
      <c r="G23" s="17" t="s">
        <v>1451</v>
      </c>
      <c r="H23" s="17" t="s">
        <v>1530</v>
      </c>
      <c r="I23" s="17" t="s">
        <v>1439</v>
      </c>
      <c r="J23" s="17" t="s">
        <v>1533</v>
      </c>
      <c r="K23" s="17" t="s">
        <v>1019</v>
      </c>
      <c r="L23" s="17" t="s">
        <v>1020</v>
      </c>
      <c r="M23" s="17" t="s">
        <v>1483</v>
      </c>
      <c r="N23" s="17" t="s">
        <v>1534</v>
      </c>
      <c r="O23" s="33" t="s">
        <v>1516</v>
      </c>
      <c r="P23" s="20" t="s">
        <v>1021</v>
      </c>
      <c r="Q23" s="17" t="s">
        <v>1022</v>
      </c>
      <c r="R23" s="17" t="s">
        <v>969</v>
      </c>
    </row>
    <row r="24" spans="1:19" ht="54" customHeight="1">
      <c r="A24" s="23">
        <v>20</v>
      </c>
      <c r="B24" s="3" t="s">
        <v>175</v>
      </c>
      <c r="C24" s="3" t="s">
        <v>150</v>
      </c>
      <c r="D24" s="3" t="s">
        <v>177</v>
      </c>
      <c r="E24" s="3" t="s">
        <v>1023</v>
      </c>
      <c r="F24" s="3" t="s">
        <v>1024</v>
      </c>
      <c r="G24" s="3" t="s">
        <v>1025</v>
      </c>
      <c r="H24" s="3" t="s">
        <v>965</v>
      </c>
      <c r="I24" s="3" t="s">
        <v>1439</v>
      </c>
      <c r="J24" s="3"/>
      <c r="K24" s="3" t="s">
        <v>965</v>
      </c>
      <c r="L24" s="3" t="s">
        <v>965</v>
      </c>
      <c r="M24" s="3" t="s">
        <v>965</v>
      </c>
      <c r="N24" s="3" t="s">
        <v>965</v>
      </c>
      <c r="O24" s="32" t="s">
        <v>1517</v>
      </c>
      <c r="P24" s="19" t="s">
        <v>1026</v>
      </c>
      <c r="Q24" s="3" t="s">
        <v>1027</v>
      </c>
      <c r="R24" s="3" t="s">
        <v>969</v>
      </c>
      <c r="S24" t="s">
        <v>1524</v>
      </c>
    </row>
    <row r="25" spans="1:19" ht="54" customHeight="1">
      <c r="A25" s="24">
        <v>21</v>
      </c>
      <c r="B25" s="17" t="s">
        <v>179</v>
      </c>
      <c r="C25" s="17" t="s">
        <v>150</v>
      </c>
      <c r="D25" s="17" t="s">
        <v>181</v>
      </c>
      <c r="E25" s="17" t="s">
        <v>965</v>
      </c>
      <c r="F25" s="17" t="s">
        <v>965</v>
      </c>
      <c r="G25" s="17" t="s">
        <v>1028</v>
      </c>
      <c r="H25" s="17" t="s">
        <v>965</v>
      </c>
      <c r="I25" s="17" t="s">
        <v>1439</v>
      </c>
      <c r="J25" s="17"/>
      <c r="K25" s="17" t="s">
        <v>1029</v>
      </c>
      <c r="L25" s="17" t="s">
        <v>965</v>
      </c>
      <c r="M25" s="17" t="s">
        <v>965</v>
      </c>
      <c r="N25" s="17" t="s">
        <v>1540</v>
      </c>
      <c r="O25" s="33" t="s">
        <v>1535</v>
      </c>
      <c r="P25" s="20" t="s">
        <v>1030</v>
      </c>
      <c r="Q25" s="17" t="s">
        <v>1027</v>
      </c>
      <c r="R25" s="17" t="s">
        <v>969</v>
      </c>
      <c r="S25" t="s">
        <v>1541</v>
      </c>
    </row>
    <row r="26" spans="1:19" ht="54" customHeight="1">
      <c r="A26" s="23">
        <v>22</v>
      </c>
      <c r="B26" s="3" t="s">
        <v>183</v>
      </c>
      <c r="C26" s="3" t="s">
        <v>184</v>
      </c>
      <c r="D26" s="3" t="s">
        <v>185</v>
      </c>
      <c r="E26" s="35">
        <v>9493.92</v>
      </c>
      <c r="F26" s="3" t="s">
        <v>1434</v>
      </c>
      <c r="G26" s="3" t="s">
        <v>1451</v>
      </c>
      <c r="H26" s="3" t="s">
        <v>1544</v>
      </c>
      <c r="I26" s="3" t="s">
        <v>1439</v>
      </c>
      <c r="J26" s="3" t="s">
        <v>1543</v>
      </c>
      <c r="K26" s="3" t="s">
        <v>1542</v>
      </c>
      <c r="L26" s="3" t="s">
        <v>1031</v>
      </c>
      <c r="M26" s="3" t="s">
        <v>966</v>
      </c>
      <c r="N26" s="3" t="s">
        <v>965</v>
      </c>
      <c r="O26" s="32" t="s">
        <v>1536</v>
      </c>
      <c r="P26" s="19" t="s">
        <v>1032</v>
      </c>
      <c r="Q26" s="3" t="s">
        <v>977</v>
      </c>
      <c r="R26" s="3" t="s">
        <v>969</v>
      </c>
    </row>
    <row r="27" spans="1:19" ht="54" customHeight="1">
      <c r="A27" s="24">
        <v>23</v>
      </c>
      <c r="B27" s="17" t="s">
        <v>187</v>
      </c>
      <c r="C27" s="17" t="s">
        <v>188</v>
      </c>
      <c r="D27" s="17" t="s">
        <v>189</v>
      </c>
      <c r="E27" s="17" t="s">
        <v>1033</v>
      </c>
      <c r="F27" s="17" t="s">
        <v>1034</v>
      </c>
      <c r="G27" s="17" t="s">
        <v>1451</v>
      </c>
      <c r="H27" s="17" t="s">
        <v>1545</v>
      </c>
      <c r="I27" s="17" t="s">
        <v>1439</v>
      </c>
      <c r="J27" s="17"/>
      <c r="K27" s="17" t="s">
        <v>1035</v>
      </c>
      <c r="L27" s="17" t="s">
        <v>965</v>
      </c>
      <c r="M27" s="17" t="s">
        <v>1483</v>
      </c>
      <c r="N27" s="17" t="s">
        <v>965</v>
      </c>
      <c r="O27" s="33" t="s">
        <v>1537</v>
      </c>
      <c r="P27" s="20"/>
      <c r="Q27" s="17" t="s">
        <v>1036</v>
      </c>
      <c r="R27" s="17" t="s">
        <v>969</v>
      </c>
    </row>
    <row r="28" spans="1:19" ht="54" customHeight="1">
      <c r="A28" s="23">
        <v>24</v>
      </c>
      <c r="B28" s="3" t="s">
        <v>191</v>
      </c>
      <c r="C28" s="3" t="s">
        <v>109</v>
      </c>
      <c r="D28" s="3" t="s">
        <v>192</v>
      </c>
      <c r="E28" s="3" t="s">
        <v>1548</v>
      </c>
      <c r="F28" s="3" t="s">
        <v>1547</v>
      </c>
      <c r="G28" s="3" t="s">
        <v>1451</v>
      </c>
      <c r="H28" s="3" t="s">
        <v>1549</v>
      </c>
      <c r="I28" s="3" t="s">
        <v>1439</v>
      </c>
      <c r="J28" s="3" t="s">
        <v>1550</v>
      </c>
      <c r="K28" s="3" t="s">
        <v>1546</v>
      </c>
      <c r="L28" s="3" t="s">
        <v>1037</v>
      </c>
      <c r="M28" s="3" t="s">
        <v>1483</v>
      </c>
      <c r="N28" s="3" t="s">
        <v>965</v>
      </c>
      <c r="O28" s="32" t="s">
        <v>1538</v>
      </c>
      <c r="P28" s="19"/>
      <c r="Q28" s="3" t="s">
        <v>1036</v>
      </c>
      <c r="R28" s="3" t="s">
        <v>969</v>
      </c>
    </row>
    <row r="29" spans="1:19" ht="54" customHeight="1">
      <c r="A29" s="24">
        <v>25</v>
      </c>
      <c r="B29" s="17" t="s">
        <v>194</v>
      </c>
      <c r="C29" s="17" t="s">
        <v>109</v>
      </c>
      <c r="D29" s="17" t="s">
        <v>195</v>
      </c>
      <c r="E29" s="17" t="s">
        <v>1038</v>
      </c>
      <c r="F29" s="17" t="s">
        <v>1039</v>
      </c>
      <c r="G29" s="17" t="s">
        <v>1451</v>
      </c>
      <c r="H29" s="17" t="s">
        <v>1551</v>
      </c>
      <c r="I29" s="16" t="s">
        <v>1440</v>
      </c>
      <c r="J29" s="17" t="s">
        <v>1552</v>
      </c>
      <c r="K29" s="17" t="s">
        <v>1040</v>
      </c>
      <c r="L29" s="17" t="s">
        <v>1041</v>
      </c>
      <c r="M29" s="17" t="s">
        <v>965</v>
      </c>
      <c r="N29" s="17" t="s">
        <v>965</v>
      </c>
      <c r="O29" s="33" t="s">
        <v>1539</v>
      </c>
      <c r="P29" s="20"/>
      <c r="Q29" s="17" t="s">
        <v>1022</v>
      </c>
      <c r="R29" s="17" t="s">
        <v>969</v>
      </c>
    </row>
    <row r="30" spans="1:19" ht="54" customHeight="1">
      <c r="A30" s="23">
        <v>26</v>
      </c>
      <c r="B30" s="3" t="s">
        <v>197</v>
      </c>
      <c r="C30" s="3" t="s">
        <v>104</v>
      </c>
      <c r="D30" s="3" t="s">
        <v>198</v>
      </c>
      <c r="E30" s="3" t="s">
        <v>1564</v>
      </c>
      <c r="F30" s="3" t="s">
        <v>1558</v>
      </c>
      <c r="G30" s="3" t="s">
        <v>1451</v>
      </c>
      <c r="H30" s="3" t="s">
        <v>1562</v>
      </c>
      <c r="I30" s="34" t="s">
        <v>1440</v>
      </c>
      <c r="J30" s="3" t="s">
        <v>1563</v>
      </c>
      <c r="K30" s="3" t="s">
        <v>1559</v>
      </c>
      <c r="L30" s="3" t="s">
        <v>1560</v>
      </c>
      <c r="M30" s="3" t="s">
        <v>965</v>
      </c>
      <c r="N30" s="3" t="s">
        <v>1561</v>
      </c>
      <c r="O30" s="32" t="s">
        <v>1553</v>
      </c>
      <c r="P30" s="19" t="s">
        <v>1042</v>
      </c>
      <c r="Q30" s="3" t="s">
        <v>1004</v>
      </c>
      <c r="R30" s="3" t="s">
        <v>969</v>
      </c>
    </row>
    <row r="31" spans="1:19" ht="54" customHeight="1">
      <c r="A31" s="24">
        <v>27</v>
      </c>
      <c r="B31" s="17" t="s">
        <v>201</v>
      </c>
      <c r="C31" s="17" t="s">
        <v>109</v>
      </c>
      <c r="D31" s="17" t="s">
        <v>203</v>
      </c>
      <c r="E31" s="17" t="s">
        <v>1565</v>
      </c>
      <c r="F31" s="17" t="s">
        <v>1566</v>
      </c>
      <c r="G31" s="17" t="s">
        <v>1451</v>
      </c>
      <c r="H31" s="17" t="s">
        <v>1570</v>
      </c>
      <c r="I31" s="17" t="s">
        <v>1439</v>
      </c>
      <c r="J31" s="17" t="s">
        <v>1571</v>
      </c>
      <c r="K31" s="17" t="s">
        <v>1568</v>
      </c>
      <c r="L31" s="17" t="s">
        <v>1569</v>
      </c>
      <c r="M31" s="17" t="s">
        <v>1483</v>
      </c>
      <c r="N31" s="17" t="s">
        <v>1567</v>
      </c>
      <c r="O31" s="33" t="s">
        <v>1554</v>
      </c>
      <c r="P31" s="20"/>
      <c r="Q31" s="17" t="s">
        <v>1022</v>
      </c>
      <c r="R31" s="17" t="s">
        <v>969</v>
      </c>
    </row>
    <row r="32" spans="1:19" ht="54" customHeight="1">
      <c r="A32" s="23">
        <v>28</v>
      </c>
      <c r="B32" s="3" t="s">
        <v>206</v>
      </c>
      <c r="C32" s="3" t="s">
        <v>207</v>
      </c>
      <c r="D32" s="3" t="s">
        <v>209</v>
      </c>
      <c r="E32" s="3" t="s">
        <v>1576</v>
      </c>
      <c r="F32" s="3" t="s">
        <v>1572</v>
      </c>
      <c r="G32" s="3" t="s">
        <v>1451</v>
      </c>
      <c r="H32" s="3" t="s">
        <v>1575</v>
      </c>
      <c r="I32" s="3" t="s">
        <v>1439</v>
      </c>
      <c r="J32" s="3"/>
      <c r="K32" s="3" t="s">
        <v>1574</v>
      </c>
      <c r="L32" s="3" t="s">
        <v>965</v>
      </c>
      <c r="M32" s="3" t="s">
        <v>1483</v>
      </c>
      <c r="N32" s="3" t="s">
        <v>1573</v>
      </c>
      <c r="O32" s="32" t="s">
        <v>1555</v>
      </c>
      <c r="P32" s="19" t="s">
        <v>1043</v>
      </c>
      <c r="Q32" s="3" t="s">
        <v>1044</v>
      </c>
      <c r="R32" s="3" t="s">
        <v>969</v>
      </c>
    </row>
    <row r="33" spans="1:19" ht="54" customHeight="1">
      <c r="A33" s="24">
        <v>29</v>
      </c>
      <c r="B33" s="17" t="s">
        <v>211</v>
      </c>
      <c r="C33" s="17" t="s">
        <v>212</v>
      </c>
      <c r="D33" s="17" t="s">
        <v>144</v>
      </c>
      <c r="E33" s="17" t="s">
        <v>1584</v>
      </c>
      <c r="F33" s="17" t="s">
        <v>1558</v>
      </c>
      <c r="G33" s="17" t="s">
        <v>1451</v>
      </c>
      <c r="H33" s="17" t="s">
        <v>1585</v>
      </c>
      <c r="I33" s="17" t="s">
        <v>1439</v>
      </c>
      <c r="J33" s="17" t="s">
        <v>1586</v>
      </c>
      <c r="K33" s="17" t="s">
        <v>1582</v>
      </c>
      <c r="L33" s="17" t="s">
        <v>1045</v>
      </c>
      <c r="M33" s="17" t="s">
        <v>1483</v>
      </c>
      <c r="N33" s="17" t="s">
        <v>1583</v>
      </c>
      <c r="O33" s="33" t="s">
        <v>1556</v>
      </c>
      <c r="P33" s="20" t="s">
        <v>1046</v>
      </c>
      <c r="Q33" s="17" t="s">
        <v>993</v>
      </c>
      <c r="R33" s="17" t="s">
        <v>969</v>
      </c>
    </row>
    <row r="34" spans="1:19" ht="54" customHeight="1">
      <c r="A34" s="23">
        <v>30</v>
      </c>
      <c r="B34" s="3" t="s">
        <v>215</v>
      </c>
      <c r="C34" s="3" t="s">
        <v>150</v>
      </c>
      <c r="D34" s="3" t="s">
        <v>216</v>
      </c>
      <c r="E34" s="3" t="s">
        <v>1588</v>
      </c>
      <c r="F34" s="3" t="s">
        <v>1587</v>
      </c>
      <c r="G34" s="3" t="s">
        <v>1451</v>
      </c>
      <c r="H34" s="3" t="s">
        <v>1589</v>
      </c>
      <c r="I34" s="3" t="s">
        <v>1439</v>
      </c>
      <c r="J34" s="3" t="s">
        <v>1590</v>
      </c>
      <c r="K34" s="3" t="s">
        <v>1591</v>
      </c>
      <c r="L34" s="3" t="s">
        <v>1592</v>
      </c>
      <c r="M34" s="3" t="s">
        <v>965</v>
      </c>
      <c r="N34" s="3" t="s">
        <v>965</v>
      </c>
      <c r="O34" s="32" t="s">
        <v>1557</v>
      </c>
      <c r="P34" s="19" t="s">
        <v>1047</v>
      </c>
      <c r="Q34" s="3" t="s">
        <v>977</v>
      </c>
      <c r="R34" s="3" t="s">
        <v>969</v>
      </c>
    </row>
    <row r="35" spans="1:19" ht="54" customHeight="1">
      <c r="A35" s="24">
        <v>49</v>
      </c>
      <c r="B35" s="17" t="s">
        <v>273</v>
      </c>
      <c r="C35" s="17" t="s">
        <v>109</v>
      </c>
      <c r="D35" s="17" t="s">
        <v>274</v>
      </c>
      <c r="E35" s="17" t="s">
        <v>1596</v>
      </c>
      <c r="F35" s="17" t="s">
        <v>1595</v>
      </c>
      <c r="G35" s="17" t="s">
        <v>1451</v>
      </c>
      <c r="H35" s="17" t="s">
        <v>1594</v>
      </c>
      <c r="I35" s="17" t="s">
        <v>1439</v>
      </c>
      <c r="J35" s="17" t="s">
        <v>1597</v>
      </c>
      <c r="K35" s="17" t="s">
        <v>1593</v>
      </c>
      <c r="L35" s="17" t="s">
        <v>1048</v>
      </c>
      <c r="M35" s="17" t="s">
        <v>965</v>
      </c>
      <c r="N35" s="17" t="s">
        <v>965</v>
      </c>
      <c r="O35" s="33" t="s">
        <v>1577</v>
      </c>
      <c r="P35" s="20"/>
      <c r="Q35" s="17" t="s">
        <v>1049</v>
      </c>
      <c r="R35" s="17" t="s">
        <v>969</v>
      </c>
    </row>
    <row r="36" spans="1:19" ht="54" customHeight="1">
      <c r="A36" s="23">
        <v>52</v>
      </c>
      <c r="B36" s="3" t="s">
        <v>219</v>
      </c>
      <c r="C36" s="3" t="s">
        <v>129</v>
      </c>
      <c r="D36" s="3" t="s">
        <v>220</v>
      </c>
      <c r="E36" s="3" t="s">
        <v>1599</v>
      </c>
      <c r="F36" s="3" t="s">
        <v>1602</v>
      </c>
      <c r="G36" s="3" t="s">
        <v>1598</v>
      </c>
      <c r="H36" s="3" t="s">
        <v>1603</v>
      </c>
      <c r="I36" s="3" t="s">
        <v>1439</v>
      </c>
      <c r="J36" s="3" t="s">
        <v>1604</v>
      </c>
      <c r="K36" s="3" t="s">
        <v>1600</v>
      </c>
      <c r="L36" s="3" t="s">
        <v>965</v>
      </c>
      <c r="M36" s="3" t="s">
        <v>965</v>
      </c>
      <c r="N36" s="3" t="s">
        <v>1601</v>
      </c>
      <c r="O36" s="32" t="s">
        <v>1578</v>
      </c>
      <c r="P36" s="19"/>
      <c r="Q36" s="3" t="s">
        <v>1050</v>
      </c>
      <c r="R36" s="3" t="s">
        <v>969</v>
      </c>
    </row>
    <row r="37" spans="1:19" ht="54" customHeight="1">
      <c r="A37" s="24">
        <v>53</v>
      </c>
      <c r="B37" s="17" t="s">
        <v>223</v>
      </c>
      <c r="C37" s="17" t="s">
        <v>129</v>
      </c>
      <c r="D37" s="17" t="s">
        <v>224</v>
      </c>
      <c r="E37" s="17" t="s">
        <v>1507</v>
      </c>
      <c r="F37" s="17" t="s">
        <v>1605</v>
      </c>
      <c r="G37" s="17" t="s">
        <v>1451</v>
      </c>
      <c r="H37" s="17" t="s">
        <v>1051</v>
      </c>
      <c r="I37" s="16" t="s">
        <v>1440</v>
      </c>
      <c r="J37" s="17"/>
      <c r="K37" s="17" t="s">
        <v>1607</v>
      </c>
      <c r="L37" s="17" t="s">
        <v>965</v>
      </c>
      <c r="M37" s="17" t="s">
        <v>965</v>
      </c>
      <c r="N37" s="17" t="s">
        <v>1606</v>
      </c>
      <c r="O37" s="33" t="s">
        <v>1579</v>
      </c>
      <c r="P37" s="20" t="s">
        <v>1052</v>
      </c>
      <c r="Q37" s="17" t="s">
        <v>968</v>
      </c>
      <c r="R37" s="17" t="s">
        <v>969</v>
      </c>
    </row>
    <row r="38" spans="1:19" ht="54" customHeight="1">
      <c r="A38" s="23">
        <v>54</v>
      </c>
      <c r="B38" s="3" t="s">
        <v>226</v>
      </c>
      <c r="C38" s="3" t="s">
        <v>104</v>
      </c>
      <c r="D38" s="3" t="s">
        <v>216</v>
      </c>
      <c r="E38" s="3" t="s">
        <v>965</v>
      </c>
      <c r="F38" s="3" t="s">
        <v>1608</v>
      </c>
      <c r="G38" s="3" t="s">
        <v>965</v>
      </c>
      <c r="H38" s="3" t="s">
        <v>965</v>
      </c>
      <c r="I38" s="34" t="s">
        <v>1440</v>
      </c>
      <c r="J38" s="3"/>
      <c r="K38" s="3" t="s">
        <v>1053</v>
      </c>
      <c r="L38" s="3" t="s">
        <v>965</v>
      </c>
      <c r="M38" s="3" t="s">
        <v>1483</v>
      </c>
      <c r="N38" s="3" t="s">
        <v>965</v>
      </c>
      <c r="O38" s="32" t="s">
        <v>1580</v>
      </c>
      <c r="P38" s="19"/>
      <c r="Q38" s="3" t="s">
        <v>1054</v>
      </c>
      <c r="R38" s="3" t="s">
        <v>969</v>
      </c>
      <c r="S38" t="s">
        <v>1541</v>
      </c>
    </row>
    <row r="39" spans="1:19" ht="54" customHeight="1">
      <c r="A39" s="24">
        <v>55</v>
      </c>
      <c r="B39" s="17" t="s">
        <v>228</v>
      </c>
      <c r="C39" s="17" t="s">
        <v>229</v>
      </c>
      <c r="D39" s="17" t="s">
        <v>230</v>
      </c>
      <c r="E39" s="17" t="s">
        <v>965</v>
      </c>
      <c r="F39" s="17" t="s">
        <v>1610</v>
      </c>
      <c r="G39" s="17" t="s">
        <v>1451</v>
      </c>
      <c r="H39" s="17" t="s">
        <v>1611</v>
      </c>
      <c r="I39" s="17" t="s">
        <v>1439</v>
      </c>
      <c r="J39" s="17" t="s">
        <v>1612</v>
      </c>
      <c r="K39" s="17" t="s">
        <v>1609</v>
      </c>
      <c r="L39" s="17" t="s">
        <v>965</v>
      </c>
      <c r="M39" s="17" t="s">
        <v>1483</v>
      </c>
      <c r="N39" s="17" t="s">
        <v>965</v>
      </c>
      <c r="O39" s="33" t="s">
        <v>1581</v>
      </c>
      <c r="P39" s="20"/>
      <c r="Q39" s="17" t="s">
        <v>1018</v>
      </c>
      <c r="R39" s="17" t="s">
        <v>969</v>
      </c>
    </row>
    <row r="40" spans="1:19" ht="54" customHeight="1">
      <c r="A40" s="38">
        <v>56</v>
      </c>
      <c r="B40" s="3" t="s">
        <v>232</v>
      </c>
      <c r="C40" s="3" t="s">
        <v>233</v>
      </c>
      <c r="D40" s="3" t="s">
        <v>234</v>
      </c>
      <c r="E40" s="3" t="s">
        <v>965</v>
      </c>
      <c r="F40" s="3" t="s">
        <v>1055</v>
      </c>
      <c r="G40" s="3" t="s">
        <v>1451</v>
      </c>
      <c r="H40" s="3" t="s">
        <v>1619</v>
      </c>
      <c r="I40" s="3" t="s">
        <v>1439</v>
      </c>
      <c r="J40" s="3" t="s">
        <v>1618</v>
      </c>
      <c r="K40" s="3"/>
      <c r="L40" s="3" t="s">
        <v>965</v>
      </c>
      <c r="M40" s="3" t="s">
        <v>1483</v>
      </c>
      <c r="N40" s="3" t="s">
        <v>965</v>
      </c>
      <c r="O40" s="32" t="s">
        <v>1613</v>
      </c>
      <c r="P40" s="19" t="s">
        <v>1056</v>
      </c>
      <c r="Q40" s="3" t="s">
        <v>1027</v>
      </c>
      <c r="R40" s="3" t="s">
        <v>969</v>
      </c>
    </row>
    <row r="41" spans="1:19" ht="54" customHeight="1">
      <c r="A41" s="38">
        <v>57</v>
      </c>
      <c r="B41" s="17" t="s">
        <v>236</v>
      </c>
      <c r="C41" s="17" t="s">
        <v>237</v>
      </c>
      <c r="D41" s="17" t="s">
        <v>238</v>
      </c>
      <c r="E41" s="17" t="s">
        <v>965</v>
      </c>
      <c r="F41" s="17" t="s">
        <v>965</v>
      </c>
      <c r="G41" s="17" t="s">
        <v>965</v>
      </c>
      <c r="H41" s="17" t="s">
        <v>965</v>
      </c>
      <c r="I41" s="17" t="s">
        <v>1620</v>
      </c>
      <c r="J41" s="17"/>
      <c r="K41" s="17" t="s">
        <v>1057</v>
      </c>
      <c r="L41" s="17" t="s">
        <v>965</v>
      </c>
      <c r="M41" s="17" t="s">
        <v>965</v>
      </c>
      <c r="N41" s="17" t="s">
        <v>965</v>
      </c>
      <c r="O41" s="33" t="s">
        <v>1614</v>
      </c>
      <c r="P41" s="20" t="s">
        <v>1058</v>
      </c>
      <c r="Q41" s="17" t="s">
        <v>1059</v>
      </c>
      <c r="R41" s="17" t="s">
        <v>969</v>
      </c>
    </row>
    <row r="42" spans="1:19" ht="54" customHeight="1">
      <c r="A42" s="38">
        <v>58</v>
      </c>
      <c r="B42" s="3" t="s">
        <v>240</v>
      </c>
      <c r="C42" s="3" t="s">
        <v>229</v>
      </c>
      <c r="D42" s="3" t="s">
        <v>241</v>
      </c>
      <c r="E42" s="3" t="s">
        <v>1621</v>
      </c>
      <c r="F42" s="3" t="s">
        <v>1622</v>
      </c>
      <c r="G42" s="3" t="s">
        <v>1060</v>
      </c>
      <c r="H42" s="3" t="s">
        <v>1061</v>
      </c>
      <c r="I42" s="3" t="s">
        <v>1439</v>
      </c>
      <c r="J42" s="3"/>
      <c r="K42" s="3" t="s">
        <v>965</v>
      </c>
      <c r="L42" s="3" t="s">
        <v>965</v>
      </c>
      <c r="M42" s="3" t="s">
        <v>965</v>
      </c>
      <c r="N42" s="3" t="s">
        <v>965</v>
      </c>
      <c r="O42" s="32" t="s">
        <v>1615</v>
      </c>
      <c r="P42" s="19"/>
      <c r="Q42" s="3" t="s">
        <v>1018</v>
      </c>
      <c r="R42" s="3" t="s">
        <v>969</v>
      </c>
    </row>
    <row r="43" spans="1:19" ht="54" customHeight="1">
      <c r="A43" s="38">
        <v>59</v>
      </c>
      <c r="B43" s="17" t="s">
        <v>243</v>
      </c>
      <c r="C43" s="17" t="s">
        <v>244</v>
      </c>
      <c r="D43" s="17" t="s">
        <v>245</v>
      </c>
      <c r="E43" s="17" t="s">
        <v>965</v>
      </c>
      <c r="F43" s="17" t="s">
        <v>965</v>
      </c>
      <c r="G43" s="17" t="s">
        <v>965</v>
      </c>
      <c r="H43" s="17" t="s">
        <v>965</v>
      </c>
      <c r="I43" s="17" t="s">
        <v>1439</v>
      </c>
      <c r="J43" s="17"/>
      <c r="K43" s="17" t="s">
        <v>965</v>
      </c>
      <c r="L43" s="17" t="s">
        <v>965</v>
      </c>
      <c r="M43" s="17" t="s">
        <v>965</v>
      </c>
      <c r="N43" s="17" t="s">
        <v>965</v>
      </c>
      <c r="O43" s="33" t="s">
        <v>1616</v>
      </c>
      <c r="P43" s="20"/>
      <c r="Q43" s="17" t="s">
        <v>1009</v>
      </c>
      <c r="R43" s="17" t="s">
        <v>969</v>
      </c>
    </row>
    <row r="44" spans="1:19" ht="54" customHeight="1">
      <c r="A44" s="23">
        <v>60</v>
      </c>
      <c r="B44" s="3" t="s">
        <v>247</v>
      </c>
      <c r="C44" s="3" t="s">
        <v>248</v>
      </c>
      <c r="D44" s="3" t="s">
        <v>249</v>
      </c>
      <c r="E44" s="3" t="s">
        <v>1062</v>
      </c>
      <c r="F44" s="3" t="s">
        <v>1487</v>
      </c>
      <c r="G44" s="3" t="s">
        <v>965</v>
      </c>
      <c r="H44" s="3" t="s">
        <v>1063</v>
      </c>
      <c r="I44" s="3" t="s">
        <v>1439</v>
      </c>
      <c r="J44" s="3" t="s">
        <v>1623</v>
      </c>
      <c r="K44" s="3" t="s">
        <v>1064</v>
      </c>
      <c r="L44" s="3" t="s">
        <v>965</v>
      </c>
      <c r="M44" s="3" t="s">
        <v>965</v>
      </c>
      <c r="N44" s="3" t="s">
        <v>965</v>
      </c>
      <c r="O44" s="32" t="s">
        <v>1617</v>
      </c>
      <c r="P44" s="19" t="s">
        <v>1065</v>
      </c>
      <c r="Q44" s="3" t="s">
        <v>1004</v>
      </c>
      <c r="R44" s="3" t="s">
        <v>969</v>
      </c>
    </row>
    <row r="45" spans="1:19" ht="54" customHeight="1">
      <c r="A45" s="24">
        <v>61</v>
      </c>
      <c r="B45" s="17" t="s">
        <v>251</v>
      </c>
      <c r="C45" s="17" t="s">
        <v>104</v>
      </c>
      <c r="D45" s="17" t="s">
        <v>163</v>
      </c>
      <c r="E45" s="17" t="s">
        <v>965</v>
      </c>
      <c r="F45" s="17" t="s">
        <v>965</v>
      </c>
      <c r="G45" s="17" t="s">
        <v>965</v>
      </c>
      <c r="H45" s="17" t="s">
        <v>965</v>
      </c>
      <c r="I45" s="16" t="s">
        <v>1440</v>
      </c>
      <c r="J45" s="17"/>
      <c r="K45" s="17" t="s">
        <v>965</v>
      </c>
      <c r="L45" s="17" t="s">
        <v>1066</v>
      </c>
      <c r="M45" s="17" t="s">
        <v>965</v>
      </c>
      <c r="N45" s="17" t="s">
        <v>965</v>
      </c>
      <c r="O45" s="33" t="s">
        <v>1626</v>
      </c>
      <c r="P45" s="20"/>
      <c r="Q45" s="17" t="s">
        <v>990</v>
      </c>
      <c r="R45" s="17" t="s">
        <v>969</v>
      </c>
      <c r="S45" t="s">
        <v>1630</v>
      </c>
    </row>
    <row r="46" spans="1:19" ht="54" customHeight="1">
      <c r="A46" s="23">
        <v>62</v>
      </c>
      <c r="B46" s="3" t="s">
        <v>253</v>
      </c>
      <c r="C46" s="3" t="s">
        <v>233</v>
      </c>
      <c r="D46" s="3" t="s">
        <v>254</v>
      </c>
      <c r="E46" s="3" t="s">
        <v>965</v>
      </c>
      <c r="F46" s="3" t="s">
        <v>965</v>
      </c>
      <c r="G46" s="3" t="s">
        <v>965</v>
      </c>
      <c r="H46" s="3" t="s">
        <v>965</v>
      </c>
      <c r="I46" s="34" t="s">
        <v>1440</v>
      </c>
      <c r="J46" s="3"/>
      <c r="K46" s="3" t="s">
        <v>965</v>
      </c>
      <c r="L46" s="3" t="s">
        <v>965</v>
      </c>
      <c r="M46" s="3" t="s">
        <v>965</v>
      </c>
      <c r="N46" s="3" t="s">
        <v>965</v>
      </c>
      <c r="O46" s="32" t="s">
        <v>1624</v>
      </c>
      <c r="P46" s="19"/>
      <c r="Q46" s="3" t="s">
        <v>1009</v>
      </c>
      <c r="R46" s="3" t="s">
        <v>969</v>
      </c>
    </row>
    <row r="47" spans="1:19" ht="54" customHeight="1">
      <c r="A47" s="24">
        <v>63</v>
      </c>
      <c r="B47" s="17" t="s">
        <v>256</v>
      </c>
      <c r="C47" s="17" t="s">
        <v>257</v>
      </c>
      <c r="D47" s="17" t="s">
        <v>258</v>
      </c>
      <c r="E47" s="17" t="s">
        <v>965</v>
      </c>
      <c r="F47" s="17" t="s">
        <v>965</v>
      </c>
      <c r="G47" s="17" t="s">
        <v>965</v>
      </c>
      <c r="H47" s="17" t="s">
        <v>965</v>
      </c>
      <c r="I47" s="17" t="s">
        <v>1439</v>
      </c>
      <c r="J47" s="17"/>
      <c r="K47" s="17" t="s">
        <v>1067</v>
      </c>
      <c r="L47" s="17" t="s">
        <v>965</v>
      </c>
      <c r="M47" s="17" t="s">
        <v>965</v>
      </c>
      <c r="N47" s="17" t="s">
        <v>965</v>
      </c>
      <c r="O47" s="33" t="s">
        <v>1625</v>
      </c>
      <c r="P47" s="20" t="s">
        <v>1068</v>
      </c>
      <c r="Q47" s="17" t="s">
        <v>998</v>
      </c>
      <c r="R47" s="17" t="s">
        <v>999</v>
      </c>
      <c r="S47" t="s">
        <v>1631</v>
      </c>
    </row>
    <row r="48" spans="1:19" ht="54" customHeight="1">
      <c r="A48" s="23">
        <v>64</v>
      </c>
      <c r="B48" s="3" t="s">
        <v>260</v>
      </c>
      <c r="C48" s="3" t="s">
        <v>233</v>
      </c>
      <c r="D48" s="3" t="s">
        <v>261</v>
      </c>
      <c r="E48" s="3" t="s">
        <v>965</v>
      </c>
      <c r="F48" s="3" t="s">
        <v>965</v>
      </c>
      <c r="G48" s="3" t="s">
        <v>965</v>
      </c>
      <c r="H48" s="3" t="s">
        <v>965</v>
      </c>
      <c r="I48" s="3" t="s">
        <v>1439</v>
      </c>
      <c r="J48" s="3"/>
      <c r="K48" s="3" t="s">
        <v>965</v>
      </c>
      <c r="L48" s="3" t="s">
        <v>965</v>
      </c>
      <c r="M48" s="3" t="s">
        <v>965</v>
      </c>
      <c r="N48" s="3" t="s">
        <v>965</v>
      </c>
      <c r="O48" s="32" t="s">
        <v>1627</v>
      </c>
      <c r="P48" s="19"/>
      <c r="Q48" s="3" t="s">
        <v>1009</v>
      </c>
      <c r="R48" s="3" t="s">
        <v>969</v>
      </c>
      <c r="S48" t="s">
        <v>1632</v>
      </c>
    </row>
    <row r="49" spans="1:19" ht="54" customHeight="1">
      <c r="A49" s="24">
        <v>65</v>
      </c>
      <c r="B49" s="17" t="s">
        <v>263</v>
      </c>
      <c r="C49" s="17" t="s">
        <v>129</v>
      </c>
      <c r="D49" s="17" t="s">
        <v>264</v>
      </c>
      <c r="E49" s="17" t="s">
        <v>1069</v>
      </c>
      <c r="F49" s="17" t="s">
        <v>1643</v>
      </c>
      <c r="G49" s="17" t="s">
        <v>1642</v>
      </c>
      <c r="H49" s="17" t="s">
        <v>1641</v>
      </c>
      <c r="I49" s="17" t="s">
        <v>1439</v>
      </c>
      <c r="J49" s="17" t="s">
        <v>1639</v>
      </c>
      <c r="K49" s="17" t="s">
        <v>1070</v>
      </c>
      <c r="L49" s="17" t="s">
        <v>1071</v>
      </c>
      <c r="M49" s="17" t="s">
        <v>966</v>
      </c>
      <c r="N49" s="17" t="s">
        <v>965</v>
      </c>
      <c r="O49" s="33" t="s">
        <v>1628</v>
      </c>
      <c r="P49" s="20" t="s">
        <v>1072</v>
      </c>
      <c r="Q49" s="17" t="s">
        <v>998</v>
      </c>
      <c r="R49" s="17" t="s">
        <v>999</v>
      </c>
    </row>
    <row r="50" spans="1:19" ht="54" customHeight="1">
      <c r="A50" s="23">
        <v>66</v>
      </c>
      <c r="B50" s="3" t="s">
        <v>27</v>
      </c>
      <c r="C50" s="3" t="s">
        <v>104</v>
      </c>
      <c r="D50" s="3" t="s">
        <v>267</v>
      </c>
      <c r="E50" s="3" t="s">
        <v>1073</v>
      </c>
      <c r="F50" s="3" t="s">
        <v>965</v>
      </c>
      <c r="G50" s="3" t="s">
        <v>1074</v>
      </c>
      <c r="H50" s="3" t="s">
        <v>1075</v>
      </c>
      <c r="I50" s="3" t="s">
        <v>1439</v>
      </c>
      <c r="J50" s="3"/>
      <c r="K50" s="3" t="s">
        <v>1644</v>
      </c>
      <c r="L50" s="3" t="s">
        <v>965</v>
      </c>
      <c r="M50" s="3" t="s">
        <v>965</v>
      </c>
      <c r="N50" s="3" t="s">
        <v>1640</v>
      </c>
      <c r="O50" s="32" t="s">
        <v>1629</v>
      </c>
      <c r="P50" s="19"/>
      <c r="Q50" s="3" t="s">
        <v>1036</v>
      </c>
      <c r="R50" s="3" t="s">
        <v>969</v>
      </c>
    </row>
    <row r="51" spans="1:19" ht="54" customHeight="1">
      <c r="A51" s="24">
        <v>67</v>
      </c>
      <c r="B51" s="17" t="s">
        <v>269</v>
      </c>
      <c r="C51" s="17" t="s">
        <v>270</v>
      </c>
      <c r="D51" s="17" t="s">
        <v>271</v>
      </c>
      <c r="E51" s="17" t="s">
        <v>965</v>
      </c>
      <c r="F51" s="17" t="s">
        <v>965</v>
      </c>
      <c r="G51" s="17" t="s">
        <v>965</v>
      </c>
      <c r="H51" s="17" t="s">
        <v>965</v>
      </c>
      <c r="I51" s="17" t="s">
        <v>1439</v>
      </c>
      <c r="J51" s="17"/>
      <c r="K51" s="17" t="s">
        <v>965</v>
      </c>
      <c r="L51" s="17" t="s">
        <v>965</v>
      </c>
      <c r="M51" s="17" t="s">
        <v>965</v>
      </c>
      <c r="N51" s="17" t="s">
        <v>965</v>
      </c>
      <c r="O51" s="33" t="s">
        <v>1633</v>
      </c>
      <c r="P51" s="20"/>
      <c r="Q51" s="17" t="s">
        <v>1076</v>
      </c>
      <c r="R51" s="17" t="s">
        <v>969</v>
      </c>
      <c r="S51" t="s">
        <v>1635</v>
      </c>
    </row>
    <row r="52" spans="1:19" ht="54" customHeight="1">
      <c r="A52" s="23">
        <v>68</v>
      </c>
      <c r="B52" s="3" t="s">
        <v>277</v>
      </c>
      <c r="C52" s="3" t="s">
        <v>233</v>
      </c>
      <c r="D52" s="3" t="s">
        <v>278</v>
      </c>
      <c r="E52" s="3" t="s">
        <v>1077</v>
      </c>
      <c r="F52" s="3" t="s">
        <v>1078</v>
      </c>
      <c r="G52" s="3" t="s">
        <v>1079</v>
      </c>
      <c r="H52" s="3" t="s">
        <v>1080</v>
      </c>
      <c r="I52" s="3" t="s">
        <v>1439</v>
      </c>
      <c r="J52" s="3"/>
      <c r="K52" s="3" t="s">
        <v>965</v>
      </c>
      <c r="L52" s="3" t="s">
        <v>965</v>
      </c>
      <c r="M52" s="3" t="s">
        <v>965</v>
      </c>
      <c r="N52" s="3" t="s">
        <v>965</v>
      </c>
      <c r="O52" s="32" t="s">
        <v>1634</v>
      </c>
      <c r="P52" s="19"/>
      <c r="Q52" s="3" t="s">
        <v>1004</v>
      </c>
      <c r="R52" s="3" t="s">
        <v>969</v>
      </c>
    </row>
    <row r="53" spans="1:19" ht="54" customHeight="1">
      <c r="A53" s="24">
        <v>69</v>
      </c>
      <c r="B53" s="17" t="s">
        <v>280</v>
      </c>
      <c r="C53" s="17" t="s">
        <v>281</v>
      </c>
      <c r="D53" s="17" t="s">
        <v>282</v>
      </c>
      <c r="E53" s="17" t="s">
        <v>1081</v>
      </c>
      <c r="F53" s="17" t="s">
        <v>1082</v>
      </c>
      <c r="G53" s="17" t="s">
        <v>1083</v>
      </c>
      <c r="H53" s="17" t="s">
        <v>1084</v>
      </c>
      <c r="I53" s="16" t="s">
        <v>1440</v>
      </c>
      <c r="J53" s="17"/>
      <c r="K53" s="17" t="s">
        <v>1085</v>
      </c>
      <c r="L53" s="17" t="s">
        <v>1086</v>
      </c>
      <c r="M53" s="17" t="s">
        <v>965</v>
      </c>
      <c r="N53" s="17" t="s">
        <v>965</v>
      </c>
      <c r="O53" s="33" t="s">
        <v>1636</v>
      </c>
      <c r="P53" s="20" t="s">
        <v>1087</v>
      </c>
      <c r="Q53" s="17" t="s">
        <v>998</v>
      </c>
      <c r="R53" s="17" t="s">
        <v>999</v>
      </c>
      <c r="S53" t="s">
        <v>1635</v>
      </c>
    </row>
    <row r="54" spans="1:19" ht="54" customHeight="1">
      <c r="A54" s="23">
        <v>70</v>
      </c>
      <c r="B54" s="3" t="s">
        <v>284</v>
      </c>
      <c r="C54" s="3" t="s">
        <v>285</v>
      </c>
      <c r="D54" s="3" t="s">
        <v>144</v>
      </c>
      <c r="E54" s="3" t="s">
        <v>1088</v>
      </c>
      <c r="F54" s="3" t="s">
        <v>1089</v>
      </c>
      <c r="G54" s="3" t="s">
        <v>1090</v>
      </c>
      <c r="H54" s="3" t="s">
        <v>1091</v>
      </c>
      <c r="I54" s="34" t="s">
        <v>1440</v>
      </c>
      <c r="J54" s="3"/>
      <c r="K54" s="3" t="s">
        <v>1092</v>
      </c>
      <c r="L54" s="3" t="s">
        <v>965</v>
      </c>
      <c r="M54" s="3" t="s">
        <v>965</v>
      </c>
      <c r="N54" s="3" t="s">
        <v>965</v>
      </c>
      <c r="O54" s="32" t="s">
        <v>1637</v>
      </c>
      <c r="P54" s="19" t="s">
        <v>1093</v>
      </c>
      <c r="Q54" s="3" t="s">
        <v>1022</v>
      </c>
      <c r="R54" s="3" t="s">
        <v>969</v>
      </c>
    </row>
    <row r="55" spans="1:19" ht="54" customHeight="1">
      <c r="A55" s="24">
        <v>71</v>
      </c>
      <c r="B55" s="17" t="s">
        <v>288</v>
      </c>
      <c r="C55" s="17" t="s">
        <v>229</v>
      </c>
      <c r="D55" s="17" t="s">
        <v>290</v>
      </c>
      <c r="E55" s="17" t="s">
        <v>965</v>
      </c>
      <c r="F55" s="17" t="s">
        <v>1094</v>
      </c>
      <c r="G55" s="17" t="s">
        <v>965</v>
      </c>
      <c r="H55" s="17" t="s">
        <v>1095</v>
      </c>
      <c r="I55" s="17" t="s">
        <v>1439</v>
      </c>
      <c r="J55" s="17" t="s">
        <v>1645</v>
      </c>
      <c r="K55" s="17" t="s">
        <v>1646</v>
      </c>
      <c r="L55" s="17" t="s">
        <v>1096</v>
      </c>
      <c r="M55" s="17" t="s">
        <v>965</v>
      </c>
      <c r="N55" s="17" t="s">
        <v>965</v>
      </c>
      <c r="O55" s="33" t="s">
        <v>1638</v>
      </c>
      <c r="P55" s="20"/>
      <c r="Q55" s="17" t="s">
        <v>1004</v>
      </c>
      <c r="R55" s="17" t="s">
        <v>969</v>
      </c>
    </row>
    <row r="56" spans="1:19" ht="54" customHeight="1">
      <c r="A56" s="23">
        <v>72</v>
      </c>
      <c r="B56" s="3" t="s">
        <v>292</v>
      </c>
      <c r="C56" s="3" t="s">
        <v>293</v>
      </c>
      <c r="D56" s="3" t="s">
        <v>295</v>
      </c>
      <c r="E56" s="3" t="s">
        <v>965</v>
      </c>
      <c r="F56" s="3" t="s">
        <v>1437</v>
      </c>
      <c r="G56" s="3" t="s">
        <v>1451</v>
      </c>
      <c r="H56" s="3" t="s">
        <v>1659</v>
      </c>
      <c r="I56" s="3" t="s">
        <v>1439</v>
      </c>
      <c r="J56" s="3" t="s">
        <v>1658</v>
      </c>
      <c r="K56" s="3" t="s">
        <v>1656</v>
      </c>
      <c r="L56" s="3" t="s">
        <v>965</v>
      </c>
      <c r="M56" s="3" t="s">
        <v>966</v>
      </c>
      <c r="N56" s="3" t="s">
        <v>1657</v>
      </c>
      <c r="O56" s="32" t="s">
        <v>1647</v>
      </c>
      <c r="P56" s="19"/>
      <c r="Q56" s="3" t="s">
        <v>1001</v>
      </c>
      <c r="R56" s="3" t="s">
        <v>969</v>
      </c>
    </row>
    <row r="57" spans="1:19" ht="54" customHeight="1">
      <c r="A57" s="24">
        <v>73</v>
      </c>
      <c r="B57" s="17" t="s">
        <v>297</v>
      </c>
      <c r="C57" s="17" t="s">
        <v>233</v>
      </c>
      <c r="D57" s="17" t="s">
        <v>299</v>
      </c>
      <c r="E57" s="17" t="s">
        <v>965</v>
      </c>
      <c r="F57" s="17" t="s">
        <v>1097</v>
      </c>
      <c r="G57" s="17" t="s">
        <v>965</v>
      </c>
      <c r="H57" s="17" t="s">
        <v>965</v>
      </c>
      <c r="I57" s="17" t="s">
        <v>1439</v>
      </c>
      <c r="J57" s="17"/>
      <c r="K57" s="17" t="s">
        <v>1098</v>
      </c>
      <c r="L57" s="17" t="s">
        <v>965</v>
      </c>
      <c r="M57" s="17" t="s">
        <v>965</v>
      </c>
      <c r="N57" s="17" t="s">
        <v>965</v>
      </c>
      <c r="O57" s="33" t="s">
        <v>1648</v>
      </c>
      <c r="P57" s="20"/>
      <c r="Q57" s="17" t="s">
        <v>1036</v>
      </c>
      <c r="R57" s="17" t="s">
        <v>969</v>
      </c>
      <c r="S57" t="s">
        <v>1660</v>
      </c>
    </row>
    <row r="58" spans="1:19" ht="54" customHeight="1">
      <c r="A58" s="23">
        <v>74</v>
      </c>
      <c r="B58" s="3" t="s">
        <v>301</v>
      </c>
      <c r="C58" s="3" t="s">
        <v>104</v>
      </c>
      <c r="D58" s="3" t="s">
        <v>302</v>
      </c>
      <c r="E58" s="3" t="s">
        <v>1662</v>
      </c>
      <c r="F58" s="3" t="s">
        <v>1434</v>
      </c>
      <c r="G58" s="3" t="s">
        <v>1451</v>
      </c>
      <c r="H58" s="3" t="s">
        <v>1664</v>
      </c>
      <c r="I58" s="3" t="s">
        <v>1439</v>
      </c>
      <c r="J58" s="3"/>
      <c r="K58" s="3" t="s">
        <v>1099</v>
      </c>
      <c r="L58" s="3" t="s">
        <v>1663</v>
      </c>
      <c r="M58" s="3" t="s">
        <v>966</v>
      </c>
      <c r="N58" s="3" t="s">
        <v>1661</v>
      </c>
      <c r="O58" s="32" t="s">
        <v>1649</v>
      </c>
      <c r="P58" s="19" t="s">
        <v>1100</v>
      </c>
      <c r="Q58" s="3" t="s">
        <v>1101</v>
      </c>
      <c r="R58" s="3" t="s">
        <v>969</v>
      </c>
    </row>
    <row r="59" spans="1:19" ht="54" customHeight="1">
      <c r="A59" s="24">
        <v>76</v>
      </c>
      <c r="B59" s="17" t="s">
        <v>304</v>
      </c>
      <c r="C59" s="17" t="s">
        <v>129</v>
      </c>
      <c r="D59" s="17" t="s">
        <v>185</v>
      </c>
      <c r="E59" s="17" t="s">
        <v>1669</v>
      </c>
      <c r="F59" s="17" t="s">
        <v>1102</v>
      </c>
      <c r="G59" s="17" t="s">
        <v>1451</v>
      </c>
      <c r="H59" s="17" t="s">
        <v>1667</v>
      </c>
      <c r="I59" s="17" t="s">
        <v>1439</v>
      </c>
      <c r="J59" s="17" t="s">
        <v>1668</v>
      </c>
      <c r="K59" s="17" t="s">
        <v>1665</v>
      </c>
      <c r="L59" s="17" t="s">
        <v>1103</v>
      </c>
      <c r="M59" s="17" t="s">
        <v>1666</v>
      </c>
      <c r="N59" s="17" t="s">
        <v>965</v>
      </c>
      <c r="O59" s="33" t="s">
        <v>1650</v>
      </c>
      <c r="P59" s="20"/>
      <c r="Q59" s="17" t="s">
        <v>993</v>
      </c>
      <c r="R59" s="17" t="s">
        <v>969</v>
      </c>
    </row>
    <row r="60" spans="1:19" ht="54" customHeight="1">
      <c r="A60" s="23">
        <v>77</v>
      </c>
      <c r="B60" s="3" t="s">
        <v>306</v>
      </c>
      <c r="C60" s="3" t="s">
        <v>129</v>
      </c>
      <c r="D60" s="3" t="s">
        <v>308</v>
      </c>
      <c r="E60" s="3" t="s">
        <v>1104</v>
      </c>
      <c r="F60" s="3" t="s">
        <v>1105</v>
      </c>
      <c r="G60" s="3" t="s">
        <v>1106</v>
      </c>
      <c r="H60" s="3" t="s">
        <v>1107</v>
      </c>
      <c r="I60" s="3" t="s">
        <v>1439</v>
      </c>
      <c r="J60" s="3"/>
      <c r="K60" s="3" t="s">
        <v>1108</v>
      </c>
      <c r="L60" s="3" t="s">
        <v>965</v>
      </c>
      <c r="M60" s="3" t="s">
        <v>965</v>
      </c>
      <c r="N60" s="3" t="s">
        <v>1109</v>
      </c>
      <c r="O60" s="32" t="s">
        <v>1651</v>
      </c>
      <c r="P60" s="19" t="s">
        <v>434</v>
      </c>
      <c r="Q60" s="3" t="s">
        <v>998</v>
      </c>
      <c r="R60" s="3" t="s">
        <v>999</v>
      </c>
    </row>
    <row r="61" spans="1:19" ht="54" customHeight="1">
      <c r="A61" s="24">
        <v>78</v>
      </c>
      <c r="B61" s="17" t="s">
        <v>310</v>
      </c>
      <c r="C61" s="17" t="s">
        <v>109</v>
      </c>
      <c r="D61" s="17" t="s">
        <v>311</v>
      </c>
      <c r="E61" s="17" t="s">
        <v>1110</v>
      </c>
      <c r="F61" s="17" t="s">
        <v>1111</v>
      </c>
      <c r="G61" s="17" t="s">
        <v>1451</v>
      </c>
      <c r="H61" s="17" t="s">
        <v>965</v>
      </c>
      <c r="I61" s="17" t="s">
        <v>1439</v>
      </c>
      <c r="J61" s="17"/>
      <c r="K61" s="17" t="s">
        <v>965</v>
      </c>
      <c r="L61" s="17" t="s">
        <v>1112</v>
      </c>
      <c r="M61" s="17" t="s">
        <v>965</v>
      </c>
      <c r="N61" s="17" t="s">
        <v>965</v>
      </c>
      <c r="O61" s="33" t="s">
        <v>1652</v>
      </c>
      <c r="P61" s="20"/>
      <c r="Q61" s="17" t="s">
        <v>1044</v>
      </c>
      <c r="R61" s="17" t="s">
        <v>969</v>
      </c>
    </row>
    <row r="62" spans="1:19" ht="54" customHeight="1">
      <c r="A62" s="23">
        <v>79</v>
      </c>
      <c r="B62" s="3" t="s">
        <v>313</v>
      </c>
      <c r="C62" s="3" t="s">
        <v>257</v>
      </c>
      <c r="D62" s="3" t="s">
        <v>209</v>
      </c>
      <c r="E62" s="3" t="s">
        <v>965</v>
      </c>
      <c r="F62" s="3" t="s">
        <v>1113</v>
      </c>
      <c r="G62" s="3" t="s">
        <v>1114</v>
      </c>
      <c r="H62" s="3" t="s">
        <v>965</v>
      </c>
      <c r="I62" s="3" t="s">
        <v>1439</v>
      </c>
      <c r="J62" s="3"/>
      <c r="K62" s="3" t="s">
        <v>1115</v>
      </c>
      <c r="L62" s="3" t="s">
        <v>965</v>
      </c>
      <c r="M62" s="3" t="s">
        <v>965</v>
      </c>
      <c r="N62" s="3" t="s">
        <v>965</v>
      </c>
      <c r="O62" s="32" t="s">
        <v>1653</v>
      </c>
      <c r="P62" s="19"/>
      <c r="Q62" s="3" t="s">
        <v>1036</v>
      </c>
      <c r="R62" s="3" t="s">
        <v>969</v>
      </c>
    </row>
    <row r="63" spans="1:19" ht="54" customHeight="1">
      <c r="A63" s="24">
        <v>80</v>
      </c>
      <c r="B63" s="17" t="s">
        <v>315</v>
      </c>
      <c r="C63" s="17" t="s">
        <v>316</v>
      </c>
      <c r="D63" s="17" t="s">
        <v>144</v>
      </c>
      <c r="E63" s="17" t="s">
        <v>965</v>
      </c>
      <c r="F63" s="17" t="s">
        <v>1116</v>
      </c>
      <c r="G63" s="17" t="s">
        <v>1117</v>
      </c>
      <c r="H63" s="17" t="s">
        <v>965</v>
      </c>
      <c r="I63" s="17" t="s">
        <v>1439</v>
      </c>
      <c r="J63" s="17"/>
      <c r="K63" s="17" t="s">
        <v>1118</v>
      </c>
      <c r="L63" s="17" t="s">
        <v>965</v>
      </c>
      <c r="M63" s="17" t="s">
        <v>965</v>
      </c>
      <c r="N63" s="17" t="s">
        <v>965</v>
      </c>
      <c r="O63" s="33" t="s">
        <v>1654</v>
      </c>
      <c r="P63" s="20" t="s">
        <v>1119</v>
      </c>
      <c r="Q63" s="17" t="s">
        <v>1027</v>
      </c>
      <c r="R63" s="17" t="s">
        <v>969</v>
      </c>
    </row>
    <row r="64" spans="1:19" ht="54" customHeight="1">
      <c r="A64" s="25">
        <v>81</v>
      </c>
      <c r="B64" s="4" t="s">
        <v>318</v>
      </c>
      <c r="C64" s="4" t="s">
        <v>150</v>
      </c>
      <c r="D64" s="4" t="s">
        <v>319</v>
      </c>
      <c r="E64" s="4" t="s">
        <v>1670</v>
      </c>
      <c r="F64" s="4" t="s">
        <v>1445</v>
      </c>
      <c r="G64" s="4" t="s">
        <v>1451</v>
      </c>
      <c r="H64" s="4" t="s">
        <v>1671</v>
      </c>
      <c r="I64" s="4" t="s">
        <v>1439</v>
      </c>
      <c r="J64" s="4"/>
      <c r="K64" s="4" t="s">
        <v>1673</v>
      </c>
      <c r="L64" s="4" t="s">
        <v>1120</v>
      </c>
      <c r="M64" s="4" t="s">
        <v>965</v>
      </c>
      <c r="N64" s="4" t="s">
        <v>1672</v>
      </c>
      <c r="O64" s="39" t="s">
        <v>1655</v>
      </c>
      <c r="P64" s="21"/>
      <c r="Q64" s="4" t="s">
        <v>982</v>
      </c>
      <c r="R64" s="4" t="s">
        <v>969</v>
      </c>
    </row>
  </sheetData>
  <mergeCells count="2">
    <mergeCell ref="A1:S1"/>
    <mergeCell ref="A2:S2"/>
  </mergeCells>
  <phoneticPr fontId="8" type="noConversion"/>
  <hyperlinks>
    <hyperlink ref="O5" r:id="rId1" xr:uid="{07ADCD8F-D3BF-49DD-BE4E-FFD7A503EA02}"/>
    <hyperlink ref="O6" r:id="rId2" xr:uid="{D1587649-C1E6-492D-B911-B6AA0B9176D0}"/>
    <hyperlink ref="O7" r:id="rId3" xr:uid="{9F04C08A-D82E-4598-8364-DE4F67BA0B67}"/>
    <hyperlink ref="O8" r:id="rId4" xr:uid="{30E58AE4-C149-4D88-AD34-AB8877516C46}"/>
    <hyperlink ref="O9" r:id="rId5" xr:uid="{15987642-5DC7-4404-99E2-68BB90D1D328}"/>
    <hyperlink ref="O10" r:id="rId6" xr:uid="{8BC19626-F7CC-4D92-A437-F7D0B523F3E2}"/>
    <hyperlink ref="O11" r:id="rId7" xr:uid="{48F13C26-7D19-4492-8CCE-EE6AE3592835}"/>
    <hyperlink ref="O12" r:id="rId8" xr:uid="{D41742B5-5019-4EC9-B934-4C066D10D68C}"/>
    <hyperlink ref="O13" r:id="rId9" xr:uid="{7BBA11A2-0152-4D13-A360-6A8FC2D5C4A7}"/>
    <hyperlink ref="O14" r:id="rId10" xr:uid="{38553EEE-2115-40AE-BD50-E41D61331F16}"/>
    <hyperlink ref="O15" r:id="rId11" xr:uid="{FA758483-A338-453E-93CE-420D80B8566A}"/>
    <hyperlink ref="O16" r:id="rId12" xr:uid="{0079CAA7-BE22-43B9-A1AA-728787F03C99}"/>
    <hyperlink ref="O17" r:id="rId13" xr:uid="{0F019503-5B29-4597-A7AF-D3D0C4CBDC9C}"/>
    <hyperlink ref="O18" r:id="rId14" xr:uid="{2ACBF3A6-EE31-4D05-B6B9-108A6107AC4F}"/>
    <hyperlink ref="O19" r:id="rId15" xr:uid="{8910E4D6-DCF1-4EB1-8345-027FE882EE63}"/>
    <hyperlink ref="O20" r:id="rId16" xr:uid="{211DADFC-1F1D-498B-8473-20B7BE0F1692}"/>
    <hyperlink ref="O21" r:id="rId17" xr:uid="{8E1978FB-3E52-4302-82CA-48DCC686BB2A}"/>
    <hyperlink ref="O22" r:id="rId18" xr:uid="{5E903545-4AE6-4356-A1D9-D8528A9F997D}"/>
    <hyperlink ref="O23" r:id="rId19" xr:uid="{044043F1-F5F0-4BF9-9B29-EB5FF6279094}"/>
    <hyperlink ref="O24" r:id="rId20" xr:uid="{FC8F8DE2-4762-4B7A-ADEE-90E88424997B}"/>
    <hyperlink ref="O25" r:id="rId21" xr:uid="{1363D4D9-DC5B-4F28-A6DA-50BF4DFF3B9F}"/>
    <hyperlink ref="O26" r:id="rId22" xr:uid="{609539C9-505C-4831-B46B-8DA9699E0467}"/>
    <hyperlink ref="O27" r:id="rId23" xr:uid="{AF3BA146-3652-4DBD-80B6-2FCE1E50607A}"/>
    <hyperlink ref="O28" r:id="rId24" xr:uid="{B097098D-C848-4F52-946D-7397909A034A}"/>
    <hyperlink ref="O29" r:id="rId25" xr:uid="{BD77B4A8-1704-48CD-92D3-DEB2923D3598}"/>
    <hyperlink ref="O30" r:id="rId26" xr:uid="{A20A7710-52CA-4134-8F26-0DF3E7C9B91F}"/>
    <hyperlink ref="O31" r:id="rId27" xr:uid="{2AEECD52-FDAA-47D5-8E09-BD601D99E139}"/>
    <hyperlink ref="O32" r:id="rId28" xr:uid="{5082C513-33D3-40B6-A21D-77FA84A575F2}"/>
    <hyperlink ref="O33" r:id="rId29" xr:uid="{3D37CCCD-3E6B-439B-9FB7-6169E0921C08}"/>
    <hyperlink ref="O34" r:id="rId30" xr:uid="{E5CB3002-A903-4E0B-901F-A300DEC22443}"/>
    <hyperlink ref="O35" r:id="rId31" xr:uid="{FDF56C2E-BEFA-49C9-BDE2-098D067A4130}"/>
    <hyperlink ref="O36" r:id="rId32" xr:uid="{81483CC1-743F-48DF-A8CF-345229DD4522}"/>
    <hyperlink ref="O37" r:id="rId33" xr:uid="{DE73A248-550E-4043-BCBD-B60F50A04ECD}"/>
    <hyperlink ref="O38" r:id="rId34" xr:uid="{ED5952BE-D8EC-4813-8A9D-7669B8F504CD}"/>
    <hyperlink ref="O39" r:id="rId35" xr:uid="{A9115B82-DFC5-4C90-A34E-B93F7F72BB86}"/>
    <hyperlink ref="O40" r:id="rId36" xr:uid="{5A4924EC-87A9-4044-BF66-C74DBAC96AC0}"/>
    <hyperlink ref="O41" r:id="rId37" xr:uid="{4ECF5FE7-1DAD-4A1B-B674-4486B3A35203}"/>
    <hyperlink ref="O42" r:id="rId38" xr:uid="{E740ABBA-C9A9-4F16-BB7F-DE18039CDDE4}"/>
    <hyperlink ref="O43" r:id="rId39" xr:uid="{E0A6D064-31B8-45B2-BB2A-183375878B44}"/>
    <hyperlink ref="O44" r:id="rId40" xr:uid="{CE3B7ED1-B5EF-45A0-A8C9-A2C7C2F44021}"/>
    <hyperlink ref="O46" r:id="rId41" xr:uid="{B7831218-712F-4CCF-BB73-62868B6C9B60}"/>
    <hyperlink ref="O47" r:id="rId42" xr:uid="{C7DB0F63-6A0C-43BB-8C48-34053C433562}"/>
    <hyperlink ref="O45" r:id="rId43" xr:uid="{0CD9C021-FF44-4C3B-A5E5-617F8CF4550B}"/>
    <hyperlink ref="O48" r:id="rId44" xr:uid="{82B6DE38-6827-4358-90B2-B5DADE34DBC0}"/>
    <hyperlink ref="O49" r:id="rId45" xr:uid="{D9F5CC62-2627-4020-82B5-86183C0A08C0}"/>
    <hyperlink ref="O50" r:id="rId46" xr:uid="{1FB9B0F5-BE69-4509-B2F5-B720231DC65E}"/>
    <hyperlink ref="O51" r:id="rId47" xr:uid="{97E06643-5D42-43CB-ADB6-77C165ED0B69}"/>
    <hyperlink ref="O52" r:id="rId48" xr:uid="{F9E75BB5-9ECA-42B1-AA6B-B3081AF14F88}"/>
    <hyperlink ref="O53" r:id="rId49" xr:uid="{A5BE272C-9F93-4C12-A602-ED969D46CBB8}"/>
    <hyperlink ref="O54" r:id="rId50" xr:uid="{184C9F41-65CF-4AFD-87EC-1188B5249795}"/>
    <hyperlink ref="O55" r:id="rId51" xr:uid="{F547DCAD-0E38-4BAA-BCAC-10EA5A2B19EC}"/>
    <hyperlink ref="O56" r:id="rId52" xr:uid="{EBD3739C-2C14-4632-9056-C8C676CCA623}"/>
    <hyperlink ref="O57" r:id="rId53" xr:uid="{4A26DD5C-78E4-45A8-BCE4-BFFCEF664A06}"/>
    <hyperlink ref="O58" r:id="rId54" xr:uid="{DF53E14C-F4A6-42DB-876B-D00ADDFCAAE2}"/>
    <hyperlink ref="O59" r:id="rId55" xr:uid="{7DC69361-5DF6-47B1-9A7E-AF45F310AB03}"/>
    <hyperlink ref="O60" r:id="rId56" xr:uid="{9AC6156A-91D7-425B-9182-1D10D8567A9E}"/>
    <hyperlink ref="O61" r:id="rId57" xr:uid="{C84D2C2E-E454-4CDD-B4B2-7CBCD6F293AF}"/>
    <hyperlink ref="O62" r:id="rId58" xr:uid="{E1FE8AB6-1E27-4765-84C2-38ABF2BE8A2C}"/>
    <hyperlink ref="O63" r:id="rId59" xr:uid="{BCD3ECB0-052F-4F87-82EF-0CCA2DF03566}"/>
    <hyperlink ref="O64" r:id="rId60" xr:uid="{A9CC8F53-9496-4812-96A1-8FDE64A96358}"/>
  </hyperlinks>
  <pageMargins left="0.7" right="0.7" top="0.75" bottom="0.75" header="0.3" footer="0.3"/>
  <tableParts count="1">
    <tablePart r:id="rId6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4"/>
  <sheetViews>
    <sheetView showGridLines="0" workbookViewId="0"/>
  </sheetViews>
  <sheetFormatPr defaultRowHeight="13.5"/>
  <cols>
    <col min="1" max="1" width="12" customWidth="1"/>
    <col min="2" max="2" width="22" customWidth="1"/>
    <col min="3" max="3" width="28" customWidth="1"/>
    <col min="4" max="4" width="48" customWidth="1"/>
    <col min="5" max="5" width="50" customWidth="1"/>
    <col min="6" max="6" width="48" customWidth="1"/>
    <col min="7" max="7" width="45" customWidth="1"/>
  </cols>
  <sheetData>
    <row r="1" spans="1:7" ht="28.05" customHeight="1">
      <c r="A1" s="36" t="s">
        <v>1121</v>
      </c>
      <c r="B1" s="36"/>
      <c r="C1" s="36"/>
      <c r="D1" s="36"/>
      <c r="E1" s="36"/>
      <c r="F1" s="36"/>
      <c r="G1" s="36"/>
    </row>
    <row r="2" spans="1:7" ht="34.049999999999997" customHeight="1">
      <c r="A2" s="37" t="s">
        <v>1122</v>
      </c>
      <c r="B2" s="37"/>
      <c r="C2" s="37"/>
      <c r="D2" s="37"/>
      <c r="E2" s="37"/>
      <c r="F2" s="37"/>
      <c r="G2" s="37"/>
    </row>
    <row r="4" spans="1:7" ht="38" customHeight="1">
      <c r="A4" s="13" t="s">
        <v>1123</v>
      </c>
      <c r="B4" s="14" t="s">
        <v>1124</v>
      </c>
      <c r="C4" s="14" t="s">
        <v>88</v>
      </c>
      <c r="D4" s="14" t="s">
        <v>1125</v>
      </c>
      <c r="E4" s="14" t="s">
        <v>1126</v>
      </c>
      <c r="F4" s="14" t="s">
        <v>1127</v>
      </c>
      <c r="G4" s="15" t="s">
        <v>1128</v>
      </c>
    </row>
    <row r="5" spans="1:7" ht="42" customHeight="1">
      <c r="A5" s="16" t="s">
        <v>1129</v>
      </c>
      <c r="B5" s="16" t="s">
        <v>1130</v>
      </c>
      <c r="C5" s="16" t="s">
        <v>1131</v>
      </c>
      <c r="D5" s="16" t="s">
        <v>1132</v>
      </c>
      <c r="E5" s="16" t="s">
        <v>1133</v>
      </c>
      <c r="F5" s="16" t="s">
        <v>1134</v>
      </c>
      <c r="G5" s="18" t="s">
        <v>1135</v>
      </c>
    </row>
    <row r="6" spans="1:7" ht="42" customHeight="1">
      <c r="A6" s="3" t="s">
        <v>1129</v>
      </c>
      <c r="B6" s="3" t="s">
        <v>1136</v>
      </c>
      <c r="C6" s="3" t="s">
        <v>1131</v>
      </c>
      <c r="D6" s="3" t="s">
        <v>1137</v>
      </c>
      <c r="E6" s="3" t="s">
        <v>1138</v>
      </c>
      <c r="F6" s="3" t="s">
        <v>1139</v>
      </c>
      <c r="G6" s="19" t="s">
        <v>1140</v>
      </c>
    </row>
    <row r="7" spans="1:7" ht="42" customHeight="1">
      <c r="A7" s="17" t="s">
        <v>1129</v>
      </c>
      <c r="B7" s="17" t="s">
        <v>71</v>
      </c>
      <c r="C7" s="17" t="s">
        <v>1141</v>
      </c>
      <c r="D7" s="17" t="s">
        <v>1142</v>
      </c>
      <c r="E7" s="17" t="s">
        <v>1143</v>
      </c>
      <c r="F7" s="17" t="s">
        <v>1144</v>
      </c>
      <c r="G7" s="20" t="s">
        <v>1145</v>
      </c>
    </row>
    <row r="8" spans="1:7" ht="42" customHeight="1">
      <c r="A8" s="3" t="s">
        <v>1146</v>
      </c>
      <c r="B8" s="3" t="s">
        <v>1147</v>
      </c>
      <c r="C8" s="3" t="s">
        <v>133</v>
      </c>
      <c r="D8" s="3" t="s">
        <v>1148</v>
      </c>
      <c r="E8" s="3" t="s">
        <v>1149</v>
      </c>
      <c r="F8" s="3" t="s">
        <v>1150</v>
      </c>
      <c r="G8" s="19" t="s">
        <v>355</v>
      </c>
    </row>
    <row r="9" spans="1:7" ht="42" customHeight="1">
      <c r="A9" s="17" t="s">
        <v>1146</v>
      </c>
      <c r="B9" s="17" t="s">
        <v>1151</v>
      </c>
      <c r="C9" s="17" t="s">
        <v>117</v>
      </c>
      <c r="D9" s="17" t="s">
        <v>1152</v>
      </c>
      <c r="E9" s="17" t="s">
        <v>1153</v>
      </c>
      <c r="F9" s="17" t="s">
        <v>1154</v>
      </c>
      <c r="G9" s="20" t="s">
        <v>349</v>
      </c>
    </row>
    <row r="10" spans="1:7" ht="42" customHeight="1">
      <c r="A10" s="3" t="s">
        <v>1146</v>
      </c>
      <c r="B10" s="3" t="s">
        <v>1155</v>
      </c>
      <c r="C10" s="3" t="s">
        <v>103</v>
      </c>
      <c r="D10" s="3" t="s">
        <v>1156</v>
      </c>
      <c r="E10" s="3" t="s">
        <v>1157</v>
      </c>
      <c r="F10" s="3" t="s">
        <v>1158</v>
      </c>
      <c r="G10" s="19" t="s">
        <v>544</v>
      </c>
    </row>
    <row r="11" spans="1:7" ht="42" customHeight="1">
      <c r="A11" s="17" t="s">
        <v>1159</v>
      </c>
      <c r="B11" s="17" t="s">
        <v>1160</v>
      </c>
      <c r="C11" s="17" t="s">
        <v>318</v>
      </c>
      <c r="D11" s="17" t="s">
        <v>1161</v>
      </c>
      <c r="E11" s="17" t="s">
        <v>1162</v>
      </c>
      <c r="F11" s="17" t="s">
        <v>1163</v>
      </c>
      <c r="G11" s="20" t="s">
        <v>588</v>
      </c>
    </row>
    <row r="12" spans="1:7" ht="42" customHeight="1">
      <c r="A12" s="3" t="s">
        <v>1146</v>
      </c>
      <c r="B12" s="3" t="s">
        <v>1164</v>
      </c>
      <c r="C12" s="3" t="s">
        <v>1165</v>
      </c>
      <c r="D12" s="3" t="s">
        <v>1166</v>
      </c>
      <c r="E12" s="3" t="s">
        <v>1167</v>
      </c>
      <c r="F12" s="3" t="s">
        <v>1168</v>
      </c>
      <c r="G12" s="19" t="s">
        <v>1169</v>
      </c>
    </row>
    <row r="13" spans="1:7" ht="42" customHeight="1">
      <c r="A13" s="17" t="s">
        <v>1146</v>
      </c>
      <c r="B13" s="17" t="s">
        <v>1170</v>
      </c>
      <c r="C13" s="17" t="s">
        <v>27</v>
      </c>
      <c r="D13" s="17" t="s">
        <v>1171</v>
      </c>
      <c r="E13" s="17" t="s">
        <v>1172</v>
      </c>
      <c r="F13" s="17" t="s">
        <v>1173</v>
      </c>
      <c r="G13" s="20" t="s">
        <v>418</v>
      </c>
    </row>
    <row r="14" spans="1:7" ht="42" customHeight="1">
      <c r="A14" s="4" t="s">
        <v>1159</v>
      </c>
      <c r="B14" s="4" t="s">
        <v>1174</v>
      </c>
      <c r="C14" s="4" t="s">
        <v>1175</v>
      </c>
      <c r="D14" s="4" t="s">
        <v>1176</v>
      </c>
      <c r="E14" s="4" t="s">
        <v>1177</v>
      </c>
      <c r="F14" s="4" t="s">
        <v>1178</v>
      </c>
      <c r="G14" s="21" t="s">
        <v>1179</v>
      </c>
    </row>
  </sheetData>
  <mergeCells count="2">
    <mergeCell ref="A1:G1"/>
    <mergeCell ref="A2:G2"/>
  </mergeCells>
  <phoneticPr fontId="8"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64"/>
  <sheetViews>
    <sheetView showGridLines="0" workbookViewId="0"/>
  </sheetViews>
  <sheetFormatPr defaultRowHeight="13.5"/>
  <cols>
    <col min="1" max="1" width="8" customWidth="1"/>
    <col min="2" max="2" width="28" customWidth="1"/>
    <col min="3" max="3" width="38" customWidth="1"/>
    <col min="4" max="4" width="18" customWidth="1"/>
    <col min="5" max="5" width="12" customWidth="1"/>
    <col min="6" max="7" width="48" customWidth="1"/>
    <col min="8" max="8" width="45" customWidth="1"/>
    <col min="9" max="9" width="50" customWidth="1"/>
  </cols>
  <sheetData>
    <row r="1" spans="1:9" ht="28.05" customHeight="1">
      <c r="A1" s="36" t="s">
        <v>1180</v>
      </c>
      <c r="B1" s="36"/>
      <c r="C1" s="36"/>
      <c r="D1" s="36"/>
      <c r="E1" s="36"/>
      <c r="F1" s="36"/>
      <c r="G1" s="36"/>
      <c r="H1" s="36"/>
      <c r="I1" s="36"/>
    </row>
    <row r="2" spans="1:9" ht="34.049999999999997" customHeight="1">
      <c r="A2" s="37" t="s">
        <v>1181</v>
      </c>
      <c r="B2" s="37"/>
      <c r="C2" s="37"/>
      <c r="D2" s="37"/>
      <c r="E2" s="37"/>
      <c r="F2" s="37"/>
      <c r="G2" s="37"/>
      <c r="H2" s="37"/>
      <c r="I2" s="37"/>
    </row>
    <row r="4" spans="1:9" ht="38" customHeight="1">
      <c r="A4" s="13" t="s">
        <v>87</v>
      </c>
      <c r="B4" s="14" t="s">
        <v>88</v>
      </c>
      <c r="C4" s="14" t="s">
        <v>92</v>
      </c>
      <c r="D4" s="14" t="s">
        <v>1182</v>
      </c>
      <c r="E4" s="14" t="s">
        <v>337</v>
      </c>
      <c r="F4" s="14" t="s">
        <v>1183</v>
      </c>
      <c r="G4" s="14" t="s">
        <v>1184</v>
      </c>
      <c r="H4" s="14" t="s">
        <v>1185</v>
      </c>
      <c r="I4" s="15" t="s">
        <v>1186</v>
      </c>
    </row>
    <row r="5" spans="1:9" ht="42" customHeight="1">
      <c r="A5" s="22">
        <v>1</v>
      </c>
      <c r="B5" s="16" t="s">
        <v>97</v>
      </c>
      <c r="C5" s="16" t="s">
        <v>100</v>
      </c>
      <c r="D5" s="16" t="s">
        <v>343</v>
      </c>
      <c r="E5" s="16">
        <v>200</v>
      </c>
      <c r="F5" s="18" t="s">
        <v>341</v>
      </c>
      <c r="G5" s="18" t="s">
        <v>341</v>
      </c>
      <c r="H5" s="16" t="s">
        <v>1187</v>
      </c>
      <c r="I5" s="16" t="s">
        <v>1188</v>
      </c>
    </row>
    <row r="6" spans="1:9" ht="42" customHeight="1">
      <c r="A6" s="23">
        <v>2</v>
      </c>
      <c r="B6" s="3" t="s">
        <v>103</v>
      </c>
      <c r="C6" s="3" t="s">
        <v>106</v>
      </c>
      <c r="D6" s="3" t="s">
        <v>343</v>
      </c>
      <c r="E6" s="3">
        <v>200</v>
      </c>
      <c r="F6" s="19" t="s">
        <v>345</v>
      </c>
      <c r="G6" s="19" t="s">
        <v>345</v>
      </c>
      <c r="H6" s="3" t="s">
        <v>1189</v>
      </c>
      <c r="I6" s="3" t="s">
        <v>1188</v>
      </c>
    </row>
    <row r="7" spans="1:9" ht="42" customHeight="1">
      <c r="A7" s="24">
        <v>3</v>
      </c>
      <c r="B7" s="17" t="s">
        <v>108</v>
      </c>
      <c r="C7" s="17" t="s">
        <v>111</v>
      </c>
      <c r="D7" s="17" t="s">
        <v>343</v>
      </c>
      <c r="E7" s="17">
        <v>200</v>
      </c>
      <c r="F7" s="20" t="s">
        <v>347</v>
      </c>
      <c r="G7" s="20" t="s">
        <v>347</v>
      </c>
      <c r="H7" s="17" t="s">
        <v>1190</v>
      </c>
      <c r="I7" s="17" t="s">
        <v>1188</v>
      </c>
    </row>
    <row r="8" spans="1:9" ht="42" customHeight="1">
      <c r="A8" s="23">
        <v>4</v>
      </c>
      <c r="B8" s="3" t="s">
        <v>113</v>
      </c>
      <c r="C8" s="3" t="s">
        <v>115</v>
      </c>
      <c r="D8" s="3" t="s">
        <v>343</v>
      </c>
      <c r="E8" s="3">
        <v>200</v>
      </c>
      <c r="F8" s="19" t="s">
        <v>348</v>
      </c>
      <c r="G8" s="19" t="s">
        <v>348</v>
      </c>
      <c r="H8" s="3" t="s">
        <v>1191</v>
      </c>
      <c r="I8" s="3" t="s">
        <v>1188</v>
      </c>
    </row>
    <row r="9" spans="1:9" ht="42" customHeight="1">
      <c r="A9" s="24">
        <v>5</v>
      </c>
      <c r="B9" s="17" t="s">
        <v>117</v>
      </c>
      <c r="C9" s="17" t="s">
        <v>119</v>
      </c>
      <c r="D9" s="17" t="s">
        <v>343</v>
      </c>
      <c r="E9" s="17">
        <v>200</v>
      </c>
      <c r="F9" s="20" t="s">
        <v>349</v>
      </c>
      <c r="G9" s="20" t="s">
        <v>349</v>
      </c>
      <c r="H9" s="17" t="s">
        <v>1192</v>
      </c>
      <c r="I9" s="17" t="s">
        <v>1188</v>
      </c>
    </row>
    <row r="10" spans="1:9" ht="42" customHeight="1">
      <c r="A10" s="23">
        <v>6</v>
      </c>
      <c r="B10" s="3" t="s">
        <v>121</v>
      </c>
      <c r="C10" s="3" t="s">
        <v>123</v>
      </c>
      <c r="D10" s="3" t="s">
        <v>343</v>
      </c>
      <c r="E10" s="3">
        <v>200</v>
      </c>
      <c r="F10" s="19" t="s">
        <v>351</v>
      </c>
      <c r="G10" s="19" t="s">
        <v>351</v>
      </c>
      <c r="H10" s="3" t="s">
        <v>1193</v>
      </c>
      <c r="I10" s="3" t="s">
        <v>1188</v>
      </c>
    </row>
    <row r="11" spans="1:9" ht="42" customHeight="1">
      <c r="A11" s="24">
        <v>7</v>
      </c>
      <c r="B11" s="17" t="s">
        <v>125</v>
      </c>
      <c r="C11" s="17" t="s">
        <v>126</v>
      </c>
      <c r="D11" s="17" t="s">
        <v>343</v>
      </c>
      <c r="E11" s="17">
        <v>200</v>
      </c>
      <c r="F11" s="20" t="s">
        <v>352</v>
      </c>
      <c r="G11" s="20" t="s">
        <v>352</v>
      </c>
      <c r="H11" s="17" t="s">
        <v>1194</v>
      </c>
      <c r="I11" s="17" t="s">
        <v>1188</v>
      </c>
    </row>
    <row r="12" spans="1:9" ht="42" customHeight="1">
      <c r="A12" s="23">
        <v>8</v>
      </c>
      <c r="B12" s="3" t="s">
        <v>128</v>
      </c>
      <c r="C12" s="3" t="s">
        <v>130</v>
      </c>
      <c r="D12" s="3" t="s">
        <v>343</v>
      </c>
      <c r="E12" s="3">
        <v>200</v>
      </c>
      <c r="F12" s="19" t="s">
        <v>353</v>
      </c>
      <c r="G12" s="19" t="s">
        <v>353</v>
      </c>
      <c r="H12" s="3" t="s">
        <v>130</v>
      </c>
      <c r="I12" s="3" t="s">
        <v>1188</v>
      </c>
    </row>
    <row r="13" spans="1:9" ht="42" customHeight="1">
      <c r="A13" s="24">
        <v>9</v>
      </c>
      <c r="B13" s="17" t="s">
        <v>133</v>
      </c>
      <c r="C13" s="17" t="s">
        <v>135</v>
      </c>
      <c r="D13" s="17" t="s">
        <v>343</v>
      </c>
      <c r="E13" s="17">
        <v>200</v>
      </c>
      <c r="F13" s="20" t="s">
        <v>355</v>
      </c>
      <c r="G13" s="20" t="s">
        <v>355</v>
      </c>
      <c r="H13" s="17" t="s">
        <v>1195</v>
      </c>
      <c r="I13" s="17" t="s">
        <v>1188</v>
      </c>
    </row>
    <row r="14" spans="1:9" ht="42" customHeight="1">
      <c r="A14" s="23">
        <v>10</v>
      </c>
      <c r="B14" s="3" t="s">
        <v>137</v>
      </c>
      <c r="C14" s="3" t="s">
        <v>139</v>
      </c>
      <c r="D14" s="3" t="s">
        <v>343</v>
      </c>
      <c r="E14" s="3">
        <v>200</v>
      </c>
      <c r="F14" s="19" t="s">
        <v>357</v>
      </c>
      <c r="G14" s="19" t="s">
        <v>357</v>
      </c>
      <c r="H14" s="3" t="s">
        <v>1196</v>
      </c>
      <c r="I14" s="3" t="s">
        <v>1188</v>
      </c>
    </row>
    <row r="15" spans="1:9" ht="42" customHeight="1">
      <c r="A15" s="24">
        <v>11</v>
      </c>
      <c r="B15" s="17" t="s">
        <v>142</v>
      </c>
      <c r="C15" s="17" t="s">
        <v>144</v>
      </c>
      <c r="D15" s="17" t="s">
        <v>343</v>
      </c>
      <c r="E15" s="17">
        <v>200</v>
      </c>
      <c r="F15" s="20" t="s">
        <v>359</v>
      </c>
      <c r="G15" s="20" t="s">
        <v>359</v>
      </c>
      <c r="H15" s="17" t="s">
        <v>1197</v>
      </c>
      <c r="I15" s="17" t="s">
        <v>1188</v>
      </c>
    </row>
    <row r="16" spans="1:9" ht="42" customHeight="1">
      <c r="A16" s="23">
        <v>12</v>
      </c>
      <c r="B16" s="3" t="s">
        <v>146</v>
      </c>
      <c r="C16" s="3" t="s">
        <v>147</v>
      </c>
      <c r="D16" s="3" t="s">
        <v>362</v>
      </c>
      <c r="E16" s="3">
        <v>403</v>
      </c>
      <c r="F16" s="19" t="s">
        <v>361</v>
      </c>
      <c r="G16" s="19" t="s">
        <v>361</v>
      </c>
      <c r="H16" s="3" t="s">
        <v>1198</v>
      </c>
      <c r="I16" s="3" t="s">
        <v>1199</v>
      </c>
    </row>
    <row r="17" spans="1:9" ht="42" customHeight="1">
      <c r="A17" s="24">
        <v>13</v>
      </c>
      <c r="B17" s="17" t="s">
        <v>149</v>
      </c>
      <c r="C17" s="17" t="s">
        <v>151</v>
      </c>
      <c r="D17" s="17" t="s">
        <v>343</v>
      </c>
      <c r="E17" s="17">
        <v>200</v>
      </c>
      <c r="F17" s="20" t="s">
        <v>363</v>
      </c>
      <c r="G17" s="20" t="s">
        <v>363</v>
      </c>
      <c r="H17" s="17" t="s">
        <v>1200</v>
      </c>
      <c r="I17" s="17" t="s">
        <v>1188</v>
      </c>
    </row>
    <row r="18" spans="1:9" ht="42" customHeight="1">
      <c r="A18" s="23">
        <v>14</v>
      </c>
      <c r="B18" s="3" t="s">
        <v>153</v>
      </c>
      <c r="C18" s="3" t="s">
        <v>155</v>
      </c>
      <c r="D18" s="3" t="s">
        <v>343</v>
      </c>
      <c r="E18" s="3">
        <v>200</v>
      </c>
      <c r="F18" s="19" t="s">
        <v>365</v>
      </c>
      <c r="G18" s="19" t="s">
        <v>365</v>
      </c>
      <c r="H18" s="3" t="s">
        <v>1201</v>
      </c>
      <c r="I18" s="3" t="s">
        <v>1188</v>
      </c>
    </row>
    <row r="19" spans="1:9" ht="42" customHeight="1">
      <c r="A19" s="24">
        <v>15</v>
      </c>
      <c r="B19" s="17" t="s">
        <v>157</v>
      </c>
      <c r="C19" s="17" t="s">
        <v>159</v>
      </c>
      <c r="D19" s="17" t="s">
        <v>343</v>
      </c>
      <c r="E19" s="17">
        <v>200</v>
      </c>
      <c r="F19" s="20" t="s">
        <v>367</v>
      </c>
      <c r="G19" s="20" t="s">
        <v>367</v>
      </c>
      <c r="H19" s="17" t="s">
        <v>1202</v>
      </c>
      <c r="I19" s="17" t="s">
        <v>1188</v>
      </c>
    </row>
    <row r="20" spans="1:9" ht="42" customHeight="1">
      <c r="A20" s="23">
        <v>16</v>
      </c>
      <c r="B20" s="3" t="s">
        <v>161</v>
      </c>
      <c r="C20" s="3" t="s">
        <v>163</v>
      </c>
      <c r="D20" s="3" t="s">
        <v>343</v>
      </c>
      <c r="E20" s="3">
        <v>200</v>
      </c>
      <c r="F20" s="19" t="s">
        <v>368</v>
      </c>
      <c r="G20" s="19" t="s">
        <v>368</v>
      </c>
      <c r="H20" s="3" t="s">
        <v>1203</v>
      </c>
      <c r="I20" s="3" t="s">
        <v>1188</v>
      </c>
    </row>
    <row r="21" spans="1:9" ht="42" customHeight="1">
      <c r="A21" s="24">
        <v>17</v>
      </c>
      <c r="B21" s="17" t="s">
        <v>165</v>
      </c>
      <c r="C21" s="17" t="s">
        <v>166</v>
      </c>
      <c r="D21" s="17" t="s">
        <v>343</v>
      </c>
      <c r="E21" s="17">
        <v>200</v>
      </c>
      <c r="F21" s="20" t="s">
        <v>369</v>
      </c>
      <c r="G21" s="20" t="s">
        <v>1204</v>
      </c>
      <c r="H21" s="17" t="s">
        <v>1205</v>
      </c>
      <c r="I21" s="17" t="s">
        <v>1188</v>
      </c>
    </row>
    <row r="22" spans="1:9" ht="42" customHeight="1">
      <c r="A22" s="23">
        <v>18</v>
      </c>
      <c r="B22" s="3" t="s">
        <v>168</v>
      </c>
      <c r="C22" s="3" t="s">
        <v>169</v>
      </c>
      <c r="D22" s="3" t="s">
        <v>343</v>
      </c>
      <c r="E22" s="3">
        <v>200</v>
      </c>
      <c r="F22" s="19" t="s">
        <v>370</v>
      </c>
      <c r="G22" s="19" t="s">
        <v>370</v>
      </c>
      <c r="H22" s="3" t="s">
        <v>1206</v>
      </c>
      <c r="I22" s="3" t="s">
        <v>1188</v>
      </c>
    </row>
    <row r="23" spans="1:9" ht="42" customHeight="1">
      <c r="A23" s="24">
        <v>19</v>
      </c>
      <c r="B23" s="17" t="s">
        <v>171</v>
      </c>
      <c r="C23" s="17" t="s">
        <v>173</v>
      </c>
      <c r="D23" s="17" t="s">
        <v>343</v>
      </c>
      <c r="E23" s="17">
        <v>200</v>
      </c>
      <c r="F23" s="20" t="s">
        <v>371</v>
      </c>
      <c r="G23" s="20" t="s">
        <v>371</v>
      </c>
      <c r="H23" s="17" t="s">
        <v>1207</v>
      </c>
      <c r="I23" s="17" t="s">
        <v>1188</v>
      </c>
    </row>
    <row r="24" spans="1:9" ht="42" customHeight="1">
      <c r="A24" s="23">
        <v>20</v>
      </c>
      <c r="B24" s="3" t="s">
        <v>175</v>
      </c>
      <c r="C24" s="3" t="s">
        <v>177</v>
      </c>
      <c r="D24" s="3" t="s">
        <v>343</v>
      </c>
      <c r="E24" s="3">
        <v>200</v>
      </c>
      <c r="F24" s="19" t="s">
        <v>372</v>
      </c>
      <c r="G24" s="19" t="s">
        <v>372</v>
      </c>
      <c r="H24" s="3" t="s">
        <v>1208</v>
      </c>
      <c r="I24" s="3" t="s">
        <v>1188</v>
      </c>
    </row>
    <row r="25" spans="1:9" ht="42" customHeight="1">
      <c r="A25" s="24">
        <v>21</v>
      </c>
      <c r="B25" s="17" t="s">
        <v>179</v>
      </c>
      <c r="C25" s="17" t="s">
        <v>181</v>
      </c>
      <c r="D25" s="17" t="s">
        <v>343</v>
      </c>
      <c r="E25" s="17">
        <v>200</v>
      </c>
      <c r="F25" s="20" t="s">
        <v>373</v>
      </c>
      <c r="G25" s="20" t="s">
        <v>373</v>
      </c>
      <c r="H25" s="17" t="s">
        <v>1209</v>
      </c>
      <c r="I25" s="17" t="s">
        <v>1188</v>
      </c>
    </row>
    <row r="26" spans="1:9" ht="42" customHeight="1">
      <c r="A26" s="23">
        <v>22</v>
      </c>
      <c r="B26" s="3" t="s">
        <v>183</v>
      </c>
      <c r="C26" s="3" t="s">
        <v>185</v>
      </c>
      <c r="D26" s="3" t="s">
        <v>343</v>
      </c>
      <c r="E26" s="3">
        <v>200</v>
      </c>
      <c r="F26" s="19" t="s">
        <v>374</v>
      </c>
      <c r="G26" s="19" t="s">
        <v>1210</v>
      </c>
      <c r="H26" s="3" t="s">
        <v>1211</v>
      </c>
      <c r="I26" s="3" t="s">
        <v>1188</v>
      </c>
    </row>
    <row r="27" spans="1:9" ht="42" customHeight="1">
      <c r="A27" s="24">
        <v>23</v>
      </c>
      <c r="B27" s="17" t="s">
        <v>187</v>
      </c>
      <c r="C27" s="17" t="s">
        <v>189</v>
      </c>
      <c r="D27" s="17" t="s">
        <v>343</v>
      </c>
      <c r="E27" s="17">
        <v>200</v>
      </c>
      <c r="F27" s="20" t="s">
        <v>375</v>
      </c>
      <c r="G27" s="20" t="s">
        <v>375</v>
      </c>
      <c r="H27" s="17" t="s">
        <v>1212</v>
      </c>
      <c r="I27" s="17" t="s">
        <v>1188</v>
      </c>
    </row>
    <row r="28" spans="1:9" ht="42" customHeight="1">
      <c r="A28" s="23">
        <v>24</v>
      </c>
      <c r="B28" s="3" t="s">
        <v>191</v>
      </c>
      <c r="C28" s="3" t="s">
        <v>192</v>
      </c>
      <c r="D28" s="3" t="s">
        <v>343</v>
      </c>
      <c r="E28" s="3">
        <v>200</v>
      </c>
      <c r="F28" s="19" t="s">
        <v>376</v>
      </c>
      <c r="G28" s="19" t="s">
        <v>376</v>
      </c>
      <c r="H28" s="3" t="s">
        <v>1213</v>
      </c>
      <c r="I28" s="3" t="s">
        <v>1188</v>
      </c>
    </row>
    <row r="29" spans="1:9" ht="42" customHeight="1">
      <c r="A29" s="24">
        <v>25</v>
      </c>
      <c r="B29" s="17" t="s">
        <v>194</v>
      </c>
      <c r="C29" s="17" t="s">
        <v>195</v>
      </c>
      <c r="D29" s="17" t="s">
        <v>343</v>
      </c>
      <c r="E29" s="17">
        <v>200</v>
      </c>
      <c r="F29" s="20" t="s">
        <v>378</v>
      </c>
      <c r="G29" s="20" t="s">
        <v>378</v>
      </c>
      <c r="H29" s="17" t="s">
        <v>1214</v>
      </c>
      <c r="I29" s="17" t="s">
        <v>1188</v>
      </c>
    </row>
    <row r="30" spans="1:9" ht="42" customHeight="1">
      <c r="A30" s="23">
        <v>26</v>
      </c>
      <c r="B30" s="3" t="s">
        <v>197</v>
      </c>
      <c r="C30" s="3" t="s">
        <v>198</v>
      </c>
      <c r="D30" s="3" t="s">
        <v>343</v>
      </c>
      <c r="E30" s="3">
        <v>200</v>
      </c>
      <c r="F30" s="19" t="s">
        <v>380</v>
      </c>
      <c r="G30" s="19" t="s">
        <v>380</v>
      </c>
      <c r="H30" s="3" t="s">
        <v>1215</v>
      </c>
      <c r="I30" s="3" t="s">
        <v>1188</v>
      </c>
    </row>
    <row r="31" spans="1:9" ht="42" customHeight="1">
      <c r="A31" s="24">
        <v>27</v>
      </c>
      <c r="B31" s="17" t="s">
        <v>201</v>
      </c>
      <c r="C31" s="17" t="s">
        <v>203</v>
      </c>
      <c r="D31" s="17" t="s">
        <v>343</v>
      </c>
      <c r="E31" s="17">
        <v>200</v>
      </c>
      <c r="F31" s="20" t="s">
        <v>381</v>
      </c>
      <c r="G31" s="20" t="s">
        <v>381</v>
      </c>
      <c r="H31" s="17" t="s">
        <v>1216</v>
      </c>
      <c r="I31" s="17" t="s">
        <v>1188</v>
      </c>
    </row>
    <row r="32" spans="1:9" ht="42" customHeight="1">
      <c r="A32" s="23">
        <v>28</v>
      </c>
      <c r="B32" s="3" t="s">
        <v>206</v>
      </c>
      <c r="C32" s="3" t="s">
        <v>209</v>
      </c>
      <c r="D32" s="3" t="s">
        <v>343</v>
      </c>
      <c r="E32" s="3">
        <v>200</v>
      </c>
      <c r="F32" s="19" t="s">
        <v>382</v>
      </c>
      <c r="G32" s="19" t="s">
        <v>382</v>
      </c>
      <c r="H32" s="3" t="s">
        <v>1217</v>
      </c>
      <c r="I32" s="3" t="s">
        <v>1188</v>
      </c>
    </row>
    <row r="33" spans="1:9" ht="42" customHeight="1">
      <c r="A33" s="24">
        <v>29</v>
      </c>
      <c r="B33" s="17" t="s">
        <v>211</v>
      </c>
      <c r="C33" s="17" t="s">
        <v>144</v>
      </c>
      <c r="D33" s="17" t="s">
        <v>343</v>
      </c>
      <c r="E33" s="17">
        <v>200</v>
      </c>
      <c r="F33" s="20" t="s">
        <v>383</v>
      </c>
      <c r="G33" s="20" t="s">
        <v>383</v>
      </c>
      <c r="H33" s="17" t="s">
        <v>1218</v>
      </c>
      <c r="I33" s="17" t="s">
        <v>1188</v>
      </c>
    </row>
    <row r="34" spans="1:9" ht="42" customHeight="1">
      <c r="A34" s="23">
        <v>30</v>
      </c>
      <c r="B34" s="3" t="s">
        <v>215</v>
      </c>
      <c r="C34" s="3" t="s">
        <v>216</v>
      </c>
      <c r="D34" s="3" t="s">
        <v>343</v>
      </c>
      <c r="E34" s="3">
        <v>200</v>
      </c>
      <c r="F34" s="19" t="s">
        <v>384</v>
      </c>
      <c r="G34" s="19" t="s">
        <v>384</v>
      </c>
      <c r="H34" s="3" t="s">
        <v>1219</v>
      </c>
      <c r="I34" s="3" t="s">
        <v>1188</v>
      </c>
    </row>
    <row r="35" spans="1:9" ht="42" customHeight="1">
      <c r="A35" s="24">
        <v>49</v>
      </c>
      <c r="B35" s="17" t="s">
        <v>273</v>
      </c>
      <c r="C35" s="17" t="s">
        <v>274</v>
      </c>
      <c r="D35" s="17" t="s">
        <v>343</v>
      </c>
      <c r="E35" s="17">
        <v>200</v>
      </c>
      <c r="F35" s="20" t="s">
        <v>385</v>
      </c>
      <c r="G35" s="20" t="s">
        <v>385</v>
      </c>
      <c r="H35" s="17" t="s">
        <v>1220</v>
      </c>
      <c r="I35" s="17" t="s">
        <v>1188</v>
      </c>
    </row>
    <row r="36" spans="1:9" ht="42" customHeight="1">
      <c r="A36" s="23">
        <v>52</v>
      </c>
      <c r="B36" s="3" t="s">
        <v>219</v>
      </c>
      <c r="C36" s="3" t="s">
        <v>220</v>
      </c>
      <c r="D36" s="3" t="s">
        <v>362</v>
      </c>
      <c r="E36" s="3">
        <v>403</v>
      </c>
      <c r="F36" s="19" t="s">
        <v>388</v>
      </c>
      <c r="G36" s="19" t="s">
        <v>388</v>
      </c>
      <c r="H36" s="3" t="s">
        <v>1198</v>
      </c>
      <c r="I36" s="3" t="s">
        <v>1199</v>
      </c>
    </row>
    <row r="37" spans="1:9" ht="42" customHeight="1">
      <c r="A37" s="24">
        <v>53</v>
      </c>
      <c r="B37" s="17" t="s">
        <v>223</v>
      </c>
      <c r="C37" s="17" t="s">
        <v>224</v>
      </c>
      <c r="D37" s="17" t="s">
        <v>343</v>
      </c>
      <c r="E37" s="17">
        <v>200</v>
      </c>
      <c r="F37" s="20" t="s">
        <v>390</v>
      </c>
      <c r="G37" s="20" t="s">
        <v>390</v>
      </c>
      <c r="H37" s="17" t="s">
        <v>1221</v>
      </c>
      <c r="I37" s="17" t="s">
        <v>1188</v>
      </c>
    </row>
    <row r="38" spans="1:9" ht="42" customHeight="1">
      <c r="A38" s="23">
        <v>54</v>
      </c>
      <c r="B38" s="3" t="s">
        <v>226</v>
      </c>
      <c r="C38" s="3" t="s">
        <v>216</v>
      </c>
      <c r="D38" s="3" t="s">
        <v>343</v>
      </c>
      <c r="E38" s="3">
        <v>200</v>
      </c>
      <c r="F38" s="19" t="s">
        <v>392</v>
      </c>
      <c r="G38" s="19" t="s">
        <v>392</v>
      </c>
      <c r="H38" s="3" t="s">
        <v>1222</v>
      </c>
      <c r="I38" s="3" t="s">
        <v>1188</v>
      </c>
    </row>
    <row r="39" spans="1:9" ht="42" customHeight="1">
      <c r="A39" s="24">
        <v>55</v>
      </c>
      <c r="B39" s="17" t="s">
        <v>228</v>
      </c>
      <c r="C39" s="17" t="s">
        <v>230</v>
      </c>
      <c r="D39" s="17" t="s">
        <v>343</v>
      </c>
      <c r="E39" s="17">
        <v>200</v>
      </c>
      <c r="F39" s="20" t="s">
        <v>394</v>
      </c>
      <c r="G39" s="20" t="s">
        <v>394</v>
      </c>
      <c r="H39" s="17" t="s">
        <v>1223</v>
      </c>
      <c r="I39" s="17" t="s">
        <v>1188</v>
      </c>
    </row>
    <row r="40" spans="1:9" ht="42" customHeight="1">
      <c r="A40" s="23">
        <v>56</v>
      </c>
      <c r="B40" s="3" t="s">
        <v>232</v>
      </c>
      <c r="C40" s="3" t="s">
        <v>234</v>
      </c>
      <c r="D40" s="3" t="s">
        <v>343</v>
      </c>
      <c r="E40" s="3">
        <v>200</v>
      </c>
      <c r="F40" s="19" t="s">
        <v>396</v>
      </c>
      <c r="G40" s="19" t="s">
        <v>396</v>
      </c>
      <c r="H40" s="3" t="s">
        <v>1224</v>
      </c>
      <c r="I40" s="3" t="s">
        <v>1188</v>
      </c>
    </row>
    <row r="41" spans="1:9" ht="42" customHeight="1">
      <c r="A41" s="24">
        <v>57</v>
      </c>
      <c r="B41" s="17" t="s">
        <v>236</v>
      </c>
      <c r="C41" s="17" t="s">
        <v>238</v>
      </c>
      <c r="D41" s="17" t="s">
        <v>343</v>
      </c>
      <c r="E41" s="17">
        <v>200</v>
      </c>
      <c r="F41" s="20" t="s">
        <v>398</v>
      </c>
      <c r="G41" s="20" t="s">
        <v>398</v>
      </c>
      <c r="H41" s="17" t="s">
        <v>1225</v>
      </c>
      <c r="I41" s="17" t="s">
        <v>1188</v>
      </c>
    </row>
    <row r="42" spans="1:9" ht="42" customHeight="1">
      <c r="A42" s="23">
        <v>58</v>
      </c>
      <c r="B42" s="3" t="s">
        <v>240</v>
      </c>
      <c r="C42" s="3" t="s">
        <v>241</v>
      </c>
      <c r="D42" s="3" t="s">
        <v>343</v>
      </c>
      <c r="E42" s="3">
        <v>200</v>
      </c>
      <c r="F42" s="19" t="s">
        <v>400</v>
      </c>
      <c r="G42" s="19" t="s">
        <v>400</v>
      </c>
      <c r="H42" s="3" t="s">
        <v>1226</v>
      </c>
      <c r="I42" s="3" t="s">
        <v>1188</v>
      </c>
    </row>
    <row r="43" spans="1:9" ht="42" customHeight="1">
      <c r="A43" s="24">
        <v>59</v>
      </c>
      <c r="B43" s="17" t="s">
        <v>243</v>
      </c>
      <c r="C43" s="17" t="s">
        <v>245</v>
      </c>
      <c r="D43" s="17" t="s">
        <v>343</v>
      </c>
      <c r="E43" s="17">
        <v>200</v>
      </c>
      <c r="F43" s="20" t="s">
        <v>402</v>
      </c>
      <c r="G43" s="20" t="s">
        <v>402</v>
      </c>
      <c r="H43" s="17" t="s">
        <v>1227</v>
      </c>
      <c r="I43" s="17" t="s">
        <v>1188</v>
      </c>
    </row>
    <row r="44" spans="1:9" ht="42" customHeight="1">
      <c r="A44" s="23">
        <v>60</v>
      </c>
      <c r="B44" s="3" t="s">
        <v>247</v>
      </c>
      <c r="C44" s="3" t="s">
        <v>249</v>
      </c>
      <c r="D44" s="3" t="s">
        <v>343</v>
      </c>
      <c r="E44" s="3">
        <v>200</v>
      </c>
      <c r="F44" s="19" t="s">
        <v>404</v>
      </c>
      <c r="G44" s="19" t="s">
        <v>404</v>
      </c>
      <c r="H44" s="3" t="s">
        <v>1228</v>
      </c>
      <c r="I44" s="3" t="s">
        <v>1188</v>
      </c>
    </row>
    <row r="45" spans="1:9" ht="42" customHeight="1">
      <c r="A45" s="24">
        <v>61</v>
      </c>
      <c r="B45" s="17" t="s">
        <v>251</v>
      </c>
      <c r="C45" s="17" t="s">
        <v>163</v>
      </c>
      <c r="D45" s="17" t="s">
        <v>343</v>
      </c>
      <c r="E45" s="17">
        <v>200</v>
      </c>
      <c r="F45" s="20" t="s">
        <v>406</v>
      </c>
      <c r="G45" s="20" t="s">
        <v>406</v>
      </c>
      <c r="H45" s="17" t="s">
        <v>1229</v>
      </c>
      <c r="I45" s="17" t="s">
        <v>1188</v>
      </c>
    </row>
    <row r="46" spans="1:9" ht="42" customHeight="1">
      <c r="A46" s="23">
        <v>62</v>
      </c>
      <c r="B46" s="3" t="s">
        <v>253</v>
      </c>
      <c r="C46" s="3" t="s">
        <v>254</v>
      </c>
      <c r="D46" s="3" t="s">
        <v>343</v>
      </c>
      <c r="E46" s="3">
        <v>200</v>
      </c>
      <c r="F46" s="19" t="s">
        <v>408</v>
      </c>
      <c r="G46" s="19" t="s">
        <v>408</v>
      </c>
      <c r="H46" s="3" t="s">
        <v>1230</v>
      </c>
      <c r="I46" s="3" t="s">
        <v>1188</v>
      </c>
    </row>
    <row r="47" spans="1:9" ht="42" customHeight="1">
      <c r="A47" s="24">
        <v>63</v>
      </c>
      <c r="B47" s="17" t="s">
        <v>256</v>
      </c>
      <c r="C47" s="17" t="s">
        <v>258</v>
      </c>
      <c r="D47" s="17" t="s">
        <v>411</v>
      </c>
      <c r="E47" s="17"/>
      <c r="F47" s="20" t="s">
        <v>410</v>
      </c>
      <c r="G47" s="20"/>
      <c r="H47" s="17"/>
      <c r="I47" s="17" t="s">
        <v>1231</v>
      </c>
    </row>
    <row r="48" spans="1:9" ht="42" customHeight="1">
      <c r="A48" s="23">
        <v>64</v>
      </c>
      <c r="B48" s="3" t="s">
        <v>260</v>
      </c>
      <c r="C48" s="3" t="s">
        <v>261</v>
      </c>
      <c r="D48" s="3" t="s">
        <v>343</v>
      </c>
      <c r="E48" s="3">
        <v>200</v>
      </c>
      <c r="F48" s="19" t="s">
        <v>413</v>
      </c>
      <c r="G48" s="19" t="s">
        <v>413</v>
      </c>
      <c r="H48" s="3" t="s">
        <v>1232</v>
      </c>
      <c r="I48" s="3" t="s">
        <v>1188</v>
      </c>
    </row>
    <row r="49" spans="1:9" ht="42" customHeight="1">
      <c r="A49" s="24">
        <v>65</v>
      </c>
      <c r="B49" s="17" t="s">
        <v>263</v>
      </c>
      <c r="C49" s="17" t="s">
        <v>264</v>
      </c>
      <c r="D49" s="17" t="s">
        <v>362</v>
      </c>
      <c r="E49" s="17">
        <v>403</v>
      </c>
      <c r="F49" s="20" t="s">
        <v>415</v>
      </c>
      <c r="G49" s="20" t="s">
        <v>415</v>
      </c>
      <c r="H49" s="17" t="s">
        <v>1198</v>
      </c>
      <c r="I49" s="17" t="s">
        <v>1199</v>
      </c>
    </row>
    <row r="50" spans="1:9" ht="42" customHeight="1">
      <c r="A50" s="23">
        <v>66</v>
      </c>
      <c r="B50" s="3" t="s">
        <v>27</v>
      </c>
      <c r="C50" s="3" t="s">
        <v>267</v>
      </c>
      <c r="D50" s="3" t="s">
        <v>343</v>
      </c>
      <c r="E50" s="3">
        <v>200</v>
      </c>
      <c r="F50" s="19" t="s">
        <v>418</v>
      </c>
      <c r="G50" s="19" t="s">
        <v>418</v>
      </c>
      <c r="H50" s="3" t="s">
        <v>1233</v>
      </c>
      <c r="I50" s="3" t="s">
        <v>1188</v>
      </c>
    </row>
    <row r="51" spans="1:9" ht="42" customHeight="1">
      <c r="A51" s="24">
        <v>67</v>
      </c>
      <c r="B51" s="17" t="s">
        <v>269</v>
      </c>
      <c r="C51" s="17" t="s">
        <v>271</v>
      </c>
      <c r="D51" s="17" t="s">
        <v>411</v>
      </c>
      <c r="E51" s="17"/>
      <c r="F51" s="20" t="s">
        <v>420</v>
      </c>
      <c r="G51" s="20"/>
      <c r="H51" s="17"/>
      <c r="I51" s="17" t="s">
        <v>1231</v>
      </c>
    </row>
    <row r="52" spans="1:9" ht="42" customHeight="1">
      <c r="A52" s="23">
        <v>68</v>
      </c>
      <c r="B52" s="3" t="s">
        <v>277</v>
      </c>
      <c r="C52" s="3" t="s">
        <v>278</v>
      </c>
      <c r="D52" s="3" t="s">
        <v>343</v>
      </c>
      <c r="E52" s="3">
        <v>200</v>
      </c>
      <c r="F52" s="19" t="s">
        <v>421</v>
      </c>
      <c r="G52" s="19" t="s">
        <v>421</v>
      </c>
      <c r="H52" s="3" t="s">
        <v>1234</v>
      </c>
      <c r="I52" s="3" t="s">
        <v>1188</v>
      </c>
    </row>
    <row r="53" spans="1:9" ht="42" customHeight="1">
      <c r="A53" s="24">
        <v>69</v>
      </c>
      <c r="B53" s="17" t="s">
        <v>280</v>
      </c>
      <c r="C53" s="17" t="s">
        <v>282</v>
      </c>
      <c r="D53" s="17" t="s">
        <v>411</v>
      </c>
      <c r="E53" s="17"/>
      <c r="F53" s="20" t="s">
        <v>423</v>
      </c>
      <c r="G53" s="20"/>
      <c r="H53" s="17"/>
      <c r="I53" s="17" t="s">
        <v>1231</v>
      </c>
    </row>
    <row r="54" spans="1:9" ht="42" customHeight="1">
      <c r="A54" s="23">
        <v>70</v>
      </c>
      <c r="B54" s="3" t="s">
        <v>284</v>
      </c>
      <c r="C54" s="3" t="s">
        <v>144</v>
      </c>
      <c r="D54" s="3" t="s">
        <v>343</v>
      </c>
      <c r="E54" s="3">
        <v>200</v>
      </c>
      <c r="F54" s="19" t="s">
        <v>424</v>
      </c>
      <c r="G54" s="19" t="s">
        <v>424</v>
      </c>
      <c r="H54" s="3" t="s">
        <v>1235</v>
      </c>
      <c r="I54" s="3" t="s">
        <v>1188</v>
      </c>
    </row>
    <row r="55" spans="1:9" ht="42" customHeight="1">
      <c r="A55" s="24">
        <v>71</v>
      </c>
      <c r="B55" s="17" t="s">
        <v>288</v>
      </c>
      <c r="C55" s="17" t="s">
        <v>290</v>
      </c>
      <c r="D55" s="17" t="s">
        <v>343</v>
      </c>
      <c r="E55" s="17">
        <v>200</v>
      </c>
      <c r="F55" s="20" t="s">
        <v>426</v>
      </c>
      <c r="G55" s="20" t="s">
        <v>426</v>
      </c>
      <c r="H55" s="17" t="s">
        <v>1236</v>
      </c>
      <c r="I55" s="17" t="s">
        <v>1188</v>
      </c>
    </row>
    <row r="56" spans="1:9" ht="42" customHeight="1">
      <c r="A56" s="23">
        <v>72</v>
      </c>
      <c r="B56" s="3" t="s">
        <v>292</v>
      </c>
      <c r="C56" s="3" t="s">
        <v>295</v>
      </c>
      <c r="D56" s="3" t="s">
        <v>343</v>
      </c>
      <c r="E56" s="3">
        <v>200</v>
      </c>
      <c r="F56" s="19" t="s">
        <v>427</v>
      </c>
      <c r="G56" s="19" t="s">
        <v>427</v>
      </c>
      <c r="H56" s="3" t="s">
        <v>1237</v>
      </c>
      <c r="I56" s="3" t="s">
        <v>1188</v>
      </c>
    </row>
    <row r="57" spans="1:9" ht="42" customHeight="1">
      <c r="A57" s="24">
        <v>73</v>
      </c>
      <c r="B57" s="17" t="s">
        <v>297</v>
      </c>
      <c r="C57" s="17" t="s">
        <v>299</v>
      </c>
      <c r="D57" s="17" t="s">
        <v>343</v>
      </c>
      <c r="E57" s="17">
        <v>200</v>
      </c>
      <c r="F57" s="20" t="s">
        <v>428</v>
      </c>
      <c r="G57" s="20" t="s">
        <v>428</v>
      </c>
      <c r="H57" s="17" t="s">
        <v>1238</v>
      </c>
      <c r="I57" s="17" t="s">
        <v>1188</v>
      </c>
    </row>
    <row r="58" spans="1:9" ht="42" customHeight="1">
      <c r="A58" s="23">
        <v>74</v>
      </c>
      <c r="B58" s="3" t="s">
        <v>301</v>
      </c>
      <c r="C58" s="3" t="s">
        <v>302</v>
      </c>
      <c r="D58" s="3" t="s">
        <v>343</v>
      </c>
      <c r="E58" s="3">
        <v>200</v>
      </c>
      <c r="F58" s="19" t="s">
        <v>430</v>
      </c>
      <c r="G58" s="19" t="s">
        <v>430</v>
      </c>
      <c r="H58" s="3" t="s">
        <v>1239</v>
      </c>
      <c r="I58" s="3" t="s">
        <v>1188</v>
      </c>
    </row>
    <row r="59" spans="1:9" ht="42" customHeight="1">
      <c r="A59" s="24">
        <v>76</v>
      </c>
      <c r="B59" s="17" t="s">
        <v>304</v>
      </c>
      <c r="C59" s="17" t="s">
        <v>185</v>
      </c>
      <c r="D59" s="17" t="s">
        <v>343</v>
      </c>
      <c r="E59" s="17">
        <v>200</v>
      </c>
      <c r="F59" s="20" t="s">
        <v>432</v>
      </c>
      <c r="G59" s="20" t="s">
        <v>432</v>
      </c>
      <c r="H59" s="17" t="s">
        <v>1240</v>
      </c>
      <c r="I59" s="17" t="s">
        <v>1188</v>
      </c>
    </row>
    <row r="60" spans="1:9" ht="42" customHeight="1">
      <c r="A60" s="23">
        <v>77</v>
      </c>
      <c r="B60" s="3" t="s">
        <v>306</v>
      </c>
      <c r="C60" s="3" t="s">
        <v>308</v>
      </c>
      <c r="D60" s="3" t="s">
        <v>362</v>
      </c>
      <c r="E60" s="3">
        <v>403</v>
      </c>
      <c r="F60" s="19" t="s">
        <v>434</v>
      </c>
      <c r="G60" s="19" t="s">
        <v>434</v>
      </c>
      <c r="H60" s="3" t="s">
        <v>1198</v>
      </c>
      <c r="I60" s="3" t="s">
        <v>1199</v>
      </c>
    </row>
    <row r="61" spans="1:9" ht="42" customHeight="1">
      <c r="A61" s="24">
        <v>78</v>
      </c>
      <c r="B61" s="17" t="s">
        <v>310</v>
      </c>
      <c r="C61" s="17" t="s">
        <v>311</v>
      </c>
      <c r="D61" s="17" t="s">
        <v>343</v>
      </c>
      <c r="E61" s="17">
        <v>200</v>
      </c>
      <c r="F61" s="20" t="s">
        <v>435</v>
      </c>
      <c r="G61" s="20" t="s">
        <v>435</v>
      </c>
      <c r="H61" s="17" t="s">
        <v>1241</v>
      </c>
      <c r="I61" s="17" t="s">
        <v>1188</v>
      </c>
    </row>
    <row r="62" spans="1:9" ht="42" customHeight="1">
      <c r="A62" s="23">
        <v>79</v>
      </c>
      <c r="B62" s="3" t="s">
        <v>313</v>
      </c>
      <c r="C62" s="3" t="s">
        <v>209</v>
      </c>
      <c r="D62" s="3" t="s">
        <v>343</v>
      </c>
      <c r="E62" s="3">
        <v>200</v>
      </c>
      <c r="F62" s="19" t="s">
        <v>437</v>
      </c>
      <c r="G62" s="19" t="s">
        <v>437</v>
      </c>
      <c r="H62" s="3" t="s">
        <v>1242</v>
      </c>
      <c r="I62" s="3" t="s">
        <v>1188</v>
      </c>
    </row>
    <row r="63" spans="1:9" ht="42" customHeight="1">
      <c r="A63" s="24">
        <v>80</v>
      </c>
      <c r="B63" s="17" t="s">
        <v>315</v>
      </c>
      <c r="C63" s="17" t="s">
        <v>144</v>
      </c>
      <c r="D63" s="17" t="s">
        <v>343</v>
      </c>
      <c r="E63" s="17">
        <v>200</v>
      </c>
      <c r="F63" s="20" t="s">
        <v>438</v>
      </c>
      <c r="G63" s="20" t="s">
        <v>438</v>
      </c>
      <c r="H63" s="17" t="s">
        <v>1243</v>
      </c>
      <c r="I63" s="17" t="s">
        <v>1188</v>
      </c>
    </row>
    <row r="64" spans="1:9" ht="42" customHeight="1">
      <c r="A64" s="25">
        <v>81</v>
      </c>
      <c r="B64" s="4" t="s">
        <v>318</v>
      </c>
      <c r="C64" s="4" t="s">
        <v>319</v>
      </c>
      <c r="D64" s="4" t="s">
        <v>343</v>
      </c>
      <c r="E64" s="4">
        <v>200</v>
      </c>
      <c r="F64" s="21" t="s">
        <v>439</v>
      </c>
      <c r="G64" s="21" t="s">
        <v>439</v>
      </c>
      <c r="H64" s="4" t="s">
        <v>1244</v>
      </c>
      <c r="I64" s="4" t="s">
        <v>1188</v>
      </c>
    </row>
  </sheetData>
  <mergeCells count="2">
    <mergeCell ref="A1:I1"/>
    <mergeCell ref="A2:I2"/>
  </mergeCells>
  <phoneticPr fontId="8"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5"/>
  <sheetViews>
    <sheetView showGridLines="0" workbookViewId="0"/>
  </sheetViews>
  <sheetFormatPr defaultRowHeight="13.5"/>
  <cols>
    <col min="1" max="2" width="28" customWidth="1"/>
    <col min="3" max="3" width="35" customWidth="1"/>
    <col min="4" max="4" width="55" customWidth="1"/>
    <col min="5" max="5" width="18" customWidth="1"/>
    <col min="6" max="6" width="50" customWidth="1"/>
  </cols>
  <sheetData>
    <row r="1" spans="1:6" ht="28.05" customHeight="1">
      <c r="A1" s="36" t="s">
        <v>1245</v>
      </c>
      <c r="B1" s="36"/>
      <c r="C1" s="36"/>
      <c r="D1" s="36"/>
      <c r="E1" s="36"/>
      <c r="F1" s="36"/>
    </row>
    <row r="2" spans="1:6" ht="34.049999999999997" customHeight="1">
      <c r="A2" s="37" t="s">
        <v>1246</v>
      </c>
      <c r="B2" s="37"/>
      <c r="C2" s="37"/>
      <c r="D2" s="37"/>
      <c r="E2" s="37"/>
      <c r="F2" s="37"/>
    </row>
    <row r="4" spans="1:6" ht="38" customHeight="1">
      <c r="A4" s="13" t="s">
        <v>1247</v>
      </c>
      <c r="B4" s="14" t="s">
        <v>1248</v>
      </c>
      <c r="C4" s="14" t="s">
        <v>1249</v>
      </c>
      <c r="D4" s="14" t="s">
        <v>1250</v>
      </c>
      <c r="E4" s="14" t="s">
        <v>1251</v>
      </c>
      <c r="F4" s="15" t="s">
        <v>1252</v>
      </c>
    </row>
    <row r="5" spans="1:6" ht="38" customHeight="1">
      <c r="A5" s="16" t="s">
        <v>1253</v>
      </c>
      <c r="B5" s="16" t="s">
        <v>85</v>
      </c>
      <c r="C5" s="16" t="s">
        <v>1254</v>
      </c>
      <c r="D5" s="16" t="s">
        <v>1255</v>
      </c>
      <c r="E5" s="16" t="s">
        <v>1256</v>
      </c>
      <c r="F5" s="16" t="s">
        <v>1257</v>
      </c>
    </row>
    <row r="6" spans="1:6" ht="38" customHeight="1">
      <c r="A6" s="3" t="s">
        <v>1253</v>
      </c>
      <c r="B6" s="3" t="s">
        <v>86</v>
      </c>
      <c r="C6" s="3" t="s">
        <v>1258</v>
      </c>
      <c r="D6" s="3" t="s">
        <v>1259</v>
      </c>
      <c r="E6" s="3" t="s">
        <v>1260</v>
      </c>
      <c r="F6" s="3" t="s">
        <v>1261</v>
      </c>
    </row>
    <row r="7" spans="1:6" ht="38" customHeight="1">
      <c r="A7" s="17" t="s">
        <v>1262</v>
      </c>
      <c r="B7" s="17" t="s">
        <v>323</v>
      </c>
      <c r="C7" s="17" t="s">
        <v>1263</v>
      </c>
      <c r="D7" s="17" t="s">
        <v>1264</v>
      </c>
      <c r="E7" s="17" t="s">
        <v>1265</v>
      </c>
      <c r="F7" s="17" t="s">
        <v>1266</v>
      </c>
    </row>
    <row r="8" spans="1:6" ht="38" customHeight="1">
      <c r="A8" s="3" t="s">
        <v>1262</v>
      </c>
      <c r="B8" s="3" t="s">
        <v>90</v>
      </c>
      <c r="C8" s="3" t="s">
        <v>1267</v>
      </c>
      <c r="D8" s="3" t="s">
        <v>1268</v>
      </c>
      <c r="E8" s="3" t="s">
        <v>1265</v>
      </c>
      <c r="F8" s="3" t="s">
        <v>1269</v>
      </c>
    </row>
    <row r="9" spans="1:6" ht="38" customHeight="1">
      <c r="A9" s="17" t="s">
        <v>1262</v>
      </c>
      <c r="B9" s="17" t="s">
        <v>91</v>
      </c>
      <c r="C9" s="17" t="s">
        <v>1270</v>
      </c>
      <c r="D9" s="17" t="s">
        <v>1271</v>
      </c>
      <c r="E9" s="17" t="s">
        <v>1265</v>
      </c>
      <c r="F9" s="17" t="s">
        <v>1272</v>
      </c>
    </row>
    <row r="10" spans="1:6" ht="38" customHeight="1">
      <c r="A10" s="3" t="s">
        <v>1273</v>
      </c>
      <c r="B10" s="3" t="s">
        <v>332</v>
      </c>
      <c r="C10" s="3" t="s">
        <v>1274</v>
      </c>
      <c r="D10" s="3" t="s">
        <v>1275</v>
      </c>
      <c r="E10" s="3" t="s">
        <v>1256</v>
      </c>
      <c r="F10" s="3" t="s">
        <v>1276</v>
      </c>
    </row>
    <row r="11" spans="1:6" ht="38" customHeight="1">
      <c r="A11" s="17" t="s">
        <v>1273</v>
      </c>
      <c r="B11" s="17" t="s">
        <v>333</v>
      </c>
      <c r="C11" s="17" t="s">
        <v>1277</v>
      </c>
      <c r="D11" s="17" t="s">
        <v>1278</v>
      </c>
      <c r="E11" s="17" t="s">
        <v>1256</v>
      </c>
      <c r="F11" s="17" t="s">
        <v>1279</v>
      </c>
    </row>
    <row r="12" spans="1:6" ht="38" customHeight="1">
      <c r="A12" s="3" t="s">
        <v>1273</v>
      </c>
      <c r="B12" s="3" t="s">
        <v>336</v>
      </c>
      <c r="C12" s="3" t="s">
        <v>1280</v>
      </c>
      <c r="D12" s="3" t="s">
        <v>1281</v>
      </c>
      <c r="E12" s="3" t="s">
        <v>1256</v>
      </c>
      <c r="F12" s="3" t="s">
        <v>1282</v>
      </c>
    </row>
    <row r="13" spans="1:6" ht="38" customHeight="1">
      <c r="A13" s="17" t="s">
        <v>1283</v>
      </c>
      <c r="B13" s="17" t="s">
        <v>530</v>
      </c>
      <c r="C13" s="17" t="s">
        <v>1284</v>
      </c>
      <c r="D13" s="17" t="s">
        <v>1285</v>
      </c>
      <c r="E13" s="17" t="s">
        <v>1256</v>
      </c>
      <c r="F13" s="17" t="s">
        <v>1286</v>
      </c>
    </row>
    <row r="14" spans="1:6" ht="38" customHeight="1">
      <c r="A14" s="3" t="s">
        <v>1283</v>
      </c>
      <c r="B14" s="3" t="s">
        <v>532</v>
      </c>
      <c r="C14" s="3" t="s">
        <v>1287</v>
      </c>
      <c r="D14" s="3" t="s">
        <v>1288</v>
      </c>
      <c r="E14" s="3" t="s">
        <v>1265</v>
      </c>
      <c r="F14" s="3" t="s">
        <v>1289</v>
      </c>
    </row>
    <row r="15" spans="1:6" ht="38" customHeight="1">
      <c r="A15" s="17" t="s">
        <v>1283</v>
      </c>
      <c r="B15" s="17" t="s">
        <v>533</v>
      </c>
      <c r="C15" s="17" t="s">
        <v>1290</v>
      </c>
      <c r="D15" s="17" t="s">
        <v>1291</v>
      </c>
      <c r="E15" s="17" t="s">
        <v>1260</v>
      </c>
      <c r="F15" s="17" t="s">
        <v>1292</v>
      </c>
    </row>
    <row r="16" spans="1:6" ht="38" customHeight="1">
      <c r="A16" s="3" t="s">
        <v>1293</v>
      </c>
      <c r="B16" s="3" t="s">
        <v>593</v>
      </c>
      <c r="C16" s="3" t="s">
        <v>1294</v>
      </c>
      <c r="D16" s="3" t="s">
        <v>1295</v>
      </c>
      <c r="E16" s="3" t="s">
        <v>1256</v>
      </c>
      <c r="F16" s="3" t="s">
        <v>1296</v>
      </c>
    </row>
    <row r="17" spans="1:6" ht="38" customHeight="1">
      <c r="A17" s="17" t="s">
        <v>1293</v>
      </c>
      <c r="B17" s="17" t="s">
        <v>1297</v>
      </c>
      <c r="C17" s="17" t="s">
        <v>1298</v>
      </c>
      <c r="D17" s="17" t="s">
        <v>1299</v>
      </c>
      <c r="E17" s="17" t="s">
        <v>1260</v>
      </c>
      <c r="F17" s="17" t="s">
        <v>1300</v>
      </c>
    </row>
    <row r="18" spans="1:6" ht="38" customHeight="1">
      <c r="A18" s="3" t="s">
        <v>1301</v>
      </c>
      <c r="B18" s="3" t="s">
        <v>777</v>
      </c>
      <c r="C18" s="3" t="s">
        <v>1302</v>
      </c>
      <c r="D18" s="3" t="s">
        <v>1303</v>
      </c>
      <c r="E18" s="3" t="s">
        <v>1256</v>
      </c>
      <c r="F18" s="3" t="s">
        <v>1304</v>
      </c>
    </row>
    <row r="19" spans="1:6" ht="38" customHeight="1">
      <c r="A19" s="17" t="s">
        <v>1301</v>
      </c>
      <c r="B19" s="17" t="s">
        <v>788</v>
      </c>
      <c r="C19" s="17" t="s">
        <v>1305</v>
      </c>
      <c r="D19" s="17" t="s">
        <v>1306</v>
      </c>
      <c r="E19" s="17" t="s">
        <v>1260</v>
      </c>
      <c r="F19" s="17" t="s">
        <v>1307</v>
      </c>
    </row>
    <row r="20" spans="1:6" ht="38" customHeight="1">
      <c r="A20" s="3" t="s">
        <v>1301</v>
      </c>
      <c r="B20" s="3" t="s">
        <v>789</v>
      </c>
      <c r="C20" s="3" t="s">
        <v>1305</v>
      </c>
      <c r="D20" s="3" t="s">
        <v>1308</v>
      </c>
      <c r="E20" s="3" t="s">
        <v>1260</v>
      </c>
      <c r="F20" s="3" t="s">
        <v>1309</v>
      </c>
    </row>
    <row r="21" spans="1:6" ht="38" customHeight="1">
      <c r="A21" s="17" t="s">
        <v>1310</v>
      </c>
      <c r="B21" s="17" t="s">
        <v>950</v>
      </c>
      <c r="C21" s="17" t="s">
        <v>1311</v>
      </c>
      <c r="D21" s="17" t="s">
        <v>1312</v>
      </c>
      <c r="E21" s="17" t="s">
        <v>1265</v>
      </c>
      <c r="F21" s="17" t="s">
        <v>1313</v>
      </c>
    </row>
    <row r="22" spans="1:6" ht="38" customHeight="1">
      <c r="A22" s="3" t="s">
        <v>1310</v>
      </c>
      <c r="B22" s="3" t="s">
        <v>955</v>
      </c>
      <c r="C22" s="3" t="s">
        <v>1314</v>
      </c>
      <c r="D22" s="3" t="s">
        <v>1315</v>
      </c>
      <c r="E22" s="3" t="s">
        <v>1265</v>
      </c>
      <c r="F22" s="3" t="s">
        <v>1316</v>
      </c>
    </row>
    <row r="23" spans="1:6" ht="38" customHeight="1">
      <c r="A23" s="17" t="s">
        <v>1310</v>
      </c>
      <c r="B23" s="17" t="s">
        <v>957</v>
      </c>
      <c r="C23" s="17" t="s">
        <v>1317</v>
      </c>
      <c r="D23" s="17" t="s">
        <v>1318</v>
      </c>
      <c r="E23" s="17" t="s">
        <v>1256</v>
      </c>
      <c r="F23" s="17" t="s">
        <v>1319</v>
      </c>
    </row>
    <row r="24" spans="1:6" ht="38" customHeight="1">
      <c r="A24" s="3" t="s">
        <v>1310</v>
      </c>
      <c r="B24" s="3" t="s">
        <v>965</v>
      </c>
      <c r="C24" s="3" t="s">
        <v>1320</v>
      </c>
      <c r="D24" s="3" t="s">
        <v>1321</v>
      </c>
      <c r="E24" s="3" t="s">
        <v>1265</v>
      </c>
      <c r="F24" s="3" t="s">
        <v>1322</v>
      </c>
    </row>
    <row r="25" spans="1:6" ht="38" customHeight="1">
      <c r="A25" s="29" t="s">
        <v>1131</v>
      </c>
      <c r="B25" s="29" t="s">
        <v>1323</v>
      </c>
      <c r="C25" s="29" t="s">
        <v>1324</v>
      </c>
      <c r="D25" s="29" t="s">
        <v>1325</v>
      </c>
      <c r="E25" s="29" t="s">
        <v>1326</v>
      </c>
      <c r="F25" s="29" t="s">
        <v>1327</v>
      </c>
    </row>
  </sheetData>
  <mergeCells count="2">
    <mergeCell ref="A1:F1"/>
    <mergeCell ref="A2:F2"/>
  </mergeCells>
  <phoneticPr fontId="8"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29"/>
  <sheetViews>
    <sheetView showGridLines="0" workbookViewId="0"/>
  </sheetViews>
  <sheetFormatPr defaultRowHeight="13.5"/>
  <cols>
    <col min="1" max="1" width="38" customWidth="1"/>
    <col min="2" max="2" width="32" customWidth="1"/>
    <col min="3" max="4" width="58" customWidth="1"/>
    <col min="5" max="5" width="48" customWidth="1"/>
    <col min="6" max="6" width="16" customWidth="1"/>
  </cols>
  <sheetData>
    <row r="1" spans="1:6" ht="28.05" customHeight="1">
      <c r="A1" s="36" t="s">
        <v>1328</v>
      </c>
      <c r="B1" s="36"/>
      <c r="C1" s="36"/>
      <c r="D1" s="36"/>
      <c r="E1" s="36"/>
      <c r="F1" s="36"/>
    </row>
    <row r="2" spans="1:6" ht="34.049999999999997" customHeight="1">
      <c r="A2" s="37" t="s">
        <v>1329</v>
      </c>
      <c r="B2" s="37"/>
      <c r="C2" s="37"/>
      <c r="D2" s="37"/>
      <c r="E2" s="37"/>
      <c r="F2" s="37"/>
    </row>
    <row r="4" spans="1:6">
      <c r="A4" s="1" t="s">
        <v>1330</v>
      </c>
      <c r="B4" s="1" t="s">
        <v>1331</v>
      </c>
      <c r="C4" s="1" t="s">
        <v>1332</v>
      </c>
      <c r="D4" s="1" t="s">
        <v>1333</v>
      </c>
      <c r="E4" s="1" t="s">
        <v>1334</v>
      </c>
      <c r="F4" s="1" t="s">
        <v>1335</v>
      </c>
    </row>
    <row r="5" spans="1:6" ht="42" customHeight="1">
      <c r="A5" s="16">
        <v>1</v>
      </c>
      <c r="B5" s="16" t="s">
        <v>1336</v>
      </c>
      <c r="C5" s="16" t="s">
        <v>1337</v>
      </c>
      <c r="D5" s="16" t="s">
        <v>1338</v>
      </c>
      <c r="E5" s="16" t="s">
        <v>1135</v>
      </c>
      <c r="F5" s="16" t="s">
        <v>342</v>
      </c>
    </row>
    <row r="6" spans="1:6" ht="42" customHeight="1">
      <c r="A6" s="3">
        <v>2</v>
      </c>
      <c r="B6" s="3" t="s">
        <v>1339</v>
      </c>
      <c r="C6" s="3" t="s">
        <v>1337</v>
      </c>
      <c r="D6" s="3" t="s">
        <v>1340</v>
      </c>
      <c r="E6" s="3" t="s">
        <v>1140</v>
      </c>
      <c r="F6" s="3" t="s">
        <v>342</v>
      </c>
    </row>
    <row r="7" spans="1:6" ht="42" customHeight="1">
      <c r="A7" s="17">
        <v>3</v>
      </c>
      <c r="B7" s="17" t="s">
        <v>1341</v>
      </c>
      <c r="C7" s="17" t="s">
        <v>1342</v>
      </c>
      <c r="D7" s="17" t="s">
        <v>1343</v>
      </c>
      <c r="E7" s="17" t="s">
        <v>1344</v>
      </c>
      <c r="F7" s="17" t="s">
        <v>342</v>
      </c>
    </row>
    <row r="8" spans="1:6" ht="42" customHeight="1">
      <c r="A8" s="3">
        <v>4</v>
      </c>
      <c r="B8" s="3" t="s">
        <v>71</v>
      </c>
      <c r="C8" s="3" t="s">
        <v>1345</v>
      </c>
      <c r="D8" s="3" t="s">
        <v>1346</v>
      </c>
      <c r="E8" s="3" t="s">
        <v>1347</v>
      </c>
      <c r="F8" s="3" t="s">
        <v>342</v>
      </c>
    </row>
    <row r="9" spans="1:6" ht="42" customHeight="1">
      <c r="A9" s="17">
        <v>5</v>
      </c>
      <c r="B9" s="17" t="s">
        <v>1348</v>
      </c>
      <c r="C9" s="17" t="s">
        <v>1349</v>
      </c>
      <c r="D9" s="17" t="s">
        <v>1350</v>
      </c>
      <c r="E9" s="17" t="s">
        <v>1351</v>
      </c>
      <c r="F9" s="17" t="s">
        <v>1352</v>
      </c>
    </row>
    <row r="10" spans="1:6" ht="42" customHeight="1">
      <c r="A10" s="3">
        <v>6</v>
      </c>
      <c r="B10" s="3" t="s">
        <v>1353</v>
      </c>
      <c r="C10" s="3" t="s">
        <v>1354</v>
      </c>
      <c r="D10" s="3" t="s">
        <v>1355</v>
      </c>
      <c r="E10" s="3" t="s">
        <v>1356</v>
      </c>
      <c r="F10" s="3" t="s">
        <v>342</v>
      </c>
    </row>
    <row r="11" spans="1:6" ht="42" customHeight="1">
      <c r="A11" s="17">
        <v>7</v>
      </c>
      <c r="B11" s="17" t="s">
        <v>1357</v>
      </c>
      <c r="C11" s="17" t="s">
        <v>1358</v>
      </c>
      <c r="D11" s="17" t="s">
        <v>1359</v>
      </c>
      <c r="E11" s="17" t="s">
        <v>1360</v>
      </c>
      <c r="F11" s="17" t="s">
        <v>342</v>
      </c>
    </row>
    <row r="12" spans="1:6" ht="42" customHeight="1">
      <c r="A12" s="3">
        <v>8</v>
      </c>
      <c r="B12" s="3" t="s">
        <v>1283</v>
      </c>
      <c r="C12" s="3" t="s">
        <v>1361</v>
      </c>
      <c r="D12" s="3" t="s">
        <v>1362</v>
      </c>
      <c r="E12" s="3" t="s">
        <v>540</v>
      </c>
      <c r="F12" s="3" t="s">
        <v>342</v>
      </c>
    </row>
    <row r="13" spans="1:6" ht="42" customHeight="1">
      <c r="A13" s="17">
        <v>9</v>
      </c>
      <c r="B13" s="17" t="s">
        <v>1363</v>
      </c>
      <c r="C13" s="17" t="s">
        <v>1364</v>
      </c>
      <c r="D13" s="17" t="s">
        <v>1365</v>
      </c>
      <c r="E13" s="17" t="s">
        <v>1366</v>
      </c>
      <c r="F13" s="17" t="s">
        <v>342</v>
      </c>
    </row>
    <row r="14" spans="1:6" ht="42" customHeight="1">
      <c r="A14" s="3">
        <v>10</v>
      </c>
      <c r="B14" s="3" t="s">
        <v>1293</v>
      </c>
      <c r="C14" s="3" t="s">
        <v>1367</v>
      </c>
      <c r="D14" s="3" t="s">
        <v>1368</v>
      </c>
      <c r="E14" s="3" t="s">
        <v>614</v>
      </c>
      <c r="F14" s="3" t="s">
        <v>1352</v>
      </c>
    </row>
    <row r="15" spans="1:6" ht="42" customHeight="1">
      <c r="A15" s="17">
        <v>11</v>
      </c>
      <c r="B15" s="17" t="s">
        <v>1369</v>
      </c>
      <c r="C15" s="17" t="s">
        <v>1370</v>
      </c>
      <c r="D15" s="17" t="s">
        <v>1371</v>
      </c>
      <c r="E15" s="17" t="s">
        <v>1372</v>
      </c>
      <c r="F15" s="17" t="s">
        <v>1352</v>
      </c>
    </row>
    <row r="16" spans="1:6" ht="42" customHeight="1">
      <c r="A16" s="3">
        <v>12</v>
      </c>
      <c r="B16" s="3" t="s">
        <v>1373</v>
      </c>
      <c r="C16" s="3" t="s">
        <v>1374</v>
      </c>
      <c r="D16" s="3" t="s">
        <v>1375</v>
      </c>
      <c r="E16" s="3" t="s">
        <v>1376</v>
      </c>
      <c r="F16" s="3" t="s">
        <v>1352</v>
      </c>
    </row>
    <row r="17" spans="1:6" ht="42" customHeight="1">
      <c r="A17" s="17">
        <v>13</v>
      </c>
      <c r="B17" s="17" t="s">
        <v>1377</v>
      </c>
      <c r="C17" s="17" t="s">
        <v>1378</v>
      </c>
      <c r="D17" s="17" t="s">
        <v>1379</v>
      </c>
      <c r="E17" s="17" t="s">
        <v>1380</v>
      </c>
      <c r="F17" s="17" t="s">
        <v>342</v>
      </c>
    </row>
    <row r="18" spans="1:6" ht="42" customHeight="1">
      <c r="A18" s="4">
        <v>14</v>
      </c>
      <c r="B18" s="4" t="s">
        <v>1381</v>
      </c>
      <c r="C18" s="4" t="s">
        <v>1382</v>
      </c>
      <c r="D18" s="4" t="s">
        <v>1383</v>
      </c>
      <c r="E18" s="4" t="s">
        <v>1347</v>
      </c>
      <c r="F18" s="4" t="s">
        <v>1352</v>
      </c>
    </row>
    <row r="19" spans="1:6" ht="42" customHeight="1"/>
    <row r="20" spans="1:6" ht="42" customHeight="1">
      <c r="A20" s="1" t="s">
        <v>1384</v>
      </c>
      <c r="B20" s="1" t="s">
        <v>1385</v>
      </c>
      <c r="C20" s="1" t="s">
        <v>1386</v>
      </c>
      <c r="D20" s="1" t="s">
        <v>1387</v>
      </c>
      <c r="E20" s="1" t="s">
        <v>1388</v>
      </c>
      <c r="F20" s="1" t="s">
        <v>1123</v>
      </c>
    </row>
    <row r="21" spans="1:6" ht="42" customHeight="1">
      <c r="A21" s="16" t="s">
        <v>1389</v>
      </c>
      <c r="B21" s="16" t="s">
        <v>1390</v>
      </c>
      <c r="C21" s="16" t="s">
        <v>1391</v>
      </c>
      <c r="D21" s="16" t="s">
        <v>1392</v>
      </c>
      <c r="E21" s="16" t="s">
        <v>1393</v>
      </c>
      <c r="F21" s="16" t="s">
        <v>1146</v>
      </c>
    </row>
    <row r="22" spans="1:6" ht="42" customHeight="1">
      <c r="A22" s="3" t="s">
        <v>1394</v>
      </c>
      <c r="B22" s="3" t="s">
        <v>1395</v>
      </c>
      <c r="C22" s="3" t="s">
        <v>1396</v>
      </c>
      <c r="D22" s="3" t="s">
        <v>1397</v>
      </c>
      <c r="E22" s="3" t="s">
        <v>1398</v>
      </c>
      <c r="F22" s="3" t="s">
        <v>1159</v>
      </c>
    </row>
    <row r="23" spans="1:6" ht="42" customHeight="1">
      <c r="A23" s="17" t="s">
        <v>1399</v>
      </c>
      <c r="B23" s="17" t="s">
        <v>1400</v>
      </c>
      <c r="C23" s="17" t="s">
        <v>1401</v>
      </c>
      <c r="D23" s="17" t="s">
        <v>1402</v>
      </c>
      <c r="E23" s="17" t="s">
        <v>1403</v>
      </c>
      <c r="F23" s="17" t="s">
        <v>1146</v>
      </c>
    </row>
    <row r="24" spans="1:6" ht="42" customHeight="1">
      <c r="A24" s="3" t="s">
        <v>1404</v>
      </c>
      <c r="B24" s="3" t="s">
        <v>1405</v>
      </c>
      <c r="C24" s="3" t="s">
        <v>1406</v>
      </c>
      <c r="D24" s="3" t="s">
        <v>1407</v>
      </c>
      <c r="E24" s="3" t="s">
        <v>1408</v>
      </c>
      <c r="F24" s="3" t="s">
        <v>1146</v>
      </c>
    </row>
    <row r="25" spans="1:6" ht="42" customHeight="1">
      <c r="A25" s="17" t="s">
        <v>1409</v>
      </c>
      <c r="B25" s="17" t="s">
        <v>1410</v>
      </c>
      <c r="C25" s="17" t="s">
        <v>1411</v>
      </c>
      <c r="D25" s="17" t="s">
        <v>1412</v>
      </c>
      <c r="E25" s="17">
        <v>7</v>
      </c>
      <c r="F25" s="17" t="s">
        <v>1159</v>
      </c>
    </row>
    <row r="26" spans="1:6" ht="42" customHeight="1">
      <c r="A26" s="3" t="s">
        <v>1413</v>
      </c>
      <c r="B26" s="3" t="s">
        <v>1414</v>
      </c>
      <c r="C26" s="3" t="s">
        <v>1415</v>
      </c>
      <c r="D26" s="3" t="s">
        <v>1416</v>
      </c>
      <c r="E26" s="3" t="s">
        <v>1417</v>
      </c>
      <c r="F26" s="3" t="s">
        <v>1146</v>
      </c>
    </row>
    <row r="27" spans="1:6" ht="42" customHeight="1">
      <c r="A27" s="17" t="s">
        <v>1418</v>
      </c>
      <c r="B27" s="17" t="s">
        <v>1419</v>
      </c>
      <c r="C27" s="17" t="s">
        <v>1420</v>
      </c>
      <c r="D27" s="17" t="s">
        <v>1421</v>
      </c>
      <c r="E27" s="17">
        <v>31</v>
      </c>
      <c r="F27" s="17" t="s">
        <v>1146</v>
      </c>
    </row>
    <row r="28" spans="1:6" ht="42" customHeight="1">
      <c r="A28" s="3" t="s">
        <v>1422</v>
      </c>
      <c r="B28" s="3" t="s">
        <v>1423</v>
      </c>
      <c r="C28" s="3" t="s">
        <v>1424</v>
      </c>
      <c r="D28" s="3" t="s">
        <v>1168</v>
      </c>
      <c r="E28" s="3">
        <v>32</v>
      </c>
      <c r="F28" s="3" t="s">
        <v>1146</v>
      </c>
    </row>
    <row r="29" spans="1:6" ht="42" customHeight="1">
      <c r="A29" s="29" t="s">
        <v>1425</v>
      </c>
      <c r="B29" s="29" t="s">
        <v>1426</v>
      </c>
      <c r="C29" s="29" t="s">
        <v>1427</v>
      </c>
      <c r="D29" s="29" t="s">
        <v>1428</v>
      </c>
      <c r="E29" s="29" t="s">
        <v>1393</v>
      </c>
      <c r="F29" s="29" t="s">
        <v>1159</v>
      </c>
    </row>
  </sheetData>
  <mergeCells count="2">
    <mergeCell ref="A1:F1"/>
    <mergeCell ref="A2:F2"/>
  </mergeCells>
  <phoneticPr fontId="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Summary</vt:lpstr>
      <vt:lpstr>Selection Audit</vt:lpstr>
      <vt:lpstr>Candidate Universities</vt:lpstr>
      <vt:lpstr>Program Verification</vt:lpstr>
      <vt:lpstr>QS Sustainability Top 30</vt:lpstr>
      <vt:lpstr>THE Impact 30 Additions</vt:lpstr>
      <vt:lpstr>Overlap Analysis</vt:lpstr>
      <vt:lpstr>AASHE STARS</vt:lpstr>
      <vt:lpstr>UN PRME</vt:lpstr>
      <vt:lpstr>OpenAlex 2021-2025</vt:lpstr>
      <vt:lpstr>Program Details</vt:lpstr>
      <vt:lpstr>Verification Issues</vt:lpstr>
      <vt:lpstr>URL Audit</vt:lpstr>
      <vt:lpstr>Data Dictionary</vt:lpstr>
      <vt:lpstr>Method &amp; 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翟涵 龚</cp:lastModifiedBy>
  <dcterms:modified xsi:type="dcterms:W3CDTF">2026-07-21T06:47:49Z</dcterms:modified>
</cp:coreProperties>
</file>