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9993f0c31e40f0" /></Relationships>
</file>

<file path=xl/workbook.xml><?xml version="1.0" encoding="utf-8"?>
<x:workbook xmlns:x="http://schemas.openxmlformats.org/spreadsheetml/2006/main">
  <x:sheets>
    <x:sheet xmlns:r="http://schemas.openxmlformats.org/officeDocument/2006/relationships" name="Summary" sheetId="1" r:id="R806f6869ca2446e9"/>
    <x:sheet xmlns:r="http://schemas.openxmlformats.org/officeDocument/2006/relationships" name="Selection Audit" sheetId="2" r:id="R6aacf57514c84e61"/>
    <x:sheet xmlns:r="http://schemas.openxmlformats.org/officeDocument/2006/relationships" name="Candidate Universities" sheetId="3" r:id="R5b535c1fbb4d494a"/>
    <x:sheet xmlns:r="http://schemas.openxmlformats.org/officeDocument/2006/relationships" name="Program Verification" sheetId="4" r:id="R74cb05291b434296"/>
    <x:sheet xmlns:r="http://schemas.openxmlformats.org/officeDocument/2006/relationships" name="QS Sustainability Top 30" sheetId="5" r:id="Rf4dd04bd93fa4730"/>
    <x:sheet xmlns:r="http://schemas.openxmlformats.org/officeDocument/2006/relationships" name="THE Impact 30 Additions" sheetId="6" r:id="R871117cc27d44d27"/>
    <x:sheet xmlns:r="http://schemas.openxmlformats.org/officeDocument/2006/relationships" name="Overlap Analysis" sheetId="7" r:id="R0853ceec4d0f4e9d"/>
    <x:sheet xmlns:r="http://schemas.openxmlformats.org/officeDocument/2006/relationships" name="AASHE STARS" sheetId="8" r:id="Re0234a03813f41c7"/>
    <x:sheet xmlns:r="http://schemas.openxmlformats.org/officeDocument/2006/relationships" name="UN PRME" sheetId="9" r:id="R98f5277692904710"/>
    <x:sheet xmlns:r="http://schemas.openxmlformats.org/officeDocument/2006/relationships" name="OpenAlex 2021-2025" sheetId="10" r:id="R6c963573ddf34adf"/>
    <x:sheet xmlns:r="http://schemas.openxmlformats.org/officeDocument/2006/relationships" name="Program Details" sheetId="11" r:id="R2bc96177e1844c7b"/>
    <x:sheet xmlns:r="http://schemas.openxmlformats.org/officeDocument/2006/relationships" name="Verification Issues" sheetId="12" r:id="R9862761c0ba64302"/>
    <x:sheet xmlns:r="http://schemas.openxmlformats.org/officeDocument/2006/relationships" name="URL Audit" sheetId="13" r:id="R556ce503a857498d"/>
    <x:sheet xmlns:r="http://schemas.openxmlformats.org/officeDocument/2006/relationships" name="Data Dictionary" sheetId="14" r:id="Rf7c11dc8c59d487a"/>
    <x:sheet xmlns:r="http://schemas.openxmlformats.org/officeDocument/2006/relationships" name="Method &amp; Sources" sheetId="15" r:id="Rd2af05bf21524c6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34495E"/>
      <x:name val="Carlito"/>
    </x:font>
    <x:font>
      <x:b/>
      <x:sz val="10"/>
      <x:color rgb="FFFFFFFF"/>
      <x:name val="Carlito"/>
    </x:font>
    <x:font>
      <x:sz val="9"/>
      <x:color rgb="FF25364A"/>
      <x:name val="Carlito"/>
    </x:font>
    <x:font>
      <x:b/>
      <x:sz val="12"/>
      <x:color rgb="FF137C78"/>
      <x:name val="Carlito"/>
    </x:font>
    <x:font>
      <x:b/>
      <x:sz val="9"/>
      <x:color rgb="FF16713A"/>
      <x:name val="Carlito"/>
    </x:font>
    <x:font>
      <x:sz val="9"/>
      <x:color rgb="FF0563C1"/>
      <x:name val="Carlito"/>
    </x:font>
  </x:fonts>
  <x:fills count="8">
    <x:fill>
      <x:patternFill patternType="none"/>
    </x:fill>
    <x:fill>
      <x:patternFill patternType="gray125"/>
    </x:fill>
    <x:fill>
      <x:patternFill patternType="solid">
        <x:fgColor rgb="FF17365D"/>
      </x:patternFill>
    </x:fill>
    <x:fill>
      <x:patternFill patternType="solid">
        <x:fgColor rgb="FFDCEAF6"/>
      </x:patternFill>
    </x:fill>
    <x:fill>
      <x:patternFill patternType="solid">
        <x:fgColor rgb="FF137C78"/>
      </x:patternFill>
    </x:fill>
    <x:fill>
      <x:patternFill patternType="solid">
        <x:fgColor rgb="FFD9F2E1"/>
      </x:patternFill>
    </x:fill>
    <x:fill>
      <x:patternFill patternType="solid">
        <x:fgColor rgb="FFEEF9F1"/>
      </x:patternFill>
    </x:fill>
    <x:fill>
      <x:patternFill patternType="solid">
        <x:fgColor rgb="FFE9E2F4"/>
      </x:patternFill>
    </x:fill>
  </x:fills>
  <x:borders count="7">
    <x:border/>
    <x:border>
      <x:bottom style="thin">
        <x:color rgb="FFE4EAF0"/>
      </x:bottom>
    </x:border>
    <x:border>
      <x:top style="thin">
        <x:color rgb="FFE4EAF0"/>
      </x:top>
      <x:bottom style="thin">
        <x:color rgb="FFE4EAF0"/>
      </x:bottom>
    </x:border>
    <x:border>
      <x:top style="thin">
        <x:color rgb="FFE4EAF0"/>
      </x:top>
    </x:border>
    <x:border>
      <x:left style="thin">
        <x:color rgb="FFCAD6E2"/>
      </x:left>
      <x:top style="thin">
        <x:color rgb="FFCAD6E2"/>
      </x:top>
      <x:bottom style="thin">
        <x:color rgb="FFCAD6E2"/>
      </x:bottom>
    </x:border>
    <x:border>
      <x:top style="thin">
        <x:color rgb="FFCAD6E2"/>
      </x:top>
      <x:bottom style="thin">
        <x:color rgb="FFCAD6E2"/>
      </x:bottom>
    </x:border>
    <x:border>
      <x:right style="thin">
        <x:color rgb="FFCAD6E2"/>
      </x:right>
      <x:top style="thin">
        <x:color rgb="FFCAD6E2"/>
      </x:top>
      <x:bottom style="thin">
        <x:color rgb="FFCAD6E2"/>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5" fillId="5" borderId="2" xfId="0" applyNumberFormat="1" applyFont="1" applyFill="1" applyBorder="1" applyAlignment="1">
      <x:alignment horizontal="center" vertical="top" wrapText="1"/>
    </x:xf>
    <x:xf numFmtId="0" fontId="5" fillId="5" borderId="3"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6"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3565798dd947ad" /><Relationship Type="http://schemas.openxmlformats.org/officeDocument/2006/relationships/theme" Target="/xl/theme/theme1.xml" Id="R87e935e0a70944cb" /><Relationship Type="http://schemas.openxmlformats.org/officeDocument/2006/relationships/sharedStrings" Target="/xl/sharedStrings.xml" Id="Rdb878bb3b37043a0" /><Relationship Type="http://schemas.openxmlformats.org/officeDocument/2006/relationships/worksheet" Target="/xl/worksheets/sheet1.xml" Id="R806f6869ca2446e9" /><Relationship Type="http://schemas.openxmlformats.org/officeDocument/2006/relationships/worksheet" Target="/xl/worksheets/sheet2.xml" Id="R6aacf57514c84e61" /><Relationship Type="http://schemas.openxmlformats.org/officeDocument/2006/relationships/worksheet" Target="/xl/worksheets/sheet3.xml" Id="R5b535c1fbb4d494a" /><Relationship Type="http://schemas.openxmlformats.org/officeDocument/2006/relationships/worksheet" Target="/xl/worksheets/sheet4.xml" Id="R74cb05291b434296" /><Relationship Type="http://schemas.openxmlformats.org/officeDocument/2006/relationships/worksheet" Target="/xl/worksheets/sheet5.xml" Id="Rf4dd04bd93fa4730" /><Relationship Type="http://schemas.openxmlformats.org/officeDocument/2006/relationships/worksheet" Target="/xl/worksheets/sheet6.xml" Id="R871117cc27d44d27" /><Relationship Type="http://schemas.openxmlformats.org/officeDocument/2006/relationships/worksheet" Target="/xl/worksheets/sheet7.xml" Id="R0853ceec4d0f4e9d" /><Relationship Type="http://schemas.openxmlformats.org/officeDocument/2006/relationships/worksheet" Target="/xl/worksheets/sheet8.xml" Id="Re0234a03813f41c7" /><Relationship Type="http://schemas.openxmlformats.org/officeDocument/2006/relationships/worksheet" Target="/xl/worksheets/sheet9.xml" Id="R98f5277692904710" /><Relationship Type="http://schemas.openxmlformats.org/officeDocument/2006/relationships/worksheet" Target="/xl/worksheets/sheet10.xml" Id="R6c963573ddf34adf" /><Relationship Type="http://schemas.openxmlformats.org/officeDocument/2006/relationships/worksheet" Target="/xl/worksheets/sheet11.xml" Id="R2bc96177e1844c7b" /><Relationship Type="http://schemas.openxmlformats.org/officeDocument/2006/relationships/worksheet" Target="/xl/worksheets/sheet12.xml" Id="R9862761c0ba64302" /><Relationship Type="http://schemas.openxmlformats.org/officeDocument/2006/relationships/worksheet" Target="/xl/worksheets/sheet13.xml" Id="R556ce503a857498d" /><Relationship Type="http://schemas.openxmlformats.org/officeDocument/2006/relationships/worksheet" Target="/xl/worksheets/sheet14.xml" Id="Rf7c11dc8c59d487a" /><Relationship Type="http://schemas.openxmlformats.org/officeDocument/2006/relationships/worksheet" Target="/xl/worksheets/sheet15.xml" Id="Rd2af05bf21524c6f" /></Relationships>
</file>

<file path=xl/tables/table1.xml><?xml version="1.0" encoding="utf-8"?>
<x:table xmlns:x="http://schemas.openxmlformats.org/spreadsheetml/2006/main" id="1" name="SelectionAuditTable" displayName="SelectionAuditTable" ref="A4:K64" headerRowCount="1" totalsRowCount="0" totalsRowShown="0">
  <x:tableColumns count="11">
    <x:tableColumn id="1" name="Selection Cohort"/>
    <x:tableColumn id="2" name="Cohort Position"/>
    <x:tableColumn id="3" name="ID"/>
    <x:tableColumn id="4" name="Institution"/>
    <x:tableColumn id="5" name="Country"/>
    <x:tableColumn id="6" name="QS Rank"/>
    <x:tableColumn id="7" name="THE Rank"/>
    <x:tableColumn id="8" name="Program"/>
    <x:tableColumn id="9" name="Selection Rule"/>
    <x:tableColumn id="10" name="QS Profile URL"/>
    <x:tableColumn id="11" name="THE Profile URL"/>
  </x:tableColumns>
  <x:tableStyleInfo name="TableStyleMedium4" showFirstColumn="0" showLastColumn="0" showRowStripes="1" showColumnStripes="0"/>
</x:table>
</file>

<file path=xl/tables/table2.xml><?xml version="1.0" encoding="utf-8"?>
<x:table xmlns:x="http://schemas.openxmlformats.org/spreadsheetml/2006/main" id="2" name="CandidateUniversitiesTable" displayName="CandidateUniversitiesTable" ref="A4:J64" headerRowCount="1" totalsRowCount="0" totalsRowShown="0">
  <x:tableColumns count="10">
    <x:tableColumn id="1" name="ID"/>
    <x:tableColumn id="2" name="Institution"/>
    <x:tableColumn id="3" name="Country"/>
    <x:tableColumn id="4" name="Candidate Source"/>
    <x:tableColumn id="5" name="QS Rank"/>
    <x:tableColumn id="6" name="QS Score"/>
    <x:tableColumn id="7" name="THE Rank"/>
    <x:tableColumn id="8" name="THE Overall Score"/>
    <x:tableColumn id="9" name="QS Profile URL"/>
    <x:tableColumn id="10" name="THE Profile URL"/>
  </x:tableColumns>
  <x:tableStyleInfo name="TableStyleMedium4" showFirstColumn="0" showLastColumn="0" showRowStripes="1" showColumnStripes="0"/>
</x:table>
</file>

<file path=xl/tables/table3.xml><?xml version="1.0" encoding="utf-8"?>
<x:table xmlns:x="http://schemas.openxmlformats.org/spreadsheetml/2006/main" id="3" name="ProgramVerificationTable" displayName="ProgramVerificationTable" ref="A4:L64" headerRowCount="1" totalsRowCount="0" totalsRowShown="0">
  <x:tableColumns count="12">
    <x:tableColumn id="1" name="ID"/>
    <x:tableColumn id="2" name="Institution"/>
    <x:tableColumn id="3" name="Country"/>
    <x:tableColumn id="4" name="Candidate Source"/>
    <x:tableColumn id="5" name="Program Name"/>
    <x:tableColumn id="6" name="Match Type"/>
    <x:tableColumn id="7" name="Verification Status"/>
    <x:tableColumn id="8" name="Official Program URL"/>
    <x:tableColumn id="9" name="Verification Date"/>
    <x:tableColumn id="10" name="URL Audit"/>
    <x:tableColumn id="11" name="HTTP Status"/>
    <x:tableColumn id="12" name="Verification Note"/>
  </x:tableColumns>
  <x:tableStyleInfo name="TableStyleMedium4" showFirstColumn="0" showLastColumn="0" showRowStripes="1" showColumnStripes="0"/>
</x:table>
</file>

<file path=xl/tables/table4.xml><?xml version="1.0" encoding="utf-8"?>
<x:table xmlns:x="http://schemas.openxmlformats.org/spreadsheetml/2006/main" id="4" name="QSSustainabilityTop30Table" displayName="QSSustainabilityTop30Table" ref="A4:O34" headerRowCount="1" totalsRowCount="0" totalsRowShown="0">
  <x:tableColumns count="15">
    <x:tableColumn id="1" name="Rank"/>
    <x:tableColumn id="2" name="Rank Number"/>
    <x:tableColumn id="3" name="University"/>
    <x:tableColumn id="4" name="Location"/>
    <x:tableColumn id="5" name="Country"/>
    <x:tableColumn id="6" name="Overall Score"/>
    <x:tableColumn id="7" name="Environmental Sustainability"/>
    <x:tableColumn id="8" name="Environmental Education"/>
    <x:tableColumn id="9" name="Environmental Research"/>
    <x:tableColumn id="10" name="Equality"/>
    <x:tableColumn id="11" name="Knowledge Exchange"/>
    <x:tableColumn id="12" name="Impact of Education"/>
    <x:tableColumn id="13" name="Employability &amp; Opportunities"/>
    <x:tableColumn id="14" name="Good Governance"/>
    <x:tableColumn id="15" name="QS Profile URL"/>
  </x:tableColumns>
  <x:tableStyleInfo name="TableStyleMedium4" showFirstColumn="0" showLastColumn="0" showRowStripes="1" showColumnStripes="0"/>
</x:table>
</file>

<file path=xl/tables/table5.xml><?xml version="1.0" encoding="utf-8"?>
<x:table xmlns:x="http://schemas.openxmlformats.org/spreadsheetml/2006/main" id="5" name="THEImpact30AdditionsTable" displayName="THEImpact30AdditionsTable" ref="A4:H34" headerRowCount="1" totalsRowCount="0" totalsRowShown="0">
  <x:tableColumns count="8">
    <x:tableColumn id="1" name="Rank"/>
    <x:tableColumn id="2" name="Rank Number"/>
    <x:tableColumn id="3" name="University"/>
    <x:tableColumn id="4" name="Country"/>
    <x:tableColumn id="5" name="Overall Score"/>
    <x:tableColumn id="6" name="SDG 17 Score"/>
    <x:tableColumn id="7" name="Top SDG Scores (published text)"/>
    <x:tableColumn id="8" name="THE Profile URL"/>
  </x:tableColumns>
  <x:tableStyleInfo name="TableStyleMedium4" showFirstColumn="0" showLastColumn="0" showRowStripes="1" showColumnStripes="0"/>
</x:table>
</file>

<file path=xl/tables/table6.xml><?xml version="1.0" encoding="utf-8"?>
<x:table xmlns:x="http://schemas.openxmlformats.org/spreadsheetml/2006/main" id="6" name="OverlapAnalysisTable" displayName="OverlapAnalysisTable" ref="A4:J9" headerRowCount="1" totalsRowCount="0" totalsRowShown="0">
  <x:tableColumns count="10">
    <x:tableColumn id="1" name="ID"/>
    <x:tableColumn id="2" name="Canonical Institution"/>
    <x:tableColumn id="3" name="Country"/>
    <x:tableColumn id="4" name="QS Rank"/>
    <x:tableColumn id="5" name="QS Score"/>
    <x:tableColumn id="6" name="THE Rank"/>
    <x:tableColumn id="7" name="THE Score"/>
    <x:tableColumn id="8" name="QS Name"/>
    <x:tableColumn id="9" name="THE Name / Alias"/>
    <x:tableColumn id="10" name="Identity Note"/>
  </x:tableColumns>
  <x:tableStyleInfo name="TableStyleMedium4" showFirstColumn="0" showLastColumn="0" showRowStripes="1" showColumnStripes="0"/>
</x:table>
</file>

<file path=xl/tables/table7.xml><?xml version="1.0" encoding="utf-8"?>
<x:table xmlns:x="http://schemas.openxmlformats.org/spreadsheetml/2006/main" id="7" name="AASHESTARSTable" displayName="AASHESTARSTable" ref="A4:K64" headerRowCount="1" totalsRowCount="0" totalsRowShown="0">
  <x:tableColumns count="11">
    <x:tableColumn id="1" name="ID"/>
    <x:tableColumn id="2" name="Candidate Institution"/>
    <x:tableColumn id="3" name="AASHE Match Status"/>
    <x:tableColumn id="4" name="Matched AASHE Institution"/>
    <x:tableColumn id="5" name="Rating"/>
    <x:tableColumn id="6" name="Score"/>
    <x:tableColumn id="7" name="Valid Through"/>
    <x:tableColumn id="8" name="AASHE Profile URL"/>
    <x:tableColumn id="9" name="Latest Report URL"/>
    <x:tableColumn id="10" name="Source URL"/>
    <x:tableColumn id="11" name="Scope Note"/>
  </x:tableColumns>
  <x:tableStyleInfo name="TableStyleMedium4" showFirstColumn="0" showLastColumn="0" showRowStripes="1" showColumnStripes="0"/>
</x:table>
</file>

<file path=xl/tables/table8.xml><?xml version="1.0" encoding="utf-8"?>
<x:table xmlns:x="http://schemas.openxmlformats.org/spreadsheetml/2006/main" id="8" name="UNPRMETable" displayName="UNPRMETable" ref="A4:Q64" headerRowCount="1" totalsRowCount="0" totalsRowShown="0">
  <x:tableColumns count="17">
    <x:tableColumn id="1" name="ID"/>
    <x:tableColumn id="2" name="Candidate Institution"/>
    <x:tableColumn id="3" name="Country"/>
    <x:tableColumn id="4" name="PRME Match Status"/>
    <x:tableColumn id="5" name="Matched Signatory"/>
    <x:tableColumn id="6" name="PRME Status"/>
    <x:tableColumn id="7" name="Joined Date"/>
    <x:tableColumn id="8" name="Recent SIP Count (2022-2026)"/>
    <x:tableColumn id="9" name="Latest SIP Report Year"/>
    <x:tableColumn id="10" name="Latest SIP Upload Date"/>
    <x:tableColumn id="11" name="Latest SIP Title"/>
    <x:tableColumn id="12" name="Latest SIP URL"/>
    <x:tableColumn id="13" name="Signatory URL"/>
    <x:tableColumn id="14" name="Source URL"/>
    <x:tableColumn id="15" name="Match Score"/>
    <x:tableColumn id="16" name="Matched Alias"/>
    <x:tableColumn id="17" name="Scope / Match Note"/>
  </x:tableColumns>
  <x:tableStyleInfo name="TableStyleMedium4" showFirstColumn="0" showLastColumn="0" showRowStripes="1" showColumnStripes="0"/>
</x:table>
</file>

<file path=xl/tables/table9.xml><?xml version="1.0" encoding="utf-8"?>
<x:table xmlns:x="http://schemas.openxmlformats.org/spreadsheetml/2006/main" id="9" name="OpenAlex20212025Table" displayName="OpenAlex20212025Table" ref="A4:U64" headerRowCount="1" totalsRowCount="0" totalsRowShown="0">
  <x:tableColumns count="21">
    <x:tableColumn id="1" name="ID"/>
    <x:tableColumn id="2" name="Candidate Institution"/>
    <x:tableColumn id="3" name="Country"/>
    <x:tableColumn id="4" name="Collection Status"/>
    <x:tableColumn id="5" name="Matched OpenAlex Institution"/>
    <x:tableColumn id="6" name="Match Status"/>
    <x:tableColumn id="7" name="Match Score"/>
    <x:tableColumn id="8" name="Country Code"/>
    <x:tableColumn id="9" name="Institution Type"/>
    <x:tableColumn id="10" name="ROR"/>
    <x:tableColumn id="11" name="OpenAlex ID"/>
    <x:tableColumn id="12" name="All-time Works"/>
    <x:tableColumn id="13" name="All-time Citations"/>
    <x:tableColumn id="14" name="All-time H-index"/>
    <x:tableColumn id="15" name="Two-year Mean Citedness"/>
    <x:tableColumn id="16" name="Keyword Works 2021-2025"/>
    <x:tableColumn id="17" name="Top-25 Citations"/>
    <x:tableColumn id="18" name="Top Matching Work"/>
    <x:tableColumn id="19" name="Works Query URL"/>
    <x:tableColumn id="20" name="Institution Search URL"/>
    <x:tableColumn id="21" name="Collection Note / Error"/>
  </x:tableColumns>
  <x:tableStyleInfo name="TableStyleMedium4" showFirstColumn="0" showLastColumn="0" showRowStripes="1" showColumnStripes="0"/>
</x:table>
</file>

<file path=xl/tables/table10.xml><?xml version="1.0" encoding="utf-8"?>
<x:table xmlns:x="http://schemas.openxmlformats.org/spreadsheetml/2006/main" id="10" name="ProgramDetailsTable" displayName="ProgramDetailsTable" ref="A4:R64" headerRowCount="1" totalsRowCount="0" totalsRowShown="0">
  <x:tableColumns count="18">
    <x:tableColumn id="1" name="ID"/>
    <x:tableColumn id="2" name="Institution"/>
    <x:tableColumn id="3" name="Country"/>
    <x:tableColumn id="4" name="Program"/>
    <x:tableColumn id="5" name="Tuition / Fees"/>
    <x:tableColumn id="6" name="Duration"/>
    <x:tableColumn id="7" name="Study Mode / Delivery"/>
    <x:tableColumn id="8" name="Entry Requirements"/>
    <x:tableColumn id="9" name="Curriculum Focus"/>
    <x:tableColumn id="10" name="Internship / Fieldwork"/>
    <x:tableColumn id="11" name="Capstone / Project"/>
    <x:tableColumn id="12" name="Thesis Option"/>
    <x:tableColumn id="13" name="Thesis Evidence"/>
    <x:tableColumn id="14" name="Placement Outcomes (if available)"/>
    <x:tableColumn id="15" name="Official Program URL"/>
    <x:tableColumn id="16" name="Additional Official Sources"/>
    <x:tableColumn id="17" name="Extraction Status"/>
    <x:tableColumn id="18" name="Review Notes"/>
  </x:tableColumns>
  <x:tableStyleInfo name="TableStyleMedium4" showFirstColumn="0" showLastColumn="0" showRowStripes="1" showColumnStripes="0"/>
</x:table>
</file>

<file path=xl/tables/table11.xml><?xml version="1.0" encoding="utf-8"?>
<x:table xmlns:x="http://schemas.openxmlformats.org/spreadsheetml/2006/main" id="11" name="VerificationIssuesTable" displayName="VerificationIssuesTable" ref="A4:G14" headerRowCount="1" totalsRowCount="0" totalsRowShown="0">
  <x:tableColumns count="7">
    <x:tableColumn id="1" name="Priority"/>
    <x:tableColumn id="2" name="Category"/>
    <x:tableColumn id="3" name="Institution"/>
    <x:tableColumn id="4" name="Issue"/>
    <x:tableColumn id="5" name="Treatment in Workbook"/>
    <x:tableColumn id="6" name="Recommended Follow-up"/>
    <x:tableColumn id="7" name="Evidence URL"/>
  </x:tableColumns>
  <x:tableStyleInfo name="TableStyleMedium4" showFirstColumn="0" showLastColumn="0" showRowStripes="1" showColumnStripes="0"/>
</x:table>
</file>

<file path=xl/tables/table12.xml><?xml version="1.0" encoding="utf-8"?>
<x:table xmlns:x="http://schemas.openxmlformats.org/spreadsheetml/2006/main" id="12" name="URLAuditTable" displayName="URLAuditTable" ref="A4:I64" headerRowCount="1" totalsRowCount="0" totalsRowShown="0">
  <x:tableColumns count="9">
    <x:tableColumn id="1" name="ID"/>
    <x:tableColumn id="2" name="Institution"/>
    <x:tableColumn id="3" name="Program"/>
    <x:tableColumn id="4" name="Audit Result"/>
    <x:tableColumn id="5" name="HTTP Status"/>
    <x:tableColumn id="6" name="Requested URL"/>
    <x:tableColumn id="7" name="Final URL"/>
    <x:tableColumn id="8" name="Page Title"/>
    <x:tableColumn id="9" name="Audit Note"/>
  </x:tableColumns>
  <x:tableStyleInfo name="TableStyleMedium4" showFirstColumn="0" showLastColumn="0" showRowStripes="1" showColumnStripes="0"/>
</x:table>
</file>

<file path=xl/tables/table13.xml><?xml version="1.0" encoding="utf-8"?>
<x:table xmlns:x="http://schemas.openxmlformats.org/spreadsheetml/2006/main" id="13" name="DataDictionaryTable" displayName="DataDictionaryTable" ref="A4:F25" headerRowCount="1" totalsRowCount="0" totalsRowShown="0">
  <x:tableColumns count="6">
    <x:tableColumn id="1" name="Sheet"/>
    <x:tableColumn id="2" name="Field"/>
    <x:tableColumn id="3" name="Allowed Values / Example"/>
    <x:tableColumn id="4" name="Definition"/>
    <x:tableColumn id="5" name="Type"/>
    <x:tableColumn id="6" name="Analysis No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d1ac580e924fb1" /></Relationships>
</file>

<file path=xl/worksheets/_rels/sheet3.xml.rels>&#65279;<?xml version="1.0" encoding="utf-8"?><Relationships xmlns="http://schemas.openxmlformats.org/package/2006/relationships"><Relationship Type="http://schemas.openxmlformats.org/officeDocument/2006/relationships/table" Target="/xl/tables/table2.xml" Id="Raeefc37cc15946ff" /></Relationships>
</file>

<file path=xl/worksheets/_rels/sheet4.xml.rels>&#65279;<?xml version="1.0" encoding="utf-8"?><Relationships xmlns="http://schemas.openxmlformats.org/package/2006/relationships"><Relationship Type="http://schemas.openxmlformats.org/officeDocument/2006/relationships/table" Target="/xl/tables/table3.xml" Id="R8432799f2a264a4c" /></Relationships>
</file>

<file path=xl/worksheets/_rels/sheet5.xml.rels>&#65279;<?xml version="1.0" encoding="utf-8"?><Relationships xmlns="http://schemas.openxmlformats.org/package/2006/relationships"><Relationship Type="http://schemas.openxmlformats.org/officeDocument/2006/relationships/table" Target="/xl/tables/table4.xml" Id="Rfb6c6da341ad46fe" /></Relationships>
</file>

<file path=xl/worksheets/_rels/sheet6.xml.rels>&#65279;<?xml version="1.0" encoding="utf-8"?><Relationships xmlns="http://schemas.openxmlformats.org/package/2006/relationships"><Relationship Type="http://schemas.openxmlformats.org/officeDocument/2006/relationships/table" Target="/xl/tables/table5.xml" Id="R172187cca5f6433b" /></Relationships>
</file>

<file path=xl/worksheets/_rels/sheet7.xml.rels>&#65279;<?xml version="1.0" encoding="utf-8"?><Relationships xmlns="http://schemas.openxmlformats.org/package/2006/relationships"><Relationship Type="http://schemas.openxmlformats.org/officeDocument/2006/relationships/table" Target="/xl/tables/table6.xml" Id="R6383902063bd4565" /></Relationships>
</file>

<file path=xl/worksheets/_rels/sheet8.xml.rels>&#65279;<?xml version="1.0" encoding="utf-8"?><Relationships xmlns="http://schemas.openxmlformats.org/package/2006/relationships"><Relationship Type="http://schemas.openxmlformats.org/officeDocument/2006/relationships/table" Target="/xl/tables/table7.xml" Id="R672c81badd274391" /></Relationships>
</file>

<file path=xl/worksheets/_rels/sheet9.xml.rels>&#65279;<?xml version="1.0" encoding="utf-8"?><Relationships xmlns="http://schemas.openxmlformats.org/package/2006/relationships"><Relationship Type="http://schemas.openxmlformats.org/officeDocument/2006/relationships/table" Target="/xl/tables/table8.xml" Id="R8f103e832afa486b" /></Relationships>
</file>

<file path=xl/worksheets/_rels/sheet10.xml.rels>&#65279;<?xml version="1.0" encoding="utf-8"?><Relationships xmlns="http://schemas.openxmlformats.org/package/2006/relationships"><Relationship Type="http://schemas.openxmlformats.org/officeDocument/2006/relationships/table" Target="/xl/tables/table9.xml" Id="Rac61312fa0e74572" /></Relationships>
</file>

<file path=xl/worksheets/_rels/sheet11.xml.rels>&#65279;<?xml version="1.0" encoding="utf-8"?><Relationships xmlns="http://schemas.openxmlformats.org/package/2006/relationships"><Relationship Type="http://schemas.openxmlformats.org/officeDocument/2006/relationships/table" Target="/xl/tables/table10.xml" Id="Rccc7be034cc846ba" /></Relationships>
</file>

<file path=xl/worksheets/_rels/sheet12.xml.rels>&#65279;<?xml version="1.0" encoding="utf-8"?><Relationships xmlns="http://schemas.openxmlformats.org/package/2006/relationships"><Relationship Type="http://schemas.openxmlformats.org/officeDocument/2006/relationships/table" Target="/xl/tables/table11.xml" Id="Ra7b7ba514d934850" /></Relationships>
</file>

<file path=xl/worksheets/_rels/sheet13.xml.rels>&#65279;<?xml version="1.0" encoding="utf-8"?><Relationships xmlns="http://schemas.openxmlformats.org/package/2006/relationships"><Relationship Type="http://schemas.openxmlformats.org/officeDocument/2006/relationships/table" Target="/xl/tables/table12.xml" Id="R575bbf25da4b4d1a" /></Relationships>
</file>

<file path=xl/worksheets/_rels/sheet14.xml.rels>&#65279;<?xml version="1.0" encoding="utf-8"?><Relationships xmlns="http://schemas.openxmlformats.org/package/2006/relationships"><Relationship Type="http://schemas.openxmlformats.org/officeDocument/2006/relationships/table" Target="/xl/tables/table13.xml" Id="R9a43ccbbf50e4644"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55" hidden="0" customWidth="1"/>
    <x:col min="4" max="4" width="40" hidden="0" customWidth="1"/>
  </x:cols>
  <x:sheetData>
    <x:row r="1" ht="28" customHeight="1">
      <x:c r="A1" s="3" t="str">
        <x:v>Sustainability Program Dataset - 60 Selected Programs</x:v>
      </x:c>
      <x:c r="B1" s="3"/>
      <x:c r="C1" s="3"/>
      <x:c r="D1" s="3"/>
    </x:row>
    <x:row r="2" ht="34" customHeight="1">
      <x:c r="A2" s="7" t="str">
        <x:v>Thirty programs selected from QS Sustainability ranking order and thirty nonduplicate additions from THE Sustainability Impact ranking order. Validated source data retained from 18-19 July 2026.</x:v>
      </x:c>
      <x:c r="B2" s="7"/>
      <x:c r="C2" s="7"/>
      <x:c r="D2" s="7"/>
    </x:row>
    <x:row r="4">
      <x:c r="A4" s="12" t="str">
        <x:v>Metric</x:v>
      </x:c>
      <x:c r="B4" s="12" t="str">
        <x:v>Value</x:v>
      </x:c>
      <x:c r="C4" s="12" t="str">
        <x:v>Interpretation</x:v>
      </x:c>
      <x:c r="D4" s="12" t="str">
        <x:v>Audit Rule</x:v>
      </x:c>
    </x:row>
    <x:row r="5" ht="28" customHeight="1">
      <x:c r="A5" s="20" t="str">
        <x:v>Selected programs</x:v>
      </x:c>
      <x:c r="B5" s="32" t="n">
        <x:f>COUNTA('Candidate Universities'!A5:A64)</x:f>
        <x:v>60</x:v>
      </x:c>
      <x:c r="C5" s="20" t="str">
        <x:v>Exactly 60 distinct institutions and programs</x:v>
      </x:c>
      <x:c r="D5" s="20" t="str">
        <x:v>30 QS cohort + 30 nonduplicate THE cohort</x:v>
      </x:c>
    </x:row>
    <x:row r="6" ht="28" customHeight="1">
      <x:c r="A6" s="21" t="str">
        <x:v>QS selection cohort</x:v>
      </x:c>
      <x:c r="B6" s="33" t="n">
        <x:f>COUNTIF('Selection Audit'!A5:A64,"QS")</x:f>
        <x:v>30</x:v>
      </x:c>
      <x:c r="C6" s="21" t="str">
        <x:v>First 30 QS records in official ranking order</x:v>
      </x:c>
      <x:c r="D6" s="21" t="str">
        <x:v>Rank, overall score, then official source order</x:v>
      </x:c>
    </x:row>
    <x:row r="7" ht="28" customHeight="1">
      <x:c r="A7" s="21" t="str">
        <x:v>THE selection cohort</x:v>
      </x:c>
      <x:c r="B7" s="33" t="n">
        <x:f>COUNTIF('Selection Audit'!A5:A64,"THE")</x:f>
        <x:v>30</x:v>
      </x:c>
      <x:c r="C7" s="21" t="str">
        <x:v>30 highest-ranked THE records not already selected by QS</x:v>
      </x:c>
      <x:c r="D7" s="21" t="str">
        <x:v>Extends through published rank 33</x:v>
      </x:c>
    </x:row>
    <x:row r="8" ht="28" customHeight="1">
      <x:c r="A8" s="21" t="str">
        <x:v>Selected institutions in both source rankings</x:v>
      </x:c>
      <x:c r="B8" s="33" t="n">
        <x:f>COUNTIF('Candidate Universities'!D5:D64,"Both")</x:f>
        <x:v>5</x:v>
      </x:c>
      <x:c r="C8" s="21" t="str">
        <x:v>Five institutions have both source ranks</x:v>
      </x:c>
      <x:c r="D8" s="21" t="str">
        <x:v>Each program appears once in the 60-row sample</x:v>
      </x:c>
    </x:row>
    <x:row r="9" ht="28" customHeight="1">
      <x:c r="A9" s="21" t="str">
        <x:v>QS-only source institutions</x:v>
      </x:c>
      <x:c r="B9" s="33" t="n">
        <x:f>COUNTIF('Candidate Universities'!D5:D64,"QS Sustainability")</x:f>
        <x:v>26</x:v>
      </x:c>
      <x:c r="C9" s="21" t="str">
        <x:v>Selected institutions appearing only in the QS source cutoff</x:v>
      </x:c>
      <x:c r="D9" s="21" t="str">
        <x:v>Candidate Source field</x:v>
      </x:c>
    </x:row>
    <x:row r="10" ht="28" customHeight="1">
      <x:c r="A10" s="21" t="str">
        <x:v>THE-only source institutions</x:v>
      </x:c>
      <x:c r="B10" s="33" t="n">
        <x:f>COUNTIF('Candidate Universities'!D5:D64,"THE Impact")</x:f>
        <x:v>29</x:v>
      </x:c>
      <x:c r="C10" s="21" t="str">
        <x:v>Selected institutions appearing only in the THE source cutoff</x:v>
      </x:c>
      <x:c r="D10" s="21" t="str">
        <x:v>Candidate Source field</x:v>
      </x:c>
    </x:row>
    <x:row r="11" ht="28" customHeight="1">
      <x:c r="A11" s="21" t="str">
        <x:v>Programs confirmed</x:v>
      </x:c>
      <x:c r="B11" s="33" t="n">
        <x:f>COUNTIF('Program Verification'!G5:G64,"Confirmed")</x:f>
        <x:v>59</x:v>
      </x:c>
      <x:c r="C11" s="21" t="str">
        <x:v>Current master's-level program or explicitly labeled best-fit path</x:v>
      </x:c>
      <x:c r="D11" s="21" t="str">
        <x:v>Official university source</x:v>
      </x:c>
    </x:row>
    <x:row r="12" ht="28" customHeight="1">
      <x:c r="A12" s="21" t="str">
        <x:v>Programs requiring manual review</x:v>
      </x:c>
      <x:c r="B12" s="33" t="n">
        <x:f>COUNTIF('Program Verification'!G5:G64,"Manual review required")</x:f>
        <x:v>1</x:v>
      </x:c>
      <x:c r="C12" s="21" t="str">
        <x:v>McMaster University</x:v>
      </x:c>
      <x:c r="D12" s="21" t="str">
        <x:v>Manual follow-up before analysis</x:v>
      </x:c>
    </x:row>
    <x:row r="13" ht="28" customHeight="1">
      <x:c r="A13" s="21" t="str">
        <x:v>AASHE records with ratings shown</x:v>
      </x:c>
      <x:c r="B13" s="33" t="n">
        <x:f>COUNTA('AASHE STARS'!E5:E64)</x:f>
        <x:v>11</x:v>
      </x:c>
      <x:c r="C13" s="21" t="str">
        <x:v>11 selected records have a published rating</x:v>
      </x:c>
      <x:c r="D13" s="21" t="str">
        <x:v>Strict institution/campus scope</x:v>
      </x:c>
    </x:row>
    <x:row r="14" ht="28" customHeight="1">
      <x:c r="A14" s="21" t="str">
        <x:v>Verified UN PRME signatories</x:v>
      </x:c>
      <x:c r="B14" s="33" t="n">
        <x:f>31</x:f>
        <x:v>31</x:v>
      </x:c>
      <x:c r="C14" s="21" t="str">
        <x:v>Current school-level or institution-level signatory matches</x:v>
      </x:c>
      <x:c r="D14" s="21" t="str">
        <x:v>Verified exact/alias match only</x:v>
      </x:c>
    </x:row>
    <x:row r="15" ht="28" customHeight="1">
      <x:c r="A15" s="21" t="str">
        <x:v>Communicating UN PRME signatories</x:v>
      </x:c>
      <x:c r="B15" s="33" t="n">
        <x:f>28</x:f>
        <x:v>28</x:v>
      </x:c>
      <x:c r="C15" s="21" t="str">
        <x:v>Current status published by UN PRME</x:v>
      </x:c>
      <x:c r="D15" s="21" t="str">
        <x:v>UN PRME status text</x:v>
      </x:c>
    </x:row>
    <x:row r="16" ht="28" customHeight="1">
      <x:c r="A16" s="21" t="str">
        <x:v>Recent SIP reports (2022-2026)</x:v>
      </x:c>
      <x:c r="B16" s="33" t="n">
        <x:f>52</x:f>
        <x:v>52</x:v>
      </x:c>
      <x:c r="C16" s="21" t="str">
        <x:v>Sum of reports across the selected sample</x:v>
      </x:c>
      <x:c r="D16" s="21" t="str">
        <x:v>Report year, not migration upload date</x:v>
      </x:c>
    </x:row>
    <x:row r="17" ht="28" customHeight="1">
      <x:c r="A17" s="21" t="str">
        <x:v>OpenAlex institution matches collected</x:v>
      </x:c>
      <x:c r="B17" s="33" t="n">
        <x:f>28</x:f>
        <x:v>28</x:v>
      </x:c>
      <x:c r="C17" s="21" t="str">
        <x:v>2021-2025 keyword works collected before anonymous quota was reached</x:v>
      </x:c>
      <x:c r="D17" s="21" t="str">
        <x:v>Missing API rows remain blank, not zero</x:v>
      </x:c>
    </x:row>
    <x:row r="18" ht="28" customHeight="1">
      <x:c r="A18" s="21" t="str">
        <x:v>Program detail rows</x:v>
      </x:c>
      <x:c r="B18" s="33" t="n">
        <x:f>COUNTA('Program Details'!A5:A64)</x:f>
        <x:v>60</x:v>
      </x:c>
      <x:c r="C18" s="21" t="str">
        <x:v>One official-source detail row per selected program</x:v>
      </x:c>
      <x:c r="D18" s="21" t="str">
        <x:v>Missing fields remain explicit</x:v>
      </x:c>
    </x:row>
    <x:row r="19" ht="28" customHeight="1">
      <x:c r="A19" s="22" t="str">
        <x:v>Program URLs passing automated fetch</x:v>
      </x:c>
      <x:c r="B19" s="34" t="n">
        <x:f>COUNTIF('URL Audit'!D5:D64,"OK")</x:f>
        <x:v>53</x:v>
      </x:c>
      <x:c r="C19" s="22" t="str">
        <x:v>53 selected URLs passed; 7 require manual opening</x:v>
      </x:c>
      <x:c r="D19" s="22" t="str">
        <x:v>HTTP 2xx/3xx follow-through</x:v>
      </x:c>
    </x:row>
    <x:row r="22">
      <x:c r="A22" s="12" t="str">
        <x:v>Correction</x:v>
      </x:c>
      <x:c r="B22" s="12" t="str">
        <x:v>Previous Issue</x:v>
      </x:c>
      <x:c r="C22" s="12" t="str">
        <x:v>Correct Treatment</x:v>
      </x:c>
      <x:c r="D22" s="12" t="str">
        <x:v>Status</x:v>
      </x:c>
    </x:row>
    <x:row r="23" ht="28" customHeight="1">
      <x:c r="A23" s="20" t="str">
        <x:v>Ranking family</x:v>
      </x:c>
      <x:c r="B23" s="20" t="str">
        <x:v>General QS/THE world rankings were used</x:v>
      </x:c>
      <x:c r="C23" s="20" t="str">
        <x:v>Use QS Sustainability and THE Sustainability Impact Ratings</x:v>
      </x:c>
      <x:c r="D23" s="35" t="str">
        <x:v>Corrected</x:v>
      </x:c>
    </x:row>
    <x:row r="24" ht="28" customHeight="1">
      <x:c r="A24" s="21" t="str">
        <x:v>Validated source universe</x:v>
      </x:c>
      <x:c r="B24" s="21" t="str">
        <x:v>62 institutions</x:v>
      </x:c>
      <x:c r="C24" s="21" t="str">
        <x:v>96 retained institutions after excluding ID 75</x:v>
      </x:c>
      <x:c r="D24" s="36" t="str">
        <x:v>Corrected</x:v>
      </x:c>
    </x:row>
    <x:row r="25" ht="28" customHeight="1">
      <x:c r="A25" s="21" t="str">
        <x:v>Analytical sample</x:v>
      </x:c>
      <x:c r="B25" s="21" t="str">
        <x:v>No fixed nonduplicate 60-program rule</x:v>
      </x:c>
      <x:c r="C25" s="21" t="str">
        <x:v>30 QS records plus 30 highest-ranked nonduplicate THE additions</x:v>
      </x:c>
      <x:c r="D25" s="36" t="str">
        <x:v>Corrected</x:v>
      </x:c>
    </x:row>
    <x:row r="26" ht="28" customHeight="1">
      <x:c r="A26" s="21" t="str">
        <x:v>QS cohort</x:v>
      </x:c>
      <x:c r="B26" s="21" t="str">
        <x:v>Ties could increase the sample above 30</x:v>
      </x:c>
      <x:c r="C26" s="21" t="str">
        <x:v>Exactly 30 records; source order resolves the final rank-30 tie</x:v>
      </x:c>
      <x:c r="D26" s="36" t="str">
        <x:v>Documented</x:v>
      </x:c>
    </x:row>
    <x:row r="27" ht="28" customHeight="1">
      <x:c r="A27" s="21" t="str">
        <x:v>THE cohort</x:v>
      </x:c>
      <x:c r="B27" s="21" t="str">
        <x:v>Overlap could reduce the sample below 60</x:v>
      </x:c>
      <x:c r="C27" s="21" t="str">
        <x:v>Exclude QS cohort IDs, then select 30 THE additions through rank 33</x:v>
      </x:c>
      <x:c r="D27" s="36" t="str">
        <x:v>Documented</x:v>
      </x:c>
    </x:row>
    <x:row r="28" ht="28" customHeight="1">
      <x:c r="A28" s="21" t="str">
        <x:v>Manual exclusion</x:v>
      </x:c>
      <x:c r="B28" s="21" t="str">
        <x:v>Al-Ahliyya Amman University was retained</x:v>
      </x:c>
      <x:c r="C28" s="21" t="str">
        <x:v>ID 75 remains excluded after manual validation</x:v>
      </x:c>
      <x:c r="D28" s="36" t="str">
        <x:v>Corrected</x:v>
      </x:c>
    </x:row>
    <x:row r="29" ht="28" customHeight="1">
      <x:c r="A29" s="21" t="str">
        <x:v>McGill program</x:v>
      </x:c>
      <x:c r="B29" s="21" t="str">
        <x:v>Undergraduate Sustainability, Science &amp; Society labeled as MSc</x:v>
      </x:c>
      <x:c r="C29" s="21" t="str">
        <x:v>MSc Geography with sustainability/environment research theme</x:v>
      </x:c>
      <x:c r="D29" s="36" t="str">
        <x:v>Corrected</x:v>
      </x:c>
    </x:row>
    <x:row r="30" ht="28" customHeight="1">
      <x:c r="A30" s="21" t="str">
        <x:v>UBC program</x:v>
      </x:c>
      <x:c r="B30" s="21" t="str">
        <x:v>Paused Sustainable Process Engineering MEL</x:v>
      </x:c>
      <x:c r="C30" s="21" t="str">
        <x:v>Current Clean Energy Engineering MEL</x:v>
      </x:c>
      <x:c r="D30" s="36" t="str">
        <x:v>Corrected</x:v>
      </x:c>
    </x:row>
    <x:row r="31" ht="28" customHeight="1">
      <x:c r="A31" s="22" t="str">
        <x:v>Toronto AASHE</x:v>
      </x:c>
      <x:c r="B31" s="22" t="str">
        <x:v>Mississauga campus Gold inherited by parent</x:v>
      </x:c>
      <x:c r="C31" s="22" t="str">
        <x:v>Campus-only evidence retained; parent receives no rating</x:v>
      </x:c>
      <x:c r="D31" s="37" t="str">
        <x:v>Corrected</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8" hidden="0" customWidth="1"/>
    <x:col min="4" max="4" width="32" hidden="0" customWidth="1"/>
    <x:col min="5" max="5" width="18" hidden="0" customWidth="1"/>
    <x:col min="6" max="6" width="11" hidden="0" customWidth="1"/>
    <x:col min="7" max="7" width="11" hidden="0" customWidth="1"/>
    <x:col min="8" max="8" width="42" hidden="0" customWidth="1"/>
    <x:col min="9" max="9" width="55" hidden="0" customWidth="1"/>
    <x:col min="10" max="10" width="44" hidden="0" customWidth="1"/>
    <x:col min="11" max="11" width="44" hidden="0" customWidth="1"/>
  </x:cols>
  <x:sheetData>
    <x:row r="1" ht="28" customHeight="1">
      <x:c r="A1" s="3" t="str">
        <x:v>60-Program Selection Audit</x:v>
      </x:c>
      <x:c r="B1" s="3"/>
      <x:c r="C1" s="3"/>
      <x:c r="D1" s="3"/>
      <x:c r="E1" s="3"/>
      <x:c r="F1" s="3"/>
      <x:c r="G1" s="3"/>
      <x:c r="H1" s="3"/>
      <x:c r="I1" s="3"/>
      <x:c r="J1" s="3"/>
      <x:c r="K1" s="3"/>
    </x:row>
    <x:row r="2" ht="34" customHeight="1">
      <x:c r="A2" s="7" t="str">
        <x:v>Exactly 30 QS programs plus 30 highest-ranked nonduplicate THE additions. Program IDs remain unchanged for reproducibility.</x:v>
      </x:c>
      <x:c r="B2" s="7"/>
      <x:c r="C2" s="7"/>
      <x:c r="D2" s="7"/>
      <x:c r="E2" s="7"/>
      <x:c r="F2" s="7"/>
      <x:c r="G2" s="7"/>
      <x:c r="H2" s="7"/>
      <x:c r="I2" s="7"/>
      <x:c r="J2" s="7"/>
      <x:c r="K2" s="7"/>
    </x:row>
    <x:row r="4" ht="38" customHeight="1">
      <x:c r="A4" s="47" t="str">
        <x:v>Selection Cohort</x:v>
      </x:c>
      <x:c r="B4" s="48" t="str">
        <x:v>Cohort Position</x:v>
      </x:c>
      <x:c r="C4" s="48" t="str">
        <x:v>ID</x:v>
      </x:c>
      <x:c r="D4" s="48" t="str">
        <x:v>Institution</x:v>
      </x:c>
      <x:c r="E4" s="48" t="str">
        <x:v>Country</x:v>
      </x:c>
      <x:c r="F4" s="48" t="str">
        <x:v>QS Rank</x:v>
      </x:c>
      <x:c r="G4" s="48" t="str">
        <x:v>THE Rank</x:v>
      </x:c>
      <x:c r="H4" s="48" t="str">
        <x:v>Program</x:v>
      </x:c>
      <x:c r="I4" s="48" t="str">
        <x:v>Selection Rule</x:v>
      </x:c>
      <x:c r="J4" s="48" t="str">
        <x:v>QS Profile URL</x:v>
      </x:c>
      <x:c r="K4" s="49" t="str">
        <x:v>THE Profile URL</x:v>
      </x:c>
    </x:row>
    <x:row r="5" ht="28" customHeight="1">
      <x:c r="A5" s="23" t="str">
        <x:v>QS</x:v>
      </x:c>
      <x:c r="B5" s="50" t="n">
        <x:v>1</x:v>
      </x:c>
      <x:c r="C5" s="56" t="n">
        <x:v>1</x:v>
      </x:c>
      <x:c r="D5" s="50" t="str">
        <x:v>Lund University</x:v>
      </x:c>
      <x:c r="E5" s="50" t="str">
        <x:v>Sweden</x:v>
      </x:c>
      <x:c r="F5" s="50" t="str">
        <x:v>1</x:v>
      </x:c>
      <x:c r="G5" s="50"/>
      <x:c r="H5" s="50" t="str">
        <x:v>MSc Environmental Studies and Sustainability Science (LUMES)</x:v>
      </x:c>
      <x:c r="I5" s="50" t="str">
        <x:v>Selected among the first 30 QS records; official list order resolves the rank-30 tie.</x:v>
      </x:c>
      <x:c r="J5" s="52" t="str">
        <x:v>https://www.topuniversities.com/universities/lund-university</x:v>
      </x:c>
      <x:c r="K5" s="52"/>
    </x:row>
    <x:row r="6" ht="28" customHeight="1">
      <x:c r="A6" s="24" t="str">
        <x:v>QS</x:v>
      </x:c>
      <x:c r="B6" s="21" t="n">
        <x:v>2</x:v>
      </x:c>
      <x:c r="C6" s="57" t="n">
        <x:v>2</x:v>
      </x:c>
      <x:c r="D6" s="21" t="str">
        <x:v>University of Toronto</x:v>
      </x:c>
      <x:c r="E6" s="21" t="str">
        <x:v>Canada</x:v>
      </x:c>
      <x:c r="F6" s="21" t="str">
        <x:v>2</x:v>
      </x:c>
      <x:c r="G6" s="21"/>
      <x:c r="H6" s="21" t="str">
        <x:v>Master of Environment &amp; Sustainability</x:v>
      </x:c>
      <x:c r="I6" s="21" t="str">
        <x:v>Selected among the first 30 QS records; official list order resolves the rank-30 tie.</x:v>
      </x:c>
      <x:c r="J6" s="53" t="str">
        <x:v>https://www.topuniversities.com/universities/university-toronto</x:v>
      </x:c>
      <x:c r="K6" s="53"/>
    </x:row>
    <x:row r="7" ht="28" customHeight="1">
      <x:c r="A7" s="24" t="str">
        <x:v>QS</x:v>
      </x:c>
      <x:c r="B7" s="51" t="n">
        <x:v>3</x:v>
      </x:c>
      <x:c r="C7" s="58" t="n">
        <x:v>3</x:v>
      </x:c>
      <x:c r="D7" s="51" t="str">
        <x:v>UCL</x:v>
      </x:c>
      <x:c r="E7" s="51" t="str">
        <x:v>United Kingdom</x:v>
      </x:c>
      <x:c r="F7" s="51" t="str">
        <x:v>3</x:v>
      </x:c>
      <x:c r="G7" s="51"/>
      <x:c r="H7" s="51" t="str">
        <x:v>Sustainable Resources: Economics, Policy and Transitions MSc</x:v>
      </x:c>
      <x:c r="I7" s="51" t="str">
        <x:v>Selected among the first 30 QS records; official list order resolves the rank-30 tie.</x:v>
      </x:c>
      <x:c r="J7" s="54" t="str">
        <x:v>https://www.topuniversities.com/universities/ucl</x:v>
      </x:c>
      <x:c r="K7" s="54"/>
    </x:row>
    <x:row r="8" ht="28" customHeight="1">
      <x:c r="A8" s="24" t="str">
        <x:v>QS</x:v>
      </x:c>
      <x:c r="B8" s="21" t="n">
        <x:v>4</x:v>
      </x:c>
      <x:c r="C8" s="57" t="n">
        <x:v>4</x:v>
      </x:c>
      <x:c r="D8" s="21" t="str">
        <x:v>The University of Edinburgh</x:v>
      </x:c>
      <x:c r="E8" s="21" t="str">
        <x:v>United Kingdom</x:v>
      </x:c>
      <x:c r="F8" s="21" t="str">
        <x:v>4</x:v>
      </x:c>
      <x:c r="G8" s="21"/>
      <x:c r="H8" s="21" t="str">
        <x:v>MSc Global Strategy and Sustainability</x:v>
      </x:c>
      <x:c r="I8" s="21" t="str">
        <x:v>Selected among the first 30 QS records; official list order resolves the rank-30 tie.</x:v>
      </x:c>
      <x:c r="J8" s="53" t="str">
        <x:v>https://www.topuniversities.com/universities/university-edinburgh</x:v>
      </x:c>
      <x:c r="K8" s="53"/>
    </x:row>
    <x:row r="9" ht="28" customHeight="1">
      <x:c r="A9" s="24" t="str">
        <x:v>QS</x:v>
      </x:c>
      <x:c r="B9" s="51" t="n">
        <x:v>5</x:v>
      </x:c>
      <x:c r="C9" s="58" t="n">
        <x:v>5</x:v>
      </x:c>
      <x:c r="D9" s="51" t="str">
        <x:v>University of British Columbia</x:v>
      </x:c>
      <x:c r="E9" s="51" t="str">
        <x:v>Canada</x:v>
      </x:c>
      <x:c r="F9" s="51" t="str">
        <x:v>5</x:v>
      </x:c>
      <x:c r="G9" s="51"/>
      <x:c r="H9" s="51" t="str">
        <x:v>Master of Engineering Leadership in Clean Energy Engineering</x:v>
      </x:c>
      <x:c r="I9" s="51" t="str">
        <x:v>Selected among the first 30 QS records; official list order resolves the rank-30 tie.</x:v>
      </x:c>
      <x:c r="J9" s="54" t="str">
        <x:v>https://www.topuniversities.com/universities/university-british-columbia</x:v>
      </x:c>
      <x:c r="K9" s="54"/>
    </x:row>
    <x:row r="10" ht="28" customHeight="1">
      <x:c r="A10" s="24" t="str">
        <x:v>QS</x:v>
      </x:c>
      <x:c r="B10" s="21" t="n">
        <x:v>6</x:v>
      </x:c>
      <x:c r="C10" s="57" t="n">
        <x:v>6</x:v>
      </x:c>
      <x:c r="D10" s="21" t="str">
        <x:v>The London School of Economics and Political Science (LSE)</x:v>
      </x:c>
      <x:c r="E10" s="21" t="str">
        <x:v>United Kingdom</x:v>
      </x:c>
      <x:c r="F10" s="21" t="str">
        <x:v>6</x:v>
      </x:c>
      <x:c r="G10" s="21"/>
      <x:c r="H10" s="21" t="str">
        <x:v>MSc Environmental Policy and Regulation</x:v>
      </x:c>
      <x:c r="I10" s="21" t="str">
        <x:v>Selected among the first 30 QS records; official list order resolves the rank-30 tie.</x:v>
      </x:c>
      <x:c r="J10" s="53" t="str">
        <x:v>https://www.topuniversities.com/universities/london-school-economics-political-science-lse</x:v>
      </x:c>
      <x:c r="K10" s="53"/>
    </x:row>
    <x:row r="11" ht="28" customHeight="1">
      <x:c r="A11" s="24" t="str">
        <x:v>QS</x:v>
      </x:c>
      <x:c r="B11" s="51" t="n">
        <x:v>7</x:v>
      </x:c>
      <x:c r="C11" s="58" t="n">
        <x:v>7</x:v>
      </x:c>
      <x:c r="D11" s="51" t="str">
        <x:v>Imperial College London</x:v>
      </x:c>
      <x:c r="E11" s="51" t="str">
        <x:v>United Kingdom</x:v>
      </x:c>
      <x:c r="F11" s="51" t="n">
        <x:v>7</x:v>
      </x:c>
      <x:c r="G11" s="51"/>
      <x:c r="H11" s="51" t="str">
        <x:v>MSc Climate Change, Management &amp; Finance</x:v>
      </x:c>
      <x:c r="I11" s="51" t="str">
        <x:v>Selected among the first 30 QS records; official list order resolves the rank-30 tie.</x:v>
      </x:c>
      <x:c r="J11" s="54" t="str">
        <x:v>https://www.topuniversities.com/universities/imperial-college-london</x:v>
      </x:c>
      <x:c r="K11" s="54"/>
    </x:row>
    <x:row r="12" ht="28" customHeight="1">
      <x:c r="A12" s="24" t="str">
        <x:v>QS</x:v>
      </x:c>
      <x:c r="B12" s="21" t="n">
        <x:v>8</x:v>
      </x:c>
      <x:c r="C12" s="57" t="n">
        <x:v>8</x:v>
      </x:c>
      <x:c r="D12" s="21" t="str">
        <x:v>The University of New South Wales (UNSW Sydney)</x:v>
      </x:c>
      <x:c r="E12" s="21" t="str">
        <x:v>Australia</x:v>
      </x:c>
      <x:c r="F12" s="21" t="n">
        <x:v>7</x:v>
      </x:c>
      <x:c r="G12" s="21" t="n">
        <x:v>41</x:v>
      </x:c>
      <x:c r="H12" s="21" t="str">
        <x:v>Master of Environmental Management</x:v>
      </x:c>
      <x:c r="I12" s="21" t="str">
        <x:v>Selected among the first 30 QS records; official list order resolves the rank-30 tie.</x:v>
      </x:c>
      <x:c r="J12" s="53" t="str">
        <x:v>https://www.topuniversities.com/universities/university-new-south-wales-unsw-sydney</x:v>
      </x:c>
      <x:c r="K12" s="53" t="str">
        <x:v>https://www.timeshighereducation.com/world-university-rankings/unsw-sydney</x:v>
      </x:c>
    </x:row>
    <x:row r="13" ht="28" customHeight="1">
      <x:c r="A13" s="24" t="str">
        <x:v>QS</x:v>
      </x:c>
      <x:c r="B13" s="51" t="n">
        <x:v>9</x:v>
      </x:c>
      <x:c r="C13" s="58" t="n">
        <x:v>9</x:v>
      </x:c>
      <x:c r="D13" s="51" t="str">
        <x:v>McGill University</x:v>
      </x:c>
      <x:c r="E13" s="51" t="str">
        <x:v>Canada</x:v>
      </x:c>
      <x:c r="F13" s="51" t="str">
        <x:v>9</x:v>
      </x:c>
      <x:c r="G13" s="51"/>
      <x:c r="H13" s="51" t="str">
        <x:v>MSc Geography - Sustainability Science and Environmental Management research theme</x:v>
      </x:c>
      <x:c r="I13" s="51" t="str">
        <x:v>Selected among the first 30 QS records; official list order resolves the rank-30 tie.</x:v>
      </x:c>
      <x:c r="J13" s="54" t="str">
        <x:v>https://www.topuniversities.com/universities/mcgill-university</x:v>
      </x:c>
      <x:c r="K13" s="54"/>
    </x:row>
    <x:row r="14" ht="28" customHeight="1">
      <x:c r="A14" s="24" t="str">
        <x:v>QS</x:v>
      </x:c>
      <x:c r="B14" s="21" t="n">
        <x:v>10</x:v>
      </x:c>
      <x:c r="C14" s="57" t="n">
        <x:v>10</x:v>
      </x:c>
      <x:c r="D14" s="21" t="str">
        <x:v>The University of Manchester</x:v>
      </x:c>
      <x:c r="E14" s="21" t="str">
        <x:v>United Kingdom</x:v>
      </x:c>
      <x:c r="F14" s="21" t="str">
        <x:v>10</x:v>
      </x:c>
      <x:c r="G14" s="21" t="str">
        <x:v>1</x:v>
      </x:c>
      <x:c r="H14" s="21" t="str">
        <x:v>MSc Environmental Governance</x:v>
      </x:c>
      <x:c r="I14" s="21" t="str">
        <x:v>Selected among the first 30 QS records; official list order resolves the rank-30 tie.</x:v>
      </x:c>
      <x:c r="J14" s="53" t="str">
        <x:v>https://www.topuniversities.com/universities/university-manchester</x:v>
      </x:c>
      <x:c r="K14" s="53" t="str">
        <x:v>https://www.timeshighereducation.com/world-university-rankings/university-manchester</x:v>
      </x:c>
    </x:row>
    <x:row r="15" ht="28" customHeight="1">
      <x:c r="A15" s="24" t="str">
        <x:v>QS</x:v>
      </x:c>
      <x:c r="B15" s="51" t="n">
        <x:v>11</x:v>
      </x:c>
      <x:c r="C15" s="58" t="n">
        <x:v>11</x:v>
      </x:c>
      <x:c r="D15" s="51" t="str">
        <x:v>ETH Zurich</x:v>
      </x:c>
      <x:c r="E15" s="51" t="str">
        <x:v>Switzerland</x:v>
      </x:c>
      <x:c r="F15" s="51" t="n">
        <x:v>11</x:v>
      </x:c>
      <x:c r="G15" s="51"/>
      <x:c r="H15" s="51" t="str">
        <x:v>MSc Environmental Sciences</x:v>
      </x:c>
      <x:c r="I15" s="51" t="str">
        <x:v>Selected among the first 30 QS records; official list order resolves the rank-30 tie.</x:v>
      </x:c>
      <x:c r="J15" s="54" t="str">
        <x:v>https://www.topuniversities.com/universities/eth-zurich</x:v>
      </x:c>
      <x:c r="K15" s="54"/>
    </x:row>
    <x:row r="16" ht="28" customHeight="1">
      <x:c r="A16" s="24" t="str">
        <x:v>QS</x:v>
      </x:c>
      <x:c r="B16" s="21" t="n">
        <x:v>12</x:v>
      </x:c>
      <x:c r="C16" s="57" t="n">
        <x:v>12</x:v>
      </x:c>
      <x:c r="D16" s="21" t="str">
        <x:v>The University of Melbourne</x:v>
      </x:c>
      <x:c r="E16" s="21" t="str">
        <x:v>Australia</x:v>
      </x:c>
      <x:c r="F16" s="21" t="n">
        <x:v>11</x:v>
      </x:c>
      <x:c r="G16" s="21"/>
      <x:c r="H16" s="21" t="str">
        <x:v>Master of Environment</x:v>
      </x:c>
      <x:c r="I16" s="21" t="str">
        <x:v>Selected among the first 30 QS records; official list order resolves the rank-30 tie.</x:v>
      </x:c>
      <x:c r="J16" s="53" t="str">
        <x:v>https://www.topuniversities.com/universities/university-melbourne</x:v>
      </x:c>
      <x:c r="K16" s="53"/>
    </x:row>
    <x:row r="17" ht="28" customHeight="1">
      <x:c r="A17" s="24" t="str">
        <x:v>QS</x:v>
      </x:c>
      <x:c r="B17" s="51" t="n">
        <x:v>13</x:v>
      </x:c>
      <x:c r="C17" s="58" t="n">
        <x:v>13</x:v>
      </x:c>
      <x:c r="D17" s="51" t="str">
        <x:v>University of California, Berkeley (UCB)</x:v>
      </x:c>
      <x:c r="E17" s="51" t="str">
        <x:v>United States</x:v>
      </x:c>
      <x:c r="F17" s="51" t="n">
        <x:v>11</x:v>
      </x:c>
      <x:c r="G17" s="51"/>
      <x:c r="H17" s="51" t="str">
        <x:v>Master of Climate Solutions</x:v>
      </x:c>
      <x:c r="I17" s="51" t="str">
        <x:v>Selected among the first 30 QS records; official list order resolves the rank-30 tie.</x:v>
      </x:c>
      <x:c r="J17" s="54" t="str">
        <x:v>https://www.topuniversities.com/universities/university-california-berkeley-ucb</x:v>
      </x:c>
      <x:c r="K17" s="54"/>
    </x:row>
    <x:row r="18" ht="28" customHeight="1">
      <x:c r="A18" s="24" t="str">
        <x:v>QS</x:v>
      </x:c>
      <x:c r="B18" s="21" t="n">
        <x:v>14</x:v>
      </x:c>
      <x:c r="C18" s="57" t="n">
        <x:v>14</x:v>
      </x:c>
      <x:c r="D18" s="21" t="str">
        <x:v>Stanford University</x:v>
      </x:c>
      <x:c r="E18" s="21" t="str">
        <x:v>United States</x:v>
      </x:c>
      <x:c r="F18" s="21" t="str">
        <x:v>13</x:v>
      </x:c>
      <x:c r="G18" s="21"/>
      <x:c r="H18" s="21" t="str">
        <x:v>MS Sustainability Science and Practice</x:v>
      </x:c>
      <x:c r="I18" s="21" t="str">
        <x:v>Selected among the first 30 QS records; official list order resolves the rank-30 tie.</x:v>
      </x:c>
      <x:c r="J18" s="53" t="str">
        <x:v>https://www.topuniversities.com/universities/stanford-university</x:v>
      </x:c>
      <x:c r="K18" s="53"/>
    </x:row>
    <x:row r="19" ht="28" customHeight="1">
      <x:c r="A19" s="24" t="str">
        <x:v>QS</x:v>
      </x:c>
      <x:c r="B19" s="51" t="n">
        <x:v>15</x:v>
      </x:c>
      <x:c r="C19" s="58" t="n">
        <x:v>15</x:v>
      </x:c>
      <x:c r="D19" s="51" t="str">
        <x:v>University of Oxford</x:v>
      </x:c>
      <x:c r="E19" s="51" t="str">
        <x:v>United Kingdom</x:v>
      </x:c>
      <x:c r="F19" s="51" t="str">
        <x:v>14</x:v>
      </x:c>
      <x:c r="G19" s="51"/>
      <x:c r="H19" s="51" t="str">
        <x:v>MSc in Sustainability, Enterprise and the Environment</x:v>
      </x:c>
      <x:c r="I19" s="51" t="str">
        <x:v>Selected among the first 30 QS records; official list order resolves the rank-30 tie.</x:v>
      </x:c>
      <x:c r="J19" s="54" t="str">
        <x:v>https://www.topuniversities.com/universities/university-oxford</x:v>
      </x:c>
      <x:c r="K19" s="54"/>
    </x:row>
    <x:row r="20" ht="28" customHeight="1">
      <x:c r="A20" s="24" t="str">
        <x:v>QS</x:v>
      </x:c>
      <x:c r="B20" s="21" t="n">
        <x:v>16</x:v>
      </x:c>
      <x:c r="C20" s="57" t="n">
        <x:v>16</x:v>
      </x:c>
      <x:c r="D20" s="21" t="str">
        <x:v>The University of Sydney</x:v>
      </x:c>
      <x:c r="E20" s="21" t="str">
        <x:v>Australia</x:v>
      </x:c>
      <x:c r="F20" s="21" t="str">
        <x:v>15</x:v>
      </x:c>
      <x:c r="G20" s="21"/>
      <x:c r="H20" s="21" t="str">
        <x:v>Master of Sustainability</x:v>
      </x:c>
      <x:c r="I20" s="21" t="str">
        <x:v>Selected among the first 30 QS records; official list order resolves the rank-30 tie.</x:v>
      </x:c>
      <x:c r="J20" s="53" t="str">
        <x:v>https://www.topuniversities.com/universities/university-sydney</x:v>
      </x:c>
      <x:c r="K20" s="53"/>
    </x:row>
    <x:row r="21" ht="28" customHeight="1">
      <x:c r="A21" s="24" t="str">
        <x:v>QS</x:v>
      </x:c>
      <x:c r="B21" s="51" t="n">
        <x:v>17</x:v>
      </x:c>
      <x:c r="C21" s="58" t="n">
        <x:v>17</x:v>
      </x:c>
      <x:c r="D21" s="51" t="str">
        <x:v>Australian National University (ANU)</x:v>
      </x:c>
      <x:c r="E21" s="51" t="str">
        <x:v>Australia</x:v>
      </x:c>
      <x:c r="F21" s="51" t="n">
        <x:v>16</x:v>
      </x:c>
      <x:c r="G21" s="51"/>
      <x:c r="H21" s="51" t="str">
        <x:v>Master of Climate Change</x:v>
      </x:c>
      <x:c r="I21" s="51" t="str">
        <x:v>Selected among the first 30 QS records; official list order resolves the rank-30 tie.</x:v>
      </x:c>
      <x:c r="J21" s="54" t="str">
        <x:v>https://www.topuniversities.com/universities/australian-national-university-anu</x:v>
      </x:c>
      <x:c r="K21" s="54"/>
    </x:row>
    <x:row r="22" ht="28" customHeight="1">
      <x:c r="A22" s="24" t="str">
        <x:v>QS</x:v>
      </x:c>
      <x:c r="B22" s="21" t="n">
        <x:v>18</x:v>
      </x:c>
      <x:c r="C22" s="57" t="n">
        <x:v>18</x:v>
      </x:c>
      <x:c r="D22" s="21" t="str">
        <x:v>King's College London</x:v>
      </x:c>
      <x:c r="E22" s="21" t="str">
        <x:v>United Kingdom</x:v>
      </x:c>
      <x:c r="F22" s="21" t="n">
        <x:v>16</x:v>
      </x:c>
      <x:c r="G22" s="21"/>
      <x:c r="H22" s="21" t="str">
        <x:v>Environment, Politics and Development MSc</x:v>
      </x:c>
      <x:c r="I22" s="21" t="str">
        <x:v>Selected among the first 30 QS records; official list order resolves the rank-30 tie.</x:v>
      </x:c>
      <x:c r="J22" s="53" t="str">
        <x:v>https://www.topuniversities.com/universities/kings-college-london</x:v>
      </x:c>
      <x:c r="K22" s="53"/>
    </x:row>
    <x:row r="23" ht="28" customHeight="1">
      <x:c r="A23" s="24" t="str">
        <x:v>QS</x:v>
      </x:c>
      <x:c r="B23" s="51" t="n">
        <x:v>19</x:v>
      </x:c>
      <x:c r="C23" s="58" t="n">
        <x:v>19</x:v>
      </x:c>
      <x:c r="D23" s="51" t="str">
        <x:v>University of Bristol</x:v>
      </x:c>
      <x:c r="E23" s="51" t="str">
        <x:v>United Kingdom</x:v>
      </x:c>
      <x:c r="F23" s="51" t="str">
        <x:v>19</x:v>
      </x:c>
      <x:c r="G23" s="51"/>
      <x:c r="H23" s="51" t="str">
        <x:v>MSc Environmental Policy and Management</x:v>
      </x:c>
      <x:c r="I23" s="51" t="str">
        <x:v>Selected among the first 30 QS records; official list order resolves the rank-30 tie.</x:v>
      </x:c>
      <x:c r="J23" s="54" t="str">
        <x:v>https://www.topuniversities.com/universities/university-bristol</x:v>
      </x:c>
      <x:c r="K23" s="54"/>
    </x:row>
    <x:row r="24" ht="28" customHeight="1">
      <x:c r="A24" s="24" t="str">
        <x:v>QS</x:v>
      </x:c>
      <x:c r="B24" s="21" t="n">
        <x:v>20</x:v>
      </x:c>
      <x:c r="C24" s="57" t="n">
        <x:v>20</x:v>
      </x:c>
      <x:c r="D24" s="21" t="str">
        <x:v>New York University (NYU)</x:v>
      </x:c>
      <x:c r="E24" s="21" t="str">
        <x:v>United States</x:v>
      </x:c>
      <x:c r="F24" s="21" t="str">
        <x:v>20</x:v>
      </x:c>
      <x:c r="G24" s="21"/>
      <x:c r="H24" s="21" t="str">
        <x:v>MS in Environmental Policy and Sustainability Management</x:v>
      </x:c>
      <x:c r="I24" s="21" t="str">
        <x:v>Selected among the first 30 QS records; official list order resolves the rank-30 tie.</x:v>
      </x:c>
      <x:c r="J24" s="53" t="str">
        <x:v>https://www.topuniversities.com/universities/new-york-university-nyu</x:v>
      </x:c>
      <x:c r="K24" s="53"/>
    </x:row>
    <x:row r="25" ht="28" customHeight="1">
      <x:c r="A25" s="24" t="str">
        <x:v>QS</x:v>
      </x:c>
      <x:c r="B25" s="51" t="n">
        <x:v>21</x:v>
      </x:c>
      <x:c r="C25" s="58" t="n">
        <x:v>21</x:v>
      </x:c>
      <x:c r="D25" s="51" t="str">
        <x:v>Pennsylvania State University</x:v>
      </x:c>
      <x:c r="E25" s="51" t="str">
        <x:v>United States</x:v>
      </x:c>
      <x:c r="F25" s="51" t="str">
        <x:v>21</x:v>
      </x:c>
      <x:c r="G25" s="51"/>
      <x:c r="H25" s="51" t="str">
        <x:v>Master of Professional Studies in Renewable Energy and Sustainability Systems</x:v>
      </x:c>
      <x:c r="I25" s="51" t="str">
        <x:v>Selected among the first 30 QS records; official list order resolves the rank-30 tie.</x:v>
      </x:c>
      <x:c r="J25" s="54" t="str">
        <x:v>https://www.topuniversities.com/universities/pennsylvania-state-university</x:v>
      </x:c>
      <x:c r="K25" s="54"/>
    </x:row>
    <x:row r="26" ht="28" customHeight="1">
      <x:c r="A26" s="24" t="str">
        <x:v>QS</x:v>
      </x:c>
      <x:c r="B26" s="21" t="n">
        <x:v>22</x:v>
      </x:c>
      <x:c r="C26" s="57" t="n">
        <x:v>22</x:v>
      </x:c>
      <x:c r="D26" s="21" t="str">
        <x:v>KU Leuven</x:v>
      </x:c>
      <x:c r="E26" s="21" t="str">
        <x:v>Belgium</x:v>
      </x:c>
      <x:c r="F26" s="21" t="n">
        <x:v>22</x:v>
      </x:c>
      <x:c r="G26" s="21"/>
      <x:c r="H26" s="21" t="str">
        <x:v>Master of Sustainable Development</x:v>
      </x:c>
      <x:c r="I26" s="21" t="str">
        <x:v>Selected among the first 30 QS records; official list order resolves the rank-30 tie.</x:v>
      </x:c>
      <x:c r="J26" s="53" t="str">
        <x:v>https://www.topuniversities.com/universities/ku-leuven</x:v>
      </x:c>
      <x:c r="K26" s="53"/>
    </x:row>
    <x:row r="27" ht="28" customHeight="1">
      <x:c r="A27" s="24" t="str">
        <x:v>QS</x:v>
      </x:c>
      <x:c r="B27" s="51" t="n">
        <x:v>23</x:v>
      </x:c>
      <x:c r="C27" s="58" t="n">
        <x:v>23</x:v>
      </x:c>
      <x:c r="D27" s="51" t="str">
        <x:v>University of Helsinki</x:v>
      </x:c>
      <x:c r="E27" s="51" t="str">
        <x:v>Finland</x:v>
      </x:c>
      <x:c r="F27" s="51" t="n">
        <x:v>22</x:v>
      </x:c>
      <x:c r="G27" s="51"/>
      <x:c r="H27" s="51" t="str">
        <x:v>Master's Programme in Environmental Change and Global Sustainability</x:v>
      </x:c>
      <x:c r="I27" s="51" t="str">
        <x:v>Selected among the first 30 QS records; official list order resolves the rank-30 tie.</x:v>
      </x:c>
      <x:c r="J27" s="54" t="str">
        <x:v>https://www.topuniversities.com/universities/university-helsinki</x:v>
      </x:c>
      <x:c r="K27" s="54"/>
    </x:row>
    <x:row r="28" ht="28" customHeight="1">
      <x:c r="A28" s="24" t="str">
        <x:v>QS</x:v>
      </x:c>
      <x:c r="B28" s="21" t="n">
        <x:v>24</x:v>
      </x:c>
      <x:c r="C28" s="57" t="n">
        <x:v>24</x:v>
      </x:c>
      <x:c r="D28" s="21" t="str">
        <x:v>Durham University</x:v>
      </x:c>
      <x:c r="E28" s="21" t="str">
        <x:v>United Kingdom</x:v>
      </x:c>
      <x:c r="F28" s="21" t="n">
        <x:v>24</x:v>
      </x:c>
      <x:c r="G28" s="21"/>
      <x:c r="H28" s="21" t="str">
        <x:v>MSc Climate Change, Environmental Processes and Sustainable Futures</x:v>
      </x:c>
      <x:c r="I28" s="21" t="str">
        <x:v>Selected among the first 30 QS records; official list order resolves the rank-30 tie.</x:v>
      </x:c>
      <x:c r="J28" s="53" t="str">
        <x:v>https://www.topuniversities.com/universities/durham-university</x:v>
      </x:c>
      <x:c r="K28" s="53"/>
    </x:row>
    <x:row r="29" ht="28" customHeight="1">
      <x:c r="A29" s="24" t="str">
        <x:v>QS</x:v>
      </x:c>
      <x:c r="B29" s="51" t="n">
        <x:v>25</x:v>
      </x:c>
      <x:c r="C29" s="58" t="n">
        <x:v>25</x:v>
      </x:c>
      <x:c r="D29" s="51" t="str">
        <x:v>University of Leeds</x:v>
      </x:c>
      <x:c r="E29" s="51" t="str">
        <x:v>United Kingdom</x:v>
      </x:c>
      <x:c r="F29" s="51" t="n">
        <x:v>24</x:v>
      </x:c>
      <x:c r="G29" s="51"/>
      <x:c r="H29" s="51" t="str">
        <x:v>MSc Sustainability, Environment and Development</x:v>
      </x:c>
      <x:c r="I29" s="51" t="str">
        <x:v>Selected among the first 30 QS records; official list order resolves the rank-30 tie.</x:v>
      </x:c>
      <x:c r="J29" s="54" t="str">
        <x:v>https://www.topuniversities.com/universities/university-leeds</x:v>
      </x:c>
      <x:c r="K29" s="54"/>
    </x:row>
    <x:row r="30" ht="28" customHeight="1">
      <x:c r="A30" s="24" t="str">
        <x:v>QS</x:v>
      </x:c>
      <x:c r="B30" s="21" t="n">
        <x:v>26</x:v>
      </x:c>
      <x:c r="C30" s="57" t="n">
        <x:v>26</x:v>
      </x:c>
      <x:c r="D30" s="21" t="str">
        <x:v>Western University</x:v>
      </x:c>
      <x:c r="E30" s="21" t="str">
        <x:v>Canada</x:v>
      </x:c>
      <x:c r="F30" s="21" t="n">
        <x:v>24</x:v>
      </x:c>
      <x:c r="G30" s="21" t="n">
        <x:v>12</x:v>
      </x:c>
      <x:c r="H30" s="21" t="str">
        <x:v>Master of Environment and Sustainability</x:v>
      </x:c>
      <x:c r="I30" s="21" t="str">
        <x:v>Selected among the first 30 QS records; official list order resolves the rank-30 tie.</x:v>
      </x:c>
      <x:c r="J30" s="53" t="str">
        <x:v>https://www.topuniversities.com/universities/western-university</x:v>
      </x:c>
      <x:c r="K30" s="53" t="str">
        <x:v>https://www.timeshighereducation.com/world-university-rankings/western-university</x:v>
      </x:c>
    </x:row>
    <x:row r="31" ht="28" customHeight="1">
      <x:c r="A31" s="24" t="str">
        <x:v>QS</x:v>
      </x:c>
      <x:c r="B31" s="51" t="n">
        <x:v>27</x:v>
      </x:c>
      <x:c r="C31" s="58" t="n">
        <x:v>27</x:v>
      </x:c>
      <x:c r="D31" s="51" t="str">
        <x:v>University of Glasgow</x:v>
      </x:c>
      <x:c r="E31" s="51" t="str">
        <x:v>United Kingdom</x:v>
      </x:c>
      <x:c r="F31" s="51" t="str">
        <x:v>27</x:v>
      </x:c>
      <x:c r="G31" s="51" t="str">
        <x:v>14</x:v>
      </x:c>
      <x:c r="H31" s="51" t="str">
        <x:v>MSc Environment &amp; Sustainable Development</x:v>
      </x:c>
      <x:c r="I31" s="51" t="str">
        <x:v>Selected among the first 30 QS records; official list order resolves the rank-30 tie.</x:v>
      </x:c>
      <x:c r="J31" s="54" t="str">
        <x:v>https://www.topuniversities.com/universities/university-glasgow</x:v>
      </x:c>
      <x:c r="K31" s="54" t="str">
        <x:v>https://www.timeshighereducation.com/world-university-rankings/university-glasgow</x:v>
      </x:c>
    </x:row>
    <x:row r="32" ht="28" customHeight="1">
      <x:c r="A32" s="24" t="str">
        <x:v>QS</x:v>
      </x:c>
      <x:c r="B32" s="21" t="n">
        <x:v>28</x:v>
      </x:c>
      <x:c r="C32" s="57" t="n">
        <x:v>28</x:v>
      </x:c>
      <x:c r="D32" s="21" t="str">
        <x:v>The University of Auckland</x:v>
      </x:c>
      <x:c r="E32" s="21" t="str">
        <x:v>New Zealand</x:v>
      </x:c>
      <x:c r="F32" s="21" t="str">
        <x:v>28</x:v>
      </x:c>
      <x:c r="G32" s="21"/>
      <x:c r="H32" s="21" t="str">
        <x:v>Master of Environmental Science</x:v>
      </x:c>
      <x:c r="I32" s="21" t="str">
        <x:v>Selected among the first 30 QS records; official list order resolves the rank-30 tie.</x:v>
      </x:c>
      <x:c r="J32" s="53" t="str">
        <x:v>https://www.topuniversities.com/universities/university-auckland</x:v>
      </x:c>
      <x:c r="K32" s="53"/>
    </x:row>
    <x:row r="33" ht="28" customHeight="1">
      <x:c r="A33" s="24" t="str">
        <x:v>QS</x:v>
      </x:c>
      <x:c r="B33" s="51" t="n">
        <x:v>29</x:v>
      </x:c>
      <x:c r="C33" s="58" t="n">
        <x:v>29</x:v>
      </x:c>
      <x:c r="D33" s="51" t="str">
        <x:v>Trinity College Dublin, The University of Dublin</x:v>
      </x:c>
      <x:c r="E33" s="51" t="str">
        <x:v>Ireland</x:v>
      </x:c>
      <x:c r="F33" s="51" t="str">
        <x:v>29</x:v>
      </x:c>
      <x:c r="G33" s="51"/>
      <x:c r="H33" s="51" t="str">
        <x:v>MSc Environmental Sciences</x:v>
      </x:c>
      <x:c r="I33" s="51" t="str">
        <x:v>Selected among the first 30 QS records; official list order resolves the rank-30 tie.</x:v>
      </x:c>
      <x:c r="J33" s="54" t="str">
        <x:v>https://www.topuniversities.com/universities/trinity-college-dublin-university-dublin</x:v>
      </x:c>
      <x:c r="K33" s="54"/>
    </x:row>
    <x:row r="34" ht="28" customHeight="1">
      <x:c r="A34" s="24" t="str">
        <x:v>QS</x:v>
      </x:c>
      <x:c r="B34" s="21" t="n">
        <x:v>30</x:v>
      </x:c>
      <x:c r="C34" s="57" t="n">
        <x:v>30</x:v>
      </x:c>
      <x:c r="D34" s="21" t="str">
        <x:v>University of Pennsylvania</x:v>
      </x:c>
      <x:c r="E34" s="21" t="str">
        <x:v>United States</x:v>
      </x:c>
      <x:c r="F34" s="21" t="n">
        <x:v>30</x:v>
      </x:c>
      <x:c r="G34" s="21"/>
      <x:c r="H34" s="21" t="str">
        <x:v>Master of Environmental Studies</x:v>
      </x:c>
      <x:c r="I34" s="21" t="str">
        <x:v>Selected among the first 30 QS records; official list order resolves the rank-30 tie.</x:v>
      </x:c>
      <x:c r="J34" s="53" t="str">
        <x:v>https://www.topuniversities.com/universities/university-pennsylvania</x:v>
      </x:c>
      <x:c r="K34" s="53"/>
    </x:row>
    <x:row r="35" ht="28" customHeight="1">
      <x:c r="A35" s="60" t="str">
        <x:v>THE</x:v>
      </x:c>
      <x:c r="B35" s="51" t="n">
        <x:v>1</x:v>
      </x:c>
      <x:c r="C35" s="58" t="n">
        <x:v>52</x:v>
      </x:c>
      <x:c r="D35" s="51" t="str">
        <x:v>Griffith University</x:v>
      </x:c>
      <x:c r="E35" s="51" t="str">
        <x:v>Australia</x:v>
      </x:c>
      <x:c r="F35" s="51"/>
      <x:c r="G35" s="51" t="str">
        <x:v>2</x:v>
      </x:c>
      <x:c r="H35" s="51" t="str">
        <x:v>Master of Global Development - Sustainable Development major</x:v>
      </x:c>
      <x:c r="I35" s="51" t="str">
        <x:v>Highest-ranked THE record not already selected in the QS cohort; 30 distinct additions retained.</x:v>
      </x:c>
      <x:c r="J35" s="54"/>
      <x:c r="K35" s="54" t="str">
        <x:v>https://www.timeshighereducation.com/world-university-rankings/griffith-university</x:v>
      </x:c>
    </x:row>
    <x:row r="36" ht="28" customHeight="1">
      <x:c r="A36" s="60" t="str">
        <x:v>THE</x:v>
      </x:c>
      <x:c r="B36" s="21" t="n">
        <x:v>2</x:v>
      </x:c>
      <x:c r="C36" s="57" t="n">
        <x:v>53</x:v>
      </x:c>
      <x:c r="D36" s="21" t="str">
        <x:v>Western Sydney University</x:v>
      </x:c>
      <x:c r="E36" s="21" t="str">
        <x:v>Australia</x:v>
      </x:c>
      <x:c r="F36" s="21"/>
      <x:c r="G36" s="21" t="str">
        <x:v>3</x:v>
      </x:c>
      <x:c r="H36" s="21" t="str">
        <x:v>Master of Sustainable Tourism, Hospitality and Event Management</x:v>
      </x:c>
      <x:c r="I36" s="21" t="str">
        <x:v>Highest-ranked THE record not already selected in the QS cohort; 30 distinct additions retained.</x:v>
      </x:c>
      <x:c r="J36" s="53"/>
      <x:c r="K36" s="53" t="str">
        <x:v>https://www.timeshighereducation.com/world-university-rankings/western-sydney-university</x:v>
      </x:c>
    </x:row>
    <x:row r="37" ht="28" customHeight="1">
      <x:c r="A37" s="60" t="str">
        <x:v>THE</x:v>
      </x:c>
      <x:c r="B37" s="51" t="n">
        <x:v>3</x:v>
      </x:c>
      <x:c r="C37" s="58" t="n">
        <x:v>54</x:v>
      </x:c>
      <x:c r="D37" s="51" t="str">
        <x:v>Queen's University</x:v>
      </x:c>
      <x:c r="E37" s="51" t="str">
        <x:v>Canada</x:v>
      </x:c>
      <x:c r="F37" s="51"/>
      <x:c r="G37" s="51" t="str">
        <x:v>4</x:v>
      </x:c>
      <x:c r="H37" s="51" t="str">
        <x:v>Master of Environmental Studies</x:v>
      </x:c>
      <x:c r="I37" s="51" t="str">
        <x:v>Highest-ranked THE record not already selected in the QS cohort; 30 distinct additions retained.</x:v>
      </x:c>
      <x:c r="J37" s="54"/>
      <x:c r="K37" s="54" t="str">
        <x:v>https://www.timeshighereducation.com/world-university-rankings/queens-university</x:v>
      </x:c>
    </x:row>
    <x:row r="38" ht="28" customHeight="1">
      <x:c r="A38" s="60" t="str">
        <x:v>THE</x:v>
      </x:c>
      <x:c r="B38" s="21" t="n">
        <x:v>4</x:v>
      </x:c>
      <x:c r="C38" s="57" t="n">
        <x:v>55</x:v>
      </x:c>
      <x:c r="D38" s="21" t="str">
        <x:v>Universiti Sains Malaysia</x:v>
      </x:c>
      <x:c r="E38" s="21" t="str">
        <x:v>Malaysia</x:v>
      </x:c>
      <x:c r="F38" s="21"/>
      <x:c r="G38" s="21" t="str">
        <x:v>5</x:v>
      </x:c>
      <x:c r="H38" s="21" t="str">
        <x:v>Master in Sustainable Development Practice</x:v>
      </x:c>
      <x:c r="I38" s="21" t="str">
        <x:v>Highest-ranked THE record not already selected in the QS cohort; 30 distinct additions retained.</x:v>
      </x:c>
      <x:c r="J38" s="53"/>
      <x:c r="K38" s="53" t="str">
        <x:v>https://www.timeshighereducation.com/world-university-rankings/universiti-sains-malaysia</x:v>
      </x:c>
    </x:row>
    <x:row r="39" ht="28" customHeight="1">
      <x:c r="A39" s="60" t="str">
        <x:v>THE</x:v>
      </x:c>
      <x:c r="B39" s="51" t="n">
        <x:v>5</x:v>
      </x:c>
      <x:c r="C39" s="58" t="n">
        <x:v>56</x:v>
      </x:c>
      <x:c r="D39" s="51" t="str">
        <x:v>Hanyang University</x:v>
      </x:c>
      <x:c r="E39" s="51" t="str">
        <x:v>South Korea</x:v>
      </x:c>
      <x:c r="F39" s="51"/>
      <x:c r="G39" s="51" t="str">
        <x:v>6</x:v>
      </x:c>
      <x:c r="H39" s="51" t="str">
        <x:v>Master's majors in Global Climate and Environmental Studies</x:v>
      </x:c>
      <x:c r="I39" s="51" t="str">
        <x:v>Highest-ranked THE record not already selected in the QS cohort; 30 distinct additions retained.</x:v>
      </x:c>
      <x:c r="J39" s="54"/>
      <x:c r="K39" s="54" t="str">
        <x:v>https://www.timeshighereducation.com/world-university-rankings/hanyang-university</x:v>
      </x:c>
    </x:row>
    <x:row r="40" ht="28" customHeight="1">
      <x:c r="A40" s="60" t="str">
        <x:v>THE</x:v>
      </x:c>
      <x:c r="B40" s="21" t="n">
        <x:v>6</x:v>
      </x:c>
      <x:c r="C40" s="57" t="n">
        <x:v>57</x:v>
      </x:c>
      <x:c r="D40" s="21" t="str">
        <x:v>Hokkaido University</x:v>
      </x:c>
      <x:c r="E40" s="21" t="str">
        <x:v>Japan</x:v>
      </x:c>
      <x:c r="F40" s="21"/>
      <x:c r="G40" s="21" t="n">
        <x:v>7</x:v>
      </x:c>
      <x:c r="H40" s="21" t="str">
        <x:v>Master's Program, Graduate School of Environmental Science</x:v>
      </x:c>
      <x:c r="I40" s="21" t="str">
        <x:v>Highest-ranked THE record not already selected in the QS cohort; 30 distinct additions retained.</x:v>
      </x:c>
      <x:c r="J40" s="53"/>
      <x:c r="K40" s="53" t="str">
        <x:v>https://www.timeshighereducation.com/world-university-rankings/hokkaido-university</x:v>
      </x:c>
    </x:row>
    <x:row r="41" ht="28" customHeight="1">
      <x:c r="A41" s="60" t="str">
        <x:v>THE</x:v>
      </x:c>
      <x:c r="B41" s="51" t="n">
        <x:v>7</x:v>
      </x:c>
      <x:c r="C41" s="58" t="n">
        <x:v>58</x:v>
      </x:c>
      <x:c r="D41" s="51" t="str">
        <x:v>Universiti Kebangsaan Malaysia</x:v>
      </x:c>
      <x:c r="E41" s="51" t="str">
        <x:v>Malaysia</x:v>
      </x:c>
      <x:c r="F41" s="51"/>
      <x:c r="G41" s="51" t="n">
        <x:v>7</x:v>
      </x:c>
      <x:c r="H41" s="51" t="str">
        <x:v>Master of Science / Master of Arts in Environment and Development</x:v>
      </x:c>
      <x:c r="I41" s="51" t="str">
        <x:v>Highest-ranked THE record not already selected in the QS cohort; 30 distinct additions retained.</x:v>
      </x:c>
      <x:c r="J41" s="54"/>
      <x:c r="K41" s="54" t="str">
        <x:v>https://www.timeshighereducation.com/world-university-rankings/universiti-kebangsaan-malaysia</x:v>
      </x:c>
    </x:row>
    <x:row r="42" ht="28" customHeight="1">
      <x:c r="A42" s="60" t="str">
        <x:v>THE</x:v>
      </x:c>
      <x:c r="B42" s="21" t="n">
        <x:v>8</x:v>
      </x:c>
      <x:c r="C42" s="57" t="n">
        <x:v>59</x:v>
      </x:c>
      <x:c r="D42" s="21" t="str">
        <x:v>Institut Agro</x:v>
      </x:c>
      <x:c r="E42" s="21" t="str">
        <x:v>France</x:v>
      </x:c>
      <x:c r="F42" s="21"/>
      <x:c r="G42" s="21" t="str">
        <x:v>9</x:v>
      </x:c>
      <x:c r="H42" s="21" t="str">
        <x:v>Master's pathway: Transitions in Environmental and Agrifood Systems Management</x:v>
      </x:c>
      <x:c r="I42" s="21" t="str">
        <x:v>Highest-ranked THE record not already selected in the QS cohort; 30 distinct additions retained.</x:v>
      </x:c>
      <x:c r="J42" s="53"/>
      <x:c r="K42" s="53" t="str">
        <x:v>https://www.timeshighereducation.com/world-university-rankings/institut-agro</x:v>
      </x:c>
    </x:row>
    <x:row r="43" ht="28" customHeight="1">
      <x:c r="A43" s="60" t="str">
        <x:v>THE</x:v>
      </x:c>
      <x:c r="B43" s="51" t="n">
        <x:v>9</x:v>
      </x:c>
      <x:c r="C43" s="58" t="n">
        <x:v>60</x:v>
      </x:c>
      <x:c r="D43" s="51" t="str">
        <x:v>National Taiwan University (NTU)</x:v>
      </x:c>
      <x:c r="E43" s="51" t="str">
        <x:v>Taiwan</x:v>
      </x:c>
      <x:c r="F43" s="51"/>
      <x:c r="G43" s="51" t="n">
        <x:v>10</x:v>
      </x:c>
      <x:c r="H43" s="51" t="str">
        <x:v>Master's Program in Biodiversity</x:v>
      </x:c>
      <x:c r="I43" s="51" t="str">
        <x:v>Highest-ranked THE record not already selected in the QS cohort; 30 distinct additions retained.</x:v>
      </x:c>
      <x:c r="J43" s="54"/>
      <x:c r="K43" s="54" t="str">
        <x:v>https://www.timeshighereducation.com/world-university-rankings/national-taiwan-university-ntu</x:v>
      </x:c>
    </x:row>
    <x:row r="44" ht="28" customHeight="1">
      <x:c r="A44" s="60" t="str">
        <x:v>THE</x:v>
      </x:c>
      <x:c r="B44" s="21" t="n">
        <x:v>10</x:v>
      </x:c>
      <x:c r="C44" s="57" t="n">
        <x:v>61</x:v>
      </x:c>
      <x:c r="D44" s="21" t="str">
        <x:v>University of Alberta</x:v>
      </x:c>
      <x:c r="E44" s="21" t="str">
        <x:v>Canada</x:v>
      </x:c>
      <x:c r="F44" s="21"/>
      <x:c r="G44" s="21" t="n">
        <x:v>10</x:v>
      </x:c>
      <x:c r="H44" s="21" t="str">
        <x:v>Master of Sustainability</x:v>
      </x:c>
      <x:c r="I44" s="21" t="str">
        <x:v>Highest-ranked THE record not already selected in the QS cohort; 30 distinct additions retained.</x:v>
      </x:c>
      <x:c r="J44" s="53"/>
      <x:c r="K44" s="53" t="str">
        <x:v>https://www.timeshighereducation.com/world-university-rankings/university-alberta</x:v>
      </x:c>
    </x:row>
    <x:row r="45" ht="28" customHeight="1">
      <x:c r="A45" s="60" t="str">
        <x:v>THE</x:v>
      </x:c>
      <x:c r="B45" s="51" t="n">
        <x:v>11</x:v>
      </x:c>
      <x:c r="C45" s="58" t="n">
        <x:v>62</x:v>
      </x:c>
      <x:c r="D45" s="51" t="str">
        <x:v>Korea University</x:v>
      </x:c>
      <x:c r="E45" s="51" t="str">
        <x:v>South Korea</x:v>
      </x:c>
      <x:c r="F45" s="51"/>
      <x:c r="G45" s="51" t="n">
        <x:v>12</x:v>
      </x:c>
      <x:c r="H45" s="51" t="str">
        <x:v>Master's in Climatic Environment</x:v>
      </x:c>
      <x:c r="I45" s="51" t="str">
        <x:v>Highest-ranked THE record not already selected in the QS cohort; 30 distinct additions retained.</x:v>
      </x:c>
      <x:c r="J45" s="54"/>
      <x:c r="K45" s="54" t="str">
        <x:v>https://www.timeshighereducation.com/world-university-rankings/korea-university</x:v>
      </x:c>
    </x:row>
    <x:row r="46" ht="28" customHeight="1">
      <x:c r="A46" s="60" t="str">
        <x:v>THE</x:v>
      </x:c>
      <x:c r="B46" s="21" t="n">
        <x:v>12</x:v>
      </x:c>
      <x:c r="C46" s="57" t="n">
        <x:v>63</x:v>
      </x:c>
      <x:c r="D46" s="21" t="str">
        <x:v>Universitas Airlangga</x:v>
      </x:c>
      <x:c r="E46" s="21" t="str">
        <x:v>Indonesia</x:v>
      </x:c>
      <x:c r="F46" s="21"/>
      <x:c r="G46" s="21" t="str">
        <x:v>15</x:v>
      </x:c>
      <x:c r="H46" s="21" t="str">
        <x:v>Master of Environmental Health</x:v>
      </x:c>
      <x:c r="I46" s="21" t="str">
        <x:v>Highest-ranked THE record not already selected in the QS cohort; 30 distinct additions retained.</x:v>
      </x:c>
      <x:c r="J46" s="53"/>
      <x:c r="K46" s="53" t="str">
        <x:v>https://www.timeshighereducation.com/world-university-rankings/universitas-airlangga</x:v>
      </x:c>
    </x:row>
    <x:row r="47" ht="28" customHeight="1">
      <x:c r="A47" s="60" t="str">
        <x:v>THE</x:v>
      </x:c>
      <x:c r="B47" s="51" t="n">
        <x:v>13</x:v>
      </x:c>
      <x:c r="C47" s="58" t="n">
        <x:v>64</x:v>
      </x:c>
      <x:c r="D47" s="51" t="str">
        <x:v>Pusan National University</x:v>
      </x:c>
      <x:c r="E47" s="51" t="str">
        <x:v>South Korea</x:v>
      </x:c>
      <x:c r="F47" s="51"/>
      <x:c r="G47" s="51" t="n">
        <x:v>16</x:v>
      </x:c>
      <x:c r="H47" s="51" t="str">
        <x:v>Master's programs, Graduate School of Environment</x:v>
      </x:c>
      <x:c r="I47" s="51" t="str">
        <x:v>Highest-ranked THE record not already selected in the QS cohort; 30 distinct additions retained.</x:v>
      </x:c>
      <x:c r="J47" s="54"/>
      <x:c r="K47" s="54" t="str">
        <x:v>https://www.timeshighereducation.com/world-university-rankings/pusan-national-university</x:v>
      </x:c>
    </x:row>
    <x:row r="48" ht="28" customHeight="1">
      <x:c r="A48" s="60" t="str">
        <x:v>THE</x:v>
      </x:c>
      <x:c r="B48" s="21" t="n">
        <x:v>14</x:v>
      </x:c>
      <x:c r="C48" s="57" t="n">
        <x:v>65</x:v>
      </x:c>
      <x:c r="D48" s="21" t="str">
        <x:v>University of Tasmania</x:v>
      </x:c>
      <x:c r="E48" s="21" t="str">
        <x:v>Australia</x:v>
      </x:c>
      <x:c r="F48" s="21"/>
      <x:c r="G48" s="21" t="n">
        <x:v>16</x:v>
      </x:c>
      <x:c r="H48" s="21" t="str">
        <x:v>Master of Environmental Geospatial Science</x:v>
      </x:c>
      <x:c r="I48" s="21" t="str">
        <x:v>Highest-ranked THE record not already selected in the QS cohort; 30 distinct additions retained.</x:v>
      </x:c>
      <x:c r="J48" s="53"/>
      <x:c r="K48" s="53" t="str">
        <x:v>https://www.timeshighereducation.com/world-university-rankings/university-tasmania</x:v>
      </x:c>
    </x:row>
    <x:row r="49" ht="28" customHeight="1">
      <x:c r="A49" s="60" t="str">
        <x:v>THE</x:v>
      </x:c>
      <x:c r="B49" s="51" t="n">
        <x:v>15</x:v>
      </x:c>
      <x:c r="C49" s="58" t="n">
        <x:v>66</x:v>
      </x:c>
      <x:c r="D49" s="51" t="str">
        <x:v>McMaster University</x:v>
      </x:c>
      <x:c r="E49" s="51" t="str">
        <x:v>Canada</x:v>
      </x:c>
      <x:c r="F49" s="51"/>
      <x:c r="G49" s="51" t="str">
        <x:v>18</x:v>
      </x:c>
      <x:c r="H49" s="51" t="str">
        <x:v>No directly qualifying sustainability/environment master's confirmed</x:v>
      </x:c>
      <x:c r="I49" s="51" t="str">
        <x:v>Highest-ranked THE record not already selected in the QS cohort; 30 distinct additions retained.</x:v>
      </x:c>
      <x:c r="J49" s="54"/>
      <x:c r="K49" s="54" t="str">
        <x:v>https://www.timeshighereducation.com/world-university-rankings/mcmaster-university</x:v>
      </x:c>
    </x:row>
    <x:row r="50" ht="28" customHeight="1">
      <x:c r="A50" s="60" t="str">
        <x:v>THE</x:v>
      </x:c>
      <x:c r="B50" s="21" t="n">
        <x:v>16</x:v>
      </x:c>
      <x:c r="C50" s="57" t="n">
        <x:v>67</x:v>
      </x:c>
      <x:c r="D50" s="21" t="str">
        <x:v>Chulalongkorn University</x:v>
      </x:c>
      <x:c r="E50" s="21" t="str">
        <x:v>Thailand</x:v>
      </x:c>
      <x:c r="F50" s="21"/>
      <x:c r="G50" s="21" t="str">
        <x:v>19</x:v>
      </x:c>
      <x:c r="H50" s="21" t="str">
        <x:v>MA Environment, Development and Sustainability</x:v>
      </x:c>
      <x:c r="I50" s="21" t="str">
        <x:v>Highest-ranked THE record not already selected in the QS cohort; 30 distinct additions retained.</x:v>
      </x:c>
      <x:c r="J50" s="53"/>
      <x:c r="K50" s="53" t="str">
        <x:v>https://www.timeshighereducation.com/world-university-rankings/chulalongkorn-university</x:v>
      </x:c>
    </x:row>
    <x:row r="51" ht="28" customHeight="1">
      <x:c r="A51" s="60" t="str">
        <x:v>THE</x:v>
      </x:c>
      <x:c r="B51" s="51" t="n">
        <x:v>17</x:v>
      </x:c>
      <x:c r="C51" s="58" t="n">
        <x:v>49</x:v>
      </x:c>
      <x:c r="D51" s="51" t="str">
        <x:v>University of Exeter</x:v>
      </x:c>
      <x:c r="E51" s="51" t="str">
        <x:v>United Kingdom</x:v>
      </x:c>
      <x:c r="F51" s="51" t="n">
        <x:v>48</x:v>
      </x:c>
      <x:c r="G51" s="51" t="n">
        <x:v>20</x:v>
      </x:c>
      <x:c r="H51" s="51" t="str">
        <x:v>MSc Global Sustainability Solutions</x:v>
      </x:c>
      <x:c r="I51" s="51" t="str">
        <x:v>Highest-ranked THE record not already selected in the QS cohort; 30 distinct additions retained.</x:v>
      </x:c>
      <x:c r="J51" s="54" t="str">
        <x:v>https://www.topuniversities.com/universities/university-exeter</x:v>
      </x:c>
      <x:c r="K51" s="54" t="str">
        <x:v>https://www.timeshighereducation.com/world-university-rankings/university-exeter</x:v>
      </x:c>
    </x:row>
    <x:row r="52" ht="28" customHeight="1">
      <x:c r="A52" s="60" t="str">
        <x:v>THE</x:v>
      </x:c>
      <x:c r="B52" s="21" t="n">
        <x:v>18</x:v>
      </x:c>
      <x:c r="C52" s="57" t="n">
        <x:v>68</x:v>
      </x:c>
      <x:c r="D52" s="21" t="str">
        <x:v>Kyungpook National University (KNU)</x:v>
      </x:c>
      <x:c r="E52" s="21" t="str">
        <x:v>South Korea</x:v>
      </x:c>
      <x:c r="F52" s="21"/>
      <x:c r="G52" s="21" t="n">
        <x:v>20</x:v>
      </x:c>
      <x:c r="H52" s="21" t="str">
        <x:v>Graduate major in Environmental and Energy Engineering</x:v>
      </x:c>
      <x:c r="I52" s="21" t="str">
        <x:v>Highest-ranked THE record not already selected in the QS cohort; 30 distinct additions retained.</x:v>
      </x:c>
      <x:c r="J52" s="53"/>
      <x:c r="K52" s="53" t="str">
        <x:v>https://www.timeshighereducation.com/world-university-rankings/kyungpook-national-university-knu</x:v>
      </x:c>
    </x:row>
    <x:row r="53" ht="28" customHeight="1">
      <x:c r="A53" s="60" t="str">
        <x:v>THE</x:v>
      </x:c>
      <x:c r="B53" s="51" t="n">
        <x:v>19</x:v>
      </x:c>
      <x:c r="C53" s="58" t="n">
        <x:v>69</x:v>
      </x:c>
      <x:c r="D53" s="51" t="str">
        <x:v>The Hong Kong University of Science and Technology</x:v>
      </x:c>
      <x:c r="E53" s="51" t="str">
        <x:v>Hong Kong</x:v>
      </x:c>
      <x:c r="F53" s="51"/>
      <x:c r="G53" s="51" t="n">
        <x:v>20</x:v>
      </x:c>
      <x:c r="H53" s="51" t="str">
        <x:v>MSc in Environmental Engineering and Management</x:v>
      </x:c>
      <x:c r="I53" s="51" t="str">
        <x:v>Highest-ranked THE record not already selected in the QS cohort; 30 distinct additions retained.</x:v>
      </x:c>
      <x:c r="J53" s="54"/>
      <x:c r="K53" s="54" t="str">
        <x:v>https://www.timeshighereducation.com/world-university-rankings/hong-kong-university-science-and-technology</x:v>
      </x:c>
    </x:row>
    <x:row r="54" ht="28" customHeight="1">
      <x:c r="A54" s="60" t="str">
        <x:v>THE</x:v>
      </x:c>
      <x:c r="B54" s="21" t="n">
        <x:v>20</x:v>
      </x:c>
      <x:c r="C54" s="57" t="n">
        <x:v>70</x:v>
      </x:c>
      <x:c r="D54" s="21" t="str">
        <x:v>Lovely Professional University</x:v>
      </x:c>
      <x:c r="E54" s="21" t="str">
        <x:v>India</x:v>
      </x:c>
      <x:c r="F54" s="21"/>
      <x:c r="G54" s="21" t="str">
        <x:v>23</x:v>
      </x:c>
      <x:c r="H54" s="21" t="str">
        <x:v>MSc Environmental Sciences</x:v>
      </x:c>
      <x:c r="I54" s="21" t="str">
        <x:v>Highest-ranked THE record not already selected in the QS cohort; 30 distinct additions retained.</x:v>
      </x:c>
      <x:c r="J54" s="53"/>
      <x:c r="K54" s="53" t="str">
        <x:v>https://www.timeshighereducation.com/world-university-rankings/lovely-professional-university</x:v>
      </x:c>
    </x:row>
    <x:row r="55" ht="28" customHeight="1">
      <x:c r="A55" s="60" t="str">
        <x:v>THE</x:v>
      </x:c>
      <x:c r="B55" s="51" t="n">
        <x:v>21</x:v>
      </x:c>
      <x:c r="C55" s="58" t="n">
        <x:v>71</x:v>
      </x:c>
      <x:c r="D55" s="51" t="str">
        <x:v>University of Malaya</x:v>
      </x:c>
      <x:c r="E55" s="51" t="str">
        <x:v>Malaysia</x:v>
      </x:c>
      <x:c r="F55" s="51"/>
      <x:c r="G55" s="51" t="str">
        <x:v>24</x:v>
      </x:c>
      <x:c r="H55" s="51" t="str">
        <x:v>Master of Sustainability Science</x:v>
      </x:c>
      <x:c r="I55" s="51" t="str">
        <x:v>Highest-ranked THE record not already selected in the QS cohort; 30 distinct additions retained.</x:v>
      </x:c>
      <x:c r="J55" s="54"/>
      <x:c r="K55" s="54" t="str">
        <x:v>https://www.timeshighereducation.com/world-university-rankings/university-malaya</x:v>
      </x:c>
    </x:row>
    <x:row r="56" ht="28" customHeight="1">
      <x:c r="A56" s="60" t="str">
        <x:v>THE</x:v>
      </x:c>
      <x:c r="B56" s="21" t="n">
        <x:v>22</x:v>
      </x:c>
      <x:c r="C56" s="57" t="n">
        <x:v>72</x:v>
      </x:c>
      <x:c r="D56" s="21" t="str">
        <x:v>Aalborg University</x:v>
      </x:c>
      <x:c r="E56" s="21" t="str">
        <x:v>Denmark</x:v>
      </x:c>
      <x:c r="F56" s="21"/>
      <x:c r="G56" s="21" t="str">
        <x:v>25</x:v>
      </x:c>
      <x:c r="H56" s="21" t="str">
        <x:v>MSc Engineering in Sustainable Cities</x:v>
      </x:c>
      <x:c r="I56" s="21" t="str">
        <x:v>Highest-ranked THE record not already selected in the QS cohort; 30 distinct additions retained.</x:v>
      </x:c>
      <x:c r="J56" s="53"/>
      <x:c r="K56" s="53" t="str">
        <x:v>https://www.timeshighereducation.com/world-university-rankings/aalborg-university</x:v>
      </x:c>
    </x:row>
    <x:row r="57" ht="28" customHeight="1">
      <x:c r="A57" s="60" t="str">
        <x:v>THE</x:v>
      </x:c>
      <x:c r="B57" s="51" t="n">
        <x:v>23</x:v>
      </x:c>
      <x:c r="C57" s="58" t="n">
        <x:v>73</x:v>
      </x:c>
      <x:c r="D57" s="51" t="str">
        <x:v>Kyung Hee University</x:v>
      </x:c>
      <x:c r="E57" s="51" t="str">
        <x:v>South Korea</x:v>
      </x:c>
      <x:c r="F57" s="51"/>
      <x:c r="G57" s="51" t="str">
        <x:v>26</x:v>
      </x:c>
      <x:c r="H57" s="51" t="str">
        <x:v>Graduate pathway in Environmental Science and Engineering</x:v>
      </x:c>
      <x:c r="I57" s="51" t="str">
        <x:v>Highest-ranked THE record not already selected in the QS cohort; 30 distinct additions retained.</x:v>
      </x:c>
      <x:c r="J57" s="54"/>
      <x:c r="K57" s="54" t="str">
        <x:v>https://www.timeshighereducation.com/world-university-rankings/kyung-hee-university</x:v>
      </x:c>
    </x:row>
    <x:row r="58" ht="28" customHeight="1">
      <x:c r="A58" s="60" t="str">
        <x:v>THE</x:v>
      </x:c>
      <x:c r="B58" s="21" t="n">
        <x:v>24</x:v>
      </x:c>
      <x:c r="C58" s="57" t="n">
        <x:v>74</x:v>
      </x:c>
      <x:c r="D58" s="21" t="str">
        <x:v>University of Victoria</x:v>
      </x:c>
      <x:c r="E58" s="21" t="str">
        <x:v>Canada</x:v>
      </x:c>
      <x:c r="F58" s="21"/>
      <x:c r="G58" s="21" t="str">
        <x:v>27</x:v>
      </x:c>
      <x:c r="H58" s="21" t="str">
        <x:v>MA/MSc Environmental Studies</x:v>
      </x:c>
      <x:c r="I58" s="21" t="str">
        <x:v>Highest-ranked THE record not already selected in the QS cohort; 30 distinct additions retained.</x:v>
      </x:c>
      <x:c r="J58" s="53"/>
      <x:c r="K58" s="53" t="str">
        <x:v>https://www.timeshighereducation.com/world-university-rankings/university-victoria</x:v>
      </x:c>
    </x:row>
    <x:row r="59" ht="28" customHeight="1">
      <x:c r="A59" s="60" t="str">
        <x:v>THE</x:v>
      </x:c>
      <x:c r="B59" s="51" t="n">
        <x:v>25</x:v>
      </x:c>
      <x:c r="C59" s="58" t="n">
        <x:v>76</x:v>
      </x:c>
      <x:c r="D59" s="51" t="str">
        <x:v>Central Queensland University</x:v>
      </x:c>
      <x:c r="E59" s="51" t="str">
        <x:v>Australia</x:v>
      </x:c>
      <x:c r="F59" s="51"/>
      <x:c r="G59" s="51" t="str">
        <x:v>29</x:v>
      </x:c>
      <x:c r="H59" s="51" t="str">
        <x:v>Master of Sustainable Development</x:v>
      </x:c>
      <x:c r="I59" s="51" t="str">
        <x:v>Highest-ranked THE record not already selected in the QS cohort; 30 distinct additions retained.</x:v>
      </x:c>
      <x:c r="J59" s="54"/>
      <x:c r="K59" s="54" t="str">
        <x:v>https://www.timeshighereducation.com/world-university-rankings/central-queensland-university</x:v>
      </x:c>
    </x:row>
    <x:row r="60" ht="28" customHeight="1">
      <x:c r="A60" s="60" t="str">
        <x:v>THE</x:v>
      </x:c>
      <x:c r="B60" s="21" t="n">
        <x:v>26</x:v>
      </x:c>
      <x:c r="C60" s="57" t="n">
        <x:v>77</x:v>
      </x:c>
      <x:c r="D60" s="21" t="str">
        <x:v>University of Newcastle</x:v>
      </x:c>
      <x:c r="E60" s="21" t="str">
        <x:v>Australia</x:v>
      </x:c>
      <x:c r="F60" s="21"/>
      <x:c r="G60" s="21" t="str">
        <x:v>30</x:v>
      </x:c>
      <x:c r="H60" s="21" t="str">
        <x:v>Master of Environmental Management and Sustainability</x:v>
      </x:c>
      <x:c r="I60" s="21" t="str">
        <x:v>Highest-ranked THE record not already selected in the QS cohort; 30 distinct additions retained.</x:v>
      </x:c>
      <x:c r="J60" s="53"/>
      <x:c r="K60" s="53" t="str">
        <x:v>https://www.timeshighereducation.com/world-university-rankings/university-newcastle</x:v>
      </x:c>
    </x:row>
    <x:row r="61" ht="28" customHeight="1">
      <x:c r="A61" s="60" t="str">
        <x:v>THE</x:v>
      </x:c>
      <x:c r="B61" s="51" t="n">
        <x:v>27</x:v>
      </x:c>
      <x:c r="C61" s="58" t="n">
        <x:v>78</x:v>
      </x:c>
      <x:c r="D61" s="51" t="str">
        <x:v>Northumbria University</x:v>
      </x:c>
      <x:c r="E61" s="51" t="str">
        <x:v>United Kingdom</x:v>
      </x:c>
      <x:c r="F61" s="51"/>
      <x:c r="G61" s="51" t="n">
        <x:v>31</x:v>
      </x:c>
      <x:c r="H61" s="51" t="str">
        <x:v>MSc Disaster Management and Sustainable Development</x:v>
      </x:c>
      <x:c r="I61" s="51" t="str">
        <x:v>Highest-ranked THE record not already selected in the QS cohort; 30 distinct additions retained.</x:v>
      </x:c>
      <x:c r="J61" s="54"/>
      <x:c r="K61" s="54" t="str">
        <x:v>https://www.timeshighereducation.com/world-university-rankings/northumbria-university</x:v>
      </x:c>
    </x:row>
    <x:row r="62" ht="28" customHeight="1">
      <x:c r="A62" s="60" t="str">
        <x:v>THE</x:v>
      </x:c>
      <x:c r="B62" s="21" t="n">
        <x:v>28</x:v>
      </x:c>
      <x:c r="C62" s="57" t="n">
        <x:v>79</x:v>
      </x:c>
      <x:c r="D62" s="21" t="str">
        <x:v>University of Indonesia</x:v>
      </x:c>
      <x:c r="E62" s="21" t="str">
        <x:v>Indonesia</x:v>
      </x:c>
      <x:c r="F62" s="21"/>
      <x:c r="G62" s="21" t="n">
        <x:v>31</x:v>
      </x:c>
      <x:c r="H62" s="21" t="str">
        <x:v>Master of Environmental Science</x:v>
      </x:c>
      <x:c r="I62" s="21" t="str">
        <x:v>Highest-ranked THE record not already selected in the QS cohort; 30 distinct additions retained.</x:v>
      </x:c>
      <x:c r="J62" s="53"/>
      <x:c r="K62" s="53" t="str">
        <x:v>https://www.timeshighereducation.com/world-university-rankings/university-indonesia</x:v>
      </x:c>
    </x:row>
    <x:row r="63" ht="28" customHeight="1">
      <x:c r="A63" s="60" t="str">
        <x:v>THE</x:v>
      </x:c>
      <x:c r="B63" s="51" t="n">
        <x:v>29</x:v>
      </x:c>
      <x:c r="C63" s="58" t="n">
        <x:v>80</x:v>
      </x:c>
      <x:c r="D63" s="51" t="str">
        <x:v>An-Najah National University</x:v>
      </x:c>
      <x:c r="E63" s="51" t="str">
        <x:v>Palestine</x:v>
      </x:c>
      <x:c r="F63" s="51"/>
      <x:c r="G63" s="51" t="n">
        <x:v>33</x:v>
      </x:c>
      <x:c r="H63" s="51" t="str">
        <x:v>MSc Environmental Sciences</x:v>
      </x:c>
      <x:c r="I63" s="51" t="str">
        <x:v>Highest-ranked THE record not already selected in the QS cohort; 30 distinct additions retained.</x:v>
      </x:c>
      <x:c r="J63" s="54"/>
      <x:c r="K63" s="54" t="str">
        <x:v>https://www.timeshighereducation.com/world-university-rankings/najah-national-university</x:v>
      </x:c>
    </x:row>
    <x:row r="64" ht="28" customHeight="1">
      <x:c r="A64" s="61" t="str">
        <x:v>THE</x:v>
      </x:c>
      <x:c r="B64" s="22" t="n">
        <x:v>30</x:v>
      </x:c>
      <x:c r="C64" s="59" t="n">
        <x:v>81</x:v>
      </x:c>
      <x:c r="D64" s="22" t="str">
        <x:v>Arizona State University (Tempe)</x:v>
      </x:c>
      <x:c r="E64" s="22" t="str">
        <x:v>United States</x:v>
      </x:c>
      <x:c r="F64" s="22"/>
      <x:c r="G64" s="22" t="n">
        <x:v>33</x:v>
      </x:c>
      <x:c r="H64" s="22" t="str">
        <x:v>Master of Sustainability Solutions</x:v>
      </x:c>
      <x:c r="I64" s="22" t="str">
        <x:v>Highest-ranked THE record not already selected in the QS cohort; 30 distinct additions retained.</x:v>
      </x:c>
      <x:c r="J64" s="55"/>
      <x:c r="K64" s="55" t="str">
        <x:v>https://www.timeshighereducation.com/world-university-rankings/arizona-state-university-tempe</x:v>
      </x:c>
    </x:row>
  </x:sheetData>
  <x:mergeCells>
    <x:mergeCell ref="A1:K1"/>
    <x:mergeCell ref="A2:K2"/>
  </x:mergeCells>
  <x:pageMargins left="0.7" right="0.7" top="0.75" bottom="0.75" header="0.3" footer="0.3"/>
  <x:tableParts count="1">
    <x:tablePart xmlns:r="http://schemas.openxmlformats.org/officeDocument/2006/relationships" r:id="R8fd1ac580e924f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32" hidden="0" customWidth="1"/>
    <x:col min="3" max="3" width="18" hidden="0" customWidth="1"/>
    <x:col min="4" max="4" width="20" hidden="0" customWidth="1"/>
    <x:col min="5" max="5" width="10" hidden="0" customWidth="1"/>
    <x:col min="6" max="6" width="12" hidden="0" customWidth="1"/>
    <x:col min="7" max="7" width="10" hidden="0" customWidth="1"/>
    <x:col min="8" max="8" width="14" hidden="0" customWidth="1"/>
    <x:col min="9" max="9" width="44" hidden="0" customWidth="1"/>
    <x:col min="10" max="10" width="44" hidden="0" customWidth="1"/>
  </x:cols>
  <x:sheetData>
    <x:row r="1" ht="28" customHeight="1">
      <x:c r="A1" s="3" t="str">
        <x:v>Candidate Universities - 60 Selected Programs</x:v>
      </x:c>
      <x:c r="B1" s="3"/>
      <x:c r="C1" s="3"/>
      <x:c r="D1" s="3"/>
      <x:c r="E1" s="3"/>
      <x:c r="F1" s="3"/>
      <x:c r="G1" s="3"/>
      <x:c r="H1" s="3"/>
      <x:c r="I1" s="3"/>
      <x:c r="J1" s="3"/>
    </x:row>
    <x:row r="2" ht="34" customHeight="1">
      <x:c r="A2" s="7" t="str">
        <x:v>Analytical sample: 30 QS records plus 30 highest-ranked THE records not already selected by QS. Candidate Source retains original top-50 source membership.</x:v>
      </x:c>
      <x:c r="B2" s="7"/>
      <x:c r="C2" s="7"/>
      <x:c r="D2" s="7"/>
      <x:c r="E2" s="7"/>
      <x:c r="F2" s="7"/>
      <x:c r="G2" s="7"/>
      <x:c r="H2" s="7"/>
      <x:c r="I2" s="7"/>
      <x:c r="J2" s="7"/>
    </x:row>
    <x:row r="4" ht="38" customHeight="1">
      <x:c r="A4" s="47" t="str">
        <x:v>ID</x:v>
      </x:c>
      <x:c r="B4" s="48" t="str">
        <x:v>Institution</x:v>
      </x:c>
      <x:c r="C4" s="48" t="str">
        <x:v>Country</x:v>
      </x:c>
      <x:c r="D4" s="48" t="str">
        <x:v>Candidate Source</x:v>
      </x:c>
      <x:c r="E4" s="48" t="str">
        <x:v>QS Rank</x:v>
      </x:c>
      <x:c r="F4" s="48" t="str">
        <x:v>QS Score</x:v>
      </x:c>
      <x:c r="G4" s="48" t="str">
        <x:v>THE Rank</x:v>
      </x:c>
      <x:c r="H4" s="48" t="str">
        <x:v>THE Overall Score</x:v>
      </x:c>
      <x:c r="I4" s="48" t="str">
        <x:v>QS Profile URL</x:v>
      </x:c>
      <x:c r="J4" s="49" t="str">
        <x:v>THE Profile URL</x:v>
      </x:c>
    </x:row>
    <x:row r="5" ht="28" customHeight="1">
      <x:c r="A5" s="56" t="n">
        <x:v>1</x:v>
      </x:c>
      <x:c r="B5" s="50" t="str">
        <x:v>Lund University</x:v>
      </x:c>
      <x:c r="C5" s="50" t="str">
        <x:v>Sweden</x:v>
      </x:c>
      <x:c r="D5" s="52" t="str">
        <x:v>QS Sustainability</x:v>
      </x:c>
      <x:c r="E5" s="50" t="str">
        <x:v>1</x:v>
      </x:c>
      <x:c r="F5" s="50" t="n">
        <x:v>100</x:v>
      </x:c>
      <x:c r="G5" s="50"/>
      <x:c r="H5" s="50"/>
      <x:c r="I5" s="52" t="str">
        <x:v>https://www.topuniversities.com/universities/lund-university</x:v>
      </x:c>
      <x:c r="J5" s="52"/>
    </x:row>
    <x:row r="6" ht="28" customHeight="1">
      <x:c r="A6" s="57" t="n">
        <x:v>2</x:v>
      </x:c>
      <x:c r="B6" s="21" t="str">
        <x:v>University of Toronto</x:v>
      </x:c>
      <x:c r="C6" s="21" t="str">
        <x:v>Canada</x:v>
      </x:c>
      <x:c r="D6" s="53" t="str">
        <x:v>QS Sustainability</x:v>
      </x:c>
      <x:c r="E6" s="21" t="str">
        <x:v>2</x:v>
      </x:c>
      <x:c r="F6" s="21" t="n">
        <x:v>99.8</x:v>
      </x:c>
      <x:c r="G6" s="21"/>
      <x:c r="H6" s="21"/>
      <x:c r="I6" s="53" t="str">
        <x:v>https://www.topuniversities.com/universities/university-toronto</x:v>
      </x:c>
      <x:c r="J6" s="53"/>
    </x:row>
    <x:row r="7" ht="28" customHeight="1">
      <x:c r="A7" s="58" t="n">
        <x:v>3</x:v>
      </x:c>
      <x:c r="B7" s="51" t="str">
        <x:v>UCL</x:v>
      </x:c>
      <x:c r="C7" s="51" t="str">
        <x:v>United Kingdom</x:v>
      </x:c>
      <x:c r="D7" s="54" t="str">
        <x:v>QS Sustainability</x:v>
      </x:c>
      <x:c r="E7" s="51" t="str">
        <x:v>3</x:v>
      </x:c>
      <x:c r="F7" s="51" t="n">
        <x:v>99</x:v>
      </x:c>
      <x:c r="G7" s="51"/>
      <x:c r="H7" s="51"/>
      <x:c r="I7" s="54" t="str">
        <x:v>https://www.topuniversities.com/universities/ucl</x:v>
      </x:c>
      <x:c r="J7" s="54"/>
    </x:row>
    <x:row r="8" ht="28" customHeight="1">
      <x:c r="A8" s="57" t="n">
        <x:v>4</x:v>
      </x:c>
      <x:c r="B8" s="21" t="str">
        <x:v>The University of Edinburgh</x:v>
      </x:c>
      <x:c r="C8" s="21" t="str">
        <x:v>United Kingdom</x:v>
      </x:c>
      <x:c r="D8" s="53" t="str">
        <x:v>QS Sustainability</x:v>
      </x:c>
      <x:c r="E8" s="21" t="str">
        <x:v>4</x:v>
      </x:c>
      <x:c r="F8" s="21" t="n">
        <x:v>98.7</x:v>
      </x:c>
      <x:c r="G8" s="21"/>
      <x:c r="H8" s="21"/>
      <x:c r="I8" s="53" t="str">
        <x:v>https://www.topuniversities.com/universities/university-edinburgh</x:v>
      </x:c>
      <x:c r="J8" s="53"/>
    </x:row>
    <x:row r="9" ht="28" customHeight="1">
      <x:c r="A9" s="58" t="n">
        <x:v>5</x:v>
      </x:c>
      <x:c r="B9" s="51" t="str">
        <x:v>University of British Columbia</x:v>
      </x:c>
      <x:c r="C9" s="51" t="str">
        <x:v>Canada</x:v>
      </x:c>
      <x:c r="D9" s="54" t="str">
        <x:v>QS Sustainability</x:v>
      </x:c>
      <x:c r="E9" s="51" t="str">
        <x:v>5</x:v>
      </x:c>
      <x:c r="F9" s="51" t="n">
        <x:v>98.6</x:v>
      </x:c>
      <x:c r="G9" s="51"/>
      <x:c r="H9" s="51"/>
      <x:c r="I9" s="54" t="str">
        <x:v>https://www.topuniversities.com/universities/university-british-columbia</x:v>
      </x:c>
      <x:c r="J9" s="54"/>
    </x:row>
    <x:row r="10" ht="28" customHeight="1">
      <x:c r="A10" s="57" t="n">
        <x:v>6</x:v>
      </x:c>
      <x:c r="B10" s="21" t="str">
        <x:v>The London School of Economics and Political Science (LSE)</x:v>
      </x:c>
      <x:c r="C10" s="21" t="str">
        <x:v>United Kingdom</x:v>
      </x:c>
      <x:c r="D10" s="53" t="str">
        <x:v>QS Sustainability</x:v>
      </x:c>
      <x:c r="E10" s="21" t="str">
        <x:v>6</x:v>
      </x:c>
      <x:c r="F10" s="21" t="n">
        <x:v>98.5</x:v>
      </x:c>
      <x:c r="G10" s="21"/>
      <x:c r="H10" s="21"/>
      <x:c r="I10" s="53" t="str">
        <x:v>https://www.topuniversities.com/universities/london-school-economics-political-science-lse</x:v>
      </x:c>
      <x:c r="J10" s="53"/>
    </x:row>
    <x:row r="11" ht="28" customHeight="1">
      <x:c r="A11" s="58" t="n">
        <x:v>7</x:v>
      </x:c>
      <x:c r="B11" s="51" t="str">
        <x:v>Imperial College London</x:v>
      </x:c>
      <x:c r="C11" s="51" t="str">
        <x:v>United Kingdom</x:v>
      </x:c>
      <x:c r="D11" s="54" t="str">
        <x:v>QS Sustainability</x:v>
      </x:c>
      <x:c r="E11" s="51" t="n">
        <x:v>7</x:v>
      </x:c>
      <x:c r="F11" s="51" t="n">
        <x:v>98.2</x:v>
      </x:c>
      <x:c r="G11" s="51"/>
      <x:c r="H11" s="51"/>
      <x:c r="I11" s="54" t="str">
        <x:v>https://www.topuniversities.com/universities/imperial-college-london</x:v>
      </x:c>
      <x:c r="J11" s="54"/>
    </x:row>
    <x:row r="12" ht="28" customHeight="1">
      <x:c r="A12" s="57" t="n">
        <x:v>8</x:v>
      </x:c>
      <x:c r="B12" s="21" t="str">
        <x:v>The University of New South Wales (UNSW Sydney)</x:v>
      </x:c>
      <x:c r="C12" s="21" t="str">
        <x:v>Australia</x:v>
      </x:c>
      <x:c r="D12" s="62" t="str">
        <x:v>Both</x:v>
      </x:c>
      <x:c r="E12" s="21" t="n">
        <x:v>7</x:v>
      </x:c>
      <x:c r="F12" s="21" t="n">
        <x:v>98.2</x:v>
      </x:c>
      <x:c r="G12" s="21" t="n">
        <x:v>41</x:v>
      </x:c>
      <x:c r="H12" s="21" t="n">
        <x:v>93.2</x:v>
      </x:c>
      <x:c r="I12" s="53" t="str">
        <x:v>https://www.topuniversities.com/universities/university-new-south-wales-unsw-sydney</x:v>
      </x:c>
      <x:c r="J12" s="53" t="str">
        <x:v>https://www.timeshighereducation.com/world-university-rankings/unsw-sydney</x:v>
      </x:c>
    </x:row>
    <x:row r="13" ht="28" customHeight="1">
      <x:c r="A13" s="58" t="n">
        <x:v>9</x:v>
      </x:c>
      <x:c r="B13" s="51" t="str">
        <x:v>McGill University</x:v>
      </x:c>
      <x:c r="C13" s="51" t="str">
        <x:v>Canada</x:v>
      </x:c>
      <x:c r="D13" s="54" t="str">
        <x:v>QS Sustainability</x:v>
      </x:c>
      <x:c r="E13" s="51" t="str">
        <x:v>9</x:v>
      </x:c>
      <x:c r="F13" s="51" t="n">
        <x:v>98.1</x:v>
      </x:c>
      <x:c r="G13" s="51"/>
      <x:c r="H13" s="51"/>
      <x:c r="I13" s="54" t="str">
        <x:v>https://www.topuniversities.com/universities/mcgill-university</x:v>
      </x:c>
      <x:c r="J13" s="54"/>
    </x:row>
    <x:row r="14" ht="28" customHeight="1">
      <x:c r="A14" s="57" t="n">
        <x:v>10</x:v>
      </x:c>
      <x:c r="B14" s="21" t="str">
        <x:v>The University of Manchester</x:v>
      </x:c>
      <x:c r="C14" s="21" t="str">
        <x:v>United Kingdom</x:v>
      </x:c>
      <x:c r="D14" s="62" t="str">
        <x:v>Both</x:v>
      </x:c>
      <x:c r="E14" s="21" t="str">
        <x:v>10</x:v>
      </x:c>
      <x:c r="F14" s="21" t="n">
        <x:v>98</x:v>
      </x:c>
      <x:c r="G14" s="21" t="str">
        <x:v>1</x:v>
      </x:c>
      <x:c r="H14" s="21" t="n">
        <x:v>98.5</x:v>
      </x:c>
      <x:c r="I14" s="53" t="str">
        <x:v>https://www.topuniversities.com/universities/university-manchester</x:v>
      </x:c>
      <x:c r="J14" s="53" t="str">
        <x:v>https://www.timeshighereducation.com/world-university-rankings/university-manchester</x:v>
      </x:c>
    </x:row>
    <x:row r="15" ht="28" customHeight="1">
      <x:c r="A15" s="58" t="n">
        <x:v>11</x:v>
      </x:c>
      <x:c r="B15" s="51" t="str">
        <x:v>ETH Zurich</x:v>
      </x:c>
      <x:c r="C15" s="51" t="str">
        <x:v>Switzerland</x:v>
      </x:c>
      <x:c r="D15" s="54" t="str">
        <x:v>QS Sustainability</x:v>
      </x:c>
      <x:c r="E15" s="51" t="n">
        <x:v>11</x:v>
      </x:c>
      <x:c r="F15" s="51" t="n">
        <x:v>97.9</x:v>
      </x:c>
      <x:c r="G15" s="51"/>
      <x:c r="H15" s="51"/>
      <x:c r="I15" s="54" t="str">
        <x:v>https://www.topuniversities.com/universities/eth-zurich</x:v>
      </x:c>
      <x:c r="J15" s="54"/>
    </x:row>
    <x:row r="16" ht="28" customHeight="1">
      <x:c r="A16" s="57" t="n">
        <x:v>12</x:v>
      </x:c>
      <x:c r="B16" s="21" t="str">
        <x:v>The University of Melbourne</x:v>
      </x:c>
      <x:c r="C16" s="21" t="str">
        <x:v>Australia</x:v>
      </x:c>
      <x:c r="D16" s="53" t="str">
        <x:v>QS Sustainability</x:v>
      </x:c>
      <x:c r="E16" s="21" t="n">
        <x:v>11</x:v>
      </x:c>
      <x:c r="F16" s="21" t="n">
        <x:v>97.9</x:v>
      </x:c>
      <x:c r="G16" s="21"/>
      <x:c r="H16" s="21"/>
      <x:c r="I16" s="53" t="str">
        <x:v>https://www.topuniversities.com/universities/university-melbourne</x:v>
      </x:c>
      <x:c r="J16" s="53"/>
    </x:row>
    <x:row r="17" ht="28" customHeight="1">
      <x:c r="A17" s="58" t="n">
        <x:v>13</x:v>
      </x:c>
      <x:c r="B17" s="51" t="str">
        <x:v>University of California, Berkeley (UCB)</x:v>
      </x:c>
      <x:c r="C17" s="51" t="str">
        <x:v>United States</x:v>
      </x:c>
      <x:c r="D17" s="54" t="str">
        <x:v>QS Sustainability</x:v>
      </x:c>
      <x:c r="E17" s="51" t="n">
        <x:v>11</x:v>
      </x:c>
      <x:c r="F17" s="51" t="n">
        <x:v>97.9</x:v>
      </x:c>
      <x:c r="G17" s="51"/>
      <x:c r="H17" s="51"/>
      <x:c r="I17" s="54" t="str">
        <x:v>https://www.topuniversities.com/universities/university-california-berkeley-ucb</x:v>
      </x:c>
      <x:c r="J17" s="54"/>
    </x:row>
    <x:row r="18" ht="28" customHeight="1">
      <x:c r="A18" s="57" t="n">
        <x:v>14</x:v>
      </x:c>
      <x:c r="B18" s="21" t="str">
        <x:v>Stanford University</x:v>
      </x:c>
      <x:c r="C18" s="21" t="str">
        <x:v>United States</x:v>
      </x:c>
      <x:c r="D18" s="53" t="str">
        <x:v>QS Sustainability</x:v>
      </x:c>
      <x:c r="E18" s="21" t="str">
        <x:v>13</x:v>
      </x:c>
      <x:c r="F18" s="21" t="n">
        <x:v>97.8</x:v>
      </x:c>
      <x:c r="G18" s="21"/>
      <x:c r="H18" s="21"/>
      <x:c r="I18" s="53" t="str">
        <x:v>https://www.topuniversities.com/universities/stanford-university</x:v>
      </x:c>
      <x:c r="J18" s="53"/>
    </x:row>
    <x:row r="19" ht="28" customHeight="1">
      <x:c r="A19" s="58" t="n">
        <x:v>15</x:v>
      </x:c>
      <x:c r="B19" s="51" t="str">
        <x:v>University of Oxford</x:v>
      </x:c>
      <x:c r="C19" s="51" t="str">
        <x:v>United Kingdom</x:v>
      </x:c>
      <x:c r="D19" s="54" t="str">
        <x:v>QS Sustainability</x:v>
      </x:c>
      <x:c r="E19" s="51" t="str">
        <x:v>14</x:v>
      </x:c>
      <x:c r="F19" s="51" t="n">
        <x:v>97.7</x:v>
      </x:c>
      <x:c r="G19" s="51"/>
      <x:c r="H19" s="51"/>
      <x:c r="I19" s="54" t="str">
        <x:v>https://www.topuniversities.com/universities/university-oxford</x:v>
      </x:c>
      <x:c r="J19" s="54"/>
    </x:row>
    <x:row r="20" ht="28" customHeight="1">
      <x:c r="A20" s="57" t="n">
        <x:v>16</x:v>
      </x:c>
      <x:c r="B20" s="21" t="str">
        <x:v>The University of Sydney</x:v>
      </x:c>
      <x:c r="C20" s="21" t="str">
        <x:v>Australia</x:v>
      </x:c>
      <x:c r="D20" s="53" t="str">
        <x:v>QS Sustainability</x:v>
      </x:c>
      <x:c r="E20" s="21" t="str">
        <x:v>15</x:v>
      </x:c>
      <x:c r="F20" s="21" t="n">
        <x:v>97.3</x:v>
      </x:c>
      <x:c r="G20" s="21"/>
      <x:c r="H20" s="21"/>
      <x:c r="I20" s="53" t="str">
        <x:v>https://www.topuniversities.com/universities/university-sydney</x:v>
      </x:c>
      <x:c r="J20" s="53"/>
    </x:row>
    <x:row r="21" ht="28" customHeight="1">
      <x:c r="A21" s="58" t="n">
        <x:v>17</x:v>
      </x:c>
      <x:c r="B21" s="51" t="str">
        <x:v>Australian National University (ANU)</x:v>
      </x:c>
      <x:c r="C21" s="51" t="str">
        <x:v>Australia</x:v>
      </x:c>
      <x:c r="D21" s="54" t="str">
        <x:v>QS Sustainability</x:v>
      </x:c>
      <x:c r="E21" s="51" t="n">
        <x:v>16</x:v>
      </x:c>
      <x:c r="F21" s="51" t="n">
        <x:v>97.2</x:v>
      </x:c>
      <x:c r="G21" s="51"/>
      <x:c r="H21" s="51"/>
      <x:c r="I21" s="54" t="str">
        <x:v>https://www.topuniversities.com/universities/australian-national-university-anu</x:v>
      </x:c>
      <x:c r="J21" s="54"/>
    </x:row>
    <x:row r="22" ht="28" customHeight="1">
      <x:c r="A22" s="57" t="n">
        <x:v>18</x:v>
      </x:c>
      <x:c r="B22" s="21" t="str">
        <x:v>King's College London</x:v>
      </x:c>
      <x:c r="C22" s="21" t="str">
        <x:v>United Kingdom</x:v>
      </x:c>
      <x:c r="D22" s="53" t="str">
        <x:v>QS Sustainability</x:v>
      </x:c>
      <x:c r="E22" s="21" t="n">
        <x:v>16</x:v>
      </x:c>
      <x:c r="F22" s="21" t="n">
        <x:v>97.2</x:v>
      </x:c>
      <x:c r="G22" s="21"/>
      <x:c r="H22" s="21"/>
      <x:c r="I22" s="53" t="str">
        <x:v>https://www.topuniversities.com/universities/kings-college-london</x:v>
      </x:c>
      <x:c r="J22" s="53"/>
    </x:row>
    <x:row r="23" ht="28" customHeight="1">
      <x:c r="A23" s="58" t="n">
        <x:v>19</x:v>
      </x:c>
      <x:c r="B23" s="51" t="str">
        <x:v>University of Bristol</x:v>
      </x:c>
      <x:c r="C23" s="51" t="str">
        <x:v>United Kingdom</x:v>
      </x:c>
      <x:c r="D23" s="54" t="str">
        <x:v>QS Sustainability</x:v>
      </x:c>
      <x:c r="E23" s="51" t="str">
        <x:v>19</x:v>
      </x:c>
      <x:c r="F23" s="51" t="n">
        <x:v>96.9</x:v>
      </x:c>
      <x:c r="G23" s="51"/>
      <x:c r="H23" s="51"/>
      <x:c r="I23" s="54" t="str">
        <x:v>https://www.topuniversities.com/universities/university-bristol</x:v>
      </x:c>
      <x:c r="J23" s="54"/>
    </x:row>
    <x:row r="24" ht="28" customHeight="1">
      <x:c r="A24" s="57" t="n">
        <x:v>20</x:v>
      </x:c>
      <x:c r="B24" s="21" t="str">
        <x:v>New York University (NYU)</x:v>
      </x:c>
      <x:c r="C24" s="21" t="str">
        <x:v>United States</x:v>
      </x:c>
      <x:c r="D24" s="53" t="str">
        <x:v>QS Sustainability</x:v>
      </x:c>
      <x:c r="E24" s="21" t="str">
        <x:v>20</x:v>
      </x:c>
      <x:c r="F24" s="21" t="n">
        <x:v>96.3</x:v>
      </x:c>
      <x:c r="G24" s="21"/>
      <x:c r="H24" s="21"/>
      <x:c r="I24" s="53" t="str">
        <x:v>https://www.topuniversities.com/universities/new-york-university-nyu</x:v>
      </x:c>
      <x:c r="J24" s="53"/>
    </x:row>
    <x:row r="25" ht="28" customHeight="1">
      <x:c r="A25" s="58" t="n">
        <x:v>21</x:v>
      </x:c>
      <x:c r="B25" s="51" t="str">
        <x:v>Pennsylvania State University</x:v>
      </x:c>
      <x:c r="C25" s="51" t="str">
        <x:v>United States</x:v>
      </x:c>
      <x:c r="D25" s="54" t="str">
        <x:v>QS Sustainability</x:v>
      </x:c>
      <x:c r="E25" s="51" t="str">
        <x:v>21</x:v>
      </x:c>
      <x:c r="F25" s="51" t="n">
        <x:v>96.1</x:v>
      </x:c>
      <x:c r="G25" s="51"/>
      <x:c r="H25" s="51"/>
      <x:c r="I25" s="54" t="str">
        <x:v>https://www.topuniversities.com/universities/pennsylvania-state-university</x:v>
      </x:c>
      <x:c r="J25" s="54"/>
    </x:row>
    <x:row r="26" ht="28" customHeight="1">
      <x:c r="A26" s="57" t="n">
        <x:v>22</x:v>
      </x:c>
      <x:c r="B26" s="21" t="str">
        <x:v>KU Leuven</x:v>
      </x:c>
      <x:c r="C26" s="21" t="str">
        <x:v>Belgium</x:v>
      </x:c>
      <x:c r="D26" s="53" t="str">
        <x:v>QS Sustainability</x:v>
      </x:c>
      <x:c r="E26" s="21" t="n">
        <x:v>22</x:v>
      </x:c>
      <x:c r="F26" s="21" t="n">
        <x:v>95.9</x:v>
      </x:c>
      <x:c r="G26" s="21"/>
      <x:c r="H26" s="21"/>
      <x:c r="I26" s="53" t="str">
        <x:v>https://www.topuniversities.com/universities/ku-leuven</x:v>
      </x:c>
      <x:c r="J26" s="53"/>
    </x:row>
    <x:row r="27" ht="28" customHeight="1">
      <x:c r="A27" s="58" t="n">
        <x:v>23</x:v>
      </x:c>
      <x:c r="B27" s="51" t="str">
        <x:v>University of Helsinki</x:v>
      </x:c>
      <x:c r="C27" s="51" t="str">
        <x:v>Finland</x:v>
      </x:c>
      <x:c r="D27" s="54" t="str">
        <x:v>QS Sustainability</x:v>
      </x:c>
      <x:c r="E27" s="51" t="n">
        <x:v>22</x:v>
      </x:c>
      <x:c r="F27" s="51" t="n">
        <x:v>95.9</x:v>
      </x:c>
      <x:c r="G27" s="51"/>
      <x:c r="H27" s="51"/>
      <x:c r="I27" s="54" t="str">
        <x:v>https://www.topuniversities.com/universities/university-helsinki</x:v>
      </x:c>
      <x:c r="J27" s="54"/>
    </x:row>
    <x:row r="28" ht="28" customHeight="1">
      <x:c r="A28" s="57" t="n">
        <x:v>24</x:v>
      </x:c>
      <x:c r="B28" s="21" t="str">
        <x:v>Durham University</x:v>
      </x:c>
      <x:c r="C28" s="21" t="str">
        <x:v>United Kingdom</x:v>
      </x:c>
      <x:c r="D28" s="53" t="str">
        <x:v>QS Sustainability</x:v>
      </x:c>
      <x:c r="E28" s="21" t="n">
        <x:v>24</x:v>
      </x:c>
      <x:c r="F28" s="21" t="n">
        <x:v>95.8</x:v>
      </x:c>
      <x:c r="G28" s="21"/>
      <x:c r="H28" s="21"/>
      <x:c r="I28" s="53" t="str">
        <x:v>https://www.topuniversities.com/universities/durham-university</x:v>
      </x:c>
      <x:c r="J28" s="53"/>
    </x:row>
    <x:row r="29" ht="28" customHeight="1">
      <x:c r="A29" s="58" t="n">
        <x:v>25</x:v>
      </x:c>
      <x:c r="B29" s="51" t="str">
        <x:v>University of Leeds</x:v>
      </x:c>
      <x:c r="C29" s="51" t="str">
        <x:v>United Kingdom</x:v>
      </x:c>
      <x:c r="D29" s="54" t="str">
        <x:v>QS Sustainability</x:v>
      </x:c>
      <x:c r="E29" s="51" t="n">
        <x:v>24</x:v>
      </x:c>
      <x:c r="F29" s="51" t="n">
        <x:v>95.8</x:v>
      </x:c>
      <x:c r="G29" s="51"/>
      <x:c r="H29" s="51"/>
      <x:c r="I29" s="54" t="str">
        <x:v>https://www.topuniversities.com/universities/university-leeds</x:v>
      </x:c>
      <x:c r="J29" s="54"/>
    </x:row>
    <x:row r="30" ht="28" customHeight="1">
      <x:c r="A30" s="57" t="n">
        <x:v>26</x:v>
      </x:c>
      <x:c r="B30" s="21" t="str">
        <x:v>Western University</x:v>
      </x:c>
      <x:c r="C30" s="21" t="str">
        <x:v>Canada</x:v>
      </x:c>
      <x:c r="D30" s="62" t="str">
        <x:v>Both</x:v>
      </x:c>
      <x:c r="E30" s="21" t="n">
        <x:v>24</x:v>
      </x:c>
      <x:c r="F30" s="21" t="n">
        <x:v>95.8</x:v>
      </x:c>
      <x:c r="G30" s="21" t="n">
        <x:v>12</x:v>
      </x:c>
      <x:c r="H30" s="21" t="n">
        <x:v>95.9</x:v>
      </x:c>
      <x:c r="I30" s="53" t="str">
        <x:v>https://www.topuniversities.com/universities/western-university</x:v>
      </x:c>
      <x:c r="J30" s="53" t="str">
        <x:v>https://www.timeshighereducation.com/world-university-rankings/western-university</x:v>
      </x:c>
    </x:row>
    <x:row r="31" ht="28" customHeight="1">
      <x:c r="A31" s="58" t="n">
        <x:v>27</x:v>
      </x:c>
      <x:c r="B31" s="51" t="str">
        <x:v>University of Glasgow</x:v>
      </x:c>
      <x:c r="C31" s="51" t="str">
        <x:v>United Kingdom</x:v>
      </x:c>
      <x:c r="D31" s="62" t="str">
        <x:v>Both</x:v>
      </x:c>
      <x:c r="E31" s="51" t="str">
        <x:v>27</x:v>
      </x:c>
      <x:c r="F31" s="51" t="n">
        <x:v>95.7</x:v>
      </x:c>
      <x:c r="G31" s="51" t="str">
        <x:v>14</x:v>
      </x:c>
      <x:c r="H31" s="51" t="n">
        <x:v>95.8</x:v>
      </x:c>
      <x:c r="I31" s="54" t="str">
        <x:v>https://www.topuniversities.com/universities/university-glasgow</x:v>
      </x:c>
      <x:c r="J31" s="54" t="str">
        <x:v>https://www.timeshighereducation.com/world-university-rankings/university-glasgow</x:v>
      </x:c>
    </x:row>
    <x:row r="32" ht="28" customHeight="1">
      <x:c r="A32" s="57" t="n">
        <x:v>28</x:v>
      </x:c>
      <x:c r="B32" s="21" t="str">
        <x:v>The University of Auckland</x:v>
      </x:c>
      <x:c r="C32" s="21" t="str">
        <x:v>New Zealand</x:v>
      </x:c>
      <x:c r="D32" s="53" t="str">
        <x:v>QS Sustainability</x:v>
      </x:c>
      <x:c r="E32" s="21" t="str">
        <x:v>28</x:v>
      </x:c>
      <x:c r="F32" s="21" t="n">
        <x:v>95.5</x:v>
      </x:c>
      <x:c r="G32" s="21"/>
      <x:c r="H32" s="21"/>
      <x:c r="I32" s="53" t="str">
        <x:v>https://www.topuniversities.com/universities/university-auckland</x:v>
      </x:c>
      <x:c r="J32" s="53"/>
    </x:row>
    <x:row r="33" ht="28" customHeight="1">
      <x:c r="A33" s="58" t="n">
        <x:v>29</x:v>
      </x:c>
      <x:c r="B33" s="51" t="str">
        <x:v>Trinity College Dublin, The University of Dublin</x:v>
      </x:c>
      <x:c r="C33" s="51" t="str">
        <x:v>Ireland</x:v>
      </x:c>
      <x:c r="D33" s="54" t="str">
        <x:v>QS Sustainability</x:v>
      </x:c>
      <x:c r="E33" s="51" t="str">
        <x:v>29</x:v>
      </x:c>
      <x:c r="F33" s="51" t="n">
        <x:v>95.4</x:v>
      </x:c>
      <x:c r="G33" s="51"/>
      <x:c r="H33" s="51"/>
      <x:c r="I33" s="54" t="str">
        <x:v>https://www.topuniversities.com/universities/trinity-college-dublin-university-dublin</x:v>
      </x:c>
      <x:c r="J33" s="54"/>
    </x:row>
    <x:row r="34" ht="28" customHeight="1">
      <x:c r="A34" s="57" t="n">
        <x:v>30</x:v>
      </x:c>
      <x:c r="B34" s="21" t="str">
        <x:v>University of Pennsylvania</x:v>
      </x:c>
      <x:c r="C34" s="21" t="str">
        <x:v>United States</x:v>
      </x:c>
      <x:c r="D34" s="53" t="str">
        <x:v>QS Sustainability</x:v>
      </x:c>
      <x:c r="E34" s="21" t="n">
        <x:v>30</x:v>
      </x:c>
      <x:c r="F34" s="21" t="n">
        <x:v>95.3</x:v>
      </x:c>
      <x:c r="G34" s="21"/>
      <x:c r="H34" s="21"/>
      <x:c r="I34" s="53" t="str">
        <x:v>https://www.topuniversities.com/universities/university-pennsylvania</x:v>
      </x:c>
      <x:c r="J34" s="53"/>
    </x:row>
    <x:row r="35" ht="28" customHeight="1">
      <x:c r="A35" s="58" t="n">
        <x:v>49</x:v>
      </x:c>
      <x:c r="B35" s="51" t="str">
        <x:v>University of Exeter</x:v>
      </x:c>
      <x:c r="C35" s="51" t="str">
        <x:v>United Kingdom</x:v>
      </x:c>
      <x:c r="D35" s="62" t="str">
        <x:v>Both</x:v>
      </x:c>
      <x:c r="E35" s="51" t="n">
        <x:v>48</x:v>
      </x:c>
      <x:c r="F35" s="51" t="n">
        <x:v>93.5</x:v>
      </x:c>
      <x:c r="G35" s="51" t="n">
        <x:v>20</x:v>
      </x:c>
      <x:c r="H35" s="51" t="n">
        <x:v>95.3</x:v>
      </x:c>
      <x:c r="I35" s="54" t="str">
        <x:v>https://www.topuniversities.com/universities/university-exeter</x:v>
      </x:c>
      <x:c r="J35" s="54" t="str">
        <x:v>https://www.timeshighereducation.com/world-university-rankings/university-exeter</x:v>
      </x:c>
    </x:row>
    <x:row r="36" ht="28" customHeight="1">
      <x:c r="A36" s="57" t="n">
        <x:v>52</x:v>
      </x:c>
      <x:c r="B36" s="21" t="str">
        <x:v>Griffith University</x:v>
      </x:c>
      <x:c r="C36" s="21" t="str">
        <x:v>Australia</x:v>
      </x:c>
      <x:c r="D36" s="53" t="str">
        <x:v>THE Impact</x:v>
      </x:c>
      <x:c r="E36" s="21"/>
      <x:c r="F36" s="21"/>
      <x:c r="G36" s="21" t="str">
        <x:v>2</x:v>
      </x:c>
      <x:c r="H36" s="21" t="n">
        <x:v>97.9</x:v>
      </x:c>
      <x:c r="I36" s="53"/>
      <x:c r="J36" s="53" t="str">
        <x:v>https://www.timeshighereducation.com/world-university-rankings/griffith-university</x:v>
      </x:c>
    </x:row>
    <x:row r="37" ht="28" customHeight="1">
      <x:c r="A37" s="58" t="n">
        <x:v>53</x:v>
      </x:c>
      <x:c r="B37" s="51" t="str">
        <x:v>Western Sydney University</x:v>
      </x:c>
      <x:c r="C37" s="51" t="str">
        <x:v>Australia</x:v>
      </x:c>
      <x:c r="D37" s="54" t="str">
        <x:v>THE Impact</x:v>
      </x:c>
      <x:c r="E37" s="51"/>
      <x:c r="F37" s="51"/>
      <x:c r="G37" s="51" t="str">
        <x:v>3</x:v>
      </x:c>
      <x:c r="H37" s="51" t="n">
        <x:v>97.8</x:v>
      </x:c>
      <x:c r="I37" s="54"/>
      <x:c r="J37" s="54" t="str">
        <x:v>https://www.timeshighereducation.com/world-university-rankings/western-sydney-university</x:v>
      </x:c>
    </x:row>
    <x:row r="38" ht="28" customHeight="1">
      <x:c r="A38" s="57" t="n">
        <x:v>54</x:v>
      </x:c>
      <x:c r="B38" s="21" t="str">
        <x:v>Queen's University</x:v>
      </x:c>
      <x:c r="C38" s="21" t="str">
        <x:v>Canada</x:v>
      </x:c>
      <x:c r="D38" s="53" t="str">
        <x:v>THE Impact</x:v>
      </x:c>
      <x:c r="E38" s="21"/>
      <x:c r="F38" s="21"/>
      <x:c r="G38" s="21" t="str">
        <x:v>4</x:v>
      </x:c>
      <x:c r="H38" s="21" t="n">
        <x:v>97.5</x:v>
      </x:c>
      <x:c r="I38" s="53"/>
      <x:c r="J38" s="53" t="str">
        <x:v>https://www.timeshighereducation.com/world-university-rankings/queens-university</x:v>
      </x:c>
    </x:row>
    <x:row r="39" ht="28" customHeight="1">
      <x:c r="A39" s="58" t="n">
        <x:v>55</x:v>
      </x:c>
      <x:c r="B39" s="51" t="str">
        <x:v>Universiti Sains Malaysia</x:v>
      </x:c>
      <x:c r="C39" s="51" t="str">
        <x:v>Malaysia</x:v>
      </x:c>
      <x:c r="D39" s="54" t="str">
        <x:v>THE Impact</x:v>
      </x:c>
      <x:c r="E39" s="51"/>
      <x:c r="F39" s="51"/>
      <x:c r="G39" s="51" t="str">
        <x:v>5</x:v>
      </x:c>
      <x:c r="H39" s="51" t="n">
        <x:v>97.3</x:v>
      </x:c>
      <x:c r="I39" s="54"/>
      <x:c r="J39" s="54" t="str">
        <x:v>https://www.timeshighereducation.com/world-university-rankings/universiti-sains-malaysia</x:v>
      </x:c>
    </x:row>
    <x:row r="40" ht="28" customHeight="1">
      <x:c r="A40" s="57" t="n">
        <x:v>56</x:v>
      </x:c>
      <x:c r="B40" s="21" t="str">
        <x:v>Hanyang University</x:v>
      </x:c>
      <x:c r="C40" s="21" t="str">
        <x:v>South Korea</x:v>
      </x:c>
      <x:c r="D40" s="53" t="str">
        <x:v>THE Impact</x:v>
      </x:c>
      <x:c r="E40" s="21"/>
      <x:c r="F40" s="21"/>
      <x:c r="G40" s="21" t="str">
        <x:v>6</x:v>
      </x:c>
      <x:c r="H40" s="21" t="n">
        <x:v>96.8</x:v>
      </x:c>
      <x:c r="I40" s="53"/>
      <x:c r="J40" s="53" t="str">
        <x:v>https://www.timeshighereducation.com/world-university-rankings/hanyang-university</x:v>
      </x:c>
    </x:row>
    <x:row r="41" ht="28" customHeight="1">
      <x:c r="A41" s="58" t="n">
        <x:v>57</x:v>
      </x:c>
      <x:c r="B41" s="51" t="str">
        <x:v>Hokkaido University</x:v>
      </x:c>
      <x:c r="C41" s="51" t="str">
        <x:v>Japan</x:v>
      </x:c>
      <x:c r="D41" s="54" t="str">
        <x:v>THE Impact</x:v>
      </x:c>
      <x:c r="E41" s="51"/>
      <x:c r="F41" s="51"/>
      <x:c r="G41" s="51" t="n">
        <x:v>7</x:v>
      </x:c>
      <x:c r="H41" s="51" t="n">
        <x:v>96.3</x:v>
      </x:c>
      <x:c r="I41" s="54"/>
      <x:c r="J41" s="54" t="str">
        <x:v>https://www.timeshighereducation.com/world-university-rankings/hokkaido-university</x:v>
      </x:c>
    </x:row>
    <x:row r="42" ht="28" customHeight="1">
      <x:c r="A42" s="57" t="n">
        <x:v>58</x:v>
      </x:c>
      <x:c r="B42" s="21" t="str">
        <x:v>Universiti Kebangsaan Malaysia</x:v>
      </x:c>
      <x:c r="C42" s="21" t="str">
        <x:v>Malaysia</x:v>
      </x:c>
      <x:c r="D42" s="53" t="str">
        <x:v>THE Impact</x:v>
      </x:c>
      <x:c r="E42" s="21"/>
      <x:c r="F42" s="21"/>
      <x:c r="G42" s="21" t="n">
        <x:v>7</x:v>
      </x:c>
      <x:c r="H42" s="21" t="n">
        <x:v>96.3</x:v>
      </x:c>
      <x:c r="I42" s="53"/>
      <x:c r="J42" s="53" t="str">
        <x:v>https://www.timeshighereducation.com/world-university-rankings/universiti-kebangsaan-malaysia</x:v>
      </x:c>
    </x:row>
    <x:row r="43" ht="28" customHeight="1">
      <x:c r="A43" s="58" t="n">
        <x:v>59</x:v>
      </x:c>
      <x:c r="B43" s="51" t="str">
        <x:v>Institut Agro</x:v>
      </x:c>
      <x:c r="C43" s="51" t="str">
        <x:v>France</x:v>
      </x:c>
      <x:c r="D43" s="54" t="str">
        <x:v>THE Impact</x:v>
      </x:c>
      <x:c r="E43" s="51"/>
      <x:c r="F43" s="51"/>
      <x:c r="G43" s="51" t="str">
        <x:v>9</x:v>
      </x:c>
      <x:c r="H43" s="51" t="n">
        <x:v>96.1</x:v>
      </x:c>
      <x:c r="I43" s="54"/>
      <x:c r="J43" s="54" t="str">
        <x:v>https://www.timeshighereducation.com/world-university-rankings/institut-agro</x:v>
      </x:c>
    </x:row>
    <x:row r="44" ht="28" customHeight="1">
      <x:c r="A44" s="57" t="n">
        <x:v>60</x:v>
      </x:c>
      <x:c r="B44" s="21" t="str">
        <x:v>National Taiwan University (NTU)</x:v>
      </x:c>
      <x:c r="C44" s="21" t="str">
        <x:v>Taiwan</x:v>
      </x:c>
      <x:c r="D44" s="53" t="str">
        <x:v>THE Impact</x:v>
      </x:c>
      <x:c r="E44" s="21"/>
      <x:c r="F44" s="21"/>
      <x:c r="G44" s="21" t="n">
        <x:v>10</x:v>
      </x:c>
      <x:c r="H44" s="21" t="n">
        <x:v>96</x:v>
      </x:c>
      <x:c r="I44" s="53"/>
      <x:c r="J44" s="53" t="str">
        <x:v>https://www.timeshighereducation.com/world-university-rankings/national-taiwan-university-ntu</x:v>
      </x:c>
    </x:row>
    <x:row r="45" ht="28" customHeight="1">
      <x:c r="A45" s="58" t="n">
        <x:v>61</x:v>
      </x:c>
      <x:c r="B45" s="51" t="str">
        <x:v>University of Alberta</x:v>
      </x:c>
      <x:c r="C45" s="51" t="str">
        <x:v>Canada</x:v>
      </x:c>
      <x:c r="D45" s="54" t="str">
        <x:v>THE Impact</x:v>
      </x:c>
      <x:c r="E45" s="51"/>
      <x:c r="F45" s="51"/>
      <x:c r="G45" s="51" t="n">
        <x:v>10</x:v>
      </x:c>
      <x:c r="H45" s="51" t="n">
        <x:v>96</x:v>
      </x:c>
      <x:c r="I45" s="54"/>
      <x:c r="J45" s="54" t="str">
        <x:v>https://www.timeshighereducation.com/world-university-rankings/university-alberta</x:v>
      </x:c>
    </x:row>
    <x:row r="46" ht="28" customHeight="1">
      <x:c r="A46" s="57" t="n">
        <x:v>62</x:v>
      </x:c>
      <x:c r="B46" s="21" t="str">
        <x:v>Korea University</x:v>
      </x:c>
      <x:c r="C46" s="21" t="str">
        <x:v>South Korea</x:v>
      </x:c>
      <x:c r="D46" s="53" t="str">
        <x:v>THE Impact</x:v>
      </x:c>
      <x:c r="E46" s="21"/>
      <x:c r="F46" s="21"/>
      <x:c r="G46" s="21" t="n">
        <x:v>12</x:v>
      </x:c>
      <x:c r="H46" s="21" t="n">
        <x:v>95.9</x:v>
      </x:c>
      <x:c r="I46" s="53"/>
      <x:c r="J46" s="53" t="str">
        <x:v>https://www.timeshighereducation.com/world-university-rankings/korea-university</x:v>
      </x:c>
    </x:row>
    <x:row r="47" ht="28" customHeight="1">
      <x:c r="A47" s="58" t="n">
        <x:v>63</x:v>
      </x:c>
      <x:c r="B47" s="51" t="str">
        <x:v>Universitas Airlangga</x:v>
      </x:c>
      <x:c r="C47" s="51" t="str">
        <x:v>Indonesia</x:v>
      </x:c>
      <x:c r="D47" s="54" t="str">
        <x:v>THE Impact</x:v>
      </x:c>
      <x:c r="E47" s="51"/>
      <x:c r="F47" s="51"/>
      <x:c r="G47" s="51" t="str">
        <x:v>15</x:v>
      </x:c>
      <x:c r="H47" s="51" t="n">
        <x:v>95.7</x:v>
      </x:c>
      <x:c r="I47" s="54"/>
      <x:c r="J47" s="54" t="str">
        <x:v>https://www.timeshighereducation.com/world-university-rankings/universitas-airlangga</x:v>
      </x:c>
    </x:row>
    <x:row r="48" ht="28" customHeight="1">
      <x:c r="A48" s="57" t="n">
        <x:v>64</x:v>
      </x:c>
      <x:c r="B48" s="21" t="str">
        <x:v>Pusan National University</x:v>
      </x:c>
      <x:c r="C48" s="21" t="str">
        <x:v>South Korea</x:v>
      </x:c>
      <x:c r="D48" s="53" t="str">
        <x:v>THE Impact</x:v>
      </x:c>
      <x:c r="E48" s="21"/>
      <x:c r="F48" s="21"/>
      <x:c r="G48" s="21" t="n">
        <x:v>16</x:v>
      </x:c>
      <x:c r="H48" s="21" t="n">
        <x:v>95.6</x:v>
      </x:c>
      <x:c r="I48" s="53"/>
      <x:c r="J48" s="53" t="str">
        <x:v>https://www.timeshighereducation.com/world-university-rankings/pusan-national-university</x:v>
      </x:c>
    </x:row>
    <x:row r="49" ht="28" customHeight="1">
      <x:c r="A49" s="58" t="n">
        <x:v>65</x:v>
      </x:c>
      <x:c r="B49" s="51" t="str">
        <x:v>University of Tasmania</x:v>
      </x:c>
      <x:c r="C49" s="51" t="str">
        <x:v>Australia</x:v>
      </x:c>
      <x:c r="D49" s="54" t="str">
        <x:v>THE Impact</x:v>
      </x:c>
      <x:c r="E49" s="51"/>
      <x:c r="F49" s="51"/>
      <x:c r="G49" s="51" t="n">
        <x:v>16</x:v>
      </x:c>
      <x:c r="H49" s="51" t="n">
        <x:v>95.6</x:v>
      </x:c>
      <x:c r="I49" s="54"/>
      <x:c r="J49" s="54" t="str">
        <x:v>https://www.timeshighereducation.com/world-university-rankings/university-tasmania</x:v>
      </x:c>
    </x:row>
    <x:row r="50" ht="28" customHeight="1">
      <x:c r="A50" s="57" t="n">
        <x:v>66</x:v>
      </x:c>
      <x:c r="B50" s="21" t="str">
        <x:v>McMaster University</x:v>
      </x:c>
      <x:c r="C50" s="21" t="str">
        <x:v>Canada</x:v>
      </x:c>
      <x:c r="D50" s="53" t="str">
        <x:v>THE Impact</x:v>
      </x:c>
      <x:c r="E50" s="21"/>
      <x:c r="F50" s="21"/>
      <x:c r="G50" s="21" t="str">
        <x:v>18</x:v>
      </x:c>
      <x:c r="H50" s="21" t="n">
        <x:v>95.5</x:v>
      </x:c>
      <x:c r="I50" s="53"/>
      <x:c r="J50" s="53" t="str">
        <x:v>https://www.timeshighereducation.com/world-university-rankings/mcmaster-university</x:v>
      </x:c>
    </x:row>
    <x:row r="51" ht="28" customHeight="1">
      <x:c r="A51" s="58" t="n">
        <x:v>67</x:v>
      </x:c>
      <x:c r="B51" s="51" t="str">
        <x:v>Chulalongkorn University</x:v>
      </x:c>
      <x:c r="C51" s="51" t="str">
        <x:v>Thailand</x:v>
      </x:c>
      <x:c r="D51" s="54" t="str">
        <x:v>THE Impact</x:v>
      </x:c>
      <x:c r="E51" s="51"/>
      <x:c r="F51" s="51"/>
      <x:c r="G51" s="51" t="str">
        <x:v>19</x:v>
      </x:c>
      <x:c r="H51" s="51" t="n">
        <x:v>95.4</x:v>
      </x:c>
      <x:c r="I51" s="54"/>
      <x:c r="J51" s="54" t="str">
        <x:v>https://www.timeshighereducation.com/world-university-rankings/chulalongkorn-university</x:v>
      </x:c>
    </x:row>
    <x:row r="52" ht="28" customHeight="1">
      <x:c r="A52" s="57" t="n">
        <x:v>68</x:v>
      </x:c>
      <x:c r="B52" s="21" t="str">
        <x:v>Kyungpook National University (KNU)</x:v>
      </x:c>
      <x:c r="C52" s="21" t="str">
        <x:v>South Korea</x:v>
      </x:c>
      <x:c r="D52" s="53" t="str">
        <x:v>THE Impact</x:v>
      </x:c>
      <x:c r="E52" s="21"/>
      <x:c r="F52" s="21"/>
      <x:c r="G52" s="21" t="n">
        <x:v>20</x:v>
      </x:c>
      <x:c r="H52" s="21" t="n">
        <x:v>95.3</x:v>
      </x:c>
      <x:c r="I52" s="53"/>
      <x:c r="J52" s="53" t="str">
        <x:v>https://www.timeshighereducation.com/world-university-rankings/kyungpook-national-university-knu</x:v>
      </x:c>
    </x:row>
    <x:row r="53" ht="28" customHeight="1">
      <x:c r="A53" s="58" t="n">
        <x:v>69</x:v>
      </x:c>
      <x:c r="B53" s="51" t="str">
        <x:v>The Hong Kong University of Science and Technology</x:v>
      </x:c>
      <x:c r="C53" s="51" t="str">
        <x:v>Hong Kong</x:v>
      </x:c>
      <x:c r="D53" s="54" t="str">
        <x:v>THE Impact</x:v>
      </x:c>
      <x:c r="E53" s="51"/>
      <x:c r="F53" s="51"/>
      <x:c r="G53" s="51" t="n">
        <x:v>20</x:v>
      </x:c>
      <x:c r="H53" s="51" t="n">
        <x:v>95.3</x:v>
      </x:c>
      <x:c r="I53" s="54"/>
      <x:c r="J53" s="54" t="str">
        <x:v>https://www.timeshighereducation.com/world-university-rankings/hong-kong-university-science-and-technology</x:v>
      </x:c>
    </x:row>
    <x:row r="54" ht="28" customHeight="1">
      <x:c r="A54" s="57" t="n">
        <x:v>70</x:v>
      </x:c>
      <x:c r="B54" s="21" t="str">
        <x:v>Lovely Professional University</x:v>
      </x:c>
      <x:c r="C54" s="21" t="str">
        <x:v>India</x:v>
      </x:c>
      <x:c r="D54" s="53" t="str">
        <x:v>THE Impact</x:v>
      </x:c>
      <x:c r="E54" s="21"/>
      <x:c r="F54" s="21"/>
      <x:c r="G54" s="21" t="str">
        <x:v>23</x:v>
      </x:c>
      <x:c r="H54" s="21" t="n">
        <x:v>95.2</x:v>
      </x:c>
      <x:c r="I54" s="53"/>
      <x:c r="J54" s="53" t="str">
        <x:v>https://www.timeshighereducation.com/world-university-rankings/lovely-professional-university</x:v>
      </x:c>
    </x:row>
    <x:row r="55" ht="28" customHeight="1">
      <x:c r="A55" s="58" t="n">
        <x:v>71</x:v>
      </x:c>
      <x:c r="B55" s="51" t="str">
        <x:v>University of Malaya</x:v>
      </x:c>
      <x:c r="C55" s="51" t="str">
        <x:v>Malaysia</x:v>
      </x:c>
      <x:c r="D55" s="54" t="str">
        <x:v>THE Impact</x:v>
      </x:c>
      <x:c r="E55" s="51"/>
      <x:c r="F55" s="51"/>
      <x:c r="G55" s="51" t="str">
        <x:v>24</x:v>
      </x:c>
      <x:c r="H55" s="51" t="n">
        <x:v>95</x:v>
      </x:c>
      <x:c r="I55" s="54"/>
      <x:c r="J55" s="54" t="str">
        <x:v>https://www.timeshighereducation.com/world-university-rankings/university-malaya</x:v>
      </x:c>
    </x:row>
    <x:row r="56" ht="28" customHeight="1">
      <x:c r="A56" s="57" t="n">
        <x:v>72</x:v>
      </x:c>
      <x:c r="B56" s="21" t="str">
        <x:v>Aalborg University</x:v>
      </x:c>
      <x:c r="C56" s="21" t="str">
        <x:v>Denmark</x:v>
      </x:c>
      <x:c r="D56" s="53" t="str">
        <x:v>THE Impact</x:v>
      </x:c>
      <x:c r="E56" s="21"/>
      <x:c r="F56" s="21"/>
      <x:c r="G56" s="21" t="str">
        <x:v>25</x:v>
      </x:c>
      <x:c r="H56" s="21" t="n">
        <x:v>94.9</x:v>
      </x:c>
      <x:c r="I56" s="53"/>
      <x:c r="J56" s="53" t="str">
        <x:v>https://www.timeshighereducation.com/world-university-rankings/aalborg-university</x:v>
      </x:c>
    </x:row>
    <x:row r="57" ht="28" customHeight="1">
      <x:c r="A57" s="58" t="n">
        <x:v>73</x:v>
      </x:c>
      <x:c r="B57" s="51" t="str">
        <x:v>Kyung Hee University</x:v>
      </x:c>
      <x:c r="C57" s="51" t="str">
        <x:v>South Korea</x:v>
      </x:c>
      <x:c r="D57" s="54" t="str">
        <x:v>THE Impact</x:v>
      </x:c>
      <x:c r="E57" s="51"/>
      <x:c r="F57" s="51"/>
      <x:c r="G57" s="51" t="str">
        <x:v>26</x:v>
      </x:c>
      <x:c r="H57" s="51" t="n">
        <x:v>94.7</x:v>
      </x:c>
      <x:c r="I57" s="54"/>
      <x:c r="J57" s="54" t="str">
        <x:v>https://www.timeshighereducation.com/world-university-rankings/kyung-hee-university</x:v>
      </x:c>
    </x:row>
    <x:row r="58" ht="28" customHeight="1">
      <x:c r="A58" s="57" t="n">
        <x:v>74</x:v>
      </x:c>
      <x:c r="B58" s="21" t="str">
        <x:v>University of Victoria</x:v>
      </x:c>
      <x:c r="C58" s="21" t="str">
        <x:v>Canada</x:v>
      </x:c>
      <x:c r="D58" s="53" t="str">
        <x:v>THE Impact</x:v>
      </x:c>
      <x:c r="E58" s="21"/>
      <x:c r="F58" s="21"/>
      <x:c r="G58" s="21" t="str">
        <x:v>27</x:v>
      </x:c>
      <x:c r="H58" s="21" t="n">
        <x:v>94.6</x:v>
      </x:c>
      <x:c r="I58" s="53"/>
      <x:c r="J58" s="53" t="str">
        <x:v>https://www.timeshighereducation.com/world-university-rankings/university-victoria</x:v>
      </x:c>
    </x:row>
    <x:row r="59" ht="28" customHeight="1">
      <x:c r="A59" s="58" t="n">
        <x:v>76</x:v>
      </x:c>
      <x:c r="B59" s="51" t="str">
        <x:v>Central Queensland University</x:v>
      </x:c>
      <x:c r="C59" s="51" t="str">
        <x:v>Australia</x:v>
      </x:c>
      <x:c r="D59" s="54" t="str">
        <x:v>THE Impact</x:v>
      </x:c>
      <x:c r="E59" s="51"/>
      <x:c r="F59" s="51"/>
      <x:c r="G59" s="51" t="str">
        <x:v>29</x:v>
      </x:c>
      <x:c r="H59" s="51" t="n">
        <x:v>94.3</x:v>
      </x:c>
      <x:c r="I59" s="54"/>
      <x:c r="J59" s="54" t="str">
        <x:v>https://www.timeshighereducation.com/world-university-rankings/central-queensland-university</x:v>
      </x:c>
    </x:row>
    <x:row r="60" ht="28" customHeight="1">
      <x:c r="A60" s="57" t="n">
        <x:v>77</x:v>
      </x:c>
      <x:c r="B60" s="21" t="str">
        <x:v>University of Newcastle</x:v>
      </x:c>
      <x:c r="C60" s="21" t="str">
        <x:v>Australia</x:v>
      </x:c>
      <x:c r="D60" s="53" t="str">
        <x:v>THE Impact</x:v>
      </x:c>
      <x:c r="E60" s="21"/>
      <x:c r="F60" s="21"/>
      <x:c r="G60" s="21" t="str">
        <x:v>30</x:v>
      </x:c>
      <x:c r="H60" s="21" t="n">
        <x:v>94.1</x:v>
      </x:c>
      <x:c r="I60" s="53"/>
      <x:c r="J60" s="53" t="str">
        <x:v>https://www.timeshighereducation.com/world-university-rankings/university-newcastle</x:v>
      </x:c>
    </x:row>
    <x:row r="61" ht="28" customHeight="1">
      <x:c r="A61" s="58" t="n">
        <x:v>78</x:v>
      </x:c>
      <x:c r="B61" s="51" t="str">
        <x:v>Northumbria University</x:v>
      </x:c>
      <x:c r="C61" s="51" t="str">
        <x:v>United Kingdom</x:v>
      </x:c>
      <x:c r="D61" s="54" t="str">
        <x:v>THE Impact</x:v>
      </x:c>
      <x:c r="E61" s="51"/>
      <x:c r="F61" s="51"/>
      <x:c r="G61" s="51" t="n">
        <x:v>31</x:v>
      </x:c>
      <x:c r="H61" s="51" t="n">
        <x:v>94</x:v>
      </x:c>
      <x:c r="I61" s="54"/>
      <x:c r="J61" s="54" t="str">
        <x:v>https://www.timeshighereducation.com/world-university-rankings/northumbria-university</x:v>
      </x:c>
    </x:row>
    <x:row r="62" ht="28" customHeight="1">
      <x:c r="A62" s="57" t="n">
        <x:v>79</x:v>
      </x:c>
      <x:c r="B62" s="21" t="str">
        <x:v>University of Indonesia</x:v>
      </x:c>
      <x:c r="C62" s="21" t="str">
        <x:v>Indonesia</x:v>
      </x:c>
      <x:c r="D62" s="53" t="str">
        <x:v>THE Impact</x:v>
      </x:c>
      <x:c r="E62" s="21"/>
      <x:c r="F62" s="21"/>
      <x:c r="G62" s="21" t="n">
        <x:v>31</x:v>
      </x:c>
      <x:c r="H62" s="21" t="n">
        <x:v>94</x:v>
      </x:c>
      <x:c r="I62" s="53"/>
      <x:c r="J62" s="53" t="str">
        <x:v>https://www.timeshighereducation.com/world-university-rankings/university-indonesia</x:v>
      </x:c>
    </x:row>
    <x:row r="63" ht="28" customHeight="1">
      <x:c r="A63" s="58" t="n">
        <x:v>80</x:v>
      </x:c>
      <x:c r="B63" s="51" t="str">
        <x:v>An-Najah National University</x:v>
      </x:c>
      <x:c r="C63" s="51" t="str">
        <x:v>Palestine</x:v>
      </x:c>
      <x:c r="D63" s="54" t="str">
        <x:v>THE Impact</x:v>
      </x:c>
      <x:c r="E63" s="51"/>
      <x:c r="F63" s="51"/>
      <x:c r="G63" s="51" t="n">
        <x:v>33</x:v>
      </x:c>
      <x:c r="H63" s="51" t="n">
        <x:v>93.9</x:v>
      </x:c>
      <x:c r="I63" s="54"/>
      <x:c r="J63" s="54" t="str">
        <x:v>https://www.timeshighereducation.com/world-university-rankings/najah-national-university</x:v>
      </x:c>
    </x:row>
    <x:row r="64" ht="28" customHeight="1">
      <x:c r="A64" s="59" t="n">
        <x:v>81</x:v>
      </x:c>
      <x:c r="B64" s="22" t="str">
        <x:v>Arizona State University (Tempe)</x:v>
      </x:c>
      <x:c r="C64" s="22" t="str">
        <x:v>United States</x:v>
      </x:c>
      <x:c r="D64" s="55" t="str">
        <x:v>THE Impact</x:v>
      </x:c>
      <x:c r="E64" s="22"/>
      <x:c r="F64" s="22"/>
      <x:c r="G64" s="22" t="n">
        <x:v>33</x:v>
      </x:c>
      <x:c r="H64" s="22" t="n">
        <x:v>93.9</x:v>
      </x:c>
      <x:c r="I64" s="55"/>
      <x:c r="J64" s="55" t="str">
        <x:v>https://www.timeshighereducation.com/world-university-rankings/arizona-state-university-tempe</x:v>
      </x:c>
    </x:row>
  </x:sheetData>
  <x:mergeCells>
    <x:mergeCell ref="A1:J1"/>
    <x:mergeCell ref="A2:J2"/>
  </x:mergeCells>
  <x:pageMargins left="0.7" right="0.7" top="0.75" bottom="0.75" header="0.3" footer="0.3"/>
  <x:tableParts count="1">
    <x:tablePart xmlns:r="http://schemas.openxmlformats.org/officeDocument/2006/relationships" r:id="Raeefc37cc15946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16" hidden="0" customWidth="1"/>
    <x:col min="4" max="4" width="18" hidden="0" customWidth="1"/>
    <x:col min="5" max="5" width="44" hidden="0" customWidth="1"/>
    <x:col min="6" max="6" width="18" hidden="0" customWidth="1"/>
    <x:col min="7" max="7" width="20" hidden="0" customWidth="1"/>
    <x:col min="8" max="8" width="50" hidden="0" customWidth="1"/>
    <x:col min="9" max="9" width="15" hidden="0" customWidth="1"/>
    <x:col min="10" max="10" width="18" hidden="0" customWidth="1"/>
    <x:col min="11" max="11" width="12" hidden="0" customWidth="1"/>
    <x:col min="12" max="12" width="50" hidden="0" customWidth="1"/>
  </x:cols>
  <x:sheetData>
    <x:row r="1" ht="28" customHeight="1">
      <x:c r="A1" s="3" t="str">
        <x:v>Program Verification - 60 Selected Programs</x:v>
      </x:c>
      <x:c r="B1" s="3"/>
      <x:c r="C1" s="3"/>
      <x:c r="D1" s="3"/>
      <x:c r="E1" s="3"/>
      <x:c r="F1" s="3"/>
      <x:c r="G1" s="3"/>
      <x:c r="H1" s="3"/>
      <x:c r="I1" s="3"/>
      <x:c r="J1" s="3"/>
      <x:c r="K1" s="3"/>
      <x:c r="L1" s="3"/>
    </x:row>
    <x:row r="2" ht="34" customHeight="1">
      <x:c r="A2" s="7" t="str">
        <x:v>One current sustainability/environment-related master's program or explicitly labeled best-fit path per selected institution. Official university URLs are retained.</x:v>
      </x:c>
      <x:c r="B2" s="7"/>
      <x:c r="C2" s="7"/>
      <x:c r="D2" s="7"/>
      <x:c r="E2" s="7"/>
      <x:c r="F2" s="7"/>
      <x:c r="G2" s="7"/>
      <x:c r="H2" s="7"/>
      <x:c r="I2" s="7"/>
      <x:c r="J2" s="7"/>
      <x:c r="K2" s="7"/>
      <x:c r="L2" s="7"/>
    </x:row>
    <x:row r="4" ht="38" customHeight="1">
      <x:c r="A4" s="47" t="str">
        <x:v>ID</x:v>
      </x:c>
      <x:c r="B4" s="48" t="str">
        <x:v>Institution</x:v>
      </x:c>
      <x:c r="C4" s="48" t="str">
        <x:v>Country</x:v>
      </x:c>
      <x:c r="D4" s="48" t="str">
        <x:v>Candidate Source</x:v>
      </x:c>
      <x:c r="E4" s="48" t="str">
        <x:v>Program Name</x:v>
      </x:c>
      <x:c r="F4" s="48" t="str">
        <x:v>Match Type</x:v>
      </x:c>
      <x:c r="G4" s="48" t="str">
        <x:v>Verification Status</x:v>
      </x:c>
      <x:c r="H4" s="48" t="str">
        <x:v>Official Program URL</x:v>
      </x:c>
      <x:c r="I4" s="48" t="str">
        <x:v>Verification Date</x:v>
      </x:c>
      <x:c r="J4" s="48" t="str">
        <x:v>URL Audit</x:v>
      </x:c>
      <x:c r="K4" s="48" t="str">
        <x:v>HTTP Status</x:v>
      </x:c>
      <x:c r="L4" s="49" t="str">
        <x:v>Verification Note</x:v>
      </x:c>
    </x:row>
    <x:row r="5" ht="28" customHeight="1">
      <x:c r="A5" s="56" t="n">
        <x:v>1</x:v>
      </x:c>
      <x:c r="B5" s="50" t="str">
        <x:v>Lund University</x:v>
      </x:c>
      <x:c r="C5" s="50" t="str">
        <x:v>Sweden</x:v>
      </x:c>
      <x:c r="D5" s="52" t="str">
        <x:v>QS Sustainability</x:v>
      </x:c>
      <x:c r="E5" s="50" t="str">
        <x:v>MSc Environmental Studies and Sustainability Science (LUMES)</x:v>
      </x:c>
      <x:c r="F5" s="50" t="str">
        <x:v>Direct</x:v>
      </x:c>
      <x:c r="G5" s="50" t="str">
        <x:v>Confirmed</x:v>
      </x:c>
      <x:c r="H5" s="52" t="str">
        <x:v>https://www.lunduniversity.lu.se/study/environmental-studies-and-sustainability-science-master-of-science-programme-SAESS</x:v>
      </x:c>
      <x:c r="I5" s="50" t="str">
        <x:v>2026-07-18</x:v>
      </x:c>
      <x:c r="J5" s="52" t="str">
        <x:v>OK</x:v>
      </x:c>
      <x:c r="K5" s="50" t="n">
        <x:v>200</x:v>
      </x:c>
      <x:c r="L5" s="50" t="str">
        <x:v>Current official degree page.</x:v>
      </x:c>
    </x:row>
    <x:row r="6" ht="28" customHeight="1">
      <x:c r="A6" s="57" t="n">
        <x:v>2</x:v>
      </x:c>
      <x:c r="B6" s="21" t="str">
        <x:v>University of Toronto</x:v>
      </x:c>
      <x:c r="C6" s="21" t="str">
        <x:v>Canada</x:v>
      </x:c>
      <x:c r="D6" s="53" t="str">
        <x:v>QS Sustainability</x:v>
      </x:c>
      <x:c r="E6" s="21" t="str">
        <x:v>Master of Environment &amp; Sustainability</x:v>
      </x:c>
      <x:c r="F6" s="21" t="str">
        <x:v>Direct</x:v>
      </x:c>
      <x:c r="G6" s="21" t="str">
        <x:v>Confirmed</x:v>
      </x:c>
      <x:c r="H6" s="53" t="str">
        <x:v>https://www.environment.utoronto.ca/graduate/mes</x:v>
      </x:c>
      <x:c r="I6" s="21" t="str">
        <x:v>2026-07-18</x:v>
      </x:c>
      <x:c r="J6" s="53" t="str">
        <x:v>OK</x:v>
      </x:c>
      <x:c r="K6" s="21" t="n">
        <x:v>200</x:v>
      </x:c>
      <x:c r="L6" s="21" t="str">
        <x:v>Carried forward and included for URL recheck.</x:v>
      </x:c>
    </x:row>
    <x:row r="7" ht="28" customHeight="1">
      <x:c r="A7" s="58" t="n">
        <x:v>3</x:v>
      </x:c>
      <x:c r="B7" s="51" t="str">
        <x:v>UCL</x:v>
      </x:c>
      <x:c r="C7" s="51" t="str">
        <x:v>United Kingdom</x:v>
      </x:c>
      <x:c r="D7" s="54" t="str">
        <x:v>QS Sustainability</x:v>
      </x:c>
      <x:c r="E7" s="51" t="str">
        <x:v>Sustainable Resources: Economics, Policy and Transitions MSc</x:v>
      </x:c>
      <x:c r="F7" s="51" t="str">
        <x:v>Direct</x:v>
      </x:c>
      <x:c r="G7" s="51" t="str">
        <x:v>Confirmed</x:v>
      </x:c>
      <x:c r="H7" s="54" t="str">
        <x:v>https://www.ucl.ac.uk/prospective-students/graduate/taught-degrees/sustainable-resources-economics-policy-and-transitions-msc</x:v>
      </x:c>
      <x:c r="I7" s="51" t="str">
        <x:v>2026-07-18</x:v>
      </x:c>
      <x:c r="J7" s="54" t="str">
        <x:v>OK</x:v>
      </x:c>
      <x:c r="K7" s="51" t="n">
        <x:v>200</x:v>
      </x:c>
      <x:c r="L7" s="51" t="str">
        <x:v>Carried forward and included for URL recheck.</x:v>
      </x:c>
    </x:row>
    <x:row r="8" ht="28" customHeight="1">
      <x:c r="A8" s="57" t="n">
        <x:v>4</x:v>
      </x:c>
      <x:c r="B8" s="21" t="str">
        <x:v>The University of Edinburgh</x:v>
      </x:c>
      <x:c r="C8" s="21" t="str">
        <x:v>United Kingdom</x:v>
      </x:c>
      <x:c r="D8" s="53" t="str">
        <x:v>QS Sustainability</x:v>
      </x:c>
      <x:c r="E8" s="21" t="str">
        <x:v>MSc Global Strategy and Sustainability</x:v>
      </x:c>
      <x:c r="F8" s="21" t="str">
        <x:v>Direct</x:v>
      </x:c>
      <x:c r="G8" s="21" t="str">
        <x:v>Confirmed</x:v>
      </x:c>
      <x:c r="H8" s="53" t="str">
        <x:v>https://www.business-school.ed.ac.uk/msc/global-strategy-sustainability</x:v>
      </x:c>
      <x:c r="I8" s="21" t="str">
        <x:v>2026-07-18</x:v>
      </x:c>
      <x:c r="J8" s="53" t="str">
        <x:v>OK</x:v>
      </x:c>
      <x:c r="K8" s="21" t="n">
        <x:v>200</x:v>
      </x:c>
      <x:c r="L8" s="21" t="str">
        <x:v>Carried forward and included for URL recheck.</x:v>
      </x:c>
    </x:row>
    <x:row r="9" ht="28" customHeight="1">
      <x:c r="A9" s="58" t="n">
        <x:v>5</x:v>
      </x:c>
      <x:c r="B9" s="51" t="str">
        <x:v>University of British Columbia</x:v>
      </x:c>
      <x:c r="C9" s="51" t="str">
        <x:v>Canada</x:v>
      </x:c>
      <x:c r="D9" s="54" t="str">
        <x:v>QS Sustainability</x:v>
      </x:c>
      <x:c r="E9" s="51" t="str">
        <x:v>Master of Engineering Leadership in Clean Energy Engineering</x:v>
      </x:c>
      <x:c r="F9" s="51" t="str">
        <x:v>Direct</x:v>
      </x:c>
      <x:c r="G9" s="51" t="str">
        <x:v>Confirmed</x:v>
      </x:c>
      <x:c r="H9" s="54" t="str">
        <x:v>https://apscpp.ubc.ca/programs/mel/clean-energy-engineering</x:v>
      </x:c>
      <x:c r="I9" s="51" t="str">
        <x:v>2026-07-18</x:v>
      </x:c>
      <x:c r="J9" s="54" t="str">
        <x:v>OK</x:v>
      </x:c>
      <x:c r="K9" s="51" t="n">
        <x:v>200</x:v>
      </x:c>
      <x:c r="L9" s="51" t="str">
        <x:v>Replaced the paused Sustainable Process Engineering MEL with the current Clean Energy Engineering MEL.</x:v>
      </x:c>
    </x:row>
    <x:row r="10" ht="28" customHeight="1">
      <x:c r="A10" s="57" t="n">
        <x:v>6</x:v>
      </x:c>
      <x:c r="B10" s="21" t="str">
        <x:v>The London School of Economics and Political Science (LSE)</x:v>
      </x:c>
      <x:c r="C10" s="21" t="str">
        <x:v>United Kingdom</x:v>
      </x:c>
      <x:c r="D10" s="53" t="str">
        <x:v>QS Sustainability</x:v>
      </x:c>
      <x:c r="E10" s="21" t="str">
        <x:v>MSc Environmental Policy and Regulation</x:v>
      </x:c>
      <x:c r="F10" s="21" t="str">
        <x:v>Direct</x:v>
      </x:c>
      <x:c r="G10" s="21" t="str">
        <x:v>Confirmed</x:v>
      </x:c>
      <x:c r="H10" s="53" t="str">
        <x:v>https://www.lse.ac.uk/study-at-lse/graduate/msc-environmental-policy-and-regulation</x:v>
      </x:c>
      <x:c r="I10" s="21" t="str">
        <x:v>2026-07-18</x:v>
      </x:c>
      <x:c r="J10" s="53" t="str">
        <x:v>OK</x:v>
      </x:c>
      <x:c r="K10" s="21" t="n">
        <x:v>200</x:v>
      </x:c>
      <x:c r="L10" s="21" t="str">
        <x:v>Current official degree page.</x:v>
      </x:c>
    </x:row>
    <x:row r="11" ht="28" customHeight="1">
      <x:c r="A11" s="58" t="n">
        <x:v>7</x:v>
      </x:c>
      <x:c r="B11" s="51" t="str">
        <x:v>Imperial College London</x:v>
      </x:c>
      <x:c r="C11" s="51" t="str">
        <x:v>United Kingdom</x:v>
      </x:c>
      <x:c r="D11" s="54" t="str">
        <x:v>QS Sustainability</x:v>
      </x:c>
      <x:c r="E11" s="51" t="str">
        <x:v>MSc Climate Change, Management &amp; Finance</x:v>
      </x:c>
      <x:c r="F11" s="51" t="str">
        <x:v>Direct</x:v>
      </x:c>
      <x:c r="G11" s="51" t="str">
        <x:v>Confirmed</x:v>
      </x:c>
      <x:c r="H11" s="54" t="str">
        <x:v>https://www.imperial.ac.uk/business-school/masters/climate-change-management-finance/</x:v>
      </x:c>
      <x:c r="I11" s="51" t="str">
        <x:v>2026-07-18</x:v>
      </x:c>
      <x:c r="J11" s="54" t="str">
        <x:v>OK</x:v>
      </x:c>
      <x:c r="K11" s="51" t="n">
        <x:v>200</x:v>
      </x:c>
      <x:c r="L11" s="51" t="str">
        <x:v>Carried forward and included for URL recheck.</x:v>
      </x:c>
    </x:row>
    <x:row r="12" ht="28" customHeight="1">
      <x:c r="A12" s="57" t="n">
        <x:v>8</x:v>
      </x:c>
      <x:c r="B12" s="21" t="str">
        <x:v>The University of New South Wales (UNSW Sydney)</x:v>
      </x:c>
      <x:c r="C12" s="21" t="str">
        <x:v>Australia</x:v>
      </x:c>
      <x:c r="D12" s="53" t="str">
        <x:v>Both</x:v>
      </x:c>
      <x:c r="E12" s="21" t="str">
        <x:v>Master of Environmental Management</x:v>
      </x:c>
      <x:c r="F12" s="21" t="str">
        <x:v>Direct</x:v>
      </x:c>
      <x:c r="G12" s="21" t="str">
        <x:v>Confirmed</x:v>
      </x:c>
      <x:c r="H12" s="53" t="str">
        <x:v>https://www.unsw.edu.au/study/postgraduate/master-of-environmental-management</x:v>
      </x:c>
      <x:c r="I12" s="21" t="str">
        <x:v>2026-07-18</x:v>
      </x:c>
      <x:c r="J12" s="53" t="str">
        <x:v>OK</x:v>
      </x:c>
      <x:c r="K12" s="21" t="n">
        <x:v>200</x:v>
      </x:c>
      <x:c r="L12" s="21" t="str">
        <x:v>Carried forward and included for URL recheck.</x:v>
      </x:c>
    </x:row>
    <x:row r="13" ht="28" customHeight="1">
      <x:c r="A13" s="58" t="n">
        <x:v>9</x:v>
      </x:c>
      <x:c r="B13" s="51" t="str">
        <x:v>McGill University</x:v>
      </x:c>
      <x:c r="C13" s="51" t="str">
        <x:v>Canada</x:v>
      </x:c>
      <x:c r="D13" s="54" t="str">
        <x:v>QS Sustainability</x:v>
      </x:c>
      <x:c r="E13" s="51" t="str">
        <x:v>MSc Geography - Sustainability Science and Environmental Management research theme</x:v>
      </x:c>
      <x:c r="F13" s="51" t="str">
        <x:v>Research</x:v>
      </x:c>
      <x:c r="G13" s="51" t="str">
        <x:v>Confirmed</x:v>
      </x:c>
      <x:c r="H13" s="54" t="str">
        <x:v>https://www.mcgill.ca/gradapplicants/program/geography-msc</x:v>
      </x:c>
      <x:c r="I13" s="51" t="str">
        <x:v>2026-07-18</x:v>
      </x:c>
      <x:c r="J13" s="54" t="str">
        <x:v>OK</x:v>
      </x:c>
      <x:c r="K13" s="51" t="n">
        <x:v>200</x:v>
      </x:c>
      <x:c r="L13" s="51" t="str">
        <x:v>The previous Sustainability, Science &amp; Society entry was an undergraduate program. The current Geography MSc includes Sustainability Science and Environmental Management as a thematic area.</x:v>
      </x:c>
    </x:row>
    <x:row r="14" ht="28" customHeight="1">
      <x:c r="A14" s="57" t="n">
        <x:v>10</x:v>
      </x:c>
      <x:c r="B14" s="21" t="str">
        <x:v>The University of Manchester</x:v>
      </x:c>
      <x:c r="C14" s="21" t="str">
        <x:v>United Kingdom</x:v>
      </x:c>
      <x:c r="D14" s="53" t="str">
        <x:v>Both</x:v>
      </x:c>
      <x:c r="E14" s="21" t="str">
        <x:v>MSc Environmental Governance</x:v>
      </x:c>
      <x:c r="F14" s="21" t="str">
        <x:v>Direct</x:v>
      </x:c>
      <x:c r="G14" s="21" t="str">
        <x:v>Confirmed</x:v>
      </x:c>
      <x:c r="H14" s="53" t="str">
        <x:v>https://www.manchester.ac.uk/study/masters/courses/list/06967/msc-environmental-governance/</x:v>
      </x:c>
      <x:c r="I14" s="21" t="str">
        <x:v>2026-07-18</x:v>
      </x:c>
      <x:c r="J14" s="53" t="str">
        <x:v>OK</x:v>
      </x:c>
      <x:c r="K14" s="21" t="n">
        <x:v>200</x:v>
      </x:c>
      <x:c r="L14" s="21" t="str">
        <x:v>Updated to the current 2026 course identifier and URL.</x:v>
      </x:c>
    </x:row>
    <x:row r="15" ht="28" customHeight="1">
      <x:c r="A15" s="58" t="n">
        <x:v>11</x:v>
      </x:c>
      <x:c r="B15" s="51" t="str">
        <x:v>ETH Zurich</x:v>
      </x:c>
      <x:c r="C15" s="51" t="str">
        <x:v>Switzerland</x:v>
      </x:c>
      <x:c r="D15" s="54" t="str">
        <x:v>QS Sustainability</x:v>
      </x:c>
      <x:c r="E15" s="51" t="str">
        <x:v>MSc Environmental Sciences</x:v>
      </x:c>
      <x:c r="F15" s="51" t="str">
        <x:v>Direct</x:v>
      </x:c>
      <x:c r="G15" s="51" t="str">
        <x:v>Confirmed</x:v>
      </x:c>
      <x:c r="H15" s="54" t="str">
        <x:v>https://ethz.ch/en/studies/master/degree-programmes/system-oriented-natural-sciences/environmental-sciences.html</x:v>
      </x:c>
      <x:c r="I15" s="51" t="str">
        <x:v>2026-07-18</x:v>
      </x:c>
      <x:c r="J15" s="54" t="str">
        <x:v>OK</x:v>
      </x:c>
      <x:c r="K15" s="51" t="n">
        <x:v>200</x:v>
      </x:c>
      <x:c r="L15" s="51" t="str">
        <x:v>Updated to the current ETH degree-program URL.</x:v>
      </x:c>
    </x:row>
    <x:row r="16" ht="28" customHeight="1">
      <x:c r="A16" s="57" t="n">
        <x:v>12</x:v>
      </x:c>
      <x:c r="B16" s="21" t="str">
        <x:v>The University of Melbourne</x:v>
      </x:c>
      <x:c r="C16" s="21" t="str">
        <x:v>Australia</x:v>
      </x:c>
      <x:c r="D16" s="53" t="str">
        <x:v>QS Sustainability</x:v>
      </x:c>
      <x:c r="E16" s="21" t="str">
        <x:v>Master of Environment</x:v>
      </x:c>
      <x:c r="F16" s="21" t="str">
        <x:v>Direct</x:v>
      </x:c>
      <x:c r="G16" s="21" t="str">
        <x:v>Confirmed</x:v>
      </x:c>
      <x:c r="H16" s="53" t="str">
        <x:v>https://study.unimelb.edu.au/find/courses/graduate/master-of-environment/</x:v>
      </x:c>
      <x:c r="I16" s="21" t="str">
        <x:v>2026-07-18</x:v>
      </x:c>
      <x:c r="J16" s="53" t="str">
        <x:v>Blocked by site (403)</x:v>
      </x:c>
      <x:c r="K16" s="21" t="n">
        <x:v>403</x:v>
      </x:c>
      <x:c r="L16" s="21" t="str">
        <x:v>Carried forward and included for URL recheck.</x:v>
      </x:c>
    </x:row>
    <x:row r="17" ht="28" customHeight="1">
      <x:c r="A17" s="58" t="n">
        <x:v>13</x:v>
      </x:c>
      <x:c r="B17" s="51" t="str">
        <x:v>University of California, Berkeley (UCB)</x:v>
      </x:c>
      <x:c r="C17" s="51" t="str">
        <x:v>United States</x:v>
      </x:c>
      <x:c r="D17" s="54" t="str">
        <x:v>QS Sustainability</x:v>
      </x:c>
      <x:c r="E17" s="51" t="str">
        <x:v>Master of Climate Solutions</x:v>
      </x:c>
      <x:c r="F17" s="51" t="str">
        <x:v>Direct</x:v>
      </x:c>
      <x:c r="G17" s="51" t="str">
        <x:v>Confirmed</x:v>
      </x:c>
      <x:c r="H17" s="54" t="str">
        <x:v>https://climatesolutions.berkeley.edu/</x:v>
      </x:c>
      <x:c r="I17" s="51" t="str">
        <x:v>2026-07-18</x:v>
      </x:c>
      <x:c r="J17" s="54" t="str">
        <x:v>OK</x:v>
      </x:c>
      <x:c r="K17" s="51" t="n">
        <x:v>200</x:v>
      </x:c>
      <x:c r="L17" s="51" t="str">
        <x:v>Carried forward and included for URL recheck.</x:v>
      </x:c>
    </x:row>
    <x:row r="18" ht="28" customHeight="1">
      <x:c r="A18" s="57" t="n">
        <x:v>14</x:v>
      </x:c>
      <x:c r="B18" s="21" t="str">
        <x:v>Stanford University</x:v>
      </x:c>
      <x:c r="C18" s="21" t="str">
        <x:v>United States</x:v>
      </x:c>
      <x:c r="D18" s="53" t="str">
        <x:v>QS Sustainability</x:v>
      </x:c>
      <x:c r="E18" s="21" t="str">
        <x:v>MS Sustainability Science and Practice</x:v>
      </x:c>
      <x:c r="F18" s="21" t="str">
        <x:v>Restricted</x:v>
      </x:c>
      <x:c r="G18" s="21" t="str">
        <x:v>Confirmed</x:v>
      </x:c>
      <x:c r="H18" s="53" t="str">
        <x:v>https://bulletin.stanford.edu/programs/SUSTSCI-MS/general-aoYks</x:v>
      </x:c>
      <x:c r="I18" s="21" t="str">
        <x:v>2026-07-18</x:v>
      </x:c>
      <x:c r="J18" s="53" t="str">
        <x:v>OK</x:v>
      </x:c>
      <x:c r="K18" s="21" t="n">
        <x:v>200</x:v>
      </x:c>
      <x:c r="L18" s="21" t="str">
        <x:v>Current interdisciplinary sustainability master's, but it is a coterminal program for Stanford students.</x:v>
      </x:c>
    </x:row>
    <x:row r="19" ht="28" customHeight="1">
      <x:c r="A19" s="58" t="n">
        <x:v>15</x:v>
      </x:c>
      <x:c r="B19" s="51" t="str">
        <x:v>University of Oxford</x:v>
      </x:c>
      <x:c r="C19" s="51" t="str">
        <x:v>United Kingdom</x:v>
      </x:c>
      <x:c r="D19" s="54" t="str">
        <x:v>QS Sustainability</x:v>
      </x:c>
      <x:c r="E19" s="51" t="str">
        <x:v>MSc in Sustainability, Enterprise and the Environment</x:v>
      </x:c>
      <x:c r="F19" s="51" t="str">
        <x:v>Direct</x:v>
      </x:c>
      <x:c r="G19" s="51" t="str">
        <x:v>Confirmed</x:v>
      </x:c>
      <x:c r="H19" s="54" t="str">
        <x:v>https://www.smithschool.ox.ac.uk/course/msc-sustainability-enterprise-and-environment</x:v>
      </x:c>
      <x:c r="I19" s="51" t="str">
        <x:v>2026-07-18</x:v>
      </x:c>
      <x:c r="J19" s="54" t="str">
        <x:v>OK</x:v>
      </x:c>
      <x:c r="K19" s="51" t="n">
        <x:v>200</x:v>
      </x:c>
      <x:c r="L19" s="51" t="str">
        <x:v>Carried forward and included for URL recheck.</x:v>
      </x:c>
    </x:row>
    <x:row r="20" ht="28" customHeight="1">
      <x:c r="A20" s="57" t="n">
        <x:v>16</x:v>
      </x:c>
      <x:c r="B20" s="21" t="str">
        <x:v>The University of Sydney</x:v>
      </x:c>
      <x:c r="C20" s="21" t="str">
        <x:v>Australia</x:v>
      </x:c>
      <x:c r="D20" s="53" t="str">
        <x:v>QS Sustainability</x:v>
      </x:c>
      <x:c r="E20" s="21" t="str">
        <x:v>Master of Sustainability</x:v>
      </x:c>
      <x:c r="F20" s="21" t="str">
        <x:v>Direct</x:v>
      </x:c>
      <x:c r="G20" s="21" t="str">
        <x:v>Confirmed</x:v>
      </x:c>
      <x:c r="H20" s="53" t="str">
        <x:v>https://www.sydney.edu.au/courses/courses/pc/master-of-sustainability.html</x:v>
      </x:c>
      <x:c r="I20" s="21" t="str">
        <x:v>2026-07-18</x:v>
      </x:c>
      <x:c r="J20" s="53" t="str">
        <x:v>OK</x:v>
      </x:c>
      <x:c r="K20" s="21" t="n">
        <x:v>200</x:v>
      </x:c>
      <x:c r="L20" s="21" t="str">
        <x:v>Carried forward and included for URL recheck.</x:v>
      </x:c>
    </x:row>
    <x:row r="21" ht="28" customHeight="1">
      <x:c r="A21" s="58" t="n">
        <x:v>17</x:v>
      </x:c>
      <x:c r="B21" s="51" t="str">
        <x:v>Australian National University (ANU)</x:v>
      </x:c>
      <x:c r="C21" s="51" t="str">
        <x:v>Australia</x:v>
      </x:c>
      <x:c r="D21" s="54" t="str">
        <x:v>QS Sustainability</x:v>
      </x:c>
      <x:c r="E21" s="51" t="str">
        <x:v>Master of Climate Change</x:v>
      </x:c>
      <x:c r="F21" s="51" t="str">
        <x:v>Direct</x:v>
      </x:c>
      <x:c r="G21" s="51" t="str">
        <x:v>Confirmed</x:v>
      </x:c>
      <x:c r="H21" s="54" t="str">
        <x:v>https://programsandcourses.anu.edu.au/program/MCLCH</x:v>
      </x:c>
      <x:c r="I21" s="51" t="str">
        <x:v>2026-07-18</x:v>
      </x:c>
      <x:c r="J21" s="54" t="str">
        <x:v>OK</x:v>
      </x:c>
      <x:c r="K21" s="51" t="n">
        <x:v>200</x:v>
      </x:c>
      <x:c r="L21" s="51" t="str">
        <x:v>Carried forward and included for URL recheck.</x:v>
      </x:c>
    </x:row>
    <x:row r="22" ht="28" customHeight="1">
      <x:c r="A22" s="57" t="n">
        <x:v>18</x:v>
      </x:c>
      <x:c r="B22" s="21" t="str">
        <x:v>King's College London</x:v>
      </x:c>
      <x:c r="C22" s="21" t="str">
        <x:v>United Kingdom</x:v>
      </x:c>
      <x:c r="D22" s="53" t="str">
        <x:v>QS Sustainability</x:v>
      </x:c>
      <x:c r="E22" s="21" t="str">
        <x:v>Environment, Politics and Development MSc</x:v>
      </x:c>
      <x:c r="F22" s="21" t="str">
        <x:v>Direct</x:v>
      </x:c>
      <x:c r="G22" s="21" t="str">
        <x:v>Confirmed</x:v>
      </x:c>
      <x:c r="H22" s="53" t="str">
        <x:v>https://www.kcl.ac.uk/study/postgraduate-taught/courses/environment-politics-and-development-msc</x:v>
      </x:c>
      <x:c r="I22" s="21" t="str">
        <x:v>2026-07-18</x:v>
      </x:c>
      <x:c r="J22" s="53" t="str">
        <x:v>OK</x:v>
      </x:c>
      <x:c r="K22" s="21" t="n">
        <x:v>200</x:v>
      </x:c>
      <x:c r="L22" s="21" t="str">
        <x:v>Carried forward and included for URL recheck.</x:v>
      </x:c>
    </x:row>
    <x:row r="23" ht="28" customHeight="1">
      <x:c r="A23" s="58" t="n">
        <x:v>19</x:v>
      </x:c>
      <x:c r="B23" s="51" t="str">
        <x:v>University of Bristol</x:v>
      </x:c>
      <x:c r="C23" s="51" t="str">
        <x:v>United Kingdom</x:v>
      </x:c>
      <x:c r="D23" s="54" t="str">
        <x:v>QS Sustainability</x:v>
      </x:c>
      <x:c r="E23" s="51" t="str">
        <x:v>MSc Environmental Policy and Management</x:v>
      </x:c>
      <x:c r="F23" s="51" t="str">
        <x:v>Direct</x:v>
      </x:c>
      <x:c r="G23" s="51" t="str">
        <x:v>Confirmed</x:v>
      </x:c>
      <x:c r="H23" s="54" t="str">
        <x:v>https://www.bristol.ac.uk/study/postgraduate/taught/msc-environmental-policy-and-management/</x:v>
      </x:c>
      <x:c r="I23" s="51" t="str">
        <x:v>2026-07-18</x:v>
      </x:c>
      <x:c r="J23" s="54" t="str">
        <x:v>OK</x:v>
      </x:c>
      <x:c r="K23" s="51" t="n">
        <x:v>200</x:v>
      </x:c>
      <x:c r="L23" s="51" t="str">
        <x:v>Current official degree page.</x:v>
      </x:c>
    </x:row>
    <x:row r="24" ht="28" customHeight="1">
      <x:c r="A24" s="57" t="n">
        <x:v>20</x:v>
      </x:c>
      <x:c r="B24" s="21" t="str">
        <x:v>New York University (NYU)</x:v>
      </x:c>
      <x:c r="C24" s="21" t="str">
        <x:v>United States</x:v>
      </x:c>
      <x:c r="D24" s="53" t="str">
        <x:v>QS Sustainability</x:v>
      </x:c>
      <x:c r="E24" s="21" t="str">
        <x:v>MS in Environmental Policy and Sustainability Management</x:v>
      </x:c>
      <x:c r="F24" s="21" t="str">
        <x:v>Direct</x:v>
      </x:c>
      <x:c r="G24" s="21" t="str">
        <x:v>Confirmed</x:v>
      </x:c>
      <x:c r="H24" s="53" t="str">
        <x:v>https://www.sps.nyu.edu/homepage/academics/masters-degrees/ms-in-environmental-policy-and-sustainability-management.html</x:v>
      </x:c>
      <x:c r="I24" s="21" t="str">
        <x:v>2026-07-18</x:v>
      </x:c>
      <x:c r="J24" s="53" t="str">
        <x:v>OK</x:v>
      </x:c>
      <x:c r="K24" s="21" t="n">
        <x:v>200</x:v>
      </x:c>
      <x:c r="L24" s="21" t="str">
        <x:v>Carried forward and included for URL recheck.</x:v>
      </x:c>
    </x:row>
    <x:row r="25" ht="28" customHeight="1">
      <x:c r="A25" s="58" t="n">
        <x:v>21</x:v>
      </x:c>
      <x:c r="B25" s="51" t="str">
        <x:v>Pennsylvania State University</x:v>
      </x:c>
      <x:c r="C25" s="51" t="str">
        <x:v>United States</x:v>
      </x:c>
      <x:c r="D25" s="54" t="str">
        <x:v>QS Sustainability</x:v>
      </x:c>
      <x:c r="E25" s="51" t="str">
        <x:v>Master of Professional Studies in Renewable Energy and Sustainability Systems</x:v>
      </x:c>
      <x:c r="F25" s="51" t="str">
        <x:v>Direct</x:v>
      </x:c>
      <x:c r="G25" s="51" t="str">
        <x:v>Confirmed</x:v>
      </x:c>
      <x:c r="H25" s="54" t="str">
        <x:v>https://www.ems.psu.edu/academics/find-program-study/renewable-energy-and-sustainability-systems-mps</x:v>
      </x:c>
      <x:c r="I25" s="51" t="str">
        <x:v>2026-07-18</x:v>
      </x:c>
      <x:c r="J25" s="54" t="str">
        <x:v>OK</x:v>
      </x:c>
      <x:c r="K25" s="51" t="n">
        <x:v>200</x:v>
      </x:c>
      <x:c r="L25" s="51" t="str">
        <x:v>Current official degree page.</x:v>
      </x:c>
    </x:row>
    <x:row r="26" ht="28" customHeight="1">
      <x:c r="A26" s="57" t="n">
        <x:v>22</x:v>
      </x:c>
      <x:c r="B26" s="21" t="str">
        <x:v>KU Leuven</x:v>
      </x:c>
      <x:c r="C26" s="21" t="str">
        <x:v>Belgium</x:v>
      </x:c>
      <x:c r="D26" s="53" t="str">
        <x:v>QS Sustainability</x:v>
      </x:c>
      <x:c r="E26" s="21" t="str">
        <x:v>Master of Sustainable Development</x:v>
      </x:c>
      <x:c r="F26" s="21" t="str">
        <x:v>Direct</x:v>
      </x:c>
      <x:c r="G26" s="21" t="str">
        <x:v>Confirmed</x:v>
      </x:c>
      <x:c r="H26" s="53" t="str">
        <x:v>https://www.kuleuven.be/programmes/master-sustainable-development</x:v>
      </x:c>
      <x:c r="I26" s="21" t="str">
        <x:v>2026-07-18</x:v>
      </x:c>
      <x:c r="J26" s="53" t="str">
        <x:v>OK</x:v>
      </x:c>
      <x:c r="K26" s="21" t="n">
        <x:v>200</x:v>
      </x:c>
      <x:c r="L26" s="21" t="str">
        <x:v>Carried forward and included for URL recheck.</x:v>
      </x:c>
    </x:row>
    <x:row r="27" ht="28" customHeight="1">
      <x:c r="A27" s="58" t="n">
        <x:v>23</x:v>
      </x:c>
      <x:c r="B27" s="51" t="str">
        <x:v>University of Helsinki</x:v>
      </x:c>
      <x:c r="C27" s="51" t="str">
        <x:v>Finland</x:v>
      </x:c>
      <x:c r="D27" s="54" t="str">
        <x:v>QS Sustainability</x:v>
      </x:c>
      <x:c r="E27" s="51" t="str">
        <x:v>Master's Programme in Environmental Change and Global Sustainability</x:v>
      </x:c>
      <x:c r="F27" s="51" t="str">
        <x:v>Direct</x:v>
      </x:c>
      <x:c r="G27" s="51" t="str">
        <x:v>Confirmed</x:v>
      </x:c>
      <x:c r="H27" s="54" t="str">
        <x:v>https://www.helsinki.fi/en/degree-programmes/environmental-change-and-global-sustainability-masters-programme</x:v>
      </x:c>
      <x:c r="I27" s="51" t="str">
        <x:v>2026-07-18</x:v>
      </x:c>
      <x:c r="J27" s="54" t="str">
        <x:v>OK</x:v>
      </x:c>
      <x:c r="K27" s="51" t="n">
        <x:v>200</x:v>
      </x:c>
      <x:c r="L27" s="51" t="str">
        <x:v>Current official degree page.</x:v>
      </x:c>
    </x:row>
    <x:row r="28" ht="28" customHeight="1">
      <x:c r="A28" s="57" t="n">
        <x:v>24</x:v>
      </x:c>
      <x:c r="B28" s="21" t="str">
        <x:v>Durham University</x:v>
      </x:c>
      <x:c r="C28" s="21" t="str">
        <x:v>United Kingdom</x:v>
      </x:c>
      <x:c r="D28" s="53" t="str">
        <x:v>QS Sustainability</x:v>
      </x:c>
      <x:c r="E28" s="21" t="str">
        <x:v>MSc Climate Change, Environmental Processes and Sustainable Futures</x:v>
      </x:c>
      <x:c r="F28" s="21" t="str">
        <x:v>Direct</x:v>
      </x:c>
      <x:c r="G28" s="21" t="str">
        <x:v>Confirmed</x:v>
      </x:c>
      <x:c r="H28" s="53" t="str">
        <x:v>https://www.durham.ac.uk/departments/academic/geography/postgraduate-study/taught-masters/</x:v>
      </x:c>
      <x:c r="I28" s="21" t="str">
        <x:v>2026-07-18</x:v>
      </x:c>
      <x:c r="J28" s="53" t="str">
        <x:v>OK</x:v>
      </x:c>
      <x:c r="K28" s="21" t="n">
        <x:v>200</x:v>
      </x:c>
      <x:c r="L28" s="21" t="str">
        <x:v>Official taught-master's listing; the program is new for 2026.</x:v>
      </x:c>
    </x:row>
    <x:row r="29" ht="28" customHeight="1">
      <x:c r="A29" s="58" t="n">
        <x:v>25</x:v>
      </x:c>
      <x:c r="B29" s="51" t="str">
        <x:v>University of Leeds</x:v>
      </x:c>
      <x:c r="C29" s="51" t="str">
        <x:v>United Kingdom</x:v>
      </x:c>
      <x:c r="D29" s="54" t="str">
        <x:v>QS Sustainability</x:v>
      </x:c>
      <x:c r="E29" s="51" t="str">
        <x:v>MSc Sustainability, Environment and Development</x:v>
      </x:c>
      <x:c r="F29" s="51" t="str">
        <x:v>Direct</x:v>
      </x:c>
      <x:c r="G29" s="51" t="str">
        <x:v>Confirmed</x:v>
      </x:c>
      <x:c r="H29" s="54" t="str">
        <x:v>https://courses.leeds.ac.uk/j985/sustainability-environment-and-development-msc</x:v>
      </x:c>
      <x:c r="I29" s="51" t="str">
        <x:v>2026-07-18</x:v>
      </x:c>
      <x:c r="J29" s="54" t="str">
        <x:v>OK</x:v>
      </x:c>
      <x:c r="K29" s="51" t="n">
        <x:v>200</x:v>
      </x:c>
      <x:c r="L29" s="51" t="str">
        <x:v>Official 2026 entry page.</x:v>
      </x:c>
    </x:row>
    <x:row r="30" ht="28" customHeight="1">
      <x:c r="A30" s="57" t="n">
        <x:v>26</x:v>
      </x:c>
      <x:c r="B30" s="21" t="str">
        <x:v>Western University</x:v>
      </x:c>
      <x:c r="C30" s="21" t="str">
        <x:v>Canada</x:v>
      </x:c>
      <x:c r="D30" s="53" t="str">
        <x:v>Both</x:v>
      </x:c>
      <x:c r="E30" s="21" t="str">
        <x:v>Master of Environment and Sustainability</x:v>
      </x:c>
      <x:c r="F30" s="21" t="str">
        <x:v>Direct</x:v>
      </x:c>
      <x:c r="G30" s="21" t="str">
        <x:v>Confirmed</x:v>
      </x:c>
      <x:c r="H30" s="53" t="str">
        <x:v>https://www.uwo.ca/mes/</x:v>
      </x:c>
      <x:c r="I30" s="21" t="str">
        <x:v>2026-07-18</x:v>
      </x:c>
      <x:c r="J30" s="53" t="str">
        <x:v>OK</x:v>
      </x:c>
      <x:c r="K30" s="21" t="n">
        <x:v>200</x:v>
      </x:c>
      <x:c r="L30" s="21" t="str">
        <x:v>Current official degree page.</x:v>
      </x:c>
    </x:row>
    <x:row r="31" ht="28" customHeight="1">
      <x:c r="A31" s="58" t="n">
        <x:v>27</x:v>
      </x:c>
      <x:c r="B31" s="51" t="str">
        <x:v>University of Glasgow</x:v>
      </x:c>
      <x:c r="C31" s="51" t="str">
        <x:v>United Kingdom</x:v>
      </x:c>
      <x:c r="D31" s="54" t="str">
        <x:v>Both</x:v>
      </x:c>
      <x:c r="E31" s="51" t="str">
        <x:v>MSc Environment &amp; Sustainable Development</x:v>
      </x:c>
      <x:c r="F31" s="51" t="str">
        <x:v>Direct</x:v>
      </x:c>
      <x:c r="G31" s="51" t="str">
        <x:v>Confirmed</x:v>
      </x:c>
      <x:c r="H31" s="54" t="str">
        <x:v>https://www.gla.ac.uk/postgraduate/taught/environmentsustainabledevelopment/</x:v>
      </x:c>
      <x:c r="I31" s="51" t="str">
        <x:v>2026-07-18</x:v>
      </x:c>
      <x:c r="J31" s="54" t="str">
        <x:v>OK</x:v>
      </x:c>
      <x:c r="K31" s="51" t="n">
        <x:v>200</x:v>
      </x:c>
      <x:c r="L31" s="51" t="str">
        <x:v>Current official degree page.</x:v>
      </x:c>
    </x:row>
    <x:row r="32" ht="28" customHeight="1">
      <x:c r="A32" s="57" t="n">
        <x:v>28</x:v>
      </x:c>
      <x:c r="B32" s="21" t="str">
        <x:v>The University of Auckland</x:v>
      </x:c>
      <x:c r="C32" s="21" t="str">
        <x:v>New Zealand</x:v>
      </x:c>
      <x:c r="D32" s="53" t="str">
        <x:v>QS Sustainability</x:v>
      </x:c>
      <x:c r="E32" s="21" t="str">
        <x:v>Master of Environmental Science</x:v>
      </x:c>
      <x:c r="F32" s="21" t="str">
        <x:v>Direct</x:v>
      </x:c>
      <x:c r="G32" s="21" t="str">
        <x:v>Confirmed</x:v>
      </x:c>
      <x:c r="H32" s="53" t="str">
        <x:v>https://www.auckland.ac.nz/en/study/study-options/find-a-study-option/master-of-environmental-science-menvsci.html</x:v>
      </x:c>
      <x:c r="I32" s="21" t="str">
        <x:v>2026-07-18</x:v>
      </x:c>
      <x:c r="J32" s="53" t="str">
        <x:v>OK</x:v>
      </x:c>
      <x:c r="K32" s="21" t="n">
        <x:v>200</x:v>
      </x:c>
      <x:c r="L32" s="21" t="str">
        <x:v>Current official degree page.</x:v>
      </x:c>
    </x:row>
    <x:row r="33" ht="28" customHeight="1">
      <x:c r="A33" s="58" t="n">
        <x:v>29</x:v>
      </x:c>
      <x:c r="B33" s="51" t="str">
        <x:v>Trinity College Dublin, The University of Dublin</x:v>
      </x:c>
      <x:c r="C33" s="51" t="str">
        <x:v>Ireland</x:v>
      </x:c>
      <x:c r="D33" s="54" t="str">
        <x:v>QS Sustainability</x:v>
      </x:c>
      <x:c r="E33" s="51" t="str">
        <x:v>MSc Environmental Sciences</x:v>
      </x:c>
      <x:c r="F33" s="51" t="str">
        <x:v>Direct</x:v>
      </x:c>
      <x:c r="G33" s="51" t="str">
        <x:v>Confirmed</x:v>
      </x:c>
      <x:c r="H33" s="54" t="str">
        <x:v>https://www.tcd.ie/courses/postgraduate/courses/environmental-sciences-msc--pgraddip/</x:v>
      </x:c>
      <x:c r="I33" s="51" t="str">
        <x:v>2026-07-18</x:v>
      </x:c>
      <x:c r="J33" s="54" t="str">
        <x:v>OK</x:v>
      </x:c>
      <x:c r="K33" s="51" t="n">
        <x:v>200</x:v>
      </x:c>
      <x:c r="L33" s="51" t="str">
        <x:v>Current official degree page.</x:v>
      </x:c>
    </x:row>
    <x:row r="34" ht="28" customHeight="1">
      <x:c r="A34" s="57" t="n">
        <x:v>30</x:v>
      </x:c>
      <x:c r="B34" s="21" t="str">
        <x:v>University of Pennsylvania</x:v>
      </x:c>
      <x:c r="C34" s="21" t="str">
        <x:v>United States</x:v>
      </x:c>
      <x:c r="D34" s="53" t="str">
        <x:v>QS Sustainability</x:v>
      </x:c>
      <x:c r="E34" s="21" t="str">
        <x:v>Master of Environmental Studies</x:v>
      </x:c>
      <x:c r="F34" s="21" t="str">
        <x:v>Direct</x:v>
      </x:c>
      <x:c r="G34" s="21" t="str">
        <x:v>Confirmed</x:v>
      </x:c>
      <x:c r="H34" s="53" t="str">
        <x:v>https://www.lps.upenn.edu/degree-programs/mes</x:v>
      </x:c>
      <x:c r="I34" s="21" t="str">
        <x:v>2026-07-18</x:v>
      </x:c>
      <x:c r="J34" s="53" t="str">
        <x:v>OK</x:v>
      </x:c>
      <x:c r="K34" s="21" t="n">
        <x:v>200</x:v>
      </x:c>
      <x:c r="L34" s="21" t="str">
        <x:v>Carried forward and included for URL recheck.</x:v>
      </x:c>
    </x:row>
    <x:row r="35" ht="28" customHeight="1">
      <x:c r="A35" s="58" t="n">
        <x:v>49</x:v>
      </x:c>
      <x:c r="B35" s="51" t="str">
        <x:v>University of Exeter</x:v>
      </x:c>
      <x:c r="C35" s="51" t="str">
        <x:v>United Kingdom</x:v>
      </x:c>
      <x:c r="D35" s="54" t="str">
        <x:v>Both</x:v>
      </x:c>
      <x:c r="E35" s="51" t="str">
        <x:v>MSc Global Sustainability Solutions</x:v>
      </x:c>
      <x:c r="F35" s="51" t="str">
        <x:v>Direct</x:v>
      </x:c>
      <x:c r="G35" s="51" t="str">
        <x:v>Confirmed</x:v>
      </x:c>
      <x:c r="H35" s="54" t="str">
        <x:v>https://www.exeter.ac.uk/masters-degrees/msc-global-sustainability-solutions/</x:v>
      </x:c>
      <x:c r="I35" s="51" t="str">
        <x:v>2026-07-18</x:v>
      </x:c>
      <x:c r="J35" s="54" t="str">
        <x:v>OK</x:v>
      </x:c>
      <x:c r="K35" s="51" t="n">
        <x:v>200</x:v>
      </x:c>
      <x:c r="L35" s="51" t="str">
        <x:v>Current official 2026 entry page.</x:v>
      </x:c>
    </x:row>
    <x:row r="36" ht="28" customHeight="1">
      <x:c r="A36" s="57" t="n">
        <x:v>52</x:v>
      </x:c>
      <x:c r="B36" s="21" t="str">
        <x:v>Griffith University</x:v>
      </x:c>
      <x:c r="C36" s="21" t="str">
        <x:v>Australia</x:v>
      </x:c>
      <x:c r="D36" s="53" t="str">
        <x:v>THE Impact</x:v>
      </x:c>
      <x:c r="E36" s="21" t="str">
        <x:v>Master of Global Development - Sustainable Development major</x:v>
      </x:c>
      <x:c r="F36" s="21" t="str">
        <x:v>Major</x:v>
      </x:c>
      <x:c r="G36" s="21" t="str">
        <x:v>Confirmed</x:v>
      </x:c>
      <x:c r="H36" s="53" t="str">
        <x:v>https://www.griffith.edu.au/study/degrees/master-of-global-development-5724</x:v>
      </x:c>
      <x:c r="I36" s="21" t="str">
        <x:v>2026-07-18</x:v>
      </x:c>
      <x:c r="J36" s="53" t="str">
        <x:v>Blocked by site (403)</x:v>
      </x:c>
      <x:c r="K36" s="21" t="n">
        <x:v>403</x:v>
      </x:c>
      <x:c r="L36" s="21" t="str">
        <x:v>Sustainability is a named major within the degree.</x:v>
      </x:c>
    </x:row>
    <x:row r="37" ht="28" customHeight="1">
      <x:c r="A37" s="58" t="n">
        <x:v>53</x:v>
      </x:c>
      <x:c r="B37" s="51" t="str">
        <x:v>Western Sydney University</x:v>
      </x:c>
      <x:c r="C37" s="51" t="str">
        <x:v>Australia</x:v>
      </x:c>
      <x:c r="D37" s="54" t="str">
        <x:v>THE Impact</x:v>
      </x:c>
      <x:c r="E37" s="51" t="str">
        <x:v>Master of Sustainable Tourism, Hospitality and Event Management</x:v>
      </x:c>
      <x:c r="F37" s="51" t="str">
        <x:v>Direct</x:v>
      </x:c>
      <x:c r="G37" s="51" t="str">
        <x:v>Confirmed</x:v>
      </x:c>
      <x:c r="H37" s="54" t="str">
        <x:v>https://www.westernsydney.edu.au/future/study/courses/postgraduate/master-of-sustainable-tourism-hospitality-and-event-management</x:v>
      </x:c>
      <x:c r="I37" s="51" t="str">
        <x:v>2026-07-18</x:v>
      </x:c>
      <x:c r="J37" s="54" t="str">
        <x:v>OK</x:v>
      </x:c>
      <x:c r="K37" s="51" t="n">
        <x:v>200</x:v>
      </x:c>
      <x:c r="L37" s="51" t="str">
        <x:v>Current official degree page; domain-specific sustainability program.</x:v>
      </x:c>
    </x:row>
    <x:row r="38" ht="28" customHeight="1">
      <x:c r="A38" s="57" t="n">
        <x:v>54</x:v>
      </x:c>
      <x:c r="B38" s="21" t="str">
        <x:v>Queen's University</x:v>
      </x:c>
      <x:c r="C38" s="21" t="str">
        <x:v>Canada</x:v>
      </x:c>
      <x:c r="D38" s="53" t="str">
        <x:v>THE Impact</x:v>
      </x:c>
      <x:c r="E38" s="21" t="str">
        <x:v>Master of Environmental Studies</x:v>
      </x:c>
      <x:c r="F38" s="21" t="str">
        <x:v>Direct</x:v>
      </x:c>
      <x:c r="G38" s="21" t="str">
        <x:v>Confirmed</x:v>
      </x:c>
      <x:c r="H38" s="53" t="str">
        <x:v>https://www.queensu.ca/ensc/graduate/programs-overview</x:v>
      </x:c>
      <x:c r="I38" s="21" t="str">
        <x:v>2026-07-18</x:v>
      </x:c>
      <x:c r="J38" s="53" t="str">
        <x:v>OK</x:v>
      </x:c>
      <x:c r="K38" s="21" t="n">
        <x:v>200</x:v>
      </x:c>
      <x:c r="L38" s="21" t="str">
        <x:v>Official graduate-program overview.</x:v>
      </x:c>
    </x:row>
    <x:row r="39" ht="28" customHeight="1">
      <x:c r="A39" s="58" t="n">
        <x:v>55</x:v>
      </x:c>
      <x:c r="B39" s="51" t="str">
        <x:v>Universiti Sains Malaysia</x:v>
      </x:c>
      <x:c r="C39" s="51" t="str">
        <x:v>Malaysia</x:v>
      </x:c>
      <x:c r="D39" s="54" t="str">
        <x:v>THE Impact</x:v>
      </x:c>
      <x:c r="E39" s="51" t="str">
        <x:v>Master in Sustainable Development Practice</x:v>
      </x:c>
      <x:c r="F39" s="51" t="str">
        <x:v>Direct</x:v>
      </x:c>
      <x:c r="G39" s="51" t="str">
        <x:v>Confirmed</x:v>
      </x:c>
      <x:c r="H39" s="54" t="str">
        <x:v>https://cgss.usm.my/programmes/postgraduate/coursework/masters-in-sustainable-development-practice-msdp</x:v>
      </x:c>
      <x:c r="I39" s="51" t="str">
        <x:v>2026-07-18</x:v>
      </x:c>
      <x:c r="J39" s="54" t="str">
        <x:v>OK</x:v>
      </x:c>
      <x:c r="K39" s="51" t="n">
        <x:v>200</x:v>
      </x:c>
      <x:c r="L39" s="51" t="str">
        <x:v>Current official degree page.</x:v>
      </x:c>
    </x:row>
    <x:row r="40" ht="28" customHeight="1">
      <x:c r="A40" s="57" t="n">
        <x:v>56</x:v>
      </x:c>
      <x:c r="B40" s="21" t="str">
        <x:v>Hanyang University</x:v>
      </x:c>
      <x:c r="C40" s="21" t="str">
        <x:v>South Korea</x:v>
      </x:c>
      <x:c r="D40" s="53" t="str">
        <x:v>THE Impact</x:v>
      </x:c>
      <x:c r="E40" s="21" t="str">
        <x:v>Master's majors in Global Climate and Environmental Studies</x:v>
      </x:c>
      <x:c r="F40" s="21" t="str">
        <x:v>Best-fit</x:v>
      </x:c>
      <x:c r="G40" s="21" t="str">
        <x:v>Confirmed</x:v>
      </x:c>
      <x:c r="H40" s="53" t="str">
        <x:v>https://hygce.hanyang.ac.kr/-eng-1</x:v>
      </x:c>
      <x:c r="I40" s="21" t="str">
        <x:v>2026-07-18</x:v>
      </x:c>
      <x:c r="J40" s="53" t="str">
        <x:v>OK</x:v>
      </x:c>
      <x:c r="K40" s="21" t="n">
        <x:v>200</x:v>
      </x:c>
      <x:c r="L40" s="21" t="str">
        <x:v>Official graduate-school page; several environment/climate majors rather than one generic degree.</x:v>
      </x:c>
    </x:row>
    <x:row r="41" ht="28" customHeight="1">
      <x:c r="A41" s="58" t="n">
        <x:v>57</x:v>
      </x:c>
      <x:c r="B41" s="51" t="str">
        <x:v>Hokkaido University</x:v>
      </x:c>
      <x:c r="C41" s="51" t="str">
        <x:v>Japan</x:v>
      </x:c>
      <x:c r="D41" s="54" t="str">
        <x:v>THE Impact</x:v>
      </x:c>
      <x:c r="E41" s="51" t="str">
        <x:v>Master's Program, Graduate School of Environmental Science</x:v>
      </x:c>
      <x:c r="F41" s="51" t="str">
        <x:v>Best-fit</x:v>
      </x:c>
      <x:c r="G41" s="51" t="str">
        <x:v>Confirmed</x:v>
      </x:c>
      <x:c r="H41" s="54" t="str">
        <x:v>https://www.ees.hokudai.ac.jp/?lang=en</x:v>
      </x:c>
      <x:c r="I41" s="51" t="str">
        <x:v>2026-07-18</x:v>
      </x:c>
      <x:c r="J41" s="54" t="str">
        <x:v>OK</x:v>
      </x:c>
      <x:c r="K41" s="51" t="n">
        <x:v>200</x:v>
      </x:c>
      <x:c r="L41" s="51" t="str">
        <x:v>Official graduate school page; select a division before analysis.</x:v>
      </x:c>
    </x:row>
    <x:row r="42" ht="28" customHeight="1">
      <x:c r="A42" s="57" t="n">
        <x:v>58</x:v>
      </x:c>
      <x:c r="B42" s="21" t="str">
        <x:v>Universiti Kebangsaan Malaysia</x:v>
      </x:c>
      <x:c r="C42" s="21" t="str">
        <x:v>Malaysia</x:v>
      </x:c>
      <x:c r="D42" s="53" t="str">
        <x:v>THE Impact</x:v>
      </x:c>
      <x:c r="E42" s="21" t="str">
        <x:v>Master of Science / Master of Arts in Environment and Development</x:v>
      </x:c>
      <x:c r="F42" s="21" t="str">
        <x:v>Research</x:v>
      </x:c>
      <x:c r="G42" s="21" t="str">
        <x:v>Confirmed</x:v>
      </x:c>
      <x:c r="H42" s="53" t="str">
        <x:v>https://www.ukm.my/lestari/program-siswazah/</x:v>
      </x:c>
      <x:c r="I42" s="21" t="str">
        <x:v>2026-07-18</x:v>
      </x:c>
      <x:c r="J42" s="53" t="str">
        <x:v>OK</x:v>
      </x:c>
      <x:c r="K42" s="21" t="n">
        <x:v>200</x:v>
      </x:c>
      <x:c r="L42" s="21" t="str">
        <x:v>Official LESTARI research-master's page.</x:v>
      </x:c>
    </x:row>
    <x:row r="43" ht="28" customHeight="1">
      <x:c r="A43" s="58" t="n">
        <x:v>59</x:v>
      </x:c>
      <x:c r="B43" s="51" t="str">
        <x:v>Institut Agro</x:v>
      </x:c>
      <x:c r="C43" s="51" t="str">
        <x:v>France</x:v>
      </x:c>
      <x:c r="D43" s="54" t="str">
        <x:v>THE Impact</x:v>
      </x:c>
      <x:c r="E43" s="51" t="str">
        <x:v>Master's pathway: Transitions in Environmental and Agrifood Systems Management</x:v>
      </x:c>
      <x:c r="F43" s="51" t="str">
        <x:v>Best-fit</x:v>
      </x:c>
      <x:c r="G43" s="51" t="str">
        <x:v>Confirmed</x:v>
      </x:c>
      <x:c r="H43" s="54" t="str">
        <x:v>https://www.institut-agro.fr/fr/nos-formations</x:v>
      </x:c>
      <x:c r="I43" s="51" t="str">
        <x:v>2026-07-18</x:v>
      </x:c>
      <x:c r="J43" s="54" t="str">
        <x:v>OK</x:v>
      </x:c>
      <x:c r="K43" s="51" t="n">
        <x:v>200</x:v>
      </x:c>
      <x:c r="L43" s="51" t="str">
        <x:v>Official program catalogue; pathway is delivered within the national master's structure.</x:v>
      </x:c>
    </x:row>
    <x:row r="44" ht="28" customHeight="1">
      <x:c r="A44" s="57" t="n">
        <x:v>60</x:v>
      </x:c>
      <x:c r="B44" s="21" t="str">
        <x:v>National Taiwan University (NTU)</x:v>
      </x:c>
      <x:c r="C44" s="21" t="str">
        <x:v>Taiwan</x:v>
      </x:c>
      <x:c r="D44" s="53" t="str">
        <x:v>THE Impact</x:v>
      </x:c>
      <x:c r="E44" s="21" t="str">
        <x:v>Master's Program in Biodiversity</x:v>
      </x:c>
      <x:c r="F44" s="21" t="str">
        <x:v>Direct</x:v>
      </x:c>
      <x:c r="G44" s="21" t="str">
        <x:v>Confirmed</x:v>
      </x:c>
      <x:c r="H44" s="53" t="str">
        <x:v>https://mpb.ntu.edu.tw/about/overview</x:v>
      </x:c>
      <x:c r="I44" s="21" t="str">
        <x:v>2026-07-18</x:v>
      </x:c>
      <x:c r="J44" s="53" t="str">
        <x:v>OK</x:v>
      </x:c>
      <x:c r="K44" s="21" t="n">
        <x:v>200</x:v>
      </x:c>
      <x:c r="L44" s="21" t="str">
        <x:v>English-taught program with a Biodiversity Conservation and Sustainability theme.</x:v>
      </x:c>
    </x:row>
    <x:row r="45" ht="28" customHeight="1">
      <x:c r="A45" s="58" t="n">
        <x:v>61</x:v>
      </x:c>
      <x:c r="B45" s="51" t="str">
        <x:v>University of Alberta</x:v>
      </x:c>
      <x:c r="C45" s="51" t="str">
        <x:v>Canada</x:v>
      </x:c>
      <x:c r="D45" s="54" t="str">
        <x:v>THE Impact</x:v>
      </x:c>
      <x:c r="E45" s="51" t="str">
        <x:v>Master of Sustainability</x:v>
      </x:c>
      <x:c r="F45" s="51" t="str">
        <x:v>Direct</x:v>
      </x:c>
      <x:c r="G45" s="51" t="str">
        <x:v>Confirmed</x:v>
      </x:c>
      <x:c r="H45" s="54" t="str">
        <x:v>https://apps.ualberta.ca/catalogue/course/sust</x:v>
      </x:c>
      <x:c r="I45" s="51" t="str">
        <x:v>2026-07-18</x:v>
      </x:c>
      <x:c r="J45" s="54" t="str">
        <x:v>OK</x:v>
      </x:c>
      <x:c r="K45" s="51" t="n">
        <x:v>200</x:v>
      </x:c>
      <x:c r="L45" s="51" t="str">
        <x:v>Official catalogue confirms the course-based Master of Sustainability and capstone.</x:v>
      </x:c>
    </x:row>
    <x:row r="46" ht="28" customHeight="1">
      <x:c r="A46" s="57" t="n">
        <x:v>62</x:v>
      </x:c>
      <x:c r="B46" s="21" t="str">
        <x:v>Korea University</x:v>
      </x:c>
      <x:c r="C46" s="21" t="str">
        <x:v>South Korea</x:v>
      </x:c>
      <x:c r="D46" s="53" t="str">
        <x:v>THE Impact</x:v>
      </x:c>
      <x:c r="E46" s="21" t="str">
        <x:v>Master's in Climatic Environment</x:v>
      </x:c>
      <x:c r="F46" s="21" t="str">
        <x:v>Best-fit</x:v>
      </x:c>
      <x:c r="G46" s="21" t="str">
        <x:v>Confirmed</x:v>
      </x:c>
      <x:c r="H46" s="53" t="str">
        <x:v>https://gsles.korea.edu/gsles_en/master/subject07.do</x:v>
      </x:c>
      <x:c r="I46" s="21" t="str">
        <x:v>2026-07-18</x:v>
      </x:c>
      <x:c r="J46" s="53" t="str">
        <x:v>OK</x:v>
      </x:c>
      <x:c r="K46" s="21" t="n">
        <x:v>200</x:v>
      </x:c>
      <x:c r="L46" s="21" t="str">
        <x:v>Official graduate-school major page.</x:v>
      </x:c>
    </x:row>
    <x:row r="47" ht="28" customHeight="1">
      <x:c r="A47" s="58" t="n">
        <x:v>63</x:v>
      </x:c>
      <x:c r="B47" s="51" t="str">
        <x:v>Universitas Airlangga</x:v>
      </x:c>
      <x:c r="C47" s="51" t="str">
        <x:v>Indonesia</x:v>
      </x:c>
      <x:c r="D47" s="54" t="str">
        <x:v>THE Impact</x:v>
      </x:c>
      <x:c r="E47" s="51" t="str">
        <x:v>Master of Environmental Health</x:v>
      </x:c>
      <x:c r="F47" s="51" t="str">
        <x:v>Direct</x:v>
      </x:c>
      <x:c r="G47" s="51" t="str">
        <x:v>Confirmed</x:v>
      </x:c>
      <x:c r="H47" s="54" t="str">
        <x:v>https://s2kesling.fkm.unair.ac.id/</x:v>
      </x:c>
      <x:c r="I47" s="51" t="str">
        <x:v>2026-07-18</x:v>
      </x:c>
      <x:c r="J47" s="54" t="str">
        <x:v>Automated fetch failed</x:v>
      </x:c>
      <x:c r="K47" s="51"/>
      <x:c r="L47" s="51" t="str">
        <x:v>Official program site.</x:v>
      </x:c>
    </x:row>
    <x:row r="48" ht="28" customHeight="1">
      <x:c r="A48" s="57" t="n">
        <x:v>64</x:v>
      </x:c>
      <x:c r="B48" s="21" t="str">
        <x:v>Pusan National University</x:v>
      </x:c>
      <x:c r="C48" s="21" t="str">
        <x:v>South Korea</x:v>
      </x:c>
      <x:c r="D48" s="53" t="str">
        <x:v>THE Impact</x:v>
      </x:c>
      <x:c r="E48" s="21" t="str">
        <x:v>Master's programs, Graduate School of Environment</x:v>
      </x:c>
      <x:c r="F48" s="21" t="str">
        <x:v>Best-fit</x:v>
      </x:c>
      <x:c r="G48" s="21" t="str">
        <x:v>Confirmed</x:v>
      </x:c>
      <x:c r="H48" s="53" t="str">
        <x:v>https://www.pusan.ac.kr/eng/CMS/OrganizationMgr/SpecialGraduateInfo.do?gc_code=280000&amp;gc_parent_code=NONE-009&amp;mCode=MN021</x:v>
      </x:c>
      <x:c r="I48" s="21" t="str">
        <x:v>2026-07-18</x:v>
      </x:c>
      <x:c r="J48" s="53" t="str">
        <x:v>OK</x:v>
      </x:c>
      <x:c r="K48" s="21" t="n">
        <x:v>200</x:v>
      </x:c>
      <x:c r="L48" s="21" t="str">
        <x:v>Official graduate-school page; choose the relevant environmental major.</x:v>
      </x:c>
    </x:row>
    <x:row r="49" ht="28" customHeight="1">
      <x:c r="A49" s="58" t="n">
        <x:v>65</x:v>
      </x:c>
      <x:c r="B49" s="51" t="str">
        <x:v>University of Tasmania</x:v>
      </x:c>
      <x:c r="C49" s="51" t="str">
        <x:v>Australia</x:v>
      </x:c>
      <x:c r="D49" s="54" t="str">
        <x:v>THE Impact</x:v>
      </x:c>
      <x:c r="E49" s="51" t="str">
        <x:v>Master of Environmental Geospatial Science</x:v>
      </x:c>
      <x:c r="F49" s="51" t="str">
        <x:v>Direct</x:v>
      </x:c>
      <x:c r="G49" s="51" t="str">
        <x:v>Confirmed</x:v>
      </x:c>
      <x:c r="H49" s="54" t="str">
        <x:v>https://www.utas.edu.au/courses/cse/courses/p7b-master-of-environmental-geospatial-science</x:v>
      </x:c>
      <x:c r="I49" s="51" t="str">
        <x:v>2026-07-18</x:v>
      </x:c>
      <x:c r="J49" s="54" t="str">
        <x:v>Blocked by site (403)</x:v>
      </x:c>
      <x:c r="K49" s="51" t="n">
        <x:v>403</x:v>
      </x:c>
      <x:c r="L49" s="51" t="str">
        <x:v>Current official degree page.</x:v>
      </x:c>
    </x:row>
    <x:row r="50" ht="28" customHeight="1">
      <x:c r="A50" s="57" t="n">
        <x:v>66</x:v>
      </x:c>
      <x:c r="B50" s="21" t="str">
        <x:v>McMaster University</x:v>
      </x:c>
      <x:c r="C50" s="21" t="str">
        <x:v>Canada</x:v>
      </x:c>
      <x:c r="D50" s="53" t="str">
        <x:v>THE Impact</x:v>
      </x:c>
      <x:c r="E50" s="21" t="str">
        <x:v>No directly qualifying sustainability/environment master's confirmed</x:v>
      </x:c>
      <x:c r="F50" s="21" t="str">
        <x:v>Unresolved</x:v>
      </x:c>
      <x:c r="G50" s="21" t="str">
        <x:v>Manual review required</x:v>
      </x:c>
      <x:c r="H50" s="53" t="str">
        <x:v>https://continuing.mcmaster.ca/programs/business/sustainability/</x:v>
      </x:c>
      <x:c r="I50" s="21" t="str">
        <x:v>2026-07-18</x:v>
      </x:c>
      <x:c r="J50" s="53" t="str">
        <x:v>OK</x:v>
      </x:c>
      <x:c r="K50" s="21" t="n">
        <x:v>200</x:v>
      </x:c>
      <x:c r="L50" s="21" t="str">
        <x:v>The official page found is a continuing-education sustainability certificate/diploma, not a master's degree.</x:v>
      </x:c>
    </x:row>
    <x:row r="51" ht="28" customHeight="1">
      <x:c r="A51" s="58" t="n">
        <x:v>67</x:v>
      </x:c>
      <x:c r="B51" s="51" t="str">
        <x:v>Chulalongkorn University</x:v>
      </x:c>
      <x:c r="C51" s="51" t="str">
        <x:v>Thailand</x:v>
      </x:c>
      <x:c r="D51" s="54" t="str">
        <x:v>THE Impact</x:v>
      </x:c>
      <x:c r="E51" s="51" t="str">
        <x:v>MA Environment, Development and Sustainability</x:v>
      </x:c>
      <x:c r="F51" s="51" t="str">
        <x:v>Direct</x:v>
      </x:c>
      <x:c r="G51" s="51" t="str">
        <x:v>Confirmed</x:v>
      </x:c>
      <x:c r="H51" s="54" t="str">
        <x:v>https://www.eds.grad.chula.ac.th/academics/degree-program/</x:v>
      </x:c>
      <x:c r="I51" s="51" t="str">
        <x:v>2026-07-18</x:v>
      </x:c>
      <x:c r="J51" s="54" t="str">
        <x:v>Automated fetch failed</x:v>
      </x:c>
      <x:c r="K51" s="51"/>
      <x:c r="L51" s="51" t="str">
        <x:v>Current official degree page.</x:v>
      </x:c>
    </x:row>
    <x:row r="52" ht="28" customHeight="1">
      <x:c r="A52" s="57" t="n">
        <x:v>68</x:v>
      </x:c>
      <x:c r="B52" s="21" t="str">
        <x:v>Kyungpook National University (KNU)</x:v>
      </x:c>
      <x:c r="C52" s="21" t="str">
        <x:v>South Korea</x:v>
      </x:c>
      <x:c r="D52" s="53" t="str">
        <x:v>THE Impact</x:v>
      </x:c>
      <x:c r="E52" s="21" t="str">
        <x:v>Graduate major in Environmental and Energy Engineering</x:v>
      </x:c>
      <x:c r="F52" s="21" t="str">
        <x:v>Best-fit</x:v>
      </x:c>
      <x:c r="G52" s="21" t="str">
        <x:v>Confirmed</x:v>
      </x:c>
      <x:c r="H52" s="53" t="str">
        <x:v>https://en.knu.ac.kr/admission/foreign02_inc.htm</x:v>
      </x:c>
      <x:c r="I52" s="21" t="str">
        <x:v>2026-07-18</x:v>
      </x:c>
      <x:c r="J52" s="53" t="str">
        <x:v>OK</x:v>
      </x:c>
      <x:c r="K52" s="21" t="n">
        <x:v>200</x:v>
      </x:c>
      <x:c r="L52" s="21" t="str">
        <x:v>Official graduate admissions listing; dedicated English program page was not located.</x:v>
      </x:c>
    </x:row>
    <x:row r="53" ht="28" customHeight="1">
      <x:c r="A53" s="58" t="n">
        <x:v>69</x:v>
      </x:c>
      <x:c r="B53" s="51" t="str">
        <x:v>The Hong Kong University of Science and Technology</x:v>
      </x:c>
      <x:c r="C53" s="51" t="str">
        <x:v>Hong Kong</x:v>
      </x:c>
      <x:c r="D53" s="54" t="str">
        <x:v>THE Impact</x:v>
      </x:c>
      <x:c r="E53" s="51" t="str">
        <x:v>MSc in Environmental Engineering and Management</x:v>
      </x:c>
      <x:c r="F53" s="51" t="str">
        <x:v>Direct</x:v>
      </x:c>
      <x:c r="G53" s="51" t="str">
        <x:v>Confirmed</x:v>
      </x:c>
      <x:c r="H53" s="54" t="str">
        <x:v>https://cee.hkust.edu.hk/msc-environmental-engineering-and-management</x:v>
      </x:c>
      <x:c r="I53" s="51" t="str">
        <x:v>2026-07-18</x:v>
      </x:c>
      <x:c r="J53" s="54" t="str">
        <x:v>Automated fetch failed</x:v>
      </x:c>
      <x:c r="K53" s="51"/>
      <x:c r="L53" s="51" t="str">
        <x:v>Carried forward and included for URL recheck.</x:v>
      </x:c>
    </x:row>
    <x:row r="54" ht="28" customHeight="1">
      <x:c r="A54" s="57" t="n">
        <x:v>70</x:v>
      </x:c>
      <x:c r="B54" s="21" t="str">
        <x:v>Lovely Professional University</x:v>
      </x:c>
      <x:c r="C54" s="21" t="str">
        <x:v>India</x:v>
      </x:c>
      <x:c r="D54" s="53" t="str">
        <x:v>THE Impact</x:v>
      </x:c>
      <x:c r="E54" s="21" t="str">
        <x:v>MSc Environmental Sciences</x:v>
      </x:c>
      <x:c r="F54" s="21" t="str">
        <x:v>Direct</x:v>
      </x:c>
      <x:c r="G54" s="21" t="str">
        <x:v>Confirmed</x:v>
      </x:c>
      <x:c r="H54" s="53" t="str">
        <x:v>https://www.lpu.in/international/programmes/msc-environmental-sciences</x:v>
      </x:c>
      <x:c r="I54" s="21" t="str">
        <x:v>2026-07-18</x:v>
      </x:c>
      <x:c r="J54" s="53" t="str">
        <x:v>OK</x:v>
      </x:c>
      <x:c r="K54" s="21" t="n">
        <x:v>200</x:v>
      </x:c>
      <x:c r="L54" s="21" t="str">
        <x:v>Current official international-program page.</x:v>
      </x:c>
    </x:row>
    <x:row r="55" ht="28" customHeight="1">
      <x:c r="A55" s="58" t="n">
        <x:v>71</x:v>
      </x:c>
      <x:c r="B55" s="51" t="str">
        <x:v>University of Malaya</x:v>
      </x:c>
      <x:c r="C55" s="51" t="str">
        <x:v>Malaysia</x:v>
      </x:c>
      <x:c r="D55" s="54" t="str">
        <x:v>THE Impact</x:v>
      </x:c>
      <x:c r="E55" s="51" t="str">
        <x:v>Master of Sustainability Science</x:v>
      </x:c>
      <x:c r="F55" s="51" t="str">
        <x:v>Direct</x:v>
      </x:c>
      <x:c r="G55" s="51" t="str">
        <x:v>Confirmed</x:v>
      </x:c>
      <x:c r="H55" s="54" t="str">
        <x:v>https://sts.um.edu.my/master-of-sustainability-science.html</x:v>
      </x:c>
      <x:c r="I55" s="51" t="str">
        <x:v>2026-07-18</x:v>
      </x:c>
      <x:c r="J55" s="54" t="str">
        <x:v>OK</x:v>
      </x:c>
      <x:c r="K55" s="51" t="n">
        <x:v>200</x:v>
      </x:c>
      <x:c r="L55" s="51" t="str">
        <x:v>Current official degree page.</x:v>
      </x:c>
    </x:row>
    <x:row r="56" ht="28" customHeight="1">
      <x:c r="A56" s="57" t="n">
        <x:v>72</x:v>
      </x:c>
      <x:c r="B56" s="21" t="str">
        <x:v>Aalborg University</x:v>
      </x:c>
      <x:c r="C56" s="21" t="str">
        <x:v>Denmark</x:v>
      </x:c>
      <x:c r="D56" s="53" t="str">
        <x:v>THE Impact</x:v>
      </x:c>
      <x:c r="E56" s="21" t="str">
        <x:v>MSc Engineering in Sustainable Cities</x:v>
      </x:c>
      <x:c r="F56" s="21" t="str">
        <x:v>Direct</x:v>
      </x:c>
      <x:c r="G56" s="21" t="str">
        <x:v>Confirmed</x:v>
      </x:c>
      <x:c r="H56" s="53" t="str">
        <x:v>https://www.en.aau.dk/education/master/sustainable-cities</x:v>
      </x:c>
      <x:c r="I56" s="21" t="str">
        <x:v>2026-07-18</x:v>
      </x:c>
      <x:c r="J56" s="53" t="str">
        <x:v>OK</x:v>
      </x:c>
      <x:c r="K56" s="21" t="n">
        <x:v>200</x:v>
      </x:c>
      <x:c r="L56" s="21" t="str">
        <x:v>Current official degree page.</x:v>
      </x:c>
    </x:row>
    <x:row r="57" ht="28" customHeight="1">
      <x:c r="A57" s="58" t="n">
        <x:v>73</x:v>
      </x:c>
      <x:c r="B57" s="51" t="str">
        <x:v>Kyung Hee University</x:v>
      </x:c>
      <x:c r="C57" s="51" t="str">
        <x:v>South Korea</x:v>
      </x:c>
      <x:c r="D57" s="54" t="str">
        <x:v>THE Impact</x:v>
      </x:c>
      <x:c r="E57" s="51" t="str">
        <x:v>Graduate pathway in Environmental Science and Engineering</x:v>
      </x:c>
      <x:c r="F57" s="51" t="str">
        <x:v>Best-fit</x:v>
      </x:c>
      <x:c r="G57" s="51" t="str">
        <x:v>Confirmed</x:v>
      </x:c>
      <x:c r="H57" s="54" t="str">
        <x:v>https://eng.khu.ac.kr/eng_eng/user/contents/view.do?menuNo=17200012</x:v>
      </x:c>
      <x:c r="I57" s="51" t="str">
        <x:v>2026-07-18</x:v>
      </x:c>
      <x:c r="J57" s="54" t="str">
        <x:v>OK</x:v>
      </x:c>
      <x:c r="K57" s="51" t="n">
        <x:v>200</x:v>
      </x:c>
      <x:c r="L57" s="51" t="str">
        <x:v>Official department page; not a standalone sustainability master's page.</x:v>
      </x:c>
    </x:row>
    <x:row r="58" ht="28" customHeight="1">
      <x:c r="A58" s="57" t="n">
        <x:v>74</x:v>
      </x:c>
      <x:c r="B58" s="21" t="str">
        <x:v>University of Victoria</x:v>
      </x:c>
      <x:c r="C58" s="21" t="str">
        <x:v>Canada</x:v>
      </x:c>
      <x:c r="D58" s="53" t="str">
        <x:v>THE Impact</x:v>
      </x:c>
      <x:c r="E58" s="21" t="str">
        <x:v>MA/MSc Environmental Studies</x:v>
      </x:c>
      <x:c r="F58" s="21" t="str">
        <x:v>Research</x:v>
      </x:c>
      <x:c r="G58" s="21" t="str">
        <x:v>Confirmed</x:v>
      </x:c>
      <x:c r="H58" s="53" t="str">
        <x:v>https://www.uvic.ca/socialsciences/environmental/programs/graduate/index.php</x:v>
      </x:c>
      <x:c r="I58" s="21" t="str">
        <x:v>2026-07-18</x:v>
      </x:c>
      <x:c r="J58" s="53" t="str">
        <x:v>OK</x:v>
      </x:c>
      <x:c r="K58" s="21" t="n">
        <x:v>200</x:v>
      </x:c>
      <x:c r="L58" s="21" t="str">
        <x:v>Official research-master's page.</x:v>
      </x:c>
    </x:row>
    <x:row r="59" ht="28" customHeight="1">
      <x:c r="A59" s="58" t="n">
        <x:v>76</x:v>
      </x:c>
      <x:c r="B59" s="51" t="str">
        <x:v>Central Queensland University</x:v>
      </x:c>
      <x:c r="C59" s="51" t="str">
        <x:v>Australia</x:v>
      </x:c>
      <x:c r="D59" s="54" t="str">
        <x:v>THE Impact</x:v>
      </x:c>
      <x:c r="E59" s="51" t="str">
        <x:v>Master of Sustainable Development</x:v>
      </x:c>
      <x:c r="F59" s="51" t="str">
        <x:v>Direct</x:v>
      </x:c>
      <x:c r="G59" s="51" t="str">
        <x:v>Confirmed</x:v>
      </x:c>
      <x:c r="H59" s="54" t="str">
        <x:v>https://handbook.cqu.edu.au/he/courses/view/CM82/HT1/2025</x:v>
      </x:c>
      <x:c r="I59" s="51" t="str">
        <x:v>2026-07-18</x:v>
      </x:c>
      <x:c r="J59" s="54" t="str">
        <x:v>OK</x:v>
      </x:c>
      <x:c r="K59" s="51" t="n">
        <x:v>200</x:v>
      </x:c>
      <x:c r="L59" s="51" t="str">
        <x:v>Official handbook page; the page shows current course information and 2026 fees.</x:v>
      </x:c>
    </x:row>
    <x:row r="60" ht="28" customHeight="1">
      <x:c r="A60" s="57" t="n">
        <x:v>77</x:v>
      </x:c>
      <x:c r="B60" s="21" t="str">
        <x:v>University of Newcastle</x:v>
      </x:c>
      <x:c r="C60" s="21" t="str">
        <x:v>Australia</x:v>
      </x:c>
      <x:c r="D60" s="53" t="str">
        <x:v>THE Impact</x:v>
      </x:c>
      <x:c r="E60" s="21" t="str">
        <x:v>Master of Environmental Management and Sustainability</x:v>
      </x:c>
      <x:c r="F60" s="21" t="str">
        <x:v>Direct</x:v>
      </x:c>
      <x:c r="G60" s="21" t="str">
        <x:v>Confirmed</x:v>
      </x:c>
      <x:c r="H60" s="53" t="str">
        <x:v>https://www.newcastle.edu.au/degrees/master-environmental-management-sustainability</x:v>
      </x:c>
      <x:c r="I60" s="21" t="str">
        <x:v>2026-07-18</x:v>
      </x:c>
      <x:c r="J60" s="53" t="str">
        <x:v>Blocked by site (403)</x:v>
      </x:c>
      <x:c r="K60" s="21" t="n">
        <x:v>403</x:v>
      </x:c>
      <x:c r="L60" s="21" t="str">
        <x:v>Current official degree page.</x:v>
      </x:c>
    </x:row>
    <x:row r="61" ht="28" customHeight="1">
      <x:c r="A61" s="58" t="n">
        <x:v>78</x:v>
      </x:c>
      <x:c r="B61" s="51" t="str">
        <x:v>Northumbria University</x:v>
      </x:c>
      <x:c r="C61" s="51" t="str">
        <x:v>United Kingdom</x:v>
      </x:c>
      <x:c r="D61" s="54" t="str">
        <x:v>THE Impact</x:v>
      </x:c>
      <x:c r="E61" s="51" t="str">
        <x:v>MSc Disaster Management and Sustainable Development</x:v>
      </x:c>
      <x:c r="F61" s="51" t="str">
        <x:v>Direct</x:v>
      </x:c>
      <x:c r="G61" s="51" t="str">
        <x:v>Confirmed</x:v>
      </x:c>
      <x:c r="H61" s="54" t="str">
        <x:v>https://www.northumbria.ac.uk/study-at-northumbria/courses/disaster-management-and-sustainable-development-with-advanced-practice-msc-ft-dtsdds6/</x:v>
      </x:c>
      <x:c r="I61" s="51" t="str">
        <x:v>2026-07-18</x:v>
      </x:c>
      <x:c r="J61" s="54" t="str">
        <x:v>OK</x:v>
      </x:c>
      <x:c r="K61" s="51" t="n">
        <x:v>200</x:v>
      </x:c>
      <x:c r="L61" s="51" t="str">
        <x:v>Current official 2026 program page.</x:v>
      </x:c>
    </x:row>
    <x:row r="62" ht="28" customHeight="1">
      <x:c r="A62" s="57" t="n">
        <x:v>79</x:v>
      </x:c>
      <x:c r="B62" s="21" t="str">
        <x:v>University of Indonesia</x:v>
      </x:c>
      <x:c r="C62" s="21" t="str">
        <x:v>Indonesia</x:v>
      </x:c>
      <x:c r="D62" s="53" t="str">
        <x:v>THE Impact</x:v>
      </x:c>
      <x:c r="E62" s="21" t="str">
        <x:v>Master of Environmental Science</x:v>
      </x:c>
      <x:c r="F62" s="21" t="str">
        <x:v>Direct</x:v>
      </x:c>
      <x:c r="G62" s="21" t="str">
        <x:v>Confirmed</x:v>
      </x:c>
      <x:c r="H62" s="53" t="str">
        <x:v>https://sil.ui.ac.id/en/master-of-environmental-science/</x:v>
      </x:c>
      <x:c r="I62" s="21" t="str">
        <x:v>2026-07-18</x:v>
      </x:c>
      <x:c r="J62" s="53" t="str">
        <x:v>OK</x:v>
      </x:c>
      <x:c r="K62" s="21" t="n">
        <x:v>200</x:v>
      </x:c>
      <x:c r="L62" s="21" t="str">
        <x:v>Current official degree page.</x:v>
      </x:c>
    </x:row>
    <x:row r="63" ht="28" customHeight="1">
      <x:c r="A63" s="58" t="n">
        <x:v>80</x:v>
      </x:c>
      <x:c r="B63" s="51" t="str">
        <x:v>An-Najah National University</x:v>
      </x:c>
      <x:c r="C63" s="51" t="str">
        <x:v>Palestine</x:v>
      </x:c>
      <x:c r="D63" s="54" t="str">
        <x:v>THE Impact</x:v>
      </x:c>
      <x:c r="E63" s="51" t="str">
        <x:v>MSc Environmental Sciences</x:v>
      </x:c>
      <x:c r="F63" s="51" t="str">
        <x:v>Direct</x:v>
      </x:c>
      <x:c r="G63" s="51" t="str">
        <x:v>Confirmed</x:v>
      </x:c>
      <x:c r="H63" s="54" t="str">
        <x:v>https://www.najah.edu/en/academic/postgraduate-programs/program/environmental-sciences/info-card/</x:v>
      </x:c>
      <x:c r="I63" s="51" t="str">
        <x:v>2026-07-18</x:v>
      </x:c>
      <x:c r="J63" s="54" t="str">
        <x:v>OK</x:v>
      </x:c>
      <x:c r="K63" s="51" t="n">
        <x:v>200</x:v>
      </x:c>
      <x:c r="L63" s="51" t="str">
        <x:v>Current official degree page.</x:v>
      </x:c>
    </x:row>
    <x:row r="64" ht="28" customHeight="1">
      <x:c r="A64" s="59" t="n">
        <x:v>81</x:v>
      </x:c>
      <x:c r="B64" s="22" t="str">
        <x:v>Arizona State University (Tempe)</x:v>
      </x:c>
      <x:c r="C64" s="22" t="str">
        <x:v>United States</x:v>
      </x:c>
      <x:c r="D64" s="55" t="str">
        <x:v>THE Impact</x:v>
      </x:c>
      <x:c r="E64" s="22" t="str">
        <x:v>Master of Sustainability Solutions</x:v>
      </x:c>
      <x:c r="F64" s="22" t="str">
        <x:v>Direct</x:v>
      </x:c>
      <x:c r="G64" s="22" t="str">
        <x:v>Confirmed</x:v>
      </x:c>
      <x:c r="H64" s="55" t="str">
        <x:v>https://degrees.apps.asu.edu/masters-phd/major/ASU00/SUSUSOMSUS/sustainability-solutions-msus?init=false&amp;nopassive=true</x:v>
      </x:c>
      <x:c r="I64" s="22" t="str">
        <x:v>2026-07-18</x:v>
      </x:c>
      <x:c r="J64" s="55" t="str">
        <x:v>OK</x:v>
      </x:c>
      <x:c r="K64" s="22" t="n">
        <x:v>200</x:v>
      </x:c>
      <x:c r="L64" s="22" t="str">
        <x:v>Official degree-search page for the Tempe program.</x:v>
      </x:c>
    </x:row>
  </x:sheetData>
  <x:mergeCells>
    <x:mergeCell ref="A1:L1"/>
    <x:mergeCell ref="A2:L2"/>
  </x:mergeCells>
  <x:pageMargins left="0.7" right="0.7" top="0.75" bottom="0.75" header="0.3" footer="0.3"/>
  <x:tableParts count="1">
    <x:tablePart xmlns:r="http://schemas.openxmlformats.org/officeDocument/2006/relationships" r:id="R8432799f2a264a4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30" hidden="0" customWidth="1"/>
    <x:col min="4" max="4" width="24" hidden="0" customWidth="1"/>
    <x:col min="5" max="5" width="18" hidden="0" customWidth="1"/>
    <x:col min="6" max="6" width="13" hidden="0" customWidth="1"/>
    <x:col min="7" max="7" width="18" hidden="0" customWidth="1"/>
    <x:col min="8" max="8" width="18" hidden="0" customWidth="1"/>
    <x:col min="9" max="9" width="18" hidden="0" customWidth="1"/>
    <x:col min="10" max="10" width="14" hidden="0" customWidth="1"/>
    <x:col min="11" max="11" width="18" hidden="0" customWidth="1"/>
    <x:col min="12" max="12" width="18" hidden="0" customWidth="1"/>
    <x:col min="13" max="13" width="20" hidden="0" customWidth="1"/>
    <x:col min="14" max="14" width="16" hidden="0" customWidth="1"/>
    <x:col min="15" max="15" width="44" hidden="0" customWidth="1"/>
  </x:cols>
  <x:sheetData>
    <x:row r="1" ht="28" customHeight="1">
      <x:c r="A1" s="3" t="str">
        <x:v>QS Sustainability Rankings 2026 - 30 Selected Programs</x:v>
      </x:c>
      <x:c r="B1" s="3"/>
      <x:c r="C1" s="3"/>
      <x:c r="D1" s="3"/>
      <x:c r="E1" s="3"/>
      <x:c r="F1" s="3"/>
      <x:c r="G1" s="3"/>
      <x:c r="H1" s="3"/>
      <x:c r="I1" s="3"/>
      <x:c r="J1" s="3"/>
      <x:c r="K1" s="3"/>
      <x:c r="L1" s="3"/>
      <x:c r="M1" s="3"/>
      <x:c r="N1" s="3"/>
      <x:c r="O1" s="3"/>
    </x:row>
    <x:row r="2" ht="34" customHeight="1">
      <x:c r="A2" s="7" t="str">
        <x:v>Exactly 30 records in official ranking order. Rank 30 and score 95.3 are tied; official source order is the final deterministic tiebreaker.</x:v>
      </x:c>
      <x:c r="B2" s="7"/>
      <x:c r="C2" s="7"/>
      <x:c r="D2" s="7"/>
      <x:c r="E2" s="7"/>
      <x:c r="F2" s="7"/>
      <x:c r="G2" s="7"/>
      <x:c r="H2" s="7"/>
      <x:c r="I2" s="7"/>
      <x:c r="J2" s="7"/>
      <x:c r="K2" s="7"/>
      <x:c r="L2" s="7"/>
      <x:c r="M2" s="7"/>
      <x:c r="N2" s="7"/>
      <x:c r="O2" s="7"/>
    </x:row>
    <x:row r="4" ht="38" customHeight="1">
      <x:c r="A4" s="47" t="str">
        <x:v>Rank</x:v>
      </x:c>
      <x:c r="B4" s="48" t="str">
        <x:v>Rank Number</x:v>
      </x:c>
      <x:c r="C4" s="48" t="str">
        <x:v>University</x:v>
      </x:c>
      <x:c r="D4" s="48" t="str">
        <x:v>Location</x:v>
      </x:c>
      <x:c r="E4" s="48" t="str">
        <x:v>Country</x:v>
      </x:c>
      <x:c r="F4" s="48" t="str">
        <x:v>Overall Score</x:v>
      </x:c>
      <x:c r="G4" s="48" t="str">
        <x:v>Environmental Sustainability</x:v>
      </x:c>
      <x:c r="H4" s="48" t="str">
        <x:v>Environmental Education</x:v>
      </x:c>
      <x:c r="I4" s="48" t="str">
        <x:v>Environmental Research</x:v>
      </x:c>
      <x:c r="J4" s="48" t="str">
        <x:v>Equality</x:v>
      </x:c>
      <x:c r="K4" s="48" t="str">
        <x:v>Knowledge Exchange</x:v>
      </x:c>
      <x:c r="L4" s="48" t="str">
        <x:v>Impact of Education</x:v>
      </x:c>
      <x:c r="M4" s="48" t="str">
        <x:v>Employability &amp; Opportunities</x:v>
      </x:c>
      <x:c r="N4" s="48" t="str">
        <x:v>Good Governance</x:v>
      </x:c>
      <x:c r="O4" s="49" t="str">
        <x:v>QS Profile URL</x:v>
      </x:c>
    </x:row>
    <x:row r="5" ht="36" customHeight="1">
      <x:c r="A5" s="50" t="str">
        <x:v>1</x:v>
      </x:c>
      <x:c r="B5" s="50" t="n">
        <x:v>1</x:v>
      </x:c>
      <x:c r="C5" s="50" t="str">
        <x:v>Lund University</x:v>
      </x:c>
      <x:c r="D5" s="50" t="str">
        <x:v>Lund, Sweden</x:v>
      </x:c>
      <x:c r="E5" s="50" t="str">
        <x:v>Sweden</x:v>
      </x:c>
      <x:c r="F5" s="50" t="n">
        <x:v>100</x:v>
      </x:c>
      <x:c r="G5" s="50" t="n">
        <x:v>99.8</x:v>
      </x:c>
      <x:c r="H5" s="50" t="n">
        <x:v>98.7</x:v>
      </x:c>
      <x:c r="I5" s="50" t="n">
        <x:v>99.8</x:v>
      </x:c>
      <x:c r="J5" s="50"/>
      <x:c r="K5" s="50"/>
      <x:c r="L5" s="50"/>
      <x:c r="M5" s="50"/>
      <x:c r="N5" s="50"/>
      <x:c r="O5" s="52" t="str">
        <x:v>https://www.topuniversities.com/universities/lund-university</x:v>
      </x:c>
    </x:row>
    <x:row r="6" ht="36" customHeight="1">
      <x:c r="A6" s="21" t="str">
        <x:v>2</x:v>
      </x:c>
      <x:c r="B6" s="21" t="n">
        <x:v>2</x:v>
      </x:c>
      <x:c r="C6" s="21" t="str">
        <x:v>University of Toronto</x:v>
      </x:c>
      <x:c r="D6" s="21" t="str">
        <x:v>Toronto, Canada</x:v>
      </x:c>
      <x:c r="E6" s="21" t="str">
        <x:v>Canada</x:v>
      </x:c>
      <x:c r="F6" s="21" t="n">
        <x:v>99.8</x:v>
      </x:c>
      <x:c r="G6" s="21" t="n">
        <x:v>95.1</x:v>
      </x:c>
      <x:c r="H6" s="21" t="n">
        <x:v>99.9</x:v>
      </x:c>
      <x:c r="I6" s="21" t="n">
        <x:v>98.8</x:v>
      </x:c>
      <x:c r="J6" s="21"/>
      <x:c r="K6" s="21"/>
      <x:c r="L6" s="21"/>
      <x:c r="M6" s="21"/>
      <x:c r="N6" s="21"/>
      <x:c r="O6" s="53" t="str">
        <x:v>https://www.topuniversities.com/universities/university-toronto</x:v>
      </x:c>
    </x:row>
    <x:row r="7" ht="36" customHeight="1">
      <x:c r="A7" s="51" t="str">
        <x:v>3</x:v>
      </x:c>
      <x:c r="B7" s="51" t="n">
        <x:v>3</x:v>
      </x:c>
      <x:c r="C7" s="51" t="str">
        <x:v>UCL</x:v>
      </x:c>
      <x:c r="D7" s="51" t="str">
        <x:v>London, United Kingdom</x:v>
      </x:c>
      <x:c r="E7" s="51" t="str">
        <x:v>United Kingdom</x:v>
      </x:c>
      <x:c r="F7" s="51" t="n">
        <x:v>99</x:v>
      </x:c>
      <x:c r="G7" s="51" t="n">
        <x:v>95.8</x:v>
      </x:c>
      <x:c r="H7" s="51" t="n">
        <x:v>95.5</x:v>
      </x:c>
      <x:c r="I7" s="51" t="n">
        <x:v>98.1</x:v>
      </x:c>
      <x:c r="J7" s="51"/>
      <x:c r="K7" s="51"/>
      <x:c r="L7" s="51"/>
      <x:c r="M7" s="51"/>
      <x:c r="N7" s="51"/>
      <x:c r="O7" s="54" t="str">
        <x:v>https://www.topuniversities.com/universities/ucl</x:v>
      </x:c>
    </x:row>
    <x:row r="8" ht="36" customHeight="1">
      <x:c r="A8" s="21" t="str">
        <x:v>4</x:v>
      </x:c>
      <x:c r="B8" s="21" t="n">
        <x:v>4</x:v>
      </x:c>
      <x:c r="C8" s="21" t="str">
        <x:v>The University of Edinburgh</x:v>
      </x:c>
      <x:c r="D8" s="21" t="str">
        <x:v>Edinburgh, United Kingdom</x:v>
      </x:c>
      <x:c r="E8" s="21" t="str">
        <x:v>United Kingdom</x:v>
      </x:c>
      <x:c r="F8" s="21" t="n">
        <x:v>98.7</x:v>
      </x:c>
      <x:c r="G8" s="21" t="n">
        <x:v>90.5</x:v>
      </x:c>
      <x:c r="H8" s="21" t="n">
        <x:v>98.7</x:v>
      </x:c>
      <x:c r="I8" s="21" t="n">
        <x:v>97.8</x:v>
      </x:c>
      <x:c r="J8" s="21"/>
      <x:c r="K8" s="21"/>
      <x:c r="L8" s="21"/>
      <x:c r="M8" s="21"/>
      <x:c r="N8" s="21"/>
      <x:c r="O8" s="53" t="str">
        <x:v>https://www.topuniversities.com/universities/university-edinburgh</x:v>
      </x:c>
    </x:row>
    <x:row r="9" ht="36" customHeight="1">
      <x:c r="A9" s="51" t="str">
        <x:v>5</x:v>
      </x:c>
      <x:c r="B9" s="51" t="n">
        <x:v>5</x:v>
      </x:c>
      <x:c r="C9" s="51" t="str">
        <x:v>University of British Columbia</x:v>
      </x:c>
      <x:c r="D9" s="51" t="str">
        <x:v>Vancouver, Canada</x:v>
      </x:c>
      <x:c r="E9" s="51" t="str">
        <x:v>Canada</x:v>
      </x:c>
      <x:c r="F9" s="51" t="n">
        <x:v>98.6</x:v>
      </x:c>
      <x:c r="G9" s="51" t="n">
        <x:v>88.1</x:v>
      </x:c>
      <x:c r="H9" s="51" t="n">
        <x:v>99.5</x:v>
      </x:c>
      <x:c r="I9" s="51" t="n">
        <x:v>98.8</x:v>
      </x:c>
      <x:c r="J9" s="51"/>
      <x:c r="K9" s="51"/>
      <x:c r="L9" s="51"/>
      <x:c r="M9" s="51"/>
      <x:c r="N9" s="51"/>
      <x:c r="O9" s="54" t="str">
        <x:v>https://www.topuniversities.com/universities/university-british-columbia</x:v>
      </x:c>
    </x:row>
    <x:row r="10" ht="36" customHeight="1">
      <x:c r="A10" s="21" t="str">
        <x:v>6</x:v>
      </x:c>
      <x:c r="B10" s="21" t="n">
        <x:v>6</x:v>
      </x:c>
      <x:c r="C10" s="21" t="str">
        <x:v>The London School of Economics and Political Science (LSE)</x:v>
      </x:c>
      <x:c r="D10" s="21" t="str">
        <x:v>London, United Kingdom</x:v>
      </x:c>
      <x:c r="E10" s="21" t="str">
        <x:v>United Kingdom</x:v>
      </x:c>
      <x:c r="F10" s="21" t="n">
        <x:v>98.5</x:v>
      </x:c>
      <x:c r="G10" s="21" t="n">
        <x:v>95.2</x:v>
      </x:c>
      <x:c r="H10" s="21" t="n">
        <x:v>96.1</x:v>
      </x:c>
      <x:c r="I10" s="21" t="n">
        <x:v>95.7</x:v>
      </x:c>
      <x:c r="J10" s="21"/>
      <x:c r="K10" s="21"/>
      <x:c r="L10" s="21"/>
      <x:c r="M10" s="21"/>
      <x:c r="N10" s="21"/>
      <x:c r="O10" s="53" t="str">
        <x:v>https://www.topuniversities.com/universities/london-school-economics-political-science-lse</x:v>
      </x:c>
    </x:row>
    <x:row r="11" ht="36" customHeight="1">
      <x:c r="A11" s="51" t="n">
        <x:v>7</x:v>
      </x:c>
      <x:c r="B11" s="51" t="n">
        <x:v>7</x:v>
      </x:c>
      <x:c r="C11" s="51" t="str">
        <x:v>Imperial College London</x:v>
      </x:c>
      <x:c r="D11" s="51" t="str">
        <x:v>London, United Kingdom</x:v>
      </x:c>
      <x:c r="E11" s="51" t="str">
        <x:v>United Kingdom</x:v>
      </x:c>
      <x:c r="F11" s="51" t="n">
        <x:v>98.2</x:v>
      </x:c>
      <x:c r="G11" s="51" t="n">
        <x:v>92.6</x:v>
      </x:c>
      <x:c r="H11" s="51" t="n">
        <x:v>99.8</x:v>
      </x:c>
      <x:c r="I11" s="51" t="n">
        <x:v>98</x:v>
      </x:c>
      <x:c r="J11" s="51"/>
      <x:c r="K11" s="51"/>
      <x:c r="L11" s="51"/>
      <x:c r="M11" s="51"/>
      <x:c r="N11" s="51"/>
      <x:c r="O11" s="54" t="str">
        <x:v>https://www.topuniversities.com/universities/imperial-college-london</x:v>
      </x:c>
    </x:row>
    <x:row r="12" ht="36" customHeight="1">
      <x:c r="A12" s="21" t="n">
        <x:v>7</x:v>
      </x:c>
      <x:c r="B12" s="21" t="n">
        <x:v>7</x:v>
      </x:c>
      <x:c r="C12" s="21" t="str">
        <x:v>The University of New South Wales (UNSW Sydney)</x:v>
      </x:c>
      <x:c r="D12" s="21" t="str">
        <x:v>Sydney, Australia</x:v>
      </x:c>
      <x:c r="E12" s="21" t="str">
        <x:v>Australia</x:v>
      </x:c>
      <x:c r="F12" s="21" t="n">
        <x:v>98.2</x:v>
      </x:c>
      <x:c r="G12" s="21" t="n">
        <x:v>89.9</x:v>
      </x:c>
      <x:c r="H12" s="21" t="n">
        <x:v>99</x:v>
      </x:c>
      <x:c r="I12" s="21" t="n">
        <x:v>92.3</x:v>
      </x:c>
      <x:c r="J12" s="21"/>
      <x:c r="K12" s="21"/>
      <x:c r="L12" s="21"/>
      <x:c r="M12" s="21"/>
      <x:c r="N12" s="21"/>
      <x:c r="O12" s="53" t="str">
        <x:v>https://www.topuniversities.com/universities/university-new-south-wales-unsw-sydney</x:v>
      </x:c>
    </x:row>
    <x:row r="13" ht="36" customHeight="1">
      <x:c r="A13" s="51" t="str">
        <x:v>9</x:v>
      </x:c>
      <x:c r="B13" s="51" t="n">
        <x:v>9</x:v>
      </x:c>
      <x:c r="C13" s="51" t="str">
        <x:v>McGill University</x:v>
      </x:c>
      <x:c r="D13" s="51" t="str">
        <x:v>Montreal, Canada</x:v>
      </x:c>
      <x:c r="E13" s="51" t="str">
        <x:v>Canada</x:v>
      </x:c>
      <x:c r="F13" s="51" t="n">
        <x:v>98.1</x:v>
      </x:c>
      <x:c r="G13" s="51" t="n">
        <x:v>91.6</x:v>
      </x:c>
      <x:c r="H13" s="51" t="n">
        <x:v>99.7</x:v>
      </x:c>
      <x:c r="I13" s="51" t="n">
        <x:v>98.7</x:v>
      </x:c>
      <x:c r="J13" s="51"/>
      <x:c r="K13" s="51"/>
      <x:c r="L13" s="51"/>
      <x:c r="M13" s="51"/>
      <x:c r="N13" s="51"/>
      <x:c r="O13" s="54" t="str">
        <x:v>https://www.topuniversities.com/universities/mcgill-university</x:v>
      </x:c>
    </x:row>
    <x:row r="14" ht="36" customHeight="1">
      <x:c r="A14" s="21" t="str">
        <x:v>10</x:v>
      </x:c>
      <x:c r="B14" s="21" t="n">
        <x:v>10</x:v>
      </x:c>
      <x:c r="C14" s="21" t="str">
        <x:v>The University of Manchester</x:v>
      </x:c>
      <x:c r="D14" s="21" t="str">
        <x:v>Manchester, United Kingdom</x:v>
      </x:c>
      <x:c r="E14" s="21" t="str">
        <x:v>United Kingdom</x:v>
      </x:c>
      <x:c r="F14" s="21" t="n">
        <x:v>98</x:v>
      </x:c>
      <x:c r="G14" s="21" t="n">
        <x:v>85.6</x:v>
      </x:c>
      <x:c r="H14" s="21" t="n">
        <x:v>99.4</x:v>
      </x:c>
      <x:c r="I14" s="21" t="n">
        <x:v>98</x:v>
      </x:c>
      <x:c r="J14" s="21"/>
      <x:c r="K14" s="21"/>
      <x:c r="L14" s="21"/>
      <x:c r="M14" s="21"/>
      <x:c r="N14" s="21"/>
      <x:c r="O14" s="53" t="str">
        <x:v>https://www.topuniversities.com/universities/university-manchester</x:v>
      </x:c>
    </x:row>
    <x:row r="15" ht="36" customHeight="1">
      <x:c r="A15" s="51" t="n">
        <x:v>11</x:v>
      </x:c>
      <x:c r="B15" s="51" t="n">
        <x:v>11</x:v>
      </x:c>
      <x:c r="C15" s="51" t="str">
        <x:v>ETH Zurich</x:v>
      </x:c>
      <x:c r="D15" s="51" t="str">
        <x:v>Zürich, Switzerland</x:v>
      </x:c>
      <x:c r="E15" s="51" t="str">
        <x:v>Switzerland</x:v>
      </x:c>
      <x:c r="F15" s="51" t="n">
        <x:v>97.9</x:v>
      </x:c>
      <x:c r="G15" s="51" t="n">
        <x:v>92.1</x:v>
      </x:c>
      <x:c r="H15" s="51" t="n">
        <x:v>99.8</x:v>
      </x:c>
      <x:c r="I15" s="51" t="n">
        <x:v>99.5</x:v>
      </x:c>
      <x:c r="J15" s="51"/>
      <x:c r="K15" s="51"/>
      <x:c r="L15" s="51"/>
      <x:c r="M15" s="51"/>
      <x:c r="N15" s="51"/>
      <x:c r="O15" s="54" t="str">
        <x:v>https://www.topuniversities.com/universities/eth-zurich</x:v>
      </x:c>
    </x:row>
    <x:row r="16" ht="36" customHeight="1">
      <x:c r="A16" s="21" t="n">
        <x:v>11</x:v>
      </x:c>
      <x:c r="B16" s="21" t="n">
        <x:v>11</x:v>
      </x:c>
      <x:c r="C16" s="21" t="str">
        <x:v>The University of Melbourne</x:v>
      </x:c>
      <x:c r="D16" s="21" t="str">
        <x:v>Melbourne, Australia</x:v>
      </x:c>
      <x:c r="E16" s="21" t="str">
        <x:v>Australia</x:v>
      </x:c>
      <x:c r="F16" s="21" t="n">
        <x:v>97.9</x:v>
      </x:c>
      <x:c r="G16" s="21" t="n">
        <x:v>89</x:v>
      </x:c>
      <x:c r="H16" s="21" t="n">
        <x:v>98.3</x:v>
      </x:c>
      <x:c r="I16" s="21" t="n">
        <x:v>92.2</x:v>
      </x:c>
      <x:c r="J16" s="21"/>
      <x:c r="K16" s="21"/>
      <x:c r="L16" s="21"/>
      <x:c r="M16" s="21"/>
      <x:c r="N16" s="21"/>
      <x:c r="O16" s="53" t="str">
        <x:v>https://www.topuniversities.com/universities/university-melbourne</x:v>
      </x:c>
    </x:row>
    <x:row r="17" ht="36" customHeight="1">
      <x:c r="A17" s="51" t="n">
        <x:v>11</x:v>
      </x:c>
      <x:c r="B17" s="51" t="n">
        <x:v>11</x:v>
      </x:c>
      <x:c r="C17" s="51" t="str">
        <x:v>University of California, Berkeley (UCB)</x:v>
      </x:c>
      <x:c r="D17" s="51" t="str">
        <x:v>Berkeley, United States</x:v>
      </x:c>
      <x:c r="E17" s="51" t="str">
        <x:v>United States</x:v>
      </x:c>
      <x:c r="F17" s="51" t="n">
        <x:v>97.9</x:v>
      </x:c>
      <x:c r="G17" s="51" t="n">
        <x:v>94.5</x:v>
      </x:c>
      <x:c r="H17" s="51" t="n">
        <x:v>100</x:v>
      </x:c>
      <x:c r="I17" s="51" t="n">
        <x:v>98.4</x:v>
      </x:c>
      <x:c r="J17" s="51"/>
      <x:c r="K17" s="51"/>
      <x:c r="L17" s="51"/>
      <x:c r="M17" s="51"/>
      <x:c r="N17" s="51"/>
      <x:c r="O17" s="54" t="str">
        <x:v>https://www.topuniversities.com/universities/university-california-berkeley-ucb</x:v>
      </x:c>
    </x:row>
    <x:row r="18" ht="36" customHeight="1">
      <x:c r="A18" s="21" t="str">
        <x:v>13</x:v>
      </x:c>
      <x:c r="B18" s="21" t="n">
        <x:v>13</x:v>
      </x:c>
      <x:c r="C18" s="21" t="str">
        <x:v>Stanford University</x:v>
      </x:c>
      <x:c r="D18" s="21" t="str">
        <x:v>Stanford, United States</x:v>
      </x:c>
      <x:c r="E18" s="21" t="str">
        <x:v>United States</x:v>
      </x:c>
      <x:c r="F18" s="21" t="n">
        <x:v>97.8</x:v>
      </x:c>
      <x:c r="G18" s="21" t="n">
        <x:v>93.3</x:v>
      </x:c>
      <x:c r="H18" s="21" t="n">
        <x:v>100</x:v>
      </x:c>
      <x:c r="I18" s="21" t="n">
        <x:v>98.5</x:v>
      </x:c>
      <x:c r="J18" s="21"/>
      <x:c r="K18" s="21"/>
      <x:c r="L18" s="21"/>
      <x:c r="M18" s="21"/>
      <x:c r="N18" s="21"/>
      <x:c r="O18" s="53" t="str">
        <x:v>https://www.topuniversities.com/universities/stanford-university</x:v>
      </x:c>
    </x:row>
    <x:row r="19" ht="36" customHeight="1">
      <x:c r="A19" s="51" t="str">
        <x:v>14</x:v>
      </x:c>
      <x:c r="B19" s="51" t="n">
        <x:v>14</x:v>
      </x:c>
      <x:c r="C19" s="51" t="str">
        <x:v>University of Oxford</x:v>
      </x:c>
      <x:c r="D19" s="51" t="str">
        <x:v>Oxford, United Kingdom</x:v>
      </x:c>
      <x:c r="E19" s="51" t="str">
        <x:v>United Kingdom</x:v>
      </x:c>
      <x:c r="F19" s="51" t="n">
        <x:v>97.7</x:v>
      </x:c>
      <x:c r="G19" s="51" t="n">
        <x:v>97.7</x:v>
      </x:c>
      <x:c r="H19" s="51" t="n">
        <x:v>100</x:v>
      </x:c>
      <x:c r="I19" s="51" t="n">
        <x:v>98.1</x:v>
      </x:c>
      <x:c r="J19" s="51"/>
      <x:c r="K19" s="51"/>
      <x:c r="L19" s="51"/>
      <x:c r="M19" s="51"/>
      <x:c r="N19" s="51"/>
      <x:c r="O19" s="54" t="str">
        <x:v>https://www.topuniversities.com/universities/university-oxford</x:v>
      </x:c>
    </x:row>
    <x:row r="20" ht="36" customHeight="1">
      <x:c r="A20" s="21" t="str">
        <x:v>15</x:v>
      </x:c>
      <x:c r="B20" s="21" t="n">
        <x:v>15</x:v>
      </x:c>
      <x:c r="C20" s="21" t="str">
        <x:v>The University of Sydney</x:v>
      </x:c>
      <x:c r="D20" s="21" t="str">
        <x:v>Sydney, Australia</x:v>
      </x:c>
      <x:c r="E20" s="21" t="str">
        <x:v>Australia</x:v>
      </x:c>
      <x:c r="F20" s="21" t="n">
        <x:v>97.3</x:v>
      </x:c>
      <x:c r="G20" s="21" t="n">
        <x:v>86</x:v>
      </x:c>
      <x:c r="H20" s="21" t="n">
        <x:v>99.5</x:v>
      </x:c>
      <x:c r="I20" s="21" t="n">
        <x:v>92.2</x:v>
      </x:c>
      <x:c r="J20" s="21"/>
      <x:c r="K20" s="21"/>
      <x:c r="L20" s="21"/>
      <x:c r="M20" s="21"/>
      <x:c r="N20" s="21"/>
      <x:c r="O20" s="53" t="str">
        <x:v>https://www.topuniversities.com/universities/university-sydney</x:v>
      </x:c>
    </x:row>
    <x:row r="21" ht="36" customHeight="1">
      <x:c r="A21" s="51" t="n">
        <x:v>16</x:v>
      </x:c>
      <x:c r="B21" s="51" t="n">
        <x:v>16</x:v>
      </x:c>
      <x:c r="C21" s="51" t="str">
        <x:v>Australian National University (ANU)</x:v>
      </x:c>
      <x:c r="D21" s="51" t="str">
        <x:v>Canberra, Australia</x:v>
      </x:c>
      <x:c r="E21" s="51" t="str">
        <x:v>Australia</x:v>
      </x:c>
      <x:c r="F21" s="51" t="n">
        <x:v>97.2</x:v>
      </x:c>
      <x:c r="G21" s="51" t="n">
        <x:v>89.7</x:v>
      </x:c>
      <x:c r="H21" s="51" t="n">
        <x:v>94.8</x:v>
      </x:c>
      <x:c r="I21" s="51" t="n">
        <x:v>92.1</x:v>
      </x:c>
      <x:c r="J21" s="51"/>
      <x:c r="K21" s="51"/>
      <x:c r="L21" s="51"/>
      <x:c r="M21" s="51"/>
      <x:c r="N21" s="51"/>
      <x:c r="O21" s="54" t="str">
        <x:v>https://www.topuniversities.com/universities/australian-national-university-anu</x:v>
      </x:c>
    </x:row>
    <x:row r="22" ht="36" customHeight="1">
      <x:c r="A22" s="21" t="n">
        <x:v>16</x:v>
      </x:c>
      <x:c r="B22" s="21" t="n">
        <x:v>16</x:v>
      </x:c>
      <x:c r="C22" s="21" t="str">
        <x:v>King's College London</x:v>
      </x:c>
      <x:c r="D22" s="21" t="str">
        <x:v>London, United Kingdom</x:v>
      </x:c>
      <x:c r="E22" s="21" t="str">
        <x:v>United Kingdom</x:v>
      </x:c>
      <x:c r="F22" s="21" t="n">
        <x:v>97.2</x:v>
      </x:c>
      <x:c r="G22" s="21" t="n">
        <x:v>89.7</x:v>
      </x:c>
      <x:c r="H22" s="21" t="n">
        <x:v>94.4</x:v>
      </x:c>
      <x:c r="I22" s="21" t="n">
        <x:v>96.9</x:v>
      </x:c>
      <x:c r="J22" s="21"/>
      <x:c r="K22" s="21"/>
      <x:c r="L22" s="21"/>
      <x:c r="M22" s="21"/>
      <x:c r="N22" s="21"/>
      <x:c r="O22" s="53" t="str">
        <x:v>https://www.topuniversities.com/universities/kings-college-london</x:v>
      </x:c>
    </x:row>
    <x:row r="23" ht="36" customHeight="1">
      <x:c r="A23" s="51" t="str">
        <x:v>19</x:v>
      </x:c>
      <x:c r="B23" s="51" t="n">
        <x:v>19</x:v>
      </x:c>
      <x:c r="C23" s="51" t="str">
        <x:v>University of Bristol</x:v>
      </x:c>
      <x:c r="D23" s="51" t="str">
        <x:v>Bristol, United Kingdom</x:v>
      </x:c>
      <x:c r="E23" s="51" t="str">
        <x:v>United Kingdom</x:v>
      </x:c>
      <x:c r="F23" s="51" t="n">
        <x:v>96.9</x:v>
      </x:c>
      <x:c r="G23" s="51" t="n">
        <x:v>79</x:v>
      </x:c>
      <x:c r="H23" s="51" t="n">
        <x:v>96.7</x:v>
      </x:c>
      <x:c r="I23" s="51" t="n">
        <x:v>97.6</x:v>
      </x:c>
      <x:c r="J23" s="51"/>
      <x:c r="K23" s="51"/>
      <x:c r="L23" s="51"/>
      <x:c r="M23" s="51"/>
      <x:c r="N23" s="51"/>
      <x:c r="O23" s="54" t="str">
        <x:v>https://www.topuniversities.com/universities/university-bristol</x:v>
      </x:c>
    </x:row>
    <x:row r="24" ht="36" customHeight="1">
      <x:c r="A24" s="21" t="str">
        <x:v>20</x:v>
      </x:c>
      <x:c r="B24" s="21" t="n">
        <x:v>20</x:v>
      </x:c>
      <x:c r="C24" s="21" t="str">
        <x:v>New York University (NYU)</x:v>
      </x:c>
      <x:c r="D24" s="21" t="str">
        <x:v>New York City, United States</x:v>
      </x:c>
      <x:c r="E24" s="21" t="str">
        <x:v>United States</x:v>
      </x:c>
      <x:c r="F24" s="21" t="n">
        <x:v>96.3</x:v>
      </x:c>
      <x:c r="G24" s="21" t="n">
        <x:v>97.5</x:v>
      </x:c>
      <x:c r="H24" s="21" t="n">
        <x:v>94.5</x:v>
      </x:c>
      <x:c r="I24" s="21" t="n">
        <x:v>96.5</x:v>
      </x:c>
      <x:c r="J24" s="21"/>
      <x:c r="K24" s="21"/>
      <x:c r="L24" s="21"/>
      <x:c r="M24" s="21"/>
      <x:c r="N24" s="21"/>
      <x:c r="O24" s="53" t="str">
        <x:v>https://www.topuniversities.com/universities/new-york-university-nyu</x:v>
      </x:c>
    </x:row>
    <x:row r="25" ht="36" customHeight="1">
      <x:c r="A25" s="51" t="str">
        <x:v>21</x:v>
      </x:c>
      <x:c r="B25" s="51" t="n">
        <x:v>21</x:v>
      </x:c>
      <x:c r="C25" s="51" t="str">
        <x:v>Pennsylvania State University</x:v>
      </x:c>
      <x:c r="D25" s="51" t="str">
        <x:v>University Park, United States</x:v>
      </x:c>
      <x:c r="E25" s="51" t="str">
        <x:v>United States</x:v>
      </x:c>
      <x:c r="F25" s="51" t="n">
        <x:v>96.1</x:v>
      </x:c>
      <x:c r="G25" s="51" t="n">
        <x:v>85.1</x:v>
      </x:c>
      <x:c r="H25" s="51" t="n">
        <x:v>95.3</x:v>
      </x:c>
      <x:c r="I25" s="51" t="n">
        <x:v>98.2</x:v>
      </x:c>
      <x:c r="J25" s="51"/>
      <x:c r="K25" s="51"/>
      <x:c r="L25" s="51"/>
      <x:c r="M25" s="51"/>
      <x:c r="N25" s="51"/>
      <x:c r="O25" s="54" t="str">
        <x:v>https://www.topuniversities.com/universities/pennsylvania-state-university</x:v>
      </x:c>
    </x:row>
    <x:row r="26" ht="36" customHeight="1">
      <x:c r="A26" s="21" t="n">
        <x:v>22</x:v>
      </x:c>
      <x:c r="B26" s="21" t="n">
        <x:v>22</x:v>
      </x:c>
      <x:c r="C26" s="21" t="str">
        <x:v>KU Leuven</x:v>
      </x:c>
      <x:c r="D26" s="21" t="str">
        <x:v>Leuven, Belgium</x:v>
      </x:c>
      <x:c r="E26" s="21" t="str">
        <x:v>Belgium</x:v>
      </x:c>
      <x:c r="F26" s="21" t="n">
        <x:v>95.9</x:v>
      </x:c>
      <x:c r="G26" s="21" t="n">
        <x:v>87</x:v>
      </x:c>
      <x:c r="H26" s="21" t="n">
        <x:v>87.9</x:v>
      </x:c>
      <x:c r="I26" s="21" t="n">
        <x:v>99.2</x:v>
      </x:c>
      <x:c r="J26" s="21"/>
      <x:c r="K26" s="21"/>
      <x:c r="L26" s="21"/>
      <x:c r="M26" s="21"/>
      <x:c r="N26" s="21"/>
      <x:c r="O26" s="53" t="str">
        <x:v>https://www.topuniversities.com/universities/ku-leuven</x:v>
      </x:c>
    </x:row>
    <x:row r="27" ht="36" customHeight="1">
      <x:c r="A27" s="51" t="n">
        <x:v>22</x:v>
      </x:c>
      <x:c r="B27" s="51" t="n">
        <x:v>22</x:v>
      </x:c>
      <x:c r="C27" s="51" t="str">
        <x:v>University of Helsinki</x:v>
      </x:c>
      <x:c r="D27" s="51" t="str">
        <x:v>Helsinki, Finland</x:v>
      </x:c>
      <x:c r="E27" s="51" t="str">
        <x:v>Finland</x:v>
      </x:c>
      <x:c r="F27" s="51" t="n">
        <x:v>95.9</x:v>
      </x:c>
      <x:c r="G27" s="51" t="n">
        <x:v>87.9</x:v>
      </x:c>
      <x:c r="H27" s="51" t="n">
        <x:v>91.4</x:v>
      </x:c>
      <x:c r="I27" s="51" t="n">
        <x:v>99.6</x:v>
      </x:c>
      <x:c r="J27" s="51"/>
      <x:c r="K27" s="51"/>
      <x:c r="L27" s="51"/>
      <x:c r="M27" s="51"/>
      <x:c r="N27" s="51"/>
      <x:c r="O27" s="54" t="str">
        <x:v>https://www.topuniversities.com/universities/university-helsinki</x:v>
      </x:c>
    </x:row>
    <x:row r="28" ht="36" customHeight="1">
      <x:c r="A28" s="21" t="n">
        <x:v>24</x:v>
      </x:c>
      <x:c r="B28" s="21" t="n">
        <x:v>24</x:v>
      </x:c>
      <x:c r="C28" s="21" t="str">
        <x:v>Durham University</x:v>
      </x:c>
      <x:c r="D28" s="21" t="str">
        <x:v>Durham, United Kingdom</x:v>
      </x:c>
      <x:c r="E28" s="21" t="str">
        <x:v>United Kingdom</x:v>
      </x:c>
      <x:c r="F28" s="21" t="n">
        <x:v>95.8</x:v>
      </x:c>
      <x:c r="G28" s="21" t="n">
        <x:v>82.2</x:v>
      </x:c>
      <x:c r="H28" s="21" t="n">
        <x:v>94.9</x:v>
      </x:c>
      <x:c r="I28" s="21" t="n">
        <x:v>96.7</x:v>
      </x:c>
      <x:c r="J28" s="21"/>
      <x:c r="K28" s="21"/>
      <x:c r="L28" s="21"/>
      <x:c r="M28" s="21"/>
      <x:c r="N28" s="21"/>
      <x:c r="O28" s="53" t="str">
        <x:v>https://www.topuniversities.com/universities/durham-university</x:v>
      </x:c>
    </x:row>
    <x:row r="29" ht="36" customHeight="1">
      <x:c r="A29" s="51" t="n">
        <x:v>24</x:v>
      </x:c>
      <x:c r="B29" s="51" t="n">
        <x:v>24</x:v>
      </x:c>
      <x:c r="C29" s="51" t="str">
        <x:v>University of Leeds</x:v>
      </x:c>
      <x:c r="D29" s="51" t="str">
        <x:v>Leeds, United Kingdom</x:v>
      </x:c>
      <x:c r="E29" s="51" t="str">
        <x:v>United Kingdom</x:v>
      </x:c>
      <x:c r="F29" s="51" t="n">
        <x:v>95.8</x:v>
      </x:c>
      <x:c r="G29" s="51" t="n">
        <x:v>78.2</x:v>
      </x:c>
      <x:c r="H29" s="51" t="n">
        <x:v>95.4</x:v>
      </x:c>
      <x:c r="I29" s="51" t="n">
        <x:v>98</x:v>
      </x:c>
      <x:c r="J29" s="51"/>
      <x:c r="K29" s="51"/>
      <x:c r="L29" s="51"/>
      <x:c r="M29" s="51"/>
      <x:c r="N29" s="51"/>
      <x:c r="O29" s="54" t="str">
        <x:v>https://www.topuniversities.com/universities/university-leeds</x:v>
      </x:c>
    </x:row>
    <x:row r="30" ht="36" customHeight="1">
      <x:c r="A30" s="21" t="n">
        <x:v>24</x:v>
      </x:c>
      <x:c r="B30" s="21" t="n">
        <x:v>24</x:v>
      </x:c>
      <x:c r="C30" s="21" t="str">
        <x:v>Western University</x:v>
      </x:c>
      <x:c r="D30" s="21" t="str">
        <x:v>London, Canada</x:v>
      </x:c>
      <x:c r="E30" s="21" t="str">
        <x:v>Canada</x:v>
      </x:c>
      <x:c r="F30" s="21" t="n">
        <x:v>95.8</x:v>
      </x:c>
      <x:c r="G30" s="21" t="n">
        <x:v>83.5</x:v>
      </x:c>
      <x:c r="H30" s="21" t="n">
        <x:v>96.2</x:v>
      </x:c>
      <x:c r="I30" s="21" t="n">
        <x:v>97.8</x:v>
      </x:c>
      <x:c r="J30" s="21"/>
      <x:c r="K30" s="21"/>
      <x:c r="L30" s="21"/>
      <x:c r="M30" s="21"/>
      <x:c r="N30" s="21"/>
      <x:c r="O30" s="53" t="str">
        <x:v>https://www.topuniversities.com/universities/western-university</x:v>
      </x:c>
    </x:row>
    <x:row r="31" ht="36" customHeight="1">
      <x:c r="A31" s="51" t="str">
        <x:v>27</x:v>
      </x:c>
      <x:c r="B31" s="51" t="n">
        <x:v>27</x:v>
      </x:c>
      <x:c r="C31" s="51" t="str">
        <x:v>University of Glasgow</x:v>
      </x:c>
      <x:c r="D31" s="51" t="str">
        <x:v>Glasgow, United Kingdom</x:v>
      </x:c>
      <x:c r="E31" s="51" t="str">
        <x:v>United Kingdom</x:v>
      </x:c>
      <x:c r="F31" s="51" t="n">
        <x:v>95.7</x:v>
      </x:c>
      <x:c r="G31" s="51" t="n">
        <x:v>77.4</x:v>
      </x:c>
      <x:c r="H31" s="51" t="n">
        <x:v>96</x:v>
      </x:c>
      <x:c r="I31" s="51" t="n">
        <x:v>97.4</x:v>
      </x:c>
      <x:c r="J31" s="51"/>
      <x:c r="K31" s="51"/>
      <x:c r="L31" s="51"/>
      <x:c r="M31" s="51"/>
      <x:c r="N31" s="51"/>
      <x:c r="O31" s="54" t="str">
        <x:v>https://www.topuniversities.com/universities/university-glasgow</x:v>
      </x:c>
    </x:row>
    <x:row r="32" ht="36" customHeight="1">
      <x:c r="A32" s="21" t="str">
        <x:v>28</x:v>
      </x:c>
      <x:c r="B32" s="21" t="n">
        <x:v>28</x:v>
      </x:c>
      <x:c r="C32" s="21" t="str">
        <x:v>The University of Auckland</x:v>
      </x:c>
      <x:c r="D32" s="21" t="str">
        <x:v>Auckland, New Zealand</x:v>
      </x:c>
      <x:c r="E32" s="21" t="str">
        <x:v>New Zealand</x:v>
      </x:c>
      <x:c r="F32" s="21" t="n">
        <x:v>95.5</x:v>
      </x:c>
      <x:c r="G32" s="21" t="n">
        <x:v>76.4</x:v>
      </x:c>
      <x:c r="H32" s="21" t="n">
        <x:v>99</x:v>
      </x:c>
      <x:c r="I32" s="21" t="n">
        <x:v>98.1</x:v>
      </x:c>
      <x:c r="J32" s="21"/>
      <x:c r="K32" s="21"/>
      <x:c r="L32" s="21"/>
      <x:c r="M32" s="21"/>
      <x:c r="N32" s="21"/>
      <x:c r="O32" s="53" t="str">
        <x:v>https://www.topuniversities.com/universities/university-auckland</x:v>
      </x:c>
    </x:row>
    <x:row r="33" ht="36" customHeight="1">
      <x:c r="A33" s="51" t="str">
        <x:v>29</x:v>
      </x:c>
      <x:c r="B33" s="51" t="n">
        <x:v>29</x:v>
      </x:c>
      <x:c r="C33" s="51" t="str">
        <x:v>Trinity College Dublin, The University of Dublin</x:v>
      </x:c>
      <x:c r="D33" s="51" t="str">
        <x:v>Dublin, Ireland</x:v>
      </x:c>
      <x:c r="E33" s="51" t="str">
        <x:v>Ireland</x:v>
      </x:c>
      <x:c r="F33" s="51" t="n">
        <x:v>95.4</x:v>
      </x:c>
      <x:c r="G33" s="51" t="n">
        <x:v>77.3</x:v>
      </x:c>
      <x:c r="H33" s="51" t="n">
        <x:v>97.4</x:v>
      </x:c>
      <x:c r="I33" s="51" t="n">
        <x:v>97.5</x:v>
      </x:c>
      <x:c r="J33" s="51"/>
      <x:c r="K33" s="51"/>
      <x:c r="L33" s="51"/>
      <x:c r="M33" s="51"/>
      <x:c r="N33" s="51"/>
      <x:c r="O33" s="54" t="str">
        <x:v>https://www.topuniversities.com/universities/trinity-college-dublin-university-dublin</x:v>
      </x:c>
    </x:row>
    <x:row r="34" ht="36" customHeight="1">
      <x:c r="A34" s="22" t="n">
        <x:v>30</x:v>
      </x:c>
      <x:c r="B34" s="22" t="n">
        <x:v>30</x:v>
      </x:c>
      <x:c r="C34" s="22" t="str">
        <x:v>University of Pennsylvania</x:v>
      </x:c>
      <x:c r="D34" s="22" t="str">
        <x:v>Philadelphia, United States</x:v>
      </x:c>
      <x:c r="E34" s="22" t="str">
        <x:v>United States</x:v>
      </x:c>
      <x:c r="F34" s="22" t="n">
        <x:v>95.3</x:v>
      </x:c>
      <x:c r="G34" s="22" t="n">
        <x:v>93.6</x:v>
      </x:c>
      <x:c r="H34" s="22" t="n">
        <x:v>99</x:v>
      </x:c>
      <x:c r="I34" s="22" t="n">
        <x:v>81</x:v>
      </x:c>
      <x:c r="J34" s="22"/>
      <x:c r="K34" s="22"/>
      <x:c r="L34" s="22"/>
      <x:c r="M34" s="22"/>
      <x:c r="N34" s="22"/>
      <x:c r="O34" s="55" t="str">
        <x:v>https://www.topuniversities.com/universities/university-pennsylvania</x:v>
      </x:c>
    </x:row>
  </x:sheetData>
  <x:mergeCells>
    <x:mergeCell ref="A1:O1"/>
    <x:mergeCell ref="A2:O2"/>
  </x:mergeCells>
  <x:pageMargins left="0.7" right="0.7" top="0.75" bottom="0.75" header="0.3" footer="0.3"/>
  <x:tableParts count="1">
    <x:tablePart xmlns:r="http://schemas.openxmlformats.org/officeDocument/2006/relationships" r:id="Rfb6c6da341ad46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30" hidden="0" customWidth="1"/>
    <x:col min="4" max="4" width="18" hidden="0" customWidth="1"/>
    <x:col min="5" max="5" width="13" hidden="0" customWidth="1"/>
    <x:col min="6" max="6" width="13" hidden="0" customWidth="1"/>
    <x:col min="7" max="7" width="55" hidden="0" customWidth="1"/>
    <x:col min="8" max="8" width="48" hidden="0" customWidth="1"/>
  </x:cols>
  <x:sheetData>
    <x:row r="1" ht="28" customHeight="1">
      <x:c r="A1" s="3" t="str">
        <x:v>THE Sustainability Impact Ratings 2026 - 30 Additional Programs</x:v>
      </x:c>
      <x:c r="B1" s="3"/>
      <x:c r="C1" s="3"/>
      <x:c r="D1" s="3"/>
      <x:c r="E1" s="3"/>
      <x:c r="F1" s="3"/>
      <x:c r="G1" s="3"/>
      <x:c r="H1" s="3"/>
    </x:row>
    <x:row r="2" ht="34" customHeight="1">
      <x:c r="A2" s="7" t="str">
        <x:v>The 30 highest-ranked THE records not already selected in the QS cohort. Removing overlap keeps 60 distinct programs and extends this cohort through rank 33.</x:v>
      </x:c>
      <x:c r="B2" s="7"/>
      <x:c r="C2" s="7"/>
      <x:c r="D2" s="7"/>
      <x:c r="E2" s="7"/>
      <x:c r="F2" s="7"/>
      <x:c r="G2" s="7"/>
      <x:c r="H2" s="7"/>
    </x:row>
    <x:row r="4" ht="38" customHeight="1">
      <x:c r="A4" s="47" t="str">
        <x:v>Rank</x:v>
      </x:c>
      <x:c r="B4" s="48" t="str">
        <x:v>Rank Number</x:v>
      </x:c>
      <x:c r="C4" s="48" t="str">
        <x:v>University</x:v>
      </x:c>
      <x:c r="D4" s="48" t="str">
        <x:v>Country</x:v>
      </x:c>
      <x:c r="E4" s="48" t="str">
        <x:v>Overall Score</x:v>
      </x:c>
      <x:c r="F4" s="48" t="str">
        <x:v>SDG 17 Score</x:v>
      </x:c>
      <x:c r="G4" s="48" t="str">
        <x:v>Top SDG Scores (published text)</x:v>
      </x:c>
      <x:c r="H4" s="49" t="str">
        <x:v>THE Profile URL</x:v>
      </x:c>
    </x:row>
    <x:row r="5" ht="28" customHeight="1">
      <x:c r="A5" s="50" t="str">
        <x:v>2</x:v>
      </x:c>
      <x:c r="B5" s="50" t="n">
        <x:v>2</x:v>
      </x:c>
      <x:c r="C5" s="50" t="str">
        <x:v>Griffith University</x:v>
      </x:c>
      <x:c r="D5" s="50" t="str">
        <x:v>Australia</x:v>
      </x:c>
      <x:c r="E5" s="50" t="n">
        <x:v>97.9</x:v>
      </x:c>
      <x:c r="F5" s="50" t="n">
        <x:v>95.6</x:v>
      </x:c>
      <x:c r="G5" s="50" t="str">
        <x:v>14 LIFE BELOW WATER 95.6 6 CLEAN WATER AND SANITATION 92.4 15 LIFE ON LAND 94.7</x:v>
      </x:c>
      <x:c r="H5" s="52" t="str">
        <x:v>https://www.timeshighereducation.com/world-university-rankings/griffith-university</x:v>
      </x:c>
    </x:row>
    <x:row r="6" ht="28" customHeight="1">
      <x:c r="A6" s="21" t="str">
        <x:v>3</x:v>
      </x:c>
      <x:c r="B6" s="21" t="n">
        <x:v>3</x:v>
      </x:c>
      <x:c r="C6" s="21" t="str">
        <x:v>Western Sydney University</x:v>
      </x:c>
      <x:c r="D6" s="21" t="str">
        <x:v>Australia</x:v>
      </x:c>
      <x:c r="E6" s="21" t="n">
        <x:v>97.8</x:v>
      </x:c>
      <x:c r="F6" s="21" t="n">
        <x:v>94.3</x:v>
      </x:c>
      <x:c r="G6" s="21" t="str">
        <x:v>15 LIFE ON LAND 95.9 12 RESPONSIBLE CONSUMPTION AND PRODUCTION 92.0 10 REDUCING INEQUALITIES 92.3</x:v>
      </x:c>
      <x:c r="H6" s="53" t="str">
        <x:v>https://www.timeshighereducation.com/world-university-rankings/western-sydney-university</x:v>
      </x:c>
    </x:row>
    <x:row r="7" ht="28" customHeight="1">
      <x:c r="A7" s="51" t="str">
        <x:v>4</x:v>
      </x:c>
      <x:c r="B7" s="51" t="n">
        <x:v>4</x:v>
      </x:c>
      <x:c r="C7" s="51" t="str">
        <x:v>Queen’s University</x:v>
      </x:c>
      <x:c r="D7" s="51" t="str">
        <x:v>Canada</x:v>
      </x:c>
      <x:c r="E7" s="51" t="n">
        <x:v>97.5</x:v>
      </x:c>
      <x:c r="F7" s="51" t="n">
        <x:v>93.5</x:v>
      </x:c>
      <x:c r="G7" s="51" t="str">
        <x:v>2 ZERO HUNGER 92.2 11 SUSTAINABLE CITIES AND COMMUNITIES 93.6 16 PEACE, JUSTICE AND STRONG INSTITUTIONS 87.5</x:v>
      </x:c>
      <x:c r="H7" s="54" t="str">
        <x:v>https://www.timeshighereducation.com/world-university-rankings/queens-university</x:v>
      </x:c>
    </x:row>
    <x:row r="8" ht="28" customHeight="1">
      <x:c r="A8" s="21" t="str">
        <x:v>5</x:v>
      </x:c>
      <x:c r="B8" s="21" t="n">
        <x:v>5</x:v>
      </x:c>
      <x:c r="C8" s="21" t="str">
        <x:v>Universiti Sains Malaysia</x:v>
      </x:c>
      <x:c r="D8" s="21" t="str">
        <x:v>Malaysia</x:v>
      </x:c>
      <x:c r="E8" s="21" t="n">
        <x:v>97.3</x:v>
      </x:c>
      <x:c r="F8" s="21" t="n">
        <x:v>99.6</x:v>
      </x:c>
      <x:c r="G8" s="21" t="str">
        <x:v>1 NO POVERTY 92.5 14 LIFE BELOW WATER 91.1 15 LIFE ON LAND 91.7</x:v>
      </x:c>
      <x:c r="H8" s="53" t="str">
        <x:v>https://www.timeshighereducation.com/world-university-rankings/universiti-sains-malaysia</x:v>
      </x:c>
    </x:row>
    <x:row r="9" ht="28" customHeight="1">
      <x:c r="A9" s="51" t="str">
        <x:v>6</x:v>
      </x:c>
      <x:c r="B9" s="51" t="n">
        <x:v>6</x:v>
      </x:c>
      <x:c r="C9" s="51" t="str">
        <x:v>Hanyang University</x:v>
      </x:c>
      <x:c r="D9" s="51" t="str">
        <x:v>South Korea</x:v>
      </x:c>
      <x:c r="E9" s="51" t="n">
        <x:v>96.8</x:v>
      </x:c>
      <x:c r="F9" s="51" t="n">
        <x:v>95.2</x:v>
      </x:c>
      <x:c r="G9" s="51" t="str">
        <x:v>9 INDUSTRY, INNOVATION, AND INFRASTRUCTURE 99.9 14 LIFE BELOW WATER 91.6 8 DECENT WORK AND ECONOMIC GROWTH 85.8</x:v>
      </x:c>
      <x:c r="H9" s="54" t="str">
        <x:v>https://www.timeshighereducation.com/world-university-rankings/hanyang-university</x:v>
      </x:c>
    </x:row>
    <x:row r="10" ht="28" customHeight="1">
      <x:c r="A10" s="21" t="n">
        <x:v>7</x:v>
      </x:c>
      <x:c r="B10" s="21" t="n">
        <x:v>7</x:v>
      </x:c>
      <x:c r="C10" s="21" t="str">
        <x:v>Hokkaido University</x:v>
      </x:c>
      <x:c r="D10" s="21" t="str">
        <x:v>Japan</x:v>
      </x:c>
      <x:c r="E10" s="21" t="n">
        <x:v>96.3</x:v>
      </x:c>
      <x:c r="F10" s="21" t="n">
        <x:v>94.1</x:v>
      </x:c>
      <x:c r="G10" s="21" t="str">
        <x:v>2 ZERO HUNGER 91.4 9 INDUSTRY, INNOVATION, AND INFRASTRUCTURE 98.0 15 LIFE ON LAND 92.3</x:v>
      </x:c>
      <x:c r="H10" s="53" t="str">
        <x:v>https://www.timeshighereducation.com/world-university-rankings/hokkaido-university</x:v>
      </x:c>
    </x:row>
    <x:row r="11" ht="28" customHeight="1">
      <x:c r="A11" s="51" t="n">
        <x:v>7</x:v>
      </x:c>
      <x:c r="B11" s="51" t="n">
        <x:v>7</x:v>
      </x:c>
      <x:c r="C11" s="51" t="str">
        <x:v>Universiti Kebangsaan Malaysia</x:v>
      </x:c>
      <x:c r="D11" s="51" t="str">
        <x:v>Malaysia</x:v>
      </x:c>
      <x:c r="E11" s="51" t="n">
        <x:v>96.3</x:v>
      </x:c>
      <x:c r="F11" s="51" t="n">
        <x:v>96.5</x:v>
      </x:c>
      <x:c r="G11" s="51" t="str">
        <x:v>16 PEACE, JUSTICE AND STRONG INSTITUTIONS 90.8 11 SUSTAINABLE CITIES AND COMMUNITIES 92.8 1 NO POVERTY 90.6</x:v>
      </x:c>
      <x:c r="H11" s="54" t="str">
        <x:v>https://www.timeshighereducation.com/world-university-rankings/universiti-kebangsaan-malaysia</x:v>
      </x:c>
    </x:row>
    <x:row r="12" ht="28" customHeight="1">
      <x:c r="A12" s="21" t="str">
        <x:v>9</x:v>
      </x:c>
      <x:c r="B12" s="21" t="n">
        <x:v>9</x:v>
      </x:c>
      <x:c r="C12" s="21" t="str">
        <x:v>Institut Agro</x:v>
      </x:c>
      <x:c r="D12" s="21" t="str">
        <x:v>France</x:v>
      </x:c>
      <x:c r="E12" s="21" t="n">
        <x:v>96.1</x:v>
      </x:c>
      <x:c r="F12" s="21" t="n">
        <x:v>98.9</x:v>
      </x:c>
      <x:c r="G12" s="21" t="str">
        <x:v>15 LIFE ON LAND 95.2 2 ZERO HUNGER 89.8 14 LIFE BELOW WATER 90.7</x:v>
      </x:c>
      <x:c r="H12" s="53" t="str">
        <x:v>https://www.timeshighereducation.com/world-university-rankings/institut-agro</x:v>
      </x:c>
    </x:row>
    <x:row r="13" ht="28" customHeight="1">
      <x:c r="A13" s="51" t="n">
        <x:v>10</x:v>
      </x:c>
      <x:c r="B13" s="51" t="n">
        <x:v>10</x:v>
      </x:c>
      <x:c r="C13" s="51" t="str">
        <x:v>National Taiwan University (NTU)</x:v>
      </x:c>
      <x:c r="D13" s="51" t="str">
        <x:v>Taiwan</x:v>
      </x:c>
      <x:c r="E13" s="51" t="n">
        <x:v>96</x:v>
      </x:c>
      <x:c r="F13" s="51"/>
      <x:c r="G13" s="51" t="str">
        <x:v>9 INDUSTRY, INNOVATION, AND INFRASTRUCTURE 99.9 2 ZERO HUNGER 91.1 3 GOOD HEALTH AND WELL-BEING 91.8</x:v>
      </x:c>
      <x:c r="H13" s="54" t="str">
        <x:v>https://www.timeshighereducation.com/world-university-rankings/national-taiwan-university-ntu</x:v>
      </x:c>
    </x:row>
    <x:row r="14" ht="28" customHeight="1">
      <x:c r="A14" s="21" t="n">
        <x:v>10</x:v>
      </x:c>
      <x:c r="B14" s="21" t="n">
        <x:v>10</x:v>
      </x:c>
      <x:c r="C14" s="21" t="str">
        <x:v>University of Alberta</x:v>
      </x:c>
      <x:c r="D14" s="21" t="str">
        <x:v>Canada</x:v>
      </x:c>
      <x:c r="E14" s="21" t="n">
        <x:v>96</x:v>
      </x:c>
      <x:c r="F14" s="21" t="n">
        <x:v>92.9</x:v>
      </x:c>
      <x:c r="G14" s="21" t="str">
        <x:v>9 INDUSTRY, INNOVATION, AND INFRASTRUCTURE 100.0 14 LIFE BELOW WATER 93.0 2 ZERO HUNGER 86.7</x:v>
      </x:c>
      <x:c r="H14" s="53" t="str">
        <x:v>https://www.timeshighereducation.com/world-university-rankings/university-alberta</x:v>
      </x:c>
    </x:row>
    <x:row r="15" ht="28" customHeight="1">
      <x:c r="A15" s="51" t="n">
        <x:v>12</x:v>
      </x:c>
      <x:c r="B15" s="51" t="n">
        <x:v>12</x:v>
      </x:c>
      <x:c r="C15" s="51" t="str">
        <x:v>Korea University</x:v>
      </x:c>
      <x:c r="D15" s="51" t="str">
        <x:v>South Korea</x:v>
      </x:c>
      <x:c r="E15" s="51" t="n">
        <x:v>95.9</x:v>
      </x:c>
      <x:c r="F15" s="51"/>
      <x:c r="G15" s="51" t="str">
        <x:v>8 DECENT WORK AND ECONOMIC GROWTH 91.8 9 INDUSTRY, INNOVATION, AND INFRASTRUCTURE 99.7 12 RESPONSIBLE CONSUMPTION AND PRODUCTION 92.4</x:v>
      </x:c>
      <x:c r="H15" s="54" t="str">
        <x:v>https://www.timeshighereducation.com/world-university-rankings/korea-university</x:v>
      </x:c>
    </x:row>
    <x:row r="16" ht="28" customHeight="1">
      <x:c r="A16" s="21" t="str">
        <x:v>15</x:v>
      </x:c>
      <x:c r="B16" s="21" t="n">
        <x:v>15</x:v>
      </x:c>
      <x:c r="C16" s="21" t="str">
        <x:v>Universitas Airlangga</x:v>
      </x:c>
      <x:c r="D16" s="21" t="str">
        <x:v>Indonesia</x:v>
      </x:c>
      <x:c r="E16" s="21" t="n">
        <x:v>95.7</x:v>
      </x:c>
      <x:c r="F16" s="21" t="n">
        <x:v>89.7</x:v>
      </x:c>
      <x:c r="G16" s="21" t="str">
        <x:v>1 NO POVERTY 89.7 6 CLEAN WATER AND SANITATION 89.5 3 GOOD HEALTH AND WELL-BEING 88.5</x:v>
      </x:c>
      <x:c r="H16" s="53" t="str">
        <x:v>https://www.timeshighereducation.com/world-university-rankings/universitas-airlangga</x:v>
      </x:c>
    </x:row>
    <x:row r="17" ht="28" customHeight="1">
      <x:c r="A17" s="51" t="n">
        <x:v>16</x:v>
      </x:c>
      <x:c r="B17" s="51" t="n">
        <x:v>16</x:v>
      </x:c>
      <x:c r="C17" s="51" t="str">
        <x:v>Pusan National University</x:v>
      </x:c>
      <x:c r="D17" s="51" t="str">
        <x:v>South Korea</x:v>
      </x:c>
      <x:c r="E17" s="51" t="n">
        <x:v>95.6</x:v>
      </x:c>
      <x:c r="F17" s="51" t="n">
        <x:v>91.7</x:v>
      </x:c>
      <x:c r="G17" s="51" t="str">
        <x:v>9 INDUSTRY, INNOVATION, AND INFRASTRUCTURE 97.5 8 DECENT WORK AND ECONOMIC GROWTH 89.2 12 RESPONSIBLE CONSUMPTION AND PRODUCTION 86.2</x:v>
      </x:c>
      <x:c r="H17" s="54" t="str">
        <x:v>https://www.timeshighereducation.com/world-university-rankings/pusan-national-university</x:v>
      </x:c>
    </x:row>
    <x:row r="18" ht="28" customHeight="1">
      <x:c r="A18" s="21" t="n">
        <x:v>16</x:v>
      </x:c>
      <x:c r="B18" s="21" t="n">
        <x:v>16</x:v>
      </x:c>
      <x:c r="C18" s="21" t="str">
        <x:v>University of Tasmania</x:v>
      </x:c>
      <x:c r="D18" s="21" t="str">
        <x:v>Australia</x:v>
      </x:c>
      <x:c r="E18" s="21" t="n">
        <x:v>95.6</x:v>
      </x:c>
      <x:c r="F18" s="21" t="n">
        <x:v>92.1</x:v>
      </x:c>
      <x:c r="G18" s="21" t="str">
        <x:v>13 CLIMATE ACTION 91.6 14 LIFE BELOW WATER 88.1 6 CLEAN WATER AND SANITATION 86.0</x:v>
      </x:c>
      <x:c r="H18" s="53" t="str">
        <x:v>https://www.timeshighereducation.com/world-university-rankings/university-tasmania</x:v>
      </x:c>
    </x:row>
    <x:row r="19" ht="28" customHeight="1">
      <x:c r="A19" s="51" t="str">
        <x:v>18</x:v>
      </x:c>
      <x:c r="B19" s="51" t="n">
        <x:v>18</x:v>
      </x:c>
      <x:c r="C19" s="51" t="str">
        <x:v>McMaster University</x:v>
      </x:c>
      <x:c r="D19" s="51" t="str">
        <x:v>Canada</x:v>
      </x:c>
      <x:c r="E19" s="51" t="n">
        <x:v>95.5</x:v>
      </x:c>
      <x:c r="F19" s="51" t="n">
        <x:v>93</x:v>
      </x:c>
      <x:c r="G19" s="51" t="str">
        <x:v>9 INDUSTRY, INNOVATION, AND INFRASTRUCTURE 97.7 3 GOOD HEALTH AND WELL-BEING 90.5 6 CLEAN WATER AND SANITATION 88.2</x:v>
      </x:c>
      <x:c r="H19" s="54" t="str">
        <x:v>https://www.timeshighereducation.com/world-university-rankings/mcmaster-university</x:v>
      </x:c>
    </x:row>
    <x:row r="20" ht="28" customHeight="1">
      <x:c r="A20" s="21" t="str">
        <x:v>19</x:v>
      </x:c>
      <x:c r="B20" s="21" t="n">
        <x:v>19</x:v>
      </x:c>
      <x:c r="C20" s="21" t="str">
        <x:v>Chulalongkorn University</x:v>
      </x:c>
      <x:c r="D20" s="21" t="str">
        <x:v>Thailand</x:v>
      </x:c>
      <x:c r="E20" s="21" t="n">
        <x:v>95.4</x:v>
      </x:c>
      <x:c r="F20" s="21" t="n">
        <x:v>94.1</x:v>
      </x:c>
      <x:c r="G20" s="21" t="str">
        <x:v>9 INDUSTRY, INNOVATION, AND INFRASTRUCTURE 99.8 3 GOOD HEALTH AND WELL-BEING 90.0 14 LIFE BELOW WATER 90.6</x:v>
      </x:c>
      <x:c r="H20" s="53" t="str">
        <x:v>https://www.timeshighereducation.com/world-university-rankings/chulalongkorn-university</x:v>
      </x:c>
    </x:row>
    <x:row r="21" ht="28" customHeight="1">
      <x:c r="A21" s="51" t="n">
        <x:v>20</x:v>
      </x:c>
      <x:c r="B21" s="51" t="n">
        <x:v>20</x:v>
      </x:c>
      <x:c r="C21" s="51" t="str">
        <x:v>Kyungpook National University (KNU)</x:v>
      </x:c>
      <x:c r="D21" s="51" t="str">
        <x:v>South Korea</x:v>
      </x:c>
      <x:c r="E21" s="51" t="n">
        <x:v>95.3</x:v>
      </x:c>
      <x:c r="F21" s="51"/>
      <x:c r="G21" s="51" t="str">
        <x:v>8 DECENT WORK AND ECONOMIC GROWTH 91.4 9 INDUSTRY, INNOVATION, AND INFRASTRUCTURE 99.5 15 LIFE ON LAND 90.5</x:v>
      </x:c>
      <x:c r="H21" s="54" t="str">
        <x:v>https://www.timeshighereducation.com/world-university-rankings/kyungpook-national-university-knu</x:v>
      </x:c>
    </x:row>
    <x:row r="22" ht="28" customHeight="1">
      <x:c r="A22" s="21" t="n">
        <x:v>20</x:v>
      </x:c>
      <x:c r="B22" s="21" t="n">
        <x:v>20</x:v>
      </x:c>
      <x:c r="C22" s="21" t="str">
        <x:v>The Hong Kong University of Science and Technology</x:v>
      </x:c>
      <x:c r="D22" s="21" t="str">
        <x:v>Hong Kong</x:v>
      </x:c>
      <x:c r="E22" s="21" t="n">
        <x:v>95.3</x:v>
      </x:c>
      <x:c r="F22" s="21"/>
      <x:c r="G22" s="21" t="str">
        <x:v>9 INDUSTRY, INNOVATION, AND INFRASTRUCTURE 99.9 15 LIFE ON LAND 92.3 11 SUSTAINABLE CITIES AND COMMUNITIES 89.2</x:v>
      </x:c>
      <x:c r="H22" s="53" t="str">
        <x:v>https://www.timeshighereducation.com/world-university-rankings/hong-kong-university-science-and-technology</x:v>
      </x:c>
    </x:row>
    <x:row r="23" ht="28" customHeight="1">
      <x:c r="A23" s="51" t="n">
        <x:v>20</x:v>
      </x:c>
      <x:c r="B23" s="51" t="n">
        <x:v>20</x:v>
      </x:c>
      <x:c r="C23" s="51" t="str">
        <x:v>University of Exeter</x:v>
      </x:c>
      <x:c r="D23" s="51" t="str">
        <x:v>United Kingdom</x:v>
      </x:c>
      <x:c r="E23" s="51" t="n">
        <x:v>95.3</x:v>
      </x:c>
      <x:c r="F23" s="51" t="n">
        <x:v>92.7</x:v>
      </x:c>
      <x:c r="G23" s="51" t="str">
        <x:v>12 RESPONSIBLE CONSUMPTION AND PRODUCTION 92.6 14 LIFE BELOW WATER 94.6 15 LIFE ON LAND 95.3</x:v>
      </x:c>
      <x:c r="H23" s="54" t="str">
        <x:v>https://www.timeshighereducation.com/world-university-rankings/university-exeter</x:v>
      </x:c>
    </x:row>
    <x:row r="24" ht="28" customHeight="1">
      <x:c r="A24" s="21" t="str">
        <x:v>23</x:v>
      </x:c>
      <x:c r="B24" s="21" t="n">
        <x:v>23</x:v>
      </x:c>
      <x:c r="C24" s="21" t="str">
        <x:v>Lovely Professional University</x:v>
      </x:c>
      <x:c r="D24" s="21" t="str">
        <x:v>India</x:v>
      </x:c>
      <x:c r="E24" s="21" t="n">
        <x:v>95.2</x:v>
      </x:c>
      <x:c r="F24" s="21" t="n">
        <x:v>90.1</x:v>
      </x:c>
      <x:c r="G24" s="21" t="str">
        <x:v>7 AFFORDABLE AND CLEAN ENERGY 86.0 6 CLEAN WATER AND SANITATION 92.5 2 ZERO HUNGER 90.1</x:v>
      </x:c>
      <x:c r="H24" s="53" t="str">
        <x:v>https://www.timeshighereducation.com/world-university-rankings/lovely-professional-university</x:v>
      </x:c>
    </x:row>
    <x:row r="25" ht="28" customHeight="1">
      <x:c r="A25" s="51" t="str">
        <x:v>24</x:v>
      </x:c>
      <x:c r="B25" s="51" t="n">
        <x:v>24</x:v>
      </x:c>
      <x:c r="C25" s="51" t="str">
        <x:v>University of Malaya</x:v>
      </x:c>
      <x:c r="D25" s="51" t="str">
        <x:v>Malaysia</x:v>
      </x:c>
      <x:c r="E25" s="51" t="n">
        <x:v>95</x:v>
      </x:c>
      <x:c r="F25" s="51" t="n">
        <x:v>91.9</x:v>
      </x:c>
      <x:c r="G25" s="51" t="str">
        <x:v>16 PEACE, JUSTICE AND STRONG INSTITUTIONS 86.5 1 NO POVERTY 88.2 6 CLEAN WATER AND SANITATION 84.6</x:v>
      </x:c>
      <x:c r="H25" s="54" t="str">
        <x:v>https://www.timeshighereducation.com/world-university-rankings/university-malaya</x:v>
      </x:c>
    </x:row>
    <x:row r="26" ht="28" customHeight="1">
      <x:c r="A26" s="21" t="str">
        <x:v>25</x:v>
      </x:c>
      <x:c r="B26" s="21" t="n">
        <x:v>25</x:v>
      </x:c>
      <x:c r="C26" s="21" t="str">
        <x:v>Aalborg University</x:v>
      </x:c>
      <x:c r="D26" s="21" t="str">
        <x:v>Denmark</x:v>
      </x:c>
      <x:c r="E26" s="21" t="n">
        <x:v>94.9</x:v>
      </x:c>
      <x:c r="F26" s="21" t="n">
        <x:v>89.7</x:v>
      </x:c>
      <x:c r="G26" s="21" t="str">
        <x:v>9 INDUSTRY, INNOVATION, AND INFRASTRUCTURE 95.8 12 RESPONSIBLE CONSUMPTION AND PRODUCTION 88.5 4 QUALITY EDUCATION 88.5</x:v>
      </x:c>
      <x:c r="H26" s="53" t="str">
        <x:v>https://www.timeshighereducation.com/world-university-rankings/aalborg-university</x:v>
      </x:c>
    </x:row>
    <x:row r="27" ht="28" customHeight="1">
      <x:c r="A27" s="51" t="str">
        <x:v>26</x:v>
      </x:c>
      <x:c r="B27" s="51" t="n">
        <x:v>26</x:v>
      </x:c>
      <x:c r="C27" s="51" t="str">
        <x:v>Kyung Hee University</x:v>
      </x:c>
      <x:c r="D27" s="51" t="str">
        <x:v>South Korea</x:v>
      </x:c>
      <x:c r="E27" s="51" t="n">
        <x:v>94.7</x:v>
      </x:c>
      <x:c r="F27" s="51"/>
      <x:c r="G27" s="51" t="str">
        <x:v>9 INDUSTRY, INNOVATION, AND INFRASTRUCTURE 99.7 16 PEACE, JUSTICE AND STRONG INSTITUTIONS 89.5 2 ZERO HUNGER 90.7</x:v>
      </x:c>
      <x:c r="H27" s="54" t="str">
        <x:v>https://www.timeshighereducation.com/world-university-rankings/kyung-hee-university</x:v>
      </x:c>
    </x:row>
    <x:row r="28" ht="28" customHeight="1">
      <x:c r="A28" s="21" t="str">
        <x:v>27</x:v>
      </x:c>
      <x:c r="B28" s="21" t="n">
        <x:v>27</x:v>
      </x:c>
      <x:c r="C28" s="21" t="str">
        <x:v>University of Victoria</x:v>
      </x:c>
      <x:c r="D28" s="21" t="str">
        <x:v>Canada</x:v>
      </x:c>
      <x:c r="E28" s="21" t="n">
        <x:v>94.6</x:v>
      </x:c>
      <x:c r="F28" s="21"/>
      <x:c r="G28" s="21" t="str">
        <x:v>15 LIFE ON LAND 94.7 11 SUSTAINABLE CITIES AND COMMUNITIES 89.0 14 LIFE BELOW WATER 88.1</x:v>
      </x:c>
      <x:c r="H28" s="53" t="str">
        <x:v>https://www.timeshighereducation.com/world-university-rankings/university-victoria</x:v>
      </x:c>
    </x:row>
    <x:row r="29" ht="28" customHeight="1">
      <x:c r="A29" s="51" t="str">
        <x:v>29</x:v>
      </x:c>
      <x:c r="B29" s="51" t="n">
        <x:v>29</x:v>
      </x:c>
      <x:c r="C29" s="51" t="str">
        <x:v>Central Queensland University</x:v>
      </x:c>
      <x:c r="D29" s="51" t="str">
        <x:v>Australia</x:v>
      </x:c>
      <x:c r="E29" s="51" t="n">
        <x:v>94.3</x:v>
      </x:c>
      <x:c r="F29" s="51" t="n">
        <x:v>96.8</x:v>
      </x:c>
      <x:c r="G29" s="51" t="str">
        <x:v>14 LIFE BELOW WATER 88.9 3 GOOD HEALTH AND WELL-BEING 85.4 6 CLEAN WATER AND SANITATION 85.2</x:v>
      </x:c>
      <x:c r="H29" s="54" t="str">
        <x:v>https://www.timeshighereducation.com/world-university-rankings/central-queensland-university</x:v>
      </x:c>
    </x:row>
    <x:row r="30" ht="28" customHeight="1">
      <x:c r="A30" s="21" t="str">
        <x:v>30</x:v>
      </x:c>
      <x:c r="B30" s="21" t="n">
        <x:v>30</x:v>
      </x:c>
      <x:c r="C30" s="21" t="str">
        <x:v>University of Newcastle</x:v>
      </x:c>
      <x:c r="D30" s="21" t="str">
        <x:v>Australia</x:v>
      </x:c>
      <x:c r="E30" s="21" t="n">
        <x:v>94.1</x:v>
      </x:c>
      <x:c r="F30" s="21"/>
      <x:c r="G30" s="21" t="str">
        <x:v>14 LIFE BELOW WATER 95.2 13 CLIMATE ACTION 88.3 15 LIFE ON LAND 92.4</x:v>
      </x:c>
      <x:c r="H30" s="53" t="str">
        <x:v>https://www.timeshighereducation.com/world-university-rankings/university-newcastle</x:v>
      </x:c>
    </x:row>
    <x:row r="31" ht="28" customHeight="1">
      <x:c r="A31" s="51" t="n">
        <x:v>31</x:v>
      </x:c>
      <x:c r="B31" s="51" t="n">
        <x:v>31</x:v>
      </x:c>
      <x:c r="C31" s="51" t="str">
        <x:v>Northumbria University</x:v>
      </x:c>
      <x:c r="D31" s="51" t="str">
        <x:v>United Kingdom</x:v>
      </x:c>
      <x:c r="E31" s="51" t="n">
        <x:v>94</x:v>
      </x:c>
      <x:c r="F31" s="51" t="n">
        <x:v>90.2</x:v>
      </x:c>
      <x:c r="G31" s="51" t="str">
        <x:v>12 RESPONSIBLE CONSUMPTION AND PRODUCTION 92.4 15 LIFE ON LAND 95.3 16 PEACE, JUSTICE AND STRONG INSTITUTIONS 84.8</x:v>
      </x:c>
      <x:c r="H31" s="54" t="str">
        <x:v>https://www.timeshighereducation.com/world-university-rankings/northumbria-university</x:v>
      </x:c>
    </x:row>
    <x:row r="32" ht="28" customHeight="1">
      <x:c r="A32" s="21" t="n">
        <x:v>31</x:v>
      </x:c>
      <x:c r="B32" s="21" t="n">
        <x:v>31</x:v>
      </x:c>
      <x:c r="C32" s="21" t="str">
        <x:v>University of Indonesia</x:v>
      </x:c>
      <x:c r="D32" s="21" t="str">
        <x:v>Indonesia</x:v>
      </x:c>
      <x:c r="E32" s="21" t="n">
        <x:v>94</x:v>
      </x:c>
      <x:c r="F32" s="21"/>
      <x:c r="G32" s="21" t="str">
        <x:v>9 INDUSTRY, INNOVATION, AND INFRASTRUCTURE 98.5 1 NO POVERTY 88.3 3 GOOD HEALTH AND WELL-BEING 84.8</x:v>
      </x:c>
      <x:c r="H32" s="53" t="str">
        <x:v>https://www.timeshighereducation.com/world-university-rankings/university-indonesia</x:v>
      </x:c>
    </x:row>
    <x:row r="33" ht="28" customHeight="1">
      <x:c r="A33" s="51" t="n">
        <x:v>33</x:v>
      </x:c>
      <x:c r="B33" s="51" t="n">
        <x:v>33</x:v>
      </x:c>
      <x:c r="C33" s="51" t="str">
        <x:v>An-Najah National University</x:v>
      </x:c>
      <x:c r="D33" s="51" t="str">
        <x:v>Palestine</x:v>
      </x:c>
      <x:c r="E33" s="51" t="n">
        <x:v>93.9</x:v>
      </x:c>
      <x:c r="F33" s="51" t="n">
        <x:v>95.7</x:v>
      </x:c>
      <x:c r="G33" s="51" t="str">
        <x:v>7 AFFORDABLE AND CLEAN ENERGY 84.1 12 RESPONSIBLE CONSUMPTION AND PRODUCTION 88.5 16 PEACE, JUSTICE AND STRONG INSTITUTIONS 85.3</x:v>
      </x:c>
      <x:c r="H33" s="54" t="str">
        <x:v>https://www.timeshighereducation.com/world-university-rankings/najah-national-university</x:v>
      </x:c>
    </x:row>
    <x:row r="34" ht="28" customHeight="1">
      <x:c r="A34" s="22" t="n">
        <x:v>33</x:v>
      </x:c>
      <x:c r="B34" s="22" t="n">
        <x:v>33</x:v>
      </x:c>
      <x:c r="C34" s="22" t="str">
        <x:v>Arizona State University (Tempe)</x:v>
      </x:c>
      <x:c r="D34" s="22" t="str">
        <x:v>United States</x:v>
      </x:c>
      <x:c r="E34" s="22" t="n">
        <x:v>93.9</x:v>
      </x:c>
      <x:c r="F34" s="22"/>
      <x:c r="G34" s="22" t="str">
        <x:v>13 CLIMATE ACTION 86.9 12 RESPONSIBLE CONSUMPTION AND PRODUCTION 86.2 15 LIFE ON LAND 89.0</x:v>
      </x:c>
      <x:c r="H34" s="55" t="str">
        <x:v>https://www.timeshighereducation.com/world-university-rankings/arizona-state-university-tempe</x:v>
      </x:c>
    </x:row>
  </x:sheetData>
  <x:mergeCells>
    <x:mergeCell ref="A1:H1"/>
    <x:mergeCell ref="A2:H2"/>
  </x:mergeCells>
  <x:pageMargins left="0.7" right="0.7" top="0.75" bottom="0.75" header="0.3" footer="0.3"/>
  <x:tableParts count="1">
    <x:tablePart xmlns:r="http://schemas.openxmlformats.org/officeDocument/2006/relationships" r:id="R172187cca5f6433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 hidden="0" customWidth="1"/>
    <x:col min="2" max="2" width="32" hidden="0" customWidth="1"/>
    <x:col min="3" max="3" width="18" hidden="0" customWidth="1"/>
    <x:col min="4" max="4" width="10" hidden="0" customWidth="1"/>
    <x:col min="5" max="5" width="11" hidden="0" customWidth="1"/>
    <x:col min="6" max="6" width="10" hidden="0" customWidth="1"/>
    <x:col min="7" max="7" width="11" hidden="0" customWidth="1"/>
    <x:col min="8" max="8" width="30" hidden="0" customWidth="1"/>
    <x:col min="9" max="9" width="30" hidden="0" customWidth="1"/>
    <x:col min="10" max="10" width="40" hidden="0" customWidth="1"/>
  </x:cols>
  <x:sheetData>
    <x:row r="1" ht="28" customHeight="1">
      <x:c r="A1" s="3" t="str">
        <x:v>QS-THE Overlap Analysis - Selected Sample</x:v>
      </x:c>
      <x:c r="B1" s="3"/>
      <x:c r="C1" s="3"/>
      <x:c r="D1" s="3"/>
      <x:c r="E1" s="3"/>
      <x:c r="F1" s="3"/>
      <x:c r="G1" s="3"/>
      <x:c r="H1" s="3"/>
      <x:c r="I1" s="3"/>
      <x:c r="J1" s="3"/>
    </x:row>
    <x:row r="2" ht="34" customHeight="1">
      <x:c r="A2" s="7" t="str">
        <x:v>Five selected institutions appear in both source top-50 rankings. Selection Audit assigns each program to one mutually exclusive cohort.</x:v>
      </x:c>
      <x:c r="B2" s="7"/>
      <x:c r="C2" s="7"/>
      <x:c r="D2" s="7"/>
      <x:c r="E2" s="7"/>
      <x:c r="F2" s="7"/>
      <x:c r="G2" s="7"/>
      <x:c r="H2" s="7"/>
      <x:c r="I2" s="7"/>
      <x:c r="J2" s="7"/>
    </x:row>
    <x:row r="4" ht="38" customHeight="1">
      <x:c r="A4" s="47" t="str">
        <x:v>ID</x:v>
      </x:c>
      <x:c r="B4" s="48" t="str">
        <x:v>Canonical Institution</x:v>
      </x:c>
      <x:c r="C4" s="48" t="str">
        <x:v>Country</x:v>
      </x:c>
      <x:c r="D4" s="48" t="str">
        <x:v>QS Rank</x:v>
      </x:c>
      <x:c r="E4" s="48" t="str">
        <x:v>QS Score</x:v>
      </x:c>
      <x:c r="F4" s="48" t="str">
        <x:v>THE Rank</x:v>
      </x:c>
      <x:c r="G4" s="48" t="str">
        <x:v>THE Score</x:v>
      </x:c>
      <x:c r="H4" s="48" t="str">
        <x:v>QS Name</x:v>
      </x:c>
      <x:c r="I4" s="48" t="str">
        <x:v>THE Name / Alias</x:v>
      </x:c>
      <x:c r="J4" s="49" t="str">
        <x:v>Identity Note</x:v>
      </x:c>
    </x:row>
    <x:row r="5" ht="28" customHeight="1">
      <x:c r="A5" s="56" t="n">
        <x:v>8</x:v>
      </x:c>
      <x:c r="B5" s="50" t="str">
        <x:v>The University of New South Wales (UNSW Sydney)</x:v>
      </x:c>
      <x:c r="C5" s="50" t="str">
        <x:v>Australia</x:v>
      </x:c>
      <x:c r="D5" s="50" t="n">
        <x:v>7</x:v>
      </x:c>
      <x:c r="E5" s="50" t="n">
        <x:v>98.2</x:v>
      </x:c>
      <x:c r="F5" s="50" t="n">
        <x:v>41</x:v>
      </x:c>
      <x:c r="G5" s="50" t="n">
        <x:v>93.2</x:v>
      </x:c>
      <x:c r="H5" s="50" t="str">
        <x:v>The University of New South Wales (UNSW Sydney)</x:v>
      </x:c>
      <x:c r="I5" s="50" t="str">
        <x:v>UNSW Sydney</x:v>
      </x:c>
      <x:c r="J5" s="50" t="str">
        <x:v>Same institution; merged once in the candidate universe.</x:v>
      </x:c>
    </x:row>
    <x:row r="6" ht="28" customHeight="1">
      <x:c r="A6" s="57" t="n">
        <x:v>10</x:v>
      </x:c>
      <x:c r="B6" s="21" t="str">
        <x:v>The University of Manchester</x:v>
      </x:c>
      <x:c r="C6" s="21" t="str">
        <x:v>United Kingdom</x:v>
      </x:c>
      <x:c r="D6" s="21" t="str">
        <x:v>10</x:v>
      </x:c>
      <x:c r="E6" s="21" t="n">
        <x:v>98</x:v>
      </x:c>
      <x:c r="F6" s="21" t="str">
        <x:v>1</x:v>
      </x:c>
      <x:c r="G6" s="21" t="n">
        <x:v>98.5</x:v>
      </x:c>
      <x:c r="H6" s="21" t="str">
        <x:v>The University of Manchester</x:v>
      </x:c>
      <x:c r="I6" s="21" t="str">
        <x:v>University of Manchester</x:v>
      </x:c>
      <x:c r="J6" s="21" t="str">
        <x:v>Same institution; merged once in the candidate universe.</x:v>
      </x:c>
    </x:row>
    <x:row r="7" ht="28" customHeight="1">
      <x:c r="A7" s="58" t="n">
        <x:v>26</x:v>
      </x:c>
      <x:c r="B7" s="51" t="str">
        <x:v>Western University</x:v>
      </x:c>
      <x:c r="C7" s="51" t="str">
        <x:v>Canada</x:v>
      </x:c>
      <x:c r="D7" s="51" t="n">
        <x:v>24</x:v>
      </x:c>
      <x:c r="E7" s="51" t="n">
        <x:v>95.8</x:v>
      </x:c>
      <x:c r="F7" s="51" t="n">
        <x:v>12</x:v>
      </x:c>
      <x:c r="G7" s="51" t="n">
        <x:v>95.9</x:v>
      </x:c>
      <x:c r="H7" s="51" t="str">
        <x:v>Western University</x:v>
      </x:c>
      <x:c r="I7" s="51" t="str">
        <x:v>Western University</x:v>
      </x:c>
      <x:c r="J7" s="51" t="str">
        <x:v>Same institution; merged once in the candidate universe.</x:v>
      </x:c>
    </x:row>
    <x:row r="8" ht="28" customHeight="1">
      <x:c r="A8" s="57" t="n">
        <x:v>27</x:v>
      </x:c>
      <x:c r="B8" s="21" t="str">
        <x:v>University of Glasgow</x:v>
      </x:c>
      <x:c r="C8" s="21" t="str">
        <x:v>United Kingdom</x:v>
      </x:c>
      <x:c r="D8" s="21" t="str">
        <x:v>27</x:v>
      </x:c>
      <x:c r="E8" s="21" t="n">
        <x:v>95.7</x:v>
      </x:c>
      <x:c r="F8" s="21" t="str">
        <x:v>14</x:v>
      </x:c>
      <x:c r="G8" s="21" t="n">
        <x:v>95.8</x:v>
      </x:c>
      <x:c r="H8" s="21" t="str">
        <x:v>University of Glasgow</x:v>
      </x:c>
      <x:c r="I8" s="21" t="str">
        <x:v>University of Glasgow</x:v>
      </x:c>
      <x:c r="J8" s="21" t="str">
        <x:v>Same institution; merged once in the candidate universe.</x:v>
      </x:c>
    </x:row>
    <x:row r="9" ht="28" customHeight="1">
      <x:c r="A9" s="64" t="n">
        <x:v>49</x:v>
      </x:c>
      <x:c r="B9" s="63" t="str">
        <x:v>University of Exeter</x:v>
      </x:c>
      <x:c r="C9" s="63" t="str">
        <x:v>United Kingdom</x:v>
      </x:c>
      <x:c r="D9" s="63" t="n">
        <x:v>48</x:v>
      </x:c>
      <x:c r="E9" s="63" t="n">
        <x:v>93.5</x:v>
      </x:c>
      <x:c r="F9" s="63" t="n">
        <x:v>20</x:v>
      </x:c>
      <x:c r="G9" s="63" t="n">
        <x:v>95.3</x:v>
      </x:c>
      <x:c r="H9" s="63" t="str">
        <x:v>University of Exeter</x:v>
      </x:c>
      <x:c r="I9" s="63" t="str">
        <x:v>University of Exeter</x:v>
      </x:c>
      <x:c r="J9" s="63" t="str">
        <x:v>Same institution; merged once in the candidate universe.</x:v>
      </x:c>
    </x:row>
  </x:sheetData>
  <x:mergeCells>
    <x:mergeCell ref="A1:J1"/>
    <x:mergeCell ref="A2:J2"/>
  </x:mergeCells>
  <x:pageMargins left="0.7" right="0.7" top="0.75" bottom="0.75" header="0.3" footer="0.3"/>
  <x:tableParts count="1">
    <x:tablePart xmlns:r="http://schemas.openxmlformats.org/officeDocument/2006/relationships" r:id="R6383902063bd45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24" hidden="0" customWidth="1"/>
    <x:col min="4" max="4" width="28" hidden="0" customWidth="1"/>
    <x:col min="5" max="5" width="12" hidden="0" customWidth="1"/>
    <x:col min="6" max="6" width="10" hidden="0" customWidth="1"/>
    <x:col min="7" max="7" width="16" hidden="0" customWidth="1"/>
    <x:col min="8" max="8" width="42" hidden="0" customWidth="1"/>
    <x:col min="9" max="9" width="42" hidden="0" customWidth="1"/>
    <x:col min="10" max="10" width="42" hidden="0" customWidth="1"/>
    <x:col min="11" max="11" width="50" hidden="0" customWidth="1"/>
  </x:cols>
  <x:sheetData>
    <x:row r="1" ht="28" customHeight="1">
      <x:c r="A1" s="3" t="str">
        <x:v>AASHE STARS - 60 Selected Programs</x:v>
      </x:c>
      <x:c r="B1" s="3"/>
      <x:c r="C1" s="3"/>
      <x:c r="D1" s="3"/>
      <x:c r="E1" s="3"/>
      <x:c r="F1" s="3"/>
      <x:c r="G1" s="3"/>
      <x:c r="H1" s="3"/>
      <x:c r="I1" s="3"/>
      <x:c r="J1" s="3"/>
      <x:c r="K1" s="3"/>
    </x:row>
    <x:row r="2" ht="34" customHeight="1">
      <x:c r="A2" s="7" t="str">
        <x:v>Matched against current official participants and reports records. Ratings are not inherited across parent institutions, systems, or campuses.</x:v>
      </x:c>
      <x:c r="B2" s="7"/>
      <x:c r="C2" s="7"/>
      <x:c r="D2" s="7"/>
      <x:c r="E2" s="7"/>
      <x:c r="F2" s="7"/>
      <x:c r="G2" s="7"/>
      <x:c r="H2" s="7"/>
      <x:c r="I2" s="7"/>
      <x:c r="J2" s="7"/>
      <x:c r="K2" s="7"/>
    </x:row>
    <x:row r="4" ht="38" customHeight="1">
      <x:c r="A4" s="47" t="str">
        <x:v>ID</x:v>
      </x:c>
      <x:c r="B4" s="48" t="str">
        <x:v>Candidate Institution</x:v>
      </x:c>
      <x:c r="C4" s="48" t="str">
        <x:v>AASHE Match Status</x:v>
      </x:c>
      <x:c r="D4" s="48" t="str">
        <x:v>Matched AASHE Institution</x:v>
      </x:c>
      <x:c r="E4" s="48" t="str">
        <x:v>Rating</x:v>
      </x:c>
      <x:c r="F4" s="48" t="str">
        <x:v>Score</x:v>
      </x:c>
      <x:c r="G4" s="48" t="str">
        <x:v>Valid Through</x:v>
      </x:c>
      <x:c r="H4" s="48" t="str">
        <x:v>AASHE Profile URL</x:v>
      </x:c>
      <x:c r="I4" s="48" t="str">
        <x:v>Latest Report URL</x:v>
      </x:c>
      <x:c r="J4" s="48" t="str">
        <x:v>Source URL</x:v>
      </x:c>
      <x:c r="K4" s="49" t="str">
        <x:v>Scope Note</x:v>
      </x:c>
    </x:row>
    <x:row r="5" ht="28" customHeight="1">
      <x:c r="A5" s="56" t="n">
        <x:v>1</x:v>
      </x:c>
      <x:c r="B5" s="50" t="str">
        <x:v>Lund University</x:v>
      </x:c>
      <x:c r="C5" s="50" t="str">
        <x:v>No current exact record</x:v>
      </x:c>
      <x:c r="D5" s="50"/>
      <x:c r="E5" s="50"/>
      <x:c r="F5" s="50"/>
      <x:c r="G5" s="50"/>
      <x:c r="H5" s="52"/>
      <x:c r="I5" s="52"/>
      <x:c r="J5" s="52" t="str">
        <x:v>https://reports.aashe.org/institutions/participants-and-reports/</x:v>
      </x:c>
      <x:c r="K5" s="50" t="str">
        <x:v>No exact institution-level match was found in the current AASHE participants and reports table.</x:v>
      </x:c>
    </x:row>
    <x:row r="6" ht="28" customHeight="1">
      <x:c r="A6" s="57" t="n">
        <x:v>2</x:v>
      </x:c>
      <x:c r="B6" s="21" t="str">
        <x:v>University of Toronto</x:v>
      </x:c>
      <x:c r="C6" s="21" t="str">
        <x:v>Campus-only record found</x:v>
      </x:c>
      <x:c r="D6" s="21" t="str">
        <x:v>University of Toronto Mississauga</x:v>
      </x:c>
      <x:c r="E6" s="21"/>
      <x:c r="F6" s="21"/>
      <x:c r="G6" s="21"/>
      <x:c r="H6" s="53" t="str">
        <x:v>https://reports.aashe.org/institutions/university-of-toronto-at-mississauga-on/report/</x:v>
      </x:c>
      <x:c r="I6" s="53" t="str">
        <x:v>https://reports.aashe.org/institutions/university-of-toronto-at-mississauga-on/report/2024-03-01/</x:v>
      </x:c>
      <x:c r="J6" s="53" t="str">
        <x:v>https://reports.aashe.org/institutions/participants-and-reports/</x:v>
      </x:c>
      <x:c r="K6" s="21" t="str">
        <x:v>University of Toronto Mississauga has a current Gold rating, but it is a separate campus record and is not inherited by University of Toronto.</x:v>
      </x:c>
    </x:row>
    <x:row r="7" ht="28" customHeight="1">
      <x:c r="A7" s="58" t="n">
        <x:v>3</x:v>
      </x:c>
      <x:c r="B7" s="51" t="str">
        <x:v>UCL</x:v>
      </x:c>
      <x:c r="C7" s="51" t="str">
        <x:v>No current exact record</x:v>
      </x:c>
      <x:c r="D7" s="51"/>
      <x:c r="E7" s="51"/>
      <x:c r="F7" s="51"/>
      <x:c r="G7" s="51"/>
      <x:c r="H7" s="54"/>
      <x:c r="I7" s="54"/>
      <x:c r="J7" s="54" t="str">
        <x:v>https://reports.aashe.org/institutions/participants-and-reports/</x:v>
      </x:c>
      <x:c r="K7" s="51" t="str">
        <x:v>No exact institution-level match was found in the current AASHE participants and reports table.</x:v>
      </x:c>
    </x:row>
    <x:row r="8" ht="28" customHeight="1">
      <x:c r="A8" s="57" t="n">
        <x:v>4</x:v>
      </x:c>
      <x:c r="B8" s="21" t="str">
        <x:v>The University of Edinburgh</x:v>
      </x:c>
      <x:c r="C8" s="21" t="str">
        <x:v>No current exact record</x:v>
      </x:c>
      <x:c r="D8" s="21"/>
      <x:c r="E8" s="21"/>
      <x:c r="F8" s="21"/>
      <x:c r="G8" s="21"/>
      <x:c r="H8" s="53"/>
      <x:c r="I8" s="53"/>
      <x:c r="J8" s="53" t="str">
        <x:v>https://reports.aashe.org/institutions/participants-and-reports/</x:v>
      </x:c>
      <x:c r="K8" s="21" t="str">
        <x:v>No exact institution-level match was found in the current AASHE participants and reports table.</x:v>
      </x:c>
    </x:row>
    <x:row r="9" ht="28" customHeight="1">
      <x:c r="A9" s="58" t="n">
        <x:v>5</x:v>
      </x:c>
      <x:c r="B9" s="51" t="str">
        <x:v>University of British Columbia</x:v>
      </x:c>
      <x:c r="C9" s="51" t="str">
        <x:v>No current exact record</x:v>
      </x:c>
      <x:c r="D9" s="51"/>
      <x:c r="E9" s="51"/>
      <x:c r="F9" s="51"/>
      <x:c r="G9" s="51"/>
      <x:c r="H9" s="54"/>
      <x:c r="I9" s="54"/>
      <x:c r="J9" s="54" t="str">
        <x:v>https://reports.aashe.org/institutions/participants-and-reports/</x:v>
      </x:c>
      <x:c r="K9" s="51" t="str">
        <x:v>No exact institution-level match was found in the current AASHE participants and reports table.</x:v>
      </x:c>
    </x:row>
    <x:row r="10" ht="28" customHeight="1">
      <x:c r="A10" s="57" t="n">
        <x:v>6</x:v>
      </x:c>
      <x:c r="B10" s="21" t="str">
        <x:v>The London School of Economics and Political Science (LSE)</x:v>
      </x:c>
      <x:c r="C10" s="21" t="str">
        <x:v>No current exact record</x:v>
      </x:c>
      <x:c r="D10" s="21"/>
      <x:c r="E10" s="21"/>
      <x:c r="F10" s="21"/>
      <x:c r="G10" s="21"/>
      <x:c r="H10" s="53"/>
      <x:c r="I10" s="53"/>
      <x:c r="J10" s="53" t="str">
        <x:v>https://reports.aashe.org/institutions/participants-and-reports/</x:v>
      </x:c>
      <x:c r="K10" s="21" t="str">
        <x:v>No exact institution-level match was found in the current AASHE participants and reports table.</x:v>
      </x:c>
    </x:row>
    <x:row r="11" ht="28" customHeight="1">
      <x:c r="A11" s="58" t="n">
        <x:v>7</x:v>
      </x:c>
      <x:c r="B11" s="51" t="str">
        <x:v>Imperial College London</x:v>
      </x:c>
      <x:c r="C11" s="51" t="str">
        <x:v>No current exact record</x:v>
      </x:c>
      <x:c r="D11" s="51"/>
      <x:c r="E11" s="51"/>
      <x:c r="F11" s="51"/>
      <x:c r="G11" s="51"/>
      <x:c r="H11" s="54"/>
      <x:c r="I11" s="54"/>
      <x:c r="J11" s="54" t="str">
        <x:v>https://reports.aashe.org/institutions/participants-and-reports/</x:v>
      </x:c>
      <x:c r="K11" s="51" t="str">
        <x:v>No exact institution-level match was found in the current AASHE participants and reports table.</x:v>
      </x:c>
    </x:row>
    <x:row r="12" ht="28" customHeight="1">
      <x:c r="A12" s="57" t="n">
        <x:v>8</x:v>
      </x:c>
      <x:c r="B12" s="21" t="str">
        <x:v>The University of New South Wales (UNSW Sydney)</x:v>
      </x:c>
      <x:c r="C12" s="21" t="str">
        <x:v>No current exact record</x:v>
      </x:c>
      <x:c r="D12" s="21"/>
      <x:c r="E12" s="21"/>
      <x:c r="F12" s="21"/>
      <x:c r="G12" s="21"/>
      <x:c r="H12" s="53"/>
      <x:c r="I12" s="53"/>
      <x:c r="J12" s="53" t="str">
        <x:v>https://reports.aashe.org/institutions/participants-and-reports/</x:v>
      </x:c>
      <x:c r="K12" s="21" t="str">
        <x:v>No exact institution-level match was found in the current AASHE participants and reports table.</x:v>
      </x:c>
    </x:row>
    <x:row r="13" ht="28" customHeight="1">
      <x:c r="A13" s="58" t="n">
        <x:v>9</x:v>
      </x:c>
      <x:c r="B13" s="51" t="str">
        <x:v>McGill University</x:v>
      </x:c>
      <x:c r="C13" s="51" t="str">
        <x:v>Exact name</x:v>
      </x:c>
      <x:c r="D13" s="51" t="str">
        <x:v>McGill University</x:v>
      </x:c>
      <x:c r="E13" s="51" t="str">
        <x:v>Platinum</x:v>
      </x:c>
      <x:c r="F13" s="51" t="n">
        <x:v>100</x:v>
      </x:c>
      <x:c r="G13" s="51" t="str">
        <x:v>March 13, 2027</x:v>
      </x:c>
      <x:c r="H13" s="54" t="str">
        <x:v>https://reports.aashe.org/institutions/mcgill-university-qc/report/</x:v>
      </x:c>
      <x:c r="I13" s="54" t="str">
        <x:v>https://reports.aashe.org/institutions/mcgill-university-qc/report/2024-01-17/</x:v>
      </x:c>
      <x:c r="J13" s="54" t="str">
        <x:v>https://reports.aashe.org/institutions/participants-and-reports/</x:v>
      </x:c>
      <x:c r="K13" s="51" t="str">
        <x:v>Exact normalized institutional name match.</x:v>
      </x:c>
    </x:row>
    <x:row r="14" ht="28" customHeight="1">
      <x:c r="A14" s="57" t="n">
        <x:v>10</x:v>
      </x:c>
      <x:c r="B14" s="21" t="str">
        <x:v>The University of Manchester</x:v>
      </x:c>
      <x:c r="C14" s="21" t="str">
        <x:v>No current exact record</x:v>
      </x:c>
      <x:c r="D14" s="21"/>
      <x:c r="E14" s="21"/>
      <x:c r="F14" s="21"/>
      <x:c r="G14" s="21"/>
      <x:c r="H14" s="53"/>
      <x:c r="I14" s="53"/>
      <x:c r="J14" s="53" t="str">
        <x:v>https://reports.aashe.org/institutions/participants-and-reports/</x:v>
      </x:c>
      <x:c r="K14" s="21" t="str">
        <x:v>No exact institution-level match was found in the current AASHE participants and reports table.</x:v>
      </x:c>
    </x:row>
    <x:row r="15" ht="28" customHeight="1">
      <x:c r="A15" s="58" t="n">
        <x:v>11</x:v>
      </x:c>
      <x:c r="B15" s="51" t="str">
        <x:v>ETH Zurich</x:v>
      </x:c>
      <x:c r="C15" s="51" t="str">
        <x:v>No current exact record</x:v>
      </x:c>
      <x:c r="D15" s="51"/>
      <x:c r="E15" s="51"/>
      <x:c r="F15" s="51"/>
      <x:c r="G15" s="51"/>
      <x:c r="H15" s="54"/>
      <x:c r="I15" s="54"/>
      <x:c r="J15" s="54" t="str">
        <x:v>https://reports.aashe.org/institutions/participants-and-reports/</x:v>
      </x:c>
      <x:c r="K15" s="51" t="str">
        <x:v>No exact institution-level match was found in the current AASHE participants and reports table.</x:v>
      </x:c>
    </x:row>
    <x:row r="16" ht="28" customHeight="1">
      <x:c r="A16" s="57" t="n">
        <x:v>12</x:v>
      </x:c>
      <x:c r="B16" s="21" t="str">
        <x:v>The University of Melbourne</x:v>
      </x:c>
      <x:c r="C16" s="21" t="str">
        <x:v>No current exact record</x:v>
      </x:c>
      <x:c r="D16" s="21"/>
      <x:c r="E16" s="21"/>
      <x:c r="F16" s="21"/>
      <x:c r="G16" s="21"/>
      <x:c r="H16" s="53"/>
      <x:c r="I16" s="53"/>
      <x:c r="J16" s="53" t="str">
        <x:v>https://reports.aashe.org/institutions/participants-and-reports/</x:v>
      </x:c>
      <x:c r="K16" s="21" t="str">
        <x:v>No exact institution-level match was found in the current AASHE participants and reports table.</x:v>
      </x:c>
    </x:row>
    <x:row r="17" ht="28" customHeight="1">
      <x:c r="A17" s="58" t="n">
        <x:v>13</x:v>
      </x:c>
      <x:c r="B17" s="51" t="str">
        <x:v>University of California, Berkeley (UCB)</x:v>
      </x:c>
      <x:c r="C17" s="51" t="str">
        <x:v>Verified alias</x:v>
      </x:c>
      <x:c r="D17" s="51" t="str">
        <x:v>University of California, Berkeley</x:v>
      </x:c>
      <x:c r="E17" s="51" t="str">
        <x:v>Platinum</x:v>
      </x:c>
      <x:c r="F17" s="51" t="n">
        <x:v>100</x:v>
      </x:c>
      <x:c r="G17" s="51" t="str">
        <x:v>April 20, 2028</x:v>
      </x:c>
      <x:c r="H17" s="54" t="str">
        <x:v>https://reports.aashe.org/institutions/university-of-california-berkeley-ca/report/</x:v>
      </x:c>
      <x:c r="I17" s="54" t="str">
        <x:v>https://reports.aashe.org/institutions/university-of-california-berkeley-ca/report/2025-02-19/</x:v>
      </x:c>
      <x:c r="J17" s="54" t="str">
        <x:v>https://reports.aashe.org/institutions/participants-and-reports/</x:v>
      </x:c>
      <x:c r="K17" s="51" t="str">
        <x:v>Alias checked as the same institution.</x:v>
      </x:c>
    </x:row>
    <x:row r="18" ht="28" customHeight="1">
      <x:c r="A18" s="57" t="n">
        <x:v>14</x:v>
      </x:c>
      <x:c r="B18" s="21" t="str">
        <x:v>Stanford University</x:v>
      </x:c>
      <x:c r="C18" s="21" t="str">
        <x:v>Exact name</x:v>
      </x:c>
      <x:c r="D18" s="21" t="str">
        <x:v>Stanford University</x:v>
      </x:c>
      <x:c r="E18" s="21" t="str">
        <x:v>Platinum</x:v>
      </x:c>
      <x:c r="F18" s="21" t="n">
        <x:v>100</x:v>
      </x:c>
      <x:c r="G18" s="21" t="str">
        <x:v>Feb. 16, 2029</x:v>
      </x:c>
      <x:c r="H18" s="53" t="str">
        <x:v>https://reports.aashe.org/institutions/stanford-university-ca/report/</x:v>
      </x:c>
      <x:c r="I18" s="53" t="str">
        <x:v>https://reports.aashe.org/institutions/stanford-university-ca/report/2025-12-11/</x:v>
      </x:c>
      <x:c r="J18" s="53" t="str">
        <x:v>https://reports.aashe.org/institutions/participants-and-reports/</x:v>
      </x:c>
      <x:c r="K18" s="21" t="str">
        <x:v>Exact normalized institutional name match.</x:v>
      </x:c>
    </x:row>
    <x:row r="19" ht="28" customHeight="1">
      <x:c r="A19" s="58" t="n">
        <x:v>15</x:v>
      </x:c>
      <x:c r="B19" s="51" t="str">
        <x:v>University of Oxford</x:v>
      </x:c>
      <x:c r="C19" s="51" t="str">
        <x:v>No current exact record</x:v>
      </x:c>
      <x:c r="D19" s="51"/>
      <x:c r="E19" s="51"/>
      <x:c r="F19" s="51"/>
      <x:c r="G19" s="51"/>
      <x:c r="H19" s="54"/>
      <x:c r="I19" s="54"/>
      <x:c r="J19" s="54" t="str">
        <x:v>https://reports.aashe.org/institutions/participants-and-reports/</x:v>
      </x:c>
      <x:c r="K19" s="51" t="str">
        <x:v>No exact institution-level match was found in the current AASHE participants and reports table.</x:v>
      </x:c>
    </x:row>
    <x:row r="20" ht="28" customHeight="1">
      <x:c r="A20" s="57" t="n">
        <x:v>16</x:v>
      </x:c>
      <x:c r="B20" s="21" t="str">
        <x:v>The University of Sydney</x:v>
      </x:c>
      <x:c r="C20" s="21" t="str">
        <x:v>No current exact record</x:v>
      </x:c>
      <x:c r="D20" s="21"/>
      <x:c r="E20" s="21"/>
      <x:c r="F20" s="21"/>
      <x:c r="G20" s="21"/>
      <x:c r="H20" s="53"/>
      <x:c r="I20" s="53"/>
      <x:c r="J20" s="53" t="str">
        <x:v>https://reports.aashe.org/institutions/participants-and-reports/</x:v>
      </x:c>
      <x:c r="K20" s="21" t="str">
        <x:v>No exact institution-level match was found in the current AASHE participants and reports table.</x:v>
      </x:c>
    </x:row>
    <x:row r="21" ht="28" customHeight="1">
      <x:c r="A21" s="58" t="n">
        <x:v>17</x:v>
      </x:c>
      <x:c r="B21" s="51" t="str">
        <x:v>Australian National University (ANU)</x:v>
      </x:c>
      <x:c r="C21" s="51" t="str">
        <x:v>No current exact record</x:v>
      </x:c>
      <x:c r="D21" s="51"/>
      <x:c r="E21" s="51"/>
      <x:c r="F21" s="51"/>
      <x:c r="G21" s="51"/>
      <x:c r="H21" s="54"/>
      <x:c r="I21" s="54"/>
      <x:c r="J21" s="54" t="str">
        <x:v>https://reports.aashe.org/institutions/participants-and-reports/</x:v>
      </x:c>
      <x:c r="K21" s="51" t="str">
        <x:v>No exact institution-level match was found in the current AASHE participants and reports table.</x:v>
      </x:c>
    </x:row>
    <x:row r="22" ht="28" customHeight="1">
      <x:c r="A22" s="57" t="n">
        <x:v>18</x:v>
      </x:c>
      <x:c r="B22" s="21" t="str">
        <x:v>King's College London</x:v>
      </x:c>
      <x:c r="C22" s="21" t="str">
        <x:v>No current exact record</x:v>
      </x:c>
      <x:c r="D22" s="21"/>
      <x:c r="E22" s="21"/>
      <x:c r="F22" s="21"/>
      <x:c r="G22" s="21"/>
      <x:c r="H22" s="53"/>
      <x:c r="I22" s="53"/>
      <x:c r="J22" s="53" t="str">
        <x:v>https://reports.aashe.org/institutions/participants-and-reports/</x:v>
      </x:c>
      <x:c r="K22" s="21" t="str">
        <x:v>No exact institution-level match was found in the current AASHE participants and reports table.</x:v>
      </x:c>
    </x:row>
    <x:row r="23" ht="28" customHeight="1">
      <x:c r="A23" s="58" t="n">
        <x:v>19</x:v>
      </x:c>
      <x:c r="B23" s="51" t="str">
        <x:v>University of Bristol</x:v>
      </x:c>
      <x:c r="C23" s="51" t="str">
        <x:v>No current exact record</x:v>
      </x:c>
      <x:c r="D23" s="51"/>
      <x:c r="E23" s="51"/>
      <x:c r="F23" s="51"/>
      <x:c r="G23" s="51"/>
      <x:c r="H23" s="54"/>
      <x:c r="I23" s="54"/>
      <x:c r="J23" s="54" t="str">
        <x:v>https://reports.aashe.org/institutions/participants-and-reports/</x:v>
      </x:c>
      <x:c r="K23" s="51" t="str">
        <x:v>No exact institution-level match was found in the current AASHE participants and reports table.</x:v>
      </x:c>
    </x:row>
    <x:row r="24" ht="28" customHeight="1">
      <x:c r="A24" s="57" t="n">
        <x:v>20</x:v>
      </x:c>
      <x:c r="B24" s="21" t="str">
        <x:v>New York University (NYU)</x:v>
      </x:c>
      <x:c r="C24" s="21" t="str">
        <x:v>Exact name</x:v>
      </x:c>
      <x:c r="D24" s="21" t="str">
        <x:v>New York University</x:v>
      </x:c>
      <x:c r="E24" s="21" t="str">
        <x:v>Gold</x:v>
      </x:c>
      <x:c r="F24" s="21" t="n">
        <x:v>85</x:v>
      </x:c>
      <x:c r="G24" s="21" t="str">
        <x:v>March 17, 2028</x:v>
      </x:c>
      <x:c r="H24" s="53" t="str">
        <x:v>https://reports.aashe.org/institutions/new-york-university-ny/report/</x:v>
      </x:c>
      <x:c r="I24" s="53" t="str">
        <x:v>https://reports.aashe.org/institutions/new-york-university-ny/report/2025-02-14/</x:v>
      </x:c>
      <x:c r="J24" s="53" t="str">
        <x:v>https://reports.aashe.org/institutions/participants-and-reports/</x:v>
      </x:c>
      <x:c r="K24" s="21" t="str">
        <x:v>Exact normalized institutional name match.</x:v>
      </x:c>
    </x:row>
    <x:row r="25" ht="28" customHeight="1">
      <x:c r="A25" s="58" t="n">
        <x:v>21</x:v>
      </x:c>
      <x:c r="B25" s="51" t="str">
        <x:v>Pennsylvania State University</x:v>
      </x:c>
      <x:c r="C25" s="51" t="str">
        <x:v>Exact name</x:v>
      </x:c>
      <x:c r="D25" s="51" t="str">
        <x:v>Pennsylvania State University</x:v>
      </x:c>
      <x:c r="E25" s="51" t="str">
        <x:v>Gold</x:v>
      </x:c>
      <x:c r="F25" s="51" t="n">
        <x:v>85</x:v>
      </x:c>
      <x:c r="G25" s="51" t="str">
        <x:v>Jan. 10, 2027</x:v>
      </x:c>
      <x:c r="H25" s="54" t="str">
        <x:v>https://reports.aashe.org/institutions/pennsylvania-state-university-pa/report/</x:v>
      </x:c>
      <x:c r="I25" s="54" t="str">
        <x:v>https://reports.aashe.org/institutions/pennsylvania-state-university-pa/report/2023-12-12/</x:v>
      </x:c>
      <x:c r="J25" s="54" t="str">
        <x:v>https://reports.aashe.org/institutions/participants-and-reports/</x:v>
      </x:c>
      <x:c r="K25" s="51" t="str">
        <x:v>Exact normalized institutional name match.</x:v>
      </x:c>
    </x:row>
    <x:row r="26" ht="28" customHeight="1">
      <x:c r="A26" s="57" t="n">
        <x:v>22</x:v>
      </x:c>
      <x:c r="B26" s="21" t="str">
        <x:v>KU Leuven</x:v>
      </x:c>
      <x:c r="C26" s="21" t="str">
        <x:v>No current exact record</x:v>
      </x:c>
      <x:c r="D26" s="21"/>
      <x:c r="E26" s="21"/>
      <x:c r="F26" s="21"/>
      <x:c r="G26" s="21"/>
      <x:c r="H26" s="53"/>
      <x:c r="I26" s="53"/>
      <x:c r="J26" s="53" t="str">
        <x:v>https://reports.aashe.org/institutions/participants-and-reports/</x:v>
      </x:c>
      <x:c r="K26" s="21" t="str">
        <x:v>No exact institution-level match was found in the current AASHE participants and reports table.</x:v>
      </x:c>
    </x:row>
    <x:row r="27" ht="28" customHeight="1">
      <x:c r="A27" s="58" t="n">
        <x:v>23</x:v>
      </x:c>
      <x:c r="B27" s="51" t="str">
        <x:v>University of Helsinki</x:v>
      </x:c>
      <x:c r="C27" s="51" t="str">
        <x:v>No current exact record</x:v>
      </x:c>
      <x:c r="D27" s="51"/>
      <x:c r="E27" s="51"/>
      <x:c r="F27" s="51"/>
      <x:c r="G27" s="51"/>
      <x:c r="H27" s="54"/>
      <x:c r="I27" s="54"/>
      <x:c r="J27" s="54" t="str">
        <x:v>https://reports.aashe.org/institutions/participants-and-reports/</x:v>
      </x:c>
      <x:c r="K27" s="51" t="str">
        <x:v>No exact institution-level match was found in the current AASHE participants and reports table.</x:v>
      </x:c>
    </x:row>
    <x:row r="28" ht="28" customHeight="1">
      <x:c r="A28" s="57" t="n">
        <x:v>24</x:v>
      </x:c>
      <x:c r="B28" s="21" t="str">
        <x:v>Durham University</x:v>
      </x:c>
      <x:c r="C28" s="21" t="str">
        <x:v>No current exact record</x:v>
      </x:c>
      <x:c r="D28" s="21"/>
      <x:c r="E28" s="21"/>
      <x:c r="F28" s="21"/>
      <x:c r="G28" s="21"/>
      <x:c r="H28" s="53"/>
      <x:c r="I28" s="53"/>
      <x:c r="J28" s="53" t="str">
        <x:v>https://reports.aashe.org/institutions/participants-and-reports/</x:v>
      </x:c>
      <x:c r="K28" s="21" t="str">
        <x:v>No exact institution-level match was found in the current AASHE participants and reports table.</x:v>
      </x:c>
    </x:row>
    <x:row r="29" ht="28" customHeight="1">
      <x:c r="A29" s="58" t="n">
        <x:v>25</x:v>
      </x:c>
      <x:c r="B29" s="51" t="str">
        <x:v>University of Leeds</x:v>
      </x:c>
      <x:c r="C29" s="51" t="str">
        <x:v>No current exact record</x:v>
      </x:c>
      <x:c r="D29" s="51"/>
      <x:c r="E29" s="51"/>
      <x:c r="F29" s="51"/>
      <x:c r="G29" s="51"/>
      <x:c r="H29" s="54"/>
      <x:c r="I29" s="54"/>
      <x:c r="J29" s="54" t="str">
        <x:v>https://reports.aashe.org/institutions/participants-and-reports/</x:v>
      </x:c>
      <x:c r="K29" s="51" t="str">
        <x:v>No exact institution-level match was found in the current AASHE participants and reports table.</x:v>
      </x:c>
    </x:row>
    <x:row r="30" ht="28" customHeight="1">
      <x:c r="A30" s="57" t="n">
        <x:v>26</x:v>
      </x:c>
      <x:c r="B30" s="21" t="str">
        <x:v>Western University</x:v>
      </x:c>
      <x:c r="C30" s="21" t="str">
        <x:v>Exact name</x:v>
      </x:c>
      <x:c r="D30" s="21" t="str">
        <x:v>Western University</x:v>
      </x:c>
      <x:c r="E30" s="21" t="str">
        <x:v>Gold</x:v>
      </x:c>
      <x:c r="F30" s="21" t="n">
        <x:v>85</x:v>
      </x:c>
      <x:c r="G30" s="21" t="str">
        <x:v>Feb. 28, 2028</x:v>
      </x:c>
      <x:c r="H30" s="53" t="str">
        <x:v>https://reports.aashe.org/institutions/university-of-western-ontario-on/report/</x:v>
      </x:c>
      <x:c r="I30" s="53" t="str">
        <x:v>https://reports.aashe.org/institutions/university-of-western-ontario-on/report/2025-01-16/</x:v>
      </x:c>
      <x:c r="J30" s="53" t="str">
        <x:v>https://reports.aashe.org/institutions/participants-and-reports/</x:v>
      </x:c>
      <x:c r="K30" s="21" t="str">
        <x:v>Exact normalized institutional name match.</x:v>
      </x:c>
    </x:row>
    <x:row r="31" ht="28" customHeight="1">
      <x:c r="A31" s="58" t="n">
        <x:v>27</x:v>
      </x:c>
      <x:c r="B31" s="51" t="str">
        <x:v>University of Glasgow</x:v>
      </x:c>
      <x:c r="C31" s="51" t="str">
        <x:v>No current exact record</x:v>
      </x:c>
      <x:c r="D31" s="51"/>
      <x:c r="E31" s="51"/>
      <x:c r="F31" s="51"/>
      <x:c r="G31" s="51"/>
      <x:c r="H31" s="54"/>
      <x:c r="I31" s="54"/>
      <x:c r="J31" s="54" t="str">
        <x:v>https://reports.aashe.org/institutions/participants-and-reports/</x:v>
      </x:c>
      <x:c r="K31" s="51" t="str">
        <x:v>No exact institution-level match was found in the current AASHE participants and reports table.</x:v>
      </x:c>
    </x:row>
    <x:row r="32" ht="28" customHeight="1">
      <x:c r="A32" s="57" t="n">
        <x:v>28</x:v>
      </x:c>
      <x:c r="B32" s="21" t="str">
        <x:v>The University of Auckland</x:v>
      </x:c>
      <x:c r="C32" s="21" t="str">
        <x:v>No current exact record</x:v>
      </x:c>
      <x:c r="D32" s="21"/>
      <x:c r="E32" s="21"/>
      <x:c r="F32" s="21"/>
      <x:c r="G32" s="21"/>
      <x:c r="H32" s="53"/>
      <x:c r="I32" s="53"/>
      <x:c r="J32" s="53" t="str">
        <x:v>https://reports.aashe.org/institutions/participants-and-reports/</x:v>
      </x:c>
      <x:c r="K32" s="21" t="str">
        <x:v>No exact institution-level match was found in the current AASHE participants and reports table.</x:v>
      </x:c>
    </x:row>
    <x:row r="33" ht="28" customHeight="1">
      <x:c r="A33" s="58" t="n">
        <x:v>29</x:v>
      </x:c>
      <x:c r="B33" s="51" t="str">
        <x:v>Trinity College Dublin, The University of Dublin</x:v>
      </x:c>
      <x:c r="C33" s="51" t="str">
        <x:v>No current exact record</x:v>
      </x:c>
      <x:c r="D33" s="51"/>
      <x:c r="E33" s="51"/>
      <x:c r="F33" s="51"/>
      <x:c r="G33" s="51"/>
      <x:c r="H33" s="54"/>
      <x:c r="I33" s="54"/>
      <x:c r="J33" s="54" t="str">
        <x:v>https://reports.aashe.org/institutions/participants-and-reports/</x:v>
      </x:c>
      <x:c r="K33" s="51" t="str">
        <x:v>No exact institution-level match was found in the current AASHE participants and reports table.</x:v>
      </x:c>
    </x:row>
    <x:row r="34" ht="28" customHeight="1">
      <x:c r="A34" s="57" t="n">
        <x:v>30</x:v>
      </x:c>
      <x:c r="B34" s="21" t="str">
        <x:v>University of Pennsylvania</x:v>
      </x:c>
      <x:c r="C34" s="21" t="str">
        <x:v>Exact name</x:v>
      </x:c>
      <x:c r="D34" s="21" t="str">
        <x:v>University of Pennsylvania</x:v>
      </x:c>
      <x:c r="E34" s="21" t="str">
        <x:v>Gold</x:v>
      </x:c>
      <x:c r="F34" s="21" t="n">
        <x:v>85</x:v>
      </x:c>
      <x:c r="G34" s="21" t="str">
        <x:v>March 6, 2028</x:v>
      </x:c>
      <x:c r="H34" s="53" t="str">
        <x:v>https://reports.aashe.org/institutions/university-of-pennsylvania-pa/report/</x:v>
      </x:c>
      <x:c r="I34" s="53" t="str">
        <x:v>https://reports.aashe.org/institutions/university-of-pennsylvania-pa/report/2025-02-18/</x:v>
      </x:c>
      <x:c r="J34" s="53" t="str">
        <x:v>https://reports.aashe.org/institutions/participants-and-reports/</x:v>
      </x:c>
      <x:c r="K34" s="21" t="str">
        <x:v>Exact normalized institutional name match.</x:v>
      </x:c>
    </x:row>
    <x:row r="35" ht="28" customHeight="1">
      <x:c r="A35" s="58" t="n">
        <x:v>49</x:v>
      </x:c>
      <x:c r="B35" s="51" t="str">
        <x:v>University of Exeter</x:v>
      </x:c>
      <x:c r="C35" s="51" t="str">
        <x:v>No current exact record</x:v>
      </x:c>
      <x:c r="D35" s="51"/>
      <x:c r="E35" s="51"/>
      <x:c r="F35" s="51"/>
      <x:c r="G35" s="51"/>
      <x:c r="H35" s="54"/>
      <x:c r="I35" s="54"/>
      <x:c r="J35" s="54" t="str">
        <x:v>https://reports.aashe.org/institutions/participants-and-reports/</x:v>
      </x:c>
      <x:c r="K35" s="51" t="str">
        <x:v>No exact institution-level match was found in the current AASHE participants and reports table.</x:v>
      </x:c>
    </x:row>
    <x:row r="36" ht="28" customHeight="1">
      <x:c r="A36" s="57" t="n">
        <x:v>52</x:v>
      </x:c>
      <x:c r="B36" s="21" t="str">
        <x:v>Griffith University</x:v>
      </x:c>
      <x:c r="C36" s="21" t="str">
        <x:v>No current exact record</x:v>
      </x:c>
      <x:c r="D36" s="21"/>
      <x:c r="E36" s="21"/>
      <x:c r="F36" s="21"/>
      <x:c r="G36" s="21"/>
      <x:c r="H36" s="53"/>
      <x:c r="I36" s="53"/>
      <x:c r="J36" s="53" t="str">
        <x:v>https://reports.aashe.org/institutions/participants-and-reports/</x:v>
      </x:c>
      <x:c r="K36" s="21" t="str">
        <x:v>No exact institution-level match was found in the current AASHE participants and reports table.</x:v>
      </x:c>
    </x:row>
    <x:row r="37" ht="28" customHeight="1">
      <x:c r="A37" s="58" t="n">
        <x:v>53</x:v>
      </x:c>
      <x:c r="B37" s="51" t="str">
        <x:v>Western Sydney University</x:v>
      </x:c>
      <x:c r="C37" s="51" t="str">
        <x:v>No current exact record</x:v>
      </x:c>
      <x:c r="D37" s="51"/>
      <x:c r="E37" s="51"/>
      <x:c r="F37" s="51"/>
      <x:c r="G37" s="51"/>
      <x:c r="H37" s="54"/>
      <x:c r="I37" s="54"/>
      <x:c r="J37" s="54" t="str">
        <x:v>https://reports.aashe.org/institutions/participants-and-reports/</x:v>
      </x:c>
      <x:c r="K37" s="51" t="str">
        <x:v>No exact institution-level match was found in the current AASHE participants and reports table.</x:v>
      </x:c>
    </x:row>
    <x:row r="38" ht="28" customHeight="1">
      <x:c r="A38" s="57" t="n">
        <x:v>54</x:v>
      </x:c>
      <x:c r="B38" s="21" t="str">
        <x:v>Queen's University</x:v>
      </x:c>
      <x:c r="C38" s="21" t="str">
        <x:v>No current exact record</x:v>
      </x:c>
      <x:c r="D38" s="21"/>
      <x:c r="E38" s="21"/>
      <x:c r="F38" s="21"/>
      <x:c r="G38" s="21"/>
      <x:c r="H38" s="53"/>
      <x:c r="I38" s="53"/>
      <x:c r="J38" s="53" t="str">
        <x:v>https://reports.aashe.org/institutions/participants-and-reports/</x:v>
      </x:c>
      <x:c r="K38" s="21" t="str">
        <x:v>No exact institution-level match was found in the current AASHE participants and reports table.</x:v>
      </x:c>
    </x:row>
    <x:row r="39" ht="28" customHeight="1">
      <x:c r="A39" s="58" t="n">
        <x:v>55</x:v>
      </x:c>
      <x:c r="B39" s="51" t="str">
        <x:v>Universiti Sains Malaysia</x:v>
      </x:c>
      <x:c r="C39" s="51" t="str">
        <x:v>No current exact record</x:v>
      </x:c>
      <x:c r="D39" s="51"/>
      <x:c r="E39" s="51"/>
      <x:c r="F39" s="51"/>
      <x:c r="G39" s="51"/>
      <x:c r="H39" s="54"/>
      <x:c r="I39" s="54"/>
      <x:c r="J39" s="54" t="str">
        <x:v>https://reports.aashe.org/institutions/participants-and-reports/</x:v>
      </x:c>
      <x:c r="K39" s="51" t="str">
        <x:v>No exact institution-level match was found in the current AASHE participants and reports table.</x:v>
      </x:c>
    </x:row>
    <x:row r="40" ht="28" customHeight="1">
      <x:c r="A40" s="57" t="n">
        <x:v>56</x:v>
      </x:c>
      <x:c r="B40" s="21" t="str">
        <x:v>Hanyang University</x:v>
      </x:c>
      <x:c r="C40" s="21" t="str">
        <x:v>No current exact record</x:v>
      </x:c>
      <x:c r="D40" s="21"/>
      <x:c r="E40" s="21"/>
      <x:c r="F40" s="21"/>
      <x:c r="G40" s="21"/>
      <x:c r="H40" s="53"/>
      <x:c r="I40" s="53"/>
      <x:c r="J40" s="53" t="str">
        <x:v>https://reports.aashe.org/institutions/participants-and-reports/</x:v>
      </x:c>
      <x:c r="K40" s="21" t="str">
        <x:v>No exact institution-level match was found in the current AASHE participants and reports table.</x:v>
      </x:c>
    </x:row>
    <x:row r="41" ht="28" customHeight="1">
      <x:c r="A41" s="58" t="n">
        <x:v>57</x:v>
      </x:c>
      <x:c r="B41" s="51" t="str">
        <x:v>Hokkaido University</x:v>
      </x:c>
      <x:c r="C41" s="51" t="str">
        <x:v>No current exact record</x:v>
      </x:c>
      <x:c r="D41" s="51"/>
      <x:c r="E41" s="51"/>
      <x:c r="F41" s="51"/>
      <x:c r="G41" s="51"/>
      <x:c r="H41" s="54"/>
      <x:c r="I41" s="54"/>
      <x:c r="J41" s="54" t="str">
        <x:v>https://reports.aashe.org/institutions/participants-and-reports/</x:v>
      </x:c>
      <x:c r="K41" s="51" t="str">
        <x:v>No exact institution-level match was found in the current AASHE participants and reports table.</x:v>
      </x:c>
    </x:row>
    <x:row r="42" ht="28" customHeight="1">
      <x:c r="A42" s="57" t="n">
        <x:v>58</x:v>
      </x:c>
      <x:c r="B42" s="21" t="str">
        <x:v>Universiti Kebangsaan Malaysia</x:v>
      </x:c>
      <x:c r="C42" s="21" t="str">
        <x:v>No current exact record</x:v>
      </x:c>
      <x:c r="D42" s="21"/>
      <x:c r="E42" s="21"/>
      <x:c r="F42" s="21"/>
      <x:c r="G42" s="21"/>
      <x:c r="H42" s="53"/>
      <x:c r="I42" s="53"/>
      <x:c r="J42" s="53" t="str">
        <x:v>https://reports.aashe.org/institutions/participants-and-reports/</x:v>
      </x:c>
      <x:c r="K42" s="21" t="str">
        <x:v>No exact institution-level match was found in the current AASHE participants and reports table.</x:v>
      </x:c>
    </x:row>
    <x:row r="43" ht="28" customHeight="1">
      <x:c r="A43" s="58" t="n">
        <x:v>59</x:v>
      </x:c>
      <x:c r="B43" s="51" t="str">
        <x:v>Institut Agro</x:v>
      </x:c>
      <x:c r="C43" s="51" t="str">
        <x:v>No current exact record</x:v>
      </x:c>
      <x:c r="D43" s="51"/>
      <x:c r="E43" s="51"/>
      <x:c r="F43" s="51"/>
      <x:c r="G43" s="51"/>
      <x:c r="H43" s="54"/>
      <x:c r="I43" s="54"/>
      <x:c r="J43" s="54" t="str">
        <x:v>https://reports.aashe.org/institutions/participants-and-reports/</x:v>
      </x:c>
      <x:c r="K43" s="51" t="str">
        <x:v>No exact institution-level match was found in the current AASHE participants and reports table.</x:v>
      </x:c>
    </x:row>
    <x:row r="44" ht="28" customHeight="1">
      <x:c r="A44" s="57" t="n">
        <x:v>60</x:v>
      </x:c>
      <x:c r="B44" s="21" t="str">
        <x:v>National Taiwan University (NTU)</x:v>
      </x:c>
      <x:c r="C44" s="21" t="str">
        <x:v>No current exact record</x:v>
      </x:c>
      <x:c r="D44" s="21"/>
      <x:c r="E44" s="21"/>
      <x:c r="F44" s="21"/>
      <x:c r="G44" s="21"/>
      <x:c r="H44" s="53"/>
      <x:c r="I44" s="53"/>
      <x:c r="J44" s="53" t="str">
        <x:v>https://reports.aashe.org/institutions/participants-and-reports/</x:v>
      </x:c>
      <x:c r="K44" s="21" t="str">
        <x:v>No exact institution-level match was found in the current AASHE participants and reports table.</x:v>
      </x:c>
    </x:row>
    <x:row r="45" ht="28" customHeight="1">
      <x:c r="A45" s="58" t="n">
        <x:v>61</x:v>
      </x:c>
      <x:c r="B45" s="51" t="str">
        <x:v>University of Alberta</x:v>
      </x:c>
      <x:c r="C45" s="51" t="str">
        <x:v>Exact name</x:v>
      </x:c>
      <x:c r="D45" s="51" t="str">
        <x:v>University of Alberta</x:v>
      </x:c>
      <x:c r="E45" s="51" t="str">
        <x:v>Gold</x:v>
      </x:c>
      <x:c r="F45" s="51" t="n">
        <x:v>85</x:v>
      </x:c>
      <x:c r="G45" s="51" t="str">
        <x:v>March 11, 2029</x:v>
      </x:c>
      <x:c r="H45" s="54" t="str">
        <x:v>https://reports.aashe.org/institutions/university-of-alberta-ab/report/</x:v>
      </x:c>
      <x:c r="I45" s="54" t="str">
        <x:v>https://reports.aashe.org/institutions/university-of-alberta-ab/report/2025-11-06/</x:v>
      </x:c>
      <x:c r="J45" s="54" t="str">
        <x:v>https://reports.aashe.org/institutions/participants-and-reports/</x:v>
      </x:c>
      <x:c r="K45" s="51" t="str">
        <x:v>Exact normalized institutional name match.</x:v>
      </x:c>
    </x:row>
    <x:row r="46" ht="28" customHeight="1">
      <x:c r="A46" s="57" t="n">
        <x:v>62</x:v>
      </x:c>
      <x:c r="B46" s="21" t="str">
        <x:v>Korea University</x:v>
      </x:c>
      <x:c r="C46" s="21" t="str">
        <x:v>No current exact record</x:v>
      </x:c>
      <x:c r="D46" s="21"/>
      <x:c r="E46" s="21"/>
      <x:c r="F46" s="21"/>
      <x:c r="G46" s="21"/>
      <x:c r="H46" s="53"/>
      <x:c r="I46" s="53"/>
      <x:c r="J46" s="53" t="str">
        <x:v>https://reports.aashe.org/institutions/participants-and-reports/</x:v>
      </x:c>
      <x:c r="K46" s="21" t="str">
        <x:v>No exact institution-level match was found in the current AASHE participants and reports table.</x:v>
      </x:c>
    </x:row>
    <x:row r="47" ht="28" customHeight="1">
      <x:c r="A47" s="58" t="n">
        <x:v>63</x:v>
      </x:c>
      <x:c r="B47" s="51" t="str">
        <x:v>Universitas Airlangga</x:v>
      </x:c>
      <x:c r="C47" s="51" t="str">
        <x:v>No current exact record</x:v>
      </x:c>
      <x:c r="D47" s="51"/>
      <x:c r="E47" s="51"/>
      <x:c r="F47" s="51"/>
      <x:c r="G47" s="51"/>
      <x:c r="H47" s="54"/>
      <x:c r="I47" s="54"/>
      <x:c r="J47" s="54" t="str">
        <x:v>https://reports.aashe.org/institutions/participants-and-reports/</x:v>
      </x:c>
      <x:c r="K47" s="51" t="str">
        <x:v>No exact institution-level match was found in the current AASHE participants and reports table.</x:v>
      </x:c>
    </x:row>
    <x:row r="48" ht="28" customHeight="1">
      <x:c r="A48" s="57" t="n">
        <x:v>64</x:v>
      </x:c>
      <x:c r="B48" s="21" t="str">
        <x:v>Pusan National University</x:v>
      </x:c>
      <x:c r="C48" s="21" t="str">
        <x:v>No current exact record</x:v>
      </x:c>
      <x:c r="D48" s="21"/>
      <x:c r="E48" s="21"/>
      <x:c r="F48" s="21"/>
      <x:c r="G48" s="21"/>
      <x:c r="H48" s="53"/>
      <x:c r="I48" s="53"/>
      <x:c r="J48" s="53" t="str">
        <x:v>https://reports.aashe.org/institutions/participants-and-reports/</x:v>
      </x:c>
      <x:c r="K48" s="21" t="str">
        <x:v>No exact institution-level match was found in the current AASHE participants and reports table.</x:v>
      </x:c>
    </x:row>
    <x:row r="49" ht="28" customHeight="1">
      <x:c r="A49" s="58" t="n">
        <x:v>65</x:v>
      </x:c>
      <x:c r="B49" s="51" t="str">
        <x:v>University of Tasmania</x:v>
      </x:c>
      <x:c r="C49" s="51" t="str">
        <x:v>No current exact record</x:v>
      </x:c>
      <x:c r="D49" s="51"/>
      <x:c r="E49" s="51"/>
      <x:c r="F49" s="51"/>
      <x:c r="G49" s="51"/>
      <x:c r="H49" s="54"/>
      <x:c r="I49" s="54"/>
      <x:c r="J49" s="54" t="str">
        <x:v>https://reports.aashe.org/institutions/participants-and-reports/</x:v>
      </x:c>
      <x:c r="K49" s="51" t="str">
        <x:v>No exact institution-level match was found in the current AASHE participants and reports table.</x:v>
      </x:c>
    </x:row>
    <x:row r="50" ht="28" customHeight="1">
      <x:c r="A50" s="57" t="n">
        <x:v>66</x:v>
      </x:c>
      <x:c r="B50" s="21" t="str">
        <x:v>McMaster University</x:v>
      </x:c>
      <x:c r="C50" s="21" t="str">
        <x:v>Exact name</x:v>
      </x:c>
      <x:c r="D50" s="21" t="str">
        <x:v>McMaster University</x:v>
      </x:c>
      <x:c r="E50" s="21" t="str">
        <x:v>Gold</x:v>
      </x:c>
      <x:c r="F50" s="21" t="n">
        <x:v>85</x:v>
      </x:c>
      <x:c r="G50" s="21" t="str">
        <x:v>June 17, 2028</x:v>
      </x:c>
      <x:c r="H50" s="53" t="str">
        <x:v>https://reports.aashe.org/institutions/mcmaster-university-on/report/</x:v>
      </x:c>
      <x:c r="I50" s="53" t="str">
        <x:v>https://reports.aashe.org/institutions/mcmaster-university-on/report/2025-03-14/</x:v>
      </x:c>
      <x:c r="J50" s="53" t="str">
        <x:v>https://reports.aashe.org/institutions/participants-and-reports/</x:v>
      </x:c>
      <x:c r="K50" s="21" t="str">
        <x:v>Exact normalized institutional name match.</x:v>
      </x:c>
    </x:row>
    <x:row r="51" ht="28" customHeight="1">
      <x:c r="A51" s="58" t="n">
        <x:v>67</x:v>
      </x:c>
      <x:c r="B51" s="51" t="str">
        <x:v>Chulalongkorn University</x:v>
      </x:c>
      <x:c r="C51" s="51" t="str">
        <x:v>No current exact record</x:v>
      </x:c>
      <x:c r="D51" s="51"/>
      <x:c r="E51" s="51"/>
      <x:c r="F51" s="51"/>
      <x:c r="G51" s="51"/>
      <x:c r="H51" s="54"/>
      <x:c r="I51" s="54"/>
      <x:c r="J51" s="54" t="str">
        <x:v>https://reports.aashe.org/institutions/participants-and-reports/</x:v>
      </x:c>
      <x:c r="K51" s="51" t="str">
        <x:v>No exact institution-level match was found in the current AASHE participants and reports table.</x:v>
      </x:c>
    </x:row>
    <x:row r="52" ht="28" customHeight="1">
      <x:c r="A52" s="57" t="n">
        <x:v>68</x:v>
      </x:c>
      <x:c r="B52" s="21" t="str">
        <x:v>Kyungpook National University (KNU)</x:v>
      </x:c>
      <x:c r="C52" s="21" t="str">
        <x:v>No current exact record</x:v>
      </x:c>
      <x:c r="D52" s="21"/>
      <x:c r="E52" s="21"/>
      <x:c r="F52" s="21"/>
      <x:c r="G52" s="21"/>
      <x:c r="H52" s="53"/>
      <x:c r="I52" s="53"/>
      <x:c r="J52" s="53" t="str">
        <x:v>https://reports.aashe.org/institutions/participants-and-reports/</x:v>
      </x:c>
      <x:c r="K52" s="21" t="str">
        <x:v>No exact institution-level match was found in the current AASHE participants and reports table.</x:v>
      </x:c>
    </x:row>
    <x:row r="53" ht="28" customHeight="1">
      <x:c r="A53" s="58" t="n">
        <x:v>69</x:v>
      </x:c>
      <x:c r="B53" s="51" t="str">
        <x:v>The Hong Kong University of Science and Technology</x:v>
      </x:c>
      <x:c r="C53" s="51" t="str">
        <x:v>No current exact record</x:v>
      </x:c>
      <x:c r="D53" s="51"/>
      <x:c r="E53" s="51"/>
      <x:c r="F53" s="51"/>
      <x:c r="G53" s="51"/>
      <x:c r="H53" s="54"/>
      <x:c r="I53" s="54"/>
      <x:c r="J53" s="54" t="str">
        <x:v>https://reports.aashe.org/institutions/participants-and-reports/</x:v>
      </x:c>
      <x:c r="K53" s="51" t="str">
        <x:v>No exact institution-level match was found in the current AASHE participants and reports table.</x:v>
      </x:c>
    </x:row>
    <x:row r="54" ht="28" customHeight="1">
      <x:c r="A54" s="57" t="n">
        <x:v>70</x:v>
      </x:c>
      <x:c r="B54" s="21" t="str">
        <x:v>Lovely Professional University</x:v>
      </x:c>
      <x:c r="C54" s="21" t="str">
        <x:v>No current exact record</x:v>
      </x:c>
      <x:c r="D54" s="21"/>
      <x:c r="E54" s="21"/>
      <x:c r="F54" s="21"/>
      <x:c r="G54" s="21"/>
      <x:c r="H54" s="53"/>
      <x:c r="I54" s="53"/>
      <x:c r="J54" s="53" t="str">
        <x:v>https://reports.aashe.org/institutions/participants-and-reports/</x:v>
      </x:c>
      <x:c r="K54" s="21" t="str">
        <x:v>No exact institution-level match was found in the current AASHE participants and reports table.</x:v>
      </x:c>
    </x:row>
    <x:row r="55" ht="28" customHeight="1">
      <x:c r="A55" s="58" t="n">
        <x:v>71</x:v>
      </x:c>
      <x:c r="B55" s="51" t="str">
        <x:v>University of Malaya</x:v>
      </x:c>
      <x:c r="C55" s="51" t="str">
        <x:v>No current exact record</x:v>
      </x:c>
      <x:c r="D55" s="51"/>
      <x:c r="E55" s="51"/>
      <x:c r="F55" s="51"/>
      <x:c r="G55" s="51"/>
      <x:c r="H55" s="54"/>
      <x:c r="I55" s="54"/>
      <x:c r="J55" s="54" t="str">
        <x:v>https://reports.aashe.org/institutions/participants-and-reports/</x:v>
      </x:c>
      <x:c r="K55" s="51" t="str">
        <x:v>No exact institution-level match was found in the current AASHE participants and reports table.</x:v>
      </x:c>
    </x:row>
    <x:row r="56" ht="28" customHeight="1">
      <x:c r="A56" s="57" t="n">
        <x:v>72</x:v>
      </x:c>
      <x:c r="B56" s="21" t="str">
        <x:v>Aalborg University</x:v>
      </x:c>
      <x:c r="C56" s="21" t="str">
        <x:v>No current exact record</x:v>
      </x:c>
      <x:c r="D56" s="21"/>
      <x:c r="E56" s="21"/>
      <x:c r="F56" s="21"/>
      <x:c r="G56" s="21"/>
      <x:c r="H56" s="53"/>
      <x:c r="I56" s="53"/>
      <x:c r="J56" s="53" t="str">
        <x:v>https://reports.aashe.org/institutions/participants-and-reports/</x:v>
      </x:c>
      <x:c r="K56" s="21" t="str">
        <x:v>No exact institution-level match was found in the current AASHE participants and reports table.</x:v>
      </x:c>
    </x:row>
    <x:row r="57" ht="28" customHeight="1">
      <x:c r="A57" s="58" t="n">
        <x:v>73</x:v>
      </x:c>
      <x:c r="B57" s="51" t="str">
        <x:v>Kyung Hee University</x:v>
      </x:c>
      <x:c r="C57" s="51" t="str">
        <x:v>No current exact record</x:v>
      </x:c>
      <x:c r="D57" s="51"/>
      <x:c r="E57" s="51"/>
      <x:c r="F57" s="51"/>
      <x:c r="G57" s="51"/>
      <x:c r="H57" s="54"/>
      <x:c r="I57" s="54"/>
      <x:c r="J57" s="54" t="str">
        <x:v>https://reports.aashe.org/institutions/participants-and-reports/</x:v>
      </x:c>
      <x:c r="K57" s="51" t="str">
        <x:v>No exact institution-level match was found in the current AASHE participants and reports table.</x:v>
      </x:c>
    </x:row>
    <x:row r="58" ht="28" customHeight="1">
      <x:c r="A58" s="57" t="n">
        <x:v>74</x:v>
      </x:c>
      <x:c r="B58" s="21" t="str">
        <x:v>University of Victoria</x:v>
      </x:c>
      <x:c r="C58" s="21" t="str">
        <x:v>Exact name</x:v>
      </x:c>
      <x:c r="D58" s="21" t="str">
        <x:v>University of Victoria</x:v>
      </x:c>
      <x:c r="E58" s="21" t="str">
        <x:v>Platinum</x:v>
      </x:c>
      <x:c r="F58" s="21" t="n">
        <x:v>100</x:v>
      </x:c>
      <x:c r="G58" s="21" t="str">
        <x:v>March 11, 2027</x:v>
      </x:c>
      <x:c r="H58" s="53" t="str">
        <x:v>https://reports.aashe.org/institutions/university-of-victoria-bc/report/</x:v>
      </x:c>
      <x:c r="I58" s="53" t="str">
        <x:v>https://reports.aashe.org/institutions/university-of-victoria-bc/report/2023-12-13/</x:v>
      </x:c>
      <x:c r="J58" s="53" t="str">
        <x:v>https://reports.aashe.org/institutions/participants-and-reports/</x:v>
      </x:c>
      <x:c r="K58" s="21" t="str">
        <x:v>Exact normalized institutional name match.</x:v>
      </x:c>
    </x:row>
    <x:row r="59" ht="28" customHeight="1">
      <x:c r="A59" s="58" t="n">
        <x:v>76</x:v>
      </x:c>
      <x:c r="B59" s="51" t="str">
        <x:v>Central Queensland University</x:v>
      </x:c>
      <x:c r="C59" s="51" t="str">
        <x:v>No current exact record</x:v>
      </x:c>
      <x:c r="D59" s="51"/>
      <x:c r="E59" s="51"/>
      <x:c r="F59" s="51"/>
      <x:c r="G59" s="51"/>
      <x:c r="H59" s="54"/>
      <x:c r="I59" s="54"/>
      <x:c r="J59" s="54" t="str">
        <x:v>https://reports.aashe.org/institutions/participants-and-reports/</x:v>
      </x:c>
      <x:c r="K59" s="51" t="str">
        <x:v>No exact institution-level match was found in the current AASHE participants and reports table.</x:v>
      </x:c>
    </x:row>
    <x:row r="60" ht="28" customHeight="1">
      <x:c r="A60" s="57" t="n">
        <x:v>77</x:v>
      </x:c>
      <x:c r="B60" s="21" t="str">
        <x:v>University of Newcastle</x:v>
      </x:c>
      <x:c r="C60" s="21" t="str">
        <x:v>No current exact record</x:v>
      </x:c>
      <x:c r="D60" s="21"/>
      <x:c r="E60" s="21"/>
      <x:c r="F60" s="21"/>
      <x:c r="G60" s="21"/>
      <x:c r="H60" s="53"/>
      <x:c r="I60" s="53"/>
      <x:c r="J60" s="53" t="str">
        <x:v>https://reports.aashe.org/institutions/participants-and-reports/</x:v>
      </x:c>
      <x:c r="K60" s="21" t="str">
        <x:v>No exact institution-level match was found in the current AASHE participants and reports table.</x:v>
      </x:c>
    </x:row>
    <x:row r="61" ht="28" customHeight="1">
      <x:c r="A61" s="58" t="n">
        <x:v>78</x:v>
      </x:c>
      <x:c r="B61" s="51" t="str">
        <x:v>Northumbria University</x:v>
      </x:c>
      <x:c r="C61" s="51" t="str">
        <x:v>No current exact record</x:v>
      </x:c>
      <x:c r="D61" s="51"/>
      <x:c r="E61" s="51"/>
      <x:c r="F61" s="51"/>
      <x:c r="G61" s="51"/>
      <x:c r="H61" s="54"/>
      <x:c r="I61" s="54"/>
      <x:c r="J61" s="54" t="str">
        <x:v>https://reports.aashe.org/institutions/participants-and-reports/</x:v>
      </x:c>
      <x:c r="K61" s="51" t="str">
        <x:v>No exact institution-level match was found in the current AASHE participants and reports table.</x:v>
      </x:c>
    </x:row>
    <x:row r="62" ht="28" customHeight="1">
      <x:c r="A62" s="57" t="n">
        <x:v>79</x:v>
      </x:c>
      <x:c r="B62" s="21" t="str">
        <x:v>University of Indonesia</x:v>
      </x:c>
      <x:c r="C62" s="21" t="str">
        <x:v>No current exact record</x:v>
      </x:c>
      <x:c r="D62" s="21"/>
      <x:c r="E62" s="21"/>
      <x:c r="F62" s="21"/>
      <x:c r="G62" s="21"/>
      <x:c r="H62" s="53"/>
      <x:c r="I62" s="53"/>
      <x:c r="J62" s="53" t="str">
        <x:v>https://reports.aashe.org/institutions/participants-and-reports/</x:v>
      </x:c>
      <x:c r="K62" s="21" t="str">
        <x:v>No exact institution-level match was found in the current AASHE participants and reports table.</x:v>
      </x:c>
    </x:row>
    <x:row r="63" ht="28" customHeight="1">
      <x:c r="A63" s="58" t="n">
        <x:v>80</x:v>
      </x:c>
      <x:c r="B63" s="51" t="str">
        <x:v>An-Najah National University</x:v>
      </x:c>
      <x:c r="C63" s="51" t="str">
        <x:v>No current exact record</x:v>
      </x:c>
      <x:c r="D63" s="51"/>
      <x:c r="E63" s="51"/>
      <x:c r="F63" s="51"/>
      <x:c r="G63" s="51"/>
      <x:c r="H63" s="54"/>
      <x:c r="I63" s="54"/>
      <x:c r="J63" s="54" t="str">
        <x:v>https://reports.aashe.org/institutions/participants-and-reports/</x:v>
      </x:c>
      <x:c r="K63" s="51" t="str">
        <x:v>No exact institution-level match was found in the current AASHE participants and reports table.</x:v>
      </x:c>
    </x:row>
    <x:row r="64" ht="28" customHeight="1">
      <x:c r="A64" s="59" t="n">
        <x:v>81</x:v>
      </x:c>
      <x:c r="B64" s="22" t="str">
        <x:v>Arizona State University (Tempe)</x:v>
      </x:c>
      <x:c r="C64" s="22" t="str">
        <x:v>Scope review required</x:v>
      </x:c>
      <x:c r="D64" s="22" t="str">
        <x:v>Arizona State University</x:v>
      </x:c>
      <x:c r="E64" s="22" t="str">
        <x:v>Platinum</x:v>
      </x:c>
      <x:c r="F64" s="22" t="n">
        <x:v>100</x:v>
      </x:c>
      <x:c r="G64" s="22" t="str">
        <x:v>July 14, 2029</x:v>
      </x:c>
      <x:c r="H64" s="55" t="str">
        <x:v>https://reports.aashe.org/institutions/arizona-state-university-az/report/</x:v>
      </x:c>
      <x:c r="I64" s="55" t="str">
        <x:v>https://reports.aashe.org/institutions/arizona-state-university-az/report/2026-04-30/</x:v>
      </x:c>
      <x:c r="J64" s="55" t="str">
        <x:v>https://reports.aashe.org/institutions/participants-and-reports/</x:v>
      </x:c>
      <x:c r="K64" s="22" t="str">
        <x:v>THE identifies the Tempe campus, while the AASHE record is labeled Arizona State University without an explicit campus boundary. Do not assume identical scope without checking the report boundary.</x:v>
      </x:c>
    </x:row>
  </x:sheetData>
  <x:mergeCells>
    <x:mergeCell ref="A1:K1"/>
    <x:mergeCell ref="A2:K2"/>
  </x:mergeCells>
  <x:pageMargins left="0.7" right="0.7" top="0.75" bottom="0.75" header="0.3" footer="0.3"/>
  <x:tableParts count="1">
    <x:tablePart xmlns:r="http://schemas.openxmlformats.org/officeDocument/2006/relationships" r:id="R672c81badd2743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6" hidden="0" customWidth="1"/>
    <x:col min="4" max="4" width="24" hidden="0" customWidth="1"/>
    <x:col min="5" max="5" width="30" hidden="0" customWidth="1"/>
    <x:col min="6" max="6" width="22" hidden="0" customWidth="1"/>
    <x:col min="7" max="7" width="14" hidden="0" customWidth="1"/>
    <x:col min="8" max="8" width="15" hidden="0" customWidth="1"/>
    <x:col min="9" max="9" width="15" hidden="0" customWidth="1"/>
    <x:col min="10" max="10" width="16" hidden="0" customWidth="1"/>
    <x:col min="11" max="11" width="35" hidden="0" customWidth="1"/>
    <x:col min="12" max="12" width="45" hidden="0" customWidth="1"/>
    <x:col min="13" max="13" width="42" hidden="0" customWidth="1"/>
    <x:col min="14" max="14" width="38" hidden="0" customWidth="1"/>
    <x:col min="15" max="15" width="12" hidden="0" customWidth="1"/>
    <x:col min="16" max="16" width="28" hidden="0" customWidth="1"/>
    <x:col min="17" max="17" width="55" hidden="0" customWidth="1"/>
  </x:cols>
  <x:sheetData>
    <x:row r="1" ht="28" customHeight="1">
      <x:c r="A1" s="3" t="str">
        <x:v>UN PRME Signatories and SIP Reports - 60 Selected Programs</x:v>
      </x:c>
      <x:c r="B1" s="3"/>
      <x:c r="C1" s="3"/>
      <x:c r="D1" s="3"/>
      <x:c r="E1" s="3"/>
      <x:c r="F1" s="3"/>
      <x:c r="G1" s="3"/>
      <x:c r="H1" s="3"/>
      <x:c r="I1" s="3"/>
      <x:c r="J1" s="3"/>
      <x:c r="K1" s="3"/>
      <x:c r="L1" s="3"/>
      <x:c r="M1" s="3"/>
      <x:c r="N1" s="3"/>
      <x:c r="O1" s="3"/>
      <x:c r="P1" s="3"/>
      <x:c r="Q1" s="3"/>
    </x:row>
    <x:row r="2" ht="34" customHeight="1">
      <x:c r="A2" s="7" t="str">
        <x:v>Verified institution- or school-level signatories and SIP reports dated 2022-2026. School-level scope remains explicit.</x:v>
      </x:c>
      <x:c r="B2" s="7"/>
      <x:c r="C2" s="7"/>
      <x:c r="D2" s="7"/>
      <x:c r="E2" s="7"/>
      <x:c r="F2" s="7"/>
      <x:c r="G2" s="7"/>
      <x:c r="H2" s="7"/>
      <x:c r="I2" s="7"/>
      <x:c r="J2" s="7"/>
      <x:c r="K2" s="7"/>
      <x:c r="L2" s="7"/>
      <x:c r="M2" s="7"/>
      <x:c r="N2" s="7"/>
      <x:c r="O2" s="7"/>
      <x:c r="P2" s="7"/>
      <x:c r="Q2" s="7"/>
    </x:row>
    <x:row r="4" ht="38" customHeight="1">
      <x:c r="A4" s="47" t="str">
        <x:v>ID</x:v>
      </x:c>
      <x:c r="B4" s="48" t="str">
        <x:v>Candidate Institution</x:v>
      </x:c>
      <x:c r="C4" s="48" t="str">
        <x:v>Country</x:v>
      </x:c>
      <x:c r="D4" s="48" t="str">
        <x:v>PRME Match Status</x:v>
      </x:c>
      <x:c r="E4" s="48" t="str">
        <x:v>Matched Signatory</x:v>
      </x:c>
      <x:c r="F4" s="48" t="str">
        <x:v>PRME Status</x:v>
      </x:c>
      <x:c r="G4" s="48" t="str">
        <x:v>Joined Date</x:v>
      </x:c>
      <x:c r="H4" s="48" t="str">
        <x:v>Recent SIP Count (2022-2026)</x:v>
      </x:c>
      <x:c r="I4" s="48" t="str">
        <x:v>Latest SIP Report Year</x:v>
      </x:c>
      <x:c r="J4" s="48" t="str">
        <x:v>Latest SIP Upload Date</x:v>
      </x:c>
      <x:c r="K4" s="48" t="str">
        <x:v>Latest SIP Title</x:v>
      </x:c>
      <x:c r="L4" s="48" t="str">
        <x:v>Latest SIP URL</x:v>
      </x:c>
      <x:c r="M4" s="48" t="str">
        <x:v>Signatory URL</x:v>
      </x:c>
      <x:c r="N4" s="48" t="str">
        <x:v>Source URL</x:v>
      </x:c>
      <x:c r="O4" s="48" t="str">
        <x:v>Match Score</x:v>
      </x:c>
      <x:c r="P4" s="48" t="str">
        <x:v>Matched Alias</x:v>
      </x:c>
      <x:c r="Q4" s="49" t="str">
        <x:v>Scope / Match Note</x:v>
      </x:c>
    </x:row>
    <x:row r="5" ht="36" customHeight="1">
      <x:c r="A5" s="56" t="n">
        <x:v>1</x:v>
      </x:c>
      <x:c r="B5" s="50" t="str">
        <x:v>Lund University</x:v>
      </x:c>
      <x:c r="C5" s="50" t="str">
        <x:v>Sweden</x:v>
      </x:c>
      <x:c r="D5" s="50" t="str">
        <x:v>Verified - Verified alias</x:v>
      </x:c>
      <x:c r="E5" s="50" t="str">
        <x:v>Lund University School of Economics and Management (LUSEM)</x:v>
      </x:c>
      <x:c r="F5" s="50" t="str">
        <x:v>Communicating Signatory</x:v>
      </x:c>
      <x:c r="G5" s="50" t="str">
        <x:v>Mar 28 2012</x:v>
      </x:c>
      <x:c r="H5" s="50" t="n">
        <x:v>3</x:v>
      </x:c>
      <x:c r="I5" s="50" t="n">
        <x:v>2025</x:v>
      </x:c>
      <x:c r="J5" s="50" t="str">
        <x:v>2025-10-30</x:v>
      </x:c>
      <x:c r="K5" s="50" t="str">
        <x:v>Lund University School of Economics and Management (LUSEM) - SIP 2025</x:v>
      </x:c>
      <x:c r="L5" s="52" t="str">
        <x:v>https://commons-static.s3.amazonaws.com/reports/3af0af21718ad75722b7f7dc2428e7f3f9c10432/Lund+University+School+of+Economics+and+Management+(LUSEM)+-+SIP+2025.pdf</x:v>
      </x:c>
      <x:c r="M5" s="52" t="str">
        <x:v>https://www.unprme.org/lund-university-school-of-economics-and-management-lusem/</x:v>
      </x:c>
      <x:c r="N5" s="52" t="str">
        <x:v>https://www.unprme.org/search/</x:v>
      </x:c>
      <x:c r="O5" s="50" t="n">
        <x:v>1</x:v>
      </x:c>
      <x:c r="P5" s="50" t="str">
        <x:v>Lund University School of Economics and Management</x:v>
      </x:c>
      <x:c r="Q5" s="50" t="str">
        <x:v>Verified against the current UN PRME signatory directory; school-level scope is not promoted to the entire university.</x:v>
      </x:c>
    </x:row>
    <x:row r="6" ht="36" customHeight="1">
      <x:c r="A6" s="57" t="n">
        <x:v>2</x:v>
      </x:c>
      <x:c r="B6" s="21" t="str">
        <x:v>University of Toronto</x:v>
      </x:c>
      <x:c r="C6" s="21" t="str">
        <x:v>Canada</x:v>
      </x:c>
      <x:c r="D6" s="21" t="str">
        <x:v>Verified - Verified alias</x:v>
      </x:c>
      <x:c r="E6" s="21" t="str">
        <x:v>Rotman School of Management, University of Toronto</x:v>
      </x:c>
      <x:c r="F6" s="21" t="str">
        <x:v>Communicating Signatory</x:v>
      </x:c>
      <x:c r="G6" s="21" t="str">
        <x:v>May 07 2021</x:v>
      </x:c>
      <x:c r="H6" s="21" t="n">
        <x:v>0</x:v>
      </x:c>
      <x:c r="I6" s="21"/>
      <x:c r="J6" s="21"/>
      <x:c r="K6" s="21"/>
      <x:c r="L6" s="53"/>
      <x:c r="M6" s="53" t="str">
        <x:v>https://www.unprme.org/rotman-school-of-management-university-of-toronto/</x:v>
      </x:c>
      <x:c r="N6" s="53" t="str">
        <x:v>https://www.unprme.org/search/</x:v>
      </x:c>
      <x:c r="O6" s="21" t="n">
        <x:v>1</x:v>
      </x:c>
      <x:c r="P6" s="21" t="str">
        <x:v>Rotman School of Management, University of Toronto</x:v>
      </x:c>
      <x:c r="Q6" s="21" t="str">
        <x:v>Verified against the current UN PRME signatory directory; school-level scope is not promoted to the entire university.</x:v>
      </x:c>
    </x:row>
    <x:row r="7" ht="36" customHeight="1">
      <x:c r="A7" s="58" t="n">
        <x:v>3</x:v>
      </x:c>
      <x:c r="B7" s="51" t="str">
        <x:v>UCL</x:v>
      </x:c>
      <x:c r="C7" s="51" t="str">
        <x:v>United Kingdom</x:v>
      </x:c>
      <x:c r="D7" s="51" t="str">
        <x:v>No verified match</x:v>
      </x:c>
      <x:c r="E7" s="51"/>
      <x:c r="F7" s="51"/>
      <x:c r="G7" s="51"/>
      <x:c r="H7" s="51"/>
      <x:c r="I7" s="51"/>
      <x:c r="J7" s="51"/>
      <x:c r="K7" s="51"/>
      <x:c r="L7" s="54"/>
      <x:c r="M7" s="54"/>
      <x:c r="N7" s="54" t="str">
        <x:v>https://www.unprme.org/search/</x:v>
      </x:c>
      <x:c r="O7" s="51"/>
      <x:c r="P7" s="51"/>
      <x:c r="Q7" s="51" t="str">
        <x:v>No reliable signatory match</x:v>
      </x:c>
    </x:row>
    <x:row r="8" ht="36" customHeight="1">
      <x:c r="A8" s="57" t="n">
        <x:v>4</x:v>
      </x:c>
      <x:c r="B8" s="21" t="str">
        <x:v>The University of Edinburgh</x:v>
      </x:c>
      <x:c r="C8" s="21" t="str">
        <x:v>United Kingdom</x:v>
      </x:c>
      <x:c r="D8" s="21" t="str">
        <x:v>Verified - Verified alias</x:v>
      </x:c>
      <x:c r="E8" s="21" t="str">
        <x:v>University of Edinburgh Business School</x:v>
      </x:c>
      <x:c r="F8" s="21" t="str">
        <x:v>Communicating Signatory</x:v>
      </x:c>
      <x:c r="G8" s="21" t="str">
        <x:v>Nov 18 2015</x:v>
      </x:c>
      <x:c r="H8" s="21" t="n">
        <x:v>3</x:v>
      </x:c>
      <x:c r="I8" s="21" t="n">
        <x:v>2025</x:v>
      </x:c>
      <x:c r="J8" s="21" t="str">
        <x:v>2025-09-23</x:v>
      </x:c>
      <x:c r="K8" s="21" t="str">
        <x:v>University of Edinburgh Business School - 2025 - SIP Report</x:v>
      </x:c>
      <x:c r="L8" s="53" t="str">
        <x:v>https://commons-static.s3.amazonaws.com/reports/2dc292b22ff8108e482f774eb6872f3e6a7be786/University+of+Edinburgh+Business+School+-+SIP+2025.pdf</x:v>
      </x:c>
      <x:c r="M8" s="53" t="str">
        <x:v>https://www.unprme.org/university-of-edinburgh-business-school/</x:v>
      </x:c>
      <x:c r="N8" s="53" t="str">
        <x:v>https://www.unprme.org/search/</x:v>
      </x:c>
      <x:c r="O8" s="21" t="n">
        <x:v>1</x:v>
      </x:c>
      <x:c r="P8" s="21" t="str">
        <x:v>University of Edinburgh Business School</x:v>
      </x:c>
      <x:c r="Q8" s="21" t="str">
        <x:v>Verified against the current UN PRME signatory directory; school-level scope is not promoted to the entire university.</x:v>
      </x:c>
    </x:row>
    <x:row r="9" ht="36" customHeight="1">
      <x:c r="A9" s="58" t="n">
        <x:v>5</x:v>
      </x:c>
      <x:c r="B9" s="51" t="str">
        <x:v>University of British Columbia</x:v>
      </x:c>
      <x:c r="C9" s="51" t="str">
        <x:v>Canada</x:v>
      </x:c>
      <x:c r="D9" s="51" t="str">
        <x:v>No verified match</x:v>
      </x:c>
      <x:c r="E9" s="51"/>
      <x:c r="F9" s="51"/>
      <x:c r="G9" s="51"/>
      <x:c r="H9" s="51"/>
      <x:c r="I9" s="51"/>
      <x:c r="J9" s="51"/>
      <x:c r="K9" s="51"/>
      <x:c r="L9" s="54"/>
      <x:c r="M9" s="54"/>
      <x:c r="N9" s="54" t="str">
        <x:v>https://www.unprme.org/search/</x:v>
      </x:c>
      <x:c r="O9" s="51"/>
      <x:c r="P9" s="51"/>
      <x:c r="Q9" s="51" t="str">
        <x:v>Manual review candidate only: University of Northern British Columbia</x:v>
      </x:c>
    </x:row>
    <x:row r="10" ht="36" customHeight="1">
      <x:c r="A10" s="57" t="n">
        <x:v>6</x:v>
      </x:c>
      <x:c r="B10" s="21" t="str">
        <x:v>The London School of Economics and Political Science (LSE)</x:v>
      </x:c>
      <x:c r="C10" s="21" t="str">
        <x:v>United Kingdom</x:v>
      </x:c>
      <x:c r="D10" s="21" t="str">
        <x:v>No verified match</x:v>
      </x:c>
      <x:c r="E10" s="21"/>
      <x:c r="F10" s="21"/>
      <x:c r="G10" s="21"/>
      <x:c r="H10" s="21"/>
      <x:c r="I10" s="21"/>
      <x:c r="J10" s="21"/>
      <x:c r="K10" s="21"/>
      <x:c r="L10" s="53"/>
      <x:c r="M10" s="53"/>
      <x:c r="N10" s="53" t="str">
        <x:v>https://www.unprme.org/search/</x:v>
      </x:c>
      <x:c r="O10" s="21"/>
      <x:c r="P10" s="21"/>
      <x:c r="Q10" s="21" t="str">
        <x:v>No reliable signatory match</x:v>
      </x:c>
    </x:row>
    <x:row r="11" ht="36" customHeight="1">
      <x:c r="A11" s="58" t="n">
        <x:v>7</x:v>
      </x:c>
      <x:c r="B11" s="51" t="str">
        <x:v>Imperial College London</x:v>
      </x:c>
      <x:c r="C11" s="51" t="str">
        <x:v>United Kingdom</x:v>
      </x:c>
      <x:c r="D11" s="51" t="str">
        <x:v>No verified match</x:v>
      </x:c>
      <x:c r="E11" s="51"/>
      <x:c r="F11" s="51"/>
      <x:c r="G11" s="51"/>
      <x:c r="H11" s="51"/>
      <x:c r="I11" s="51"/>
      <x:c r="J11" s="51"/>
      <x:c r="K11" s="51"/>
      <x:c r="L11" s="54"/>
      <x:c r="M11" s="54"/>
      <x:c r="N11" s="54" t="str">
        <x:v>https://www.unprme.org/search/</x:v>
      </x:c>
      <x:c r="O11" s="51"/>
      <x:c r="P11" s="51"/>
      <x:c r="Q11" s="51" t="str">
        <x:v>No reliable signatory match</x:v>
      </x:c>
    </x:row>
    <x:row r="12" ht="36" customHeight="1">
      <x:c r="A12" s="57" t="n">
        <x:v>8</x:v>
      </x:c>
      <x:c r="B12" s="21" t="str">
        <x:v>The University of New South Wales (UNSW Sydney)</x:v>
      </x:c>
      <x:c r="C12" s="21" t="str">
        <x:v>Australia</x:v>
      </x:c>
      <x:c r="D12" s="21" t="str">
        <x:v>Verified - Verified alias</x:v>
      </x:c>
      <x:c r="E12" s="21" t="str">
        <x:v>UNSW Business School</x:v>
      </x:c>
      <x:c r="F12" s="21" t="str">
        <x:v>Non Communicating Signatory</x:v>
      </x:c>
      <x:c r="G12" s="21" t="str">
        <x:v>Aug 24 2009</x:v>
      </x:c>
      <x:c r="H12" s="21" t="n">
        <x:v>1</x:v>
      </x:c>
      <x:c r="I12" s="21" t="n">
        <x:v>2024</x:v>
      </x:c>
      <x:c r="J12" s="21" t="str">
        <x:v>2024-10-29</x:v>
      </x:c>
      <x:c r="K12" s="21" t="str">
        <x:v>UNSW Business School - 2024 - SIP Report</x:v>
      </x:c>
      <x:c r="L12" s="53" t="str">
        <x:v>https://commons-static.s3.amazonaws.com/reports/8d6f9131366dac0c298ee725e6577d6e0a54e832/UNSW+Business+School+-+SIP+2024.pdf</x:v>
      </x:c>
      <x:c r="M12" s="53" t="str">
        <x:v>https://www.unprme.org/unsw-business-school/</x:v>
      </x:c>
      <x:c r="N12" s="53" t="str">
        <x:v>https://www.unprme.org/search/</x:v>
      </x:c>
      <x:c r="O12" s="21" t="n">
        <x:v>1</x:v>
      </x:c>
      <x:c r="P12" s="21" t="str">
        <x:v>UNSW Business School</x:v>
      </x:c>
      <x:c r="Q12" s="21" t="str">
        <x:v>Verified against the current UN PRME signatory directory; school-level scope is not promoted to the entire university.</x:v>
      </x:c>
    </x:row>
    <x:row r="13" ht="36" customHeight="1">
      <x:c r="A13" s="58" t="n">
        <x:v>9</x:v>
      </x:c>
      <x:c r="B13" s="51" t="str">
        <x:v>McGill University</x:v>
      </x:c>
      <x:c r="C13" s="51" t="str">
        <x:v>Canada</x:v>
      </x:c>
      <x:c r="D13" s="51" t="str">
        <x:v>Verified - Verified alias</x:v>
      </x:c>
      <x:c r="E13" s="51" t="str">
        <x:v>Desautels Faculty of Management, McGill University</x:v>
      </x:c>
      <x:c r="F13" s="51" t="str">
        <x:v>Communicating Signatory</x:v>
      </x:c>
      <x:c r="G13" s="51" t="str">
        <x:v>Jul 10 2017</x:v>
      </x:c>
      <x:c r="H13" s="51" t="n">
        <x:v>0</x:v>
      </x:c>
      <x:c r="I13" s="51"/>
      <x:c r="J13" s="51"/>
      <x:c r="K13" s="51"/>
      <x:c r="L13" s="54"/>
      <x:c r="M13" s="54" t="str">
        <x:v>https://www.unprme.org/desautels-faculty-of-management-mc-gill-university/</x:v>
      </x:c>
      <x:c r="N13" s="54" t="str">
        <x:v>https://www.unprme.org/search/</x:v>
      </x:c>
      <x:c r="O13" s="51" t="n">
        <x:v>1</x:v>
      </x:c>
      <x:c r="P13" s="51" t="str">
        <x:v>Desautels Faculty of Management, McGill University</x:v>
      </x:c>
      <x:c r="Q13" s="51" t="str">
        <x:v>Verified against the current UN PRME signatory directory; school-level scope is not promoted to the entire university.</x:v>
      </x:c>
    </x:row>
    <x:row r="14" ht="36" customHeight="1">
      <x:c r="A14" s="57" t="n">
        <x:v>10</x:v>
      </x:c>
      <x:c r="B14" s="21" t="str">
        <x:v>The University of Manchester</x:v>
      </x:c>
      <x:c r="C14" s="21" t="str">
        <x:v>United Kingdom</x:v>
      </x:c>
      <x:c r="D14" s="21" t="str">
        <x:v>Verified - Verified alias</x:v>
      </x:c>
      <x:c r="E14" s="21" t="str">
        <x:v>Alliance Manchester Business School</x:v>
      </x:c>
      <x:c r="F14" s="21" t="str">
        <x:v>Communicating Signatory</x:v>
      </x:c>
      <x:c r="G14" s="21" t="str">
        <x:v>Jul 25 2019</x:v>
      </x:c>
      <x:c r="H14" s="21" t="n">
        <x:v>2</x:v>
      </x:c>
      <x:c r="I14" s="21" t="n">
        <x:v>2025</x:v>
      </x:c>
      <x:c r="J14" s="21" t="str">
        <x:v>2025-12-10</x:v>
      </x:c>
      <x:c r="K14" s="21" t="str">
        <x:v>Alliance Manchester Business School - SIP 2025</x:v>
      </x:c>
      <x:c r="L14" s="53" t="str">
        <x:v>https://commons-static.s3.amazonaws.com/reports/2817850c98d05a2bfe8023ee026d996ef515a85d/Alliance+Manchester+Business+School+-+SIP+2025.pdf</x:v>
      </x:c>
      <x:c r="M14" s="53" t="str">
        <x:v>https://www.unprme.org/alliance-manchester-business-school/</x:v>
      </x:c>
      <x:c r="N14" s="53" t="str">
        <x:v>https://www.unprme.org/search/</x:v>
      </x:c>
      <x:c r="O14" s="21" t="n">
        <x:v>1</x:v>
      </x:c>
      <x:c r="P14" s="21" t="str">
        <x:v>Alliance Manchester Business School</x:v>
      </x:c>
      <x:c r="Q14" s="21" t="str">
        <x:v>Verified against the current UN PRME signatory directory; school-level scope is not promoted to the entire university.</x:v>
      </x:c>
    </x:row>
    <x:row r="15" ht="36" customHeight="1">
      <x:c r="A15" s="58" t="n">
        <x:v>11</x:v>
      </x:c>
      <x:c r="B15" s="51" t="str">
        <x:v>ETH Zurich</x:v>
      </x:c>
      <x:c r="C15" s="51" t="str">
        <x:v>Switzerland</x:v>
      </x:c>
      <x:c r="D15" s="51" t="str">
        <x:v>No verified match</x:v>
      </x:c>
      <x:c r="E15" s="51"/>
      <x:c r="F15" s="51"/>
      <x:c r="G15" s="51"/>
      <x:c r="H15" s="51"/>
      <x:c r="I15" s="51"/>
      <x:c r="J15" s="51"/>
      <x:c r="K15" s="51"/>
      <x:c r="L15" s="54"/>
      <x:c r="M15" s="54"/>
      <x:c r="N15" s="54" t="str">
        <x:v>https://www.unprme.org/search/</x:v>
      </x:c>
      <x:c r="O15" s="51"/>
      <x:c r="P15" s="51"/>
      <x:c r="Q15" s="51" t="str">
        <x:v>No reliable signatory match</x:v>
      </x:c>
    </x:row>
    <x:row r="16" ht="36" customHeight="1">
      <x:c r="A16" s="57" t="n">
        <x:v>12</x:v>
      </x:c>
      <x:c r="B16" s="21" t="str">
        <x:v>The University of Melbourne</x:v>
      </x:c>
      <x:c r="C16" s="21" t="str">
        <x:v>Australia</x:v>
      </x:c>
      <x:c r="D16" s="21" t="str">
        <x:v>Verified - Verified alias</x:v>
      </x:c>
      <x:c r="E16" s="21" t="str">
        <x:v>Faculty of Business &amp; Economics and Melbourne Business School</x:v>
      </x:c>
      <x:c r="F16" s="21" t="str">
        <x:v>Communicating Signatory</x:v>
      </x:c>
      <x:c r="G16" s="21" t="str">
        <x:v>Nov 14 2019</x:v>
      </x:c>
      <x:c r="H16" s="21" t="n">
        <x:v>2</x:v>
      </x:c>
      <x:c r="I16" s="21" t="n">
        <x:v>2025</x:v>
      </x:c>
      <x:c r="J16" s="21" t="str">
        <x:v>2025-07-22</x:v>
      </x:c>
      <x:c r="K16" s="21" t="str">
        <x:v>Faculty of Business &amp; Economics and Melbourne Business School - 2025 - SIP Report</x:v>
      </x:c>
      <x:c r="L16" s="53" t="str">
        <x:v>https://commons-static.s3.amazonaws.com/reports/732c0a1fc174dbd3f549df2e96a5dae45900b9d0/Faculty+of+Business+&amp;+Economics+and+Melbourne+Business+School+-+SIP+2025.pdf</x:v>
      </x:c>
      <x:c r="M16" s="53" t="str">
        <x:v>https://www.unprme.org/faculty-of-business-economics-and-melbourne-business-school/</x:v>
      </x:c>
      <x:c r="N16" s="53" t="str">
        <x:v>https://www.unprme.org/search/</x:v>
      </x:c>
      <x:c r="O16" s="21" t="n">
        <x:v>0.96</x:v>
      </x:c>
      <x:c r="P16" s="21" t="str">
        <x:v>Melbourne Business School</x:v>
      </x:c>
      <x:c r="Q16" s="21" t="str">
        <x:v>Verified against the current UN PRME signatory directory; school-level scope is not promoted to the entire university.</x:v>
      </x:c>
    </x:row>
    <x:row r="17" ht="36" customHeight="1">
      <x:c r="A17" s="58" t="n">
        <x:v>13</x:v>
      </x:c>
      <x:c r="B17" s="51" t="str">
        <x:v>University of California, Berkeley (UCB)</x:v>
      </x:c>
      <x:c r="C17" s="51" t="str">
        <x:v>United States</x:v>
      </x:c>
      <x:c r="D17" s="51" t="str">
        <x:v>Verified - Verified alias</x:v>
      </x:c>
      <x:c r="E17" s="51" t="str">
        <x:v>Haas School of Business</x:v>
      </x:c>
      <x:c r="F17" s="51" t="str">
        <x:v>Communicating Signatory</x:v>
      </x:c>
      <x:c r="G17" s="51" t="str">
        <x:v>Jun 04 2012</x:v>
      </x:c>
      <x:c r="H17" s="51" t="n">
        <x:v>2</x:v>
      </x:c>
      <x:c r="I17" s="51" t="n">
        <x:v>2025</x:v>
      </x:c>
      <x:c r="J17" s="51" t="str">
        <x:v>2025-09-26</x:v>
      </x:c>
      <x:c r="K17" s="51" t="str">
        <x:v>Haas School of Business - 2025 - SIP Report</x:v>
      </x:c>
      <x:c r="L17" s="54" t="str">
        <x:v>https://commons-static.s3.amazonaws.com/reports/5a73b747ec74bdd97d5f05bf1ea48d0707e87e50/Haas+School+of+Business+-+SIP+2025.pdf</x:v>
      </x:c>
      <x:c r="M17" s="54" t="str">
        <x:v>https://www.unprme.org/haas-school-of-business/</x:v>
      </x:c>
      <x:c r="N17" s="54" t="str">
        <x:v>https://www.unprme.org/search/</x:v>
      </x:c>
      <x:c r="O17" s="51" t="n">
        <x:v>1</x:v>
      </x:c>
      <x:c r="P17" s="51" t="str">
        <x:v>Haas School of Business</x:v>
      </x:c>
      <x:c r="Q17" s="51" t="str">
        <x:v>Verified against the current UN PRME signatory directory; school-level scope is not promoted to the entire university.</x:v>
      </x:c>
    </x:row>
    <x:row r="18" ht="36" customHeight="1">
      <x:c r="A18" s="57" t="n">
        <x:v>14</x:v>
      </x:c>
      <x:c r="B18" s="21" t="str">
        <x:v>Stanford University</x:v>
      </x:c>
      <x:c r="C18" s="21" t="str">
        <x:v>United States</x:v>
      </x:c>
      <x:c r="D18" s="21" t="str">
        <x:v>No verified match</x:v>
      </x:c>
      <x:c r="E18" s="21"/>
      <x:c r="F18" s="21"/>
      <x:c r="G18" s="21"/>
      <x:c r="H18" s="21"/>
      <x:c r="I18" s="21"/>
      <x:c r="J18" s="21"/>
      <x:c r="K18" s="21"/>
      <x:c r="L18" s="53"/>
      <x:c r="M18" s="53"/>
      <x:c r="N18" s="53" t="str">
        <x:v>https://www.unprme.org/search/</x:v>
      </x:c>
      <x:c r="O18" s="21"/>
      <x:c r="P18" s="21"/>
      <x:c r="Q18" s="21" t="str">
        <x:v>No reliable signatory match</x:v>
      </x:c>
    </x:row>
    <x:row r="19" ht="36" customHeight="1">
      <x:c r="A19" s="58" t="n">
        <x:v>15</x:v>
      </x:c>
      <x:c r="B19" s="51" t="str">
        <x:v>University of Oxford</x:v>
      </x:c>
      <x:c r="C19" s="51" t="str">
        <x:v>United Kingdom</x:v>
      </x:c>
      <x:c r="D19" s="51" t="str">
        <x:v>No verified match</x:v>
      </x:c>
      <x:c r="E19" s="51"/>
      <x:c r="F19" s="51"/>
      <x:c r="G19" s="51"/>
      <x:c r="H19" s="51"/>
      <x:c r="I19" s="51"/>
      <x:c r="J19" s="51"/>
      <x:c r="K19" s="51"/>
      <x:c r="L19" s="54"/>
      <x:c r="M19" s="54"/>
      <x:c r="N19" s="54" t="str">
        <x:v>https://www.unprme.org/search/</x:v>
      </x:c>
      <x:c r="O19" s="51"/>
      <x:c r="P19" s="51"/>
      <x:c r="Q19" s="51" t="str">
        <x:v>Manual review candidate only: University of Salford</x:v>
      </x:c>
    </x:row>
    <x:row r="20" ht="36" customHeight="1">
      <x:c r="A20" s="57" t="n">
        <x:v>16</x:v>
      </x:c>
      <x:c r="B20" s="21" t="str">
        <x:v>The University of Sydney</x:v>
      </x:c>
      <x:c r="C20" s="21" t="str">
        <x:v>Australia</x:v>
      </x:c>
      <x:c r="D20" s="21" t="str">
        <x:v>Verified - Verified alias</x:v>
      </x:c>
      <x:c r="E20" s="21" t="str">
        <x:v>The University of Sydney Business School</x:v>
      </x:c>
      <x:c r="F20" s="21" t="str">
        <x:v>Communicating Signatory</x:v>
      </x:c>
      <x:c r="G20" s="21" t="str">
        <x:v>Feb 08 2016</x:v>
      </x:c>
      <x:c r="H20" s="21" t="n">
        <x:v>3</x:v>
      </x:c>
      <x:c r="I20" s="21" t="n">
        <x:v>2025</x:v>
      </x:c>
      <x:c r="J20" s="21" t="str">
        <x:v>2025-09-23</x:v>
      </x:c>
      <x:c r="K20" s="21" t="str">
        <x:v>The University of Sydney Business School - 2025 - Sip Report</x:v>
      </x:c>
      <x:c r="L20" s="53" t="str">
        <x:v>https://commons-static.s3.amazonaws.com/reports/3bb18d9ab531def40a51e637a236689460f8d373/The+University+of+Sydney+Business+School+-+SIP+2025.pdf</x:v>
      </x:c>
      <x:c r="M20" s="53" t="str">
        <x:v>https://www.unprme.org/the-university-of-sydney-business-school/</x:v>
      </x:c>
      <x:c r="N20" s="53" t="str">
        <x:v>https://www.unprme.org/search/</x:v>
      </x:c>
      <x:c r="O20" s="21" t="n">
        <x:v>1</x:v>
      </x:c>
      <x:c r="P20" s="21" t="str">
        <x:v>The University of Sydney Business School</x:v>
      </x:c>
      <x:c r="Q20" s="21" t="str">
        <x:v>Verified against the current UN PRME signatory directory; school-level scope is not promoted to the entire university.</x:v>
      </x:c>
    </x:row>
    <x:row r="21" ht="36" customHeight="1">
      <x:c r="A21" s="58" t="n">
        <x:v>17</x:v>
      </x:c>
      <x:c r="B21" s="51" t="str">
        <x:v>Australian National University (ANU)</x:v>
      </x:c>
      <x:c r="C21" s="51" t="str">
        <x:v>Australia</x:v>
      </x:c>
      <x:c r="D21" s="51" t="str">
        <x:v>No verified match</x:v>
      </x:c>
      <x:c r="E21" s="51"/>
      <x:c r="F21" s="51"/>
      <x:c r="G21" s="51"/>
      <x:c r="H21" s="51"/>
      <x:c r="I21" s="51"/>
      <x:c r="J21" s="51"/>
      <x:c r="K21" s="51"/>
      <x:c r="L21" s="54"/>
      <x:c r="M21" s="54"/>
      <x:c r="N21" s="54" t="str">
        <x:v>https://www.unprme.org/search/</x:v>
      </x:c>
      <x:c r="O21" s="51"/>
      <x:c r="P21" s="51"/>
      <x:c r="Q21" s="51" t="str">
        <x:v>No reliable signatory match</x:v>
      </x:c>
    </x:row>
    <x:row r="22" ht="36" customHeight="1">
      <x:c r="A22" s="57" t="n">
        <x:v>18</x:v>
      </x:c>
      <x:c r="B22" s="21" t="str">
        <x:v>King's College London</x:v>
      </x:c>
      <x:c r="C22" s="21" t="str">
        <x:v>United Kingdom</x:v>
      </x:c>
      <x:c r="D22" s="21" t="str">
        <x:v>Verified - Verified alias</x:v>
      </x:c>
      <x:c r="E22" s="21" t="str">
        <x:v>King's Business School</x:v>
      </x:c>
      <x:c r="F22" s="21" t="str">
        <x:v>Communicating Signatory</x:v>
      </x:c>
      <x:c r="G22" s="21" t="str">
        <x:v>Nov 03 2021</x:v>
      </x:c>
      <x:c r="H22" s="21" t="n">
        <x:v>2</x:v>
      </x:c>
      <x:c r="I22" s="21" t="n">
        <x:v>2025</x:v>
      </x:c>
      <x:c r="J22" s="21" t="str">
        <x:v>2025-09-30</x:v>
      </x:c>
      <x:c r="K22" s="21" t="str">
        <x:v>King's Business School - 2025 - SIP Report</x:v>
      </x:c>
      <x:c r="L22" s="53" t="str">
        <x:v>https://commons-static.s3.amazonaws.com/reports/7320828c9153b2a9848d6bc45d3544236b22fc48/King's+Business+School+-+SIP+2025.pdf</x:v>
      </x:c>
      <x:c r="M22" s="53" t="str">
        <x:v>https://www.unprme.org/kings-business-school/</x:v>
      </x:c>
      <x:c r="N22" s="53" t="str">
        <x:v>https://www.unprme.org/search/</x:v>
      </x:c>
      <x:c r="O22" s="21" t="n">
        <x:v>1</x:v>
      </x:c>
      <x:c r="P22" s="21" t="str">
        <x:v>King's Business School</x:v>
      </x:c>
      <x:c r="Q22" s="21" t="str">
        <x:v>Verified against the current UN PRME signatory directory; school-level scope is not promoted to the entire university.</x:v>
      </x:c>
    </x:row>
    <x:row r="23" ht="36" customHeight="1">
      <x:c r="A23" s="58" t="n">
        <x:v>19</x:v>
      </x:c>
      <x:c r="B23" s="51" t="str">
        <x:v>University of Bristol</x:v>
      </x:c>
      <x:c r="C23" s="51" t="str">
        <x:v>United Kingdom</x:v>
      </x:c>
      <x:c r="D23" s="51" t="str">
        <x:v>Verified - Verified alias</x:v>
      </x:c>
      <x:c r="E23" s="51" t="str">
        <x:v>University of Bristol Business School</x:v>
      </x:c>
      <x:c r="F23" s="51" t="str">
        <x:v>Communicating Signatory</x:v>
      </x:c>
      <x:c r="G23" s="51" t="str">
        <x:v>Jul 02 2025</x:v>
      </x:c>
      <x:c r="H23" s="51" t="n">
        <x:v>0</x:v>
      </x:c>
      <x:c r="I23" s="51"/>
      <x:c r="J23" s="51"/>
      <x:c r="K23" s="51"/>
      <x:c r="L23" s="54"/>
      <x:c r="M23" s="54" t="str">
        <x:v>https://www.unprme.org/university-of-bristol-business-school/</x:v>
      </x:c>
      <x:c r="N23" s="54" t="str">
        <x:v>https://www.unprme.org/search/</x:v>
      </x:c>
      <x:c r="O23" s="51" t="n">
        <x:v>1</x:v>
      </x:c>
      <x:c r="P23" s="51" t="str">
        <x:v>University of Bristol Business School</x:v>
      </x:c>
      <x:c r="Q23" s="51" t="str">
        <x:v>Verified against the current UN PRME signatory directory; school-level scope is not promoted to the entire university.</x:v>
      </x:c>
    </x:row>
    <x:row r="24" ht="36" customHeight="1">
      <x:c r="A24" s="57" t="n">
        <x:v>20</x:v>
      </x:c>
      <x:c r="B24" s="21" t="str">
        <x:v>New York University (NYU)</x:v>
      </x:c>
      <x:c r="C24" s="21" t="str">
        <x:v>United States</x:v>
      </x:c>
      <x:c r="D24" s="21" t="str">
        <x:v>No verified match</x:v>
      </x:c>
      <x:c r="E24" s="21"/>
      <x:c r="F24" s="21"/>
      <x:c r="G24" s="21"/>
      <x:c r="H24" s="21"/>
      <x:c r="I24" s="21"/>
      <x:c r="J24" s="21"/>
      <x:c r="K24" s="21"/>
      <x:c r="L24" s="53"/>
      <x:c r="M24" s="53"/>
      <x:c r="N24" s="53" t="str">
        <x:v>https://www.unprme.org/search/</x:v>
      </x:c>
      <x:c r="O24" s="21"/>
      <x:c r="P24" s="21"/>
      <x:c r="Q24" s="21" t="str">
        <x:v>No reliable signatory match</x:v>
      </x:c>
    </x:row>
    <x:row r="25" ht="36" customHeight="1">
      <x:c r="A25" s="58" t="n">
        <x:v>21</x:v>
      </x:c>
      <x:c r="B25" s="51" t="str">
        <x:v>Pennsylvania State University</x:v>
      </x:c>
      <x:c r="C25" s="51" t="str">
        <x:v>United States</x:v>
      </x:c>
      <x:c r="D25" s="51" t="str">
        <x:v>No verified match</x:v>
      </x:c>
      <x:c r="E25" s="51"/>
      <x:c r="F25" s="51"/>
      <x:c r="G25" s="51"/>
      <x:c r="H25" s="51"/>
      <x:c r="I25" s="51"/>
      <x:c r="J25" s="51"/>
      <x:c r="K25" s="51"/>
      <x:c r="L25" s="54"/>
      <x:c r="M25" s="54"/>
      <x:c r="N25" s="54" t="str">
        <x:v>https://www.unprme.org/search/</x:v>
      </x:c>
      <x:c r="O25" s="51"/>
      <x:c r="P25" s="51"/>
      <x:c r="Q25" s="51" t="str">
        <x:v>No reliable signatory match</x:v>
      </x:c>
    </x:row>
    <x:row r="26" ht="36" customHeight="1">
      <x:c r="A26" s="57" t="n">
        <x:v>22</x:v>
      </x:c>
      <x:c r="B26" s="21" t="str">
        <x:v>KU Leuven</x:v>
      </x:c>
      <x:c r="C26" s="21" t="str">
        <x:v>Belgium</x:v>
      </x:c>
      <x:c r="D26" s="21" t="str">
        <x:v>Verified - Verified alias</x:v>
      </x:c>
      <x:c r="E26" s="21" t="str">
        <x:v>KU Leuven Faculty of Economics and Business</x:v>
      </x:c>
      <x:c r="F26" s="21" t="str">
        <x:v>Communicating Signatory</x:v>
      </x:c>
      <x:c r="G26" s="21" t="str">
        <x:v>Sep 07 2011</x:v>
      </x:c>
      <x:c r="H26" s="21" t="n">
        <x:v>2</x:v>
      </x:c>
      <x:c r="I26" s="21" t="n">
        <x:v>2025</x:v>
      </x:c>
      <x:c r="J26" s="21" t="str">
        <x:v>2025-12-19</x:v>
      </x:c>
      <x:c r="K26" s="21" t="str">
        <x:v>KU Leuven Faculty of Economics and Business - SIP 2025</x:v>
      </x:c>
      <x:c r="L26" s="53" t="str">
        <x:v>https://commons-static.s3.amazonaws.com/reports/6c0ac76ca9fe1af889558d11fd9a75e1fb9a0b86/KU+Leuven+Faculty+of+Economics+and+Business+-+SIP+2025.pdf</x:v>
      </x:c>
      <x:c r="M26" s="53" t="str">
        <x:v>https://www.unprme.org/ku-leuven-faculty-of-economics-and-business/</x:v>
      </x:c>
      <x:c r="N26" s="53" t="str">
        <x:v>https://www.unprme.org/search/</x:v>
      </x:c>
      <x:c r="O26" s="21" t="n">
        <x:v>1</x:v>
      </x:c>
      <x:c r="P26" s="21" t="str">
        <x:v>KU Leuven Faculty of Economics and Business</x:v>
      </x:c>
      <x:c r="Q26" s="21" t="str">
        <x:v>Verified against the current UN PRME signatory directory; school-level scope is not promoted to the entire university.</x:v>
      </x:c>
    </x:row>
    <x:row r="27" ht="36" customHeight="1">
      <x:c r="A27" s="58" t="n">
        <x:v>23</x:v>
      </x:c>
      <x:c r="B27" s="51" t="str">
        <x:v>University of Helsinki</x:v>
      </x:c>
      <x:c r="C27" s="51" t="str">
        <x:v>Finland</x:v>
      </x:c>
      <x:c r="D27" s="51" t="str">
        <x:v>No verified match</x:v>
      </x:c>
      <x:c r="E27" s="51"/>
      <x:c r="F27" s="51"/>
      <x:c r="G27" s="51"/>
      <x:c r="H27" s="51"/>
      <x:c r="I27" s="51"/>
      <x:c r="J27" s="51"/>
      <x:c r="K27" s="51"/>
      <x:c r="L27" s="54"/>
      <x:c r="M27" s="54"/>
      <x:c r="N27" s="54" t="str">
        <x:v>https://www.unprme.org/search/</x:v>
      </x:c>
      <x:c r="O27" s="51"/>
      <x:c r="P27" s="51"/>
      <x:c r="Q27" s="51" t="str">
        <x:v>No reliable signatory match</x:v>
      </x:c>
    </x:row>
    <x:row r="28" ht="36" customHeight="1">
      <x:c r="A28" s="57" t="n">
        <x:v>24</x:v>
      </x:c>
      <x:c r="B28" s="21" t="str">
        <x:v>Durham University</x:v>
      </x:c>
      <x:c r="C28" s="21" t="str">
        <x:v>United Kingdom</x:v>
      </x:c>
      <x:c r="D28" s="21" t="str">
        <x:v>Verified - Verified alias</x:v>
      </x:c>
      <x:c r="E28" s="21" t="str">
        <x:v>Durham Business School</x:v>
      </x:c>
      <x:c r="F28" s="21" t="str">
        <x:v>Communicating Signatory</x:v>
      </x:c>
      <x:c r="G28" s="21" t="str">
        <x:v>Apr 30 2012</x:v>
      </x:c>
      <x:c r="H28" s="21" t="n">
        <x:v>3</x:v>
      </x:c>
      <x:c r="I28" s="21" t="n">
        <x:v>2025</x:v>
      </x:c>
      <x:c r="J28" s="21" t="str">
        <x:v>2025-09-26</x:v>
      </x:c>
      <x:c r="K28" s="21" t="str">
        <x:v>Durham Business School - 2025 - SIP Report</x:v>
      </x:c>
      <x:c r="L28" s="53" t="str">
        <x:v>https://commons-static.s3.amazonaws.com/reports/d36550fc4422fde2c3bb4169c939e24e583e79f0/Durham+University+Business+School+-+SIP+2025.pdf</x:v>
      </x:c>
      <x:c r="M28" s="53" t="str">
        <x:v>https://www.unprme.org/durham-business-school/</x:v>
      </x:c>
      <x:c r="N28" s="53" t="str">
        <x:v>https://www.unprme.org/search/</x:v>
      </x:c>
      <x:c r="O28" s="21" t="n">
        <x:v>1</x:v>
      </x:c>
      <x:c r="P28" s="21" t="str">
        <x:v>Durham Business School</x:v>
      </x:c>
      <x:c r="Q28" s="21" t="str">
        <x:v>Verified against the current UN PRME signatory directory; school-level scope is not promoted to the entire university.</x:v>
      </x:c>
    </x:row>
    <x:row r="29" ht="36" customHeight="1">
      <x:c r="A29" s="58" t="n">
        <x:v>25</x:v>
      </x:c>
      <x:c r="B29" s="51" t="str">
        <x:v>University of Leeds</x:v>
      </x:c>
      <x:c r="C29" s="51" t="str">
        <x:v>United Kingdom</x:v>
      </x:c>
      <x:c r="D29" s="51" t="str">
        <x:v>Verified - Verified alias</x:v>
      </x:c>
      <x:c r="E29" s="51" t="str">
        <x:v>Leeds University Business School</x:v>
      </x:c>
      <x:c r="F29" s="51" t="str">
        <x:v>Communicating Signatory</x:v>
      </x:c>
      <x:c r="G29" s="51" t="str">
        <x:v>Jan 11 2010</x:v>
      </x:c>
      <x:c r="H29" s="51" t="n">
        <x:v>1</x:v>
      </x:c>
      <x:c r="I29" s="51" t="n">
        <x:v>2025</x:v>
      </x:c>
      <x:c r="J29" s="51" t="str">
        <x:v>2025-09-29</x:v>
      </x:c>
      <x:c r="K29" s="51" t="str">
        <x:v>Leeds University Business School - 2025 - SIP Report</x:v>
      </x:c>
      <x:c r="L29" s="54" t="str">
        <x:v>https://commons-static.s3.amazonaws.com/reports/3554dce55f341edd431fc711f6816673f081452d/Leeds+University+Business+School+-+SIP+2025.pdf</x:v>
      </x:c>
      <x:c r="M29" s="54" t="str">
        <x:v>https://www.unprme.org/leeds-university-business-school/</x:v>
      </x:c>
      <x:c r="N29" s="54" t="str">
        <x:v>https://www.unprme.org/search/</x:v>
      </x:c>
      <x:c r="O29" s="51" t="n">
        <x:v>1</x:v>
      </x:c>
      <x:c r="P29" s="51" t="str">
        <x:v>Leeds University Business School</x:v>
      </x:c>
      <x:c r="Q29" s="51" t="str">
        <x:v>Verified against the current UN PRME signatory directory; school-level scope is not promoted to the entire university.</x:v>
      </x:c>
    </x:row>
    <x:row r="30" ht="36" customHeight="1">
      <x:c r="A30" s="57" t="n">
        <x:v>26</x:v>
      </x:c>
      <x:c r="B30" s="21" t="str">
        <x:v>Western University</x:v>
      </x:c>
      <x:c r="C30" s="21" t="str">
        <x:v>Canada</x:v>
      </x:c>
      <x:c r="D30" s="21" t="str">
        <x:v>Verified - Verified alias</x:v>
      </x:c>
      <x:c r="E30" s="21" t="str">
        <x:v>Ivey Business School</x:v>
      </x:c>
      <x:c r="F30" s="21" t="str">
        <x:v>Communicating Signatory</x:v>
      </x:c>
      <x:c r="G30" s="21" t="str">
        <x:v>Apr 01 2008</x:v>
      </x:c>
      <x:c r="H30" s="21" t="n">
        <x:v>2</x:v>
      </x:c>
      <x:c r="I30" s="21" t="n">
        <x:v>2025</x:v>
      </x:c>
      <x:c r="J30" s="21" t="str">
        <x:v>2025-09-29</x:v>
      </x:c>
      <x:c r="K30" s="21" t="str">
        <x:v>Ivey Business School - 2025 - SIP Report</x:v>
      </x:c>
      <x:c r="L30" s="53" t="str">
        <x:v>https://commons-static.s3.amazonaws.com/reports/d5f0d9102728577dfc9eec0a84867f75afbdfe46/Ivey+Business+School+-+SIP+2025.pdf</x:v>
      </x:c>
      <x:c r="M30" s="53" t="str">
        <x:v>https://www.unprme.org/ivey-business-school/</x:v>
      </x:c>
      <x:c r="N30" s="53" t="str">
        <x:v>https://www.unprme.org/search/</x:v>
      </x:c>
      <x:c r="O30" s="21" t="n">
        <x:v>1</x:v>
      </x:c>
      <x:c r="P30" s="21" t="str">
        <x:v>Ivey Business School</x:v>
      </x:c>
      <x:c r="Q30" s="21" t="str">
        <x:v>Verified against the current UN PRME signatory directory; school-level scope is not promoted to the entire university.</x:v>
      </x:c>
    </x:row>
    <x:row r="31" ht="36" customHeight="1">
      <x:c r="A31" s="58" t="n">
        <x:v>27</x:v>
      </x:c>
      <x:c r="B31" s="51" t="str">
        <x:v>University of Glasgow</x:v>
      </x:c>
      <x:c r="C31" s="51" t="str">
        <x:v>United Kingdom</x:v>
      </x:c>
      <x:c r="D31" s="51" t="str">
        <x:v>Verified - Verified alias</x:v>
      </x:c>
      <x:c r="E31" s="51" t="str">
        <x:v>Adam Smith Business School</x:v>
      </x:c>
      <x:c r="F31" s="51" t="str">
        <x:v>Communicating Signatory</x:v>
      </x:c>
      <x:c r="G31" s="51" t="str">
        <x:v>Feb 14 2020</x:v>
      </x:c>
      <x:c r="H31" s="51" t="n">
        <x:v>3</x:v>
      </x:c>
      <x:c r="I31" s="51" t="n">
        <x:v>2025</x:v>
      </x:c>
      <x:c r="J31" s="51" t="str">
        <x:v>2025-09-29</x:v>
      </x:c>
      <x:c r="K31" s="51" t="str">
        <x:v>Adam Smith Business School - 2025 - SIP Report</x:v>
      </x:c>
      <x:c r="L31" s="54" t="str">
        <x:v>https://commons-static.s3.amazonaws.com/reports/a1496d4ad0a359b6fe93d819e4a2141bd9d9ac35/Adam+Smith+Business+School+-+SIP+2025.pdf</x:v>
      </x:c>
      <x:c r="M31" s="54" t="str">
        <x:v>https://www.unprme.org/adam-smith-business-school/</x:v>
      </x:c>
      <x:c r="N31" s="54" t="str">
        <x:v>https://www.unprme.org/search/</x:v>
      </x:c>
      <x:c r="O31" s="51" t="n">
        <x:v>1</x:v>
      </x:c>
      <x:c r="P31" s="51" t="str">
        <x:v>Adam Smith Business School</x:v>
      </x:c>
      <x:c r="Q31" s="51" t="str">
        <x:v>Verified against the current UN PRME signatory directory; school-level scope is not promoted to the entire university.</x:v>
      </x:c>
    </x:row>
    <x:row r="32" ht="36" customHeight="1">
      <x:c r="A32" s="57" t="n">
        <x:v>28</x:v>
      </x:c>
      <x:c r="B32" s="21" t="str">
        <x:v>The University of Auckland</x:v>
      </x:c>
      <x:c r="C32" s="21" t="str">
        <x:v>New Zealand</x:v>
      </x:c>
      <x:c r="D32" s="21" t="str">
        <x:v>Verified - Verified alias</x:v>
      </x:c>
      <x:c r="E32" s="21" t="str">
        <x:v>University of Auckland Business School</x:v>
      </x:c>
      <x:c r="F32" s="21" t="str">
        <x:v>Communicating Signatory</x:v>
      </x:c>
      <x:c r="G32" s="21" t="str">
        <x:v>Oct 23 2013</x:v>
      </x:c>
      <x:c r="H32" s="21" t="n">
        <x:v>3</x:v>
      </x:c>
      <x:c r="I32" s="21" t="n">
        <x:v>2025</x:v>
      </x:c>
      <x:c r="J32" s="21" t="str">
        <x:v>2025-09-28</x:v>
      </x:c>
      <x:c r="K32" s="21" t="str">
        <x:v>University of Auckland Business School - 2025 - SIP Report</x:v>
      </x:c>
      <x:c r="L32" s="53" t="str">
        <x:v>https://commons-static.s3.amazonaws.com/reports/ce09b127d48f83868a45645e246d3b52f4bdecbe/University+of+Auckland+Business+School+-+SIP+2025.pdf</x:v>
      </x:c>
      <x:c r="M32" s="53" t="str">
        <x:v>https://www.unprme.org/university-of-auckland-business-school/</x:v>
      </x:c>
      <x:c r="N32" s="53" t="str">
        <x:v>https://www.unprme.org/search/</x:v>
      </x:c>
      <x:c r="O32" s="21" t="n">
        <x:v>1</x:v>
      </x:c>
      <x:c r="P32" s="21" t="str">
        <x:v>University of Auckland Business School</x:v>
      </x:c>
      <x:c r="Q32" s="21" t="str">
        <x:v>Verified against the current UN PRME signatory directory; school-level scope is not promoted to the entire university.</x:v>
      </x:c>
    </x:row>
    <x:row r="33" ht="36" customHeight="1">
      <x:c r="A33" s="58" t="n">
        <x:v>29</x:v>
      </x:c>
      <x:c r="B33" s="51" t="str">
        <x:v>Trinity College Dublin, The University of Dublin</x:v>
      </x:c>
      <x:c r="C33" s="51" t="str">
        <x:v>Ireland</x:v>
      </x:c>
      <x:c r="D33" s="51" t="str">
        <x:v>Verified - Verified alias</x:v>
      </x:c>
      <x:c r="E33" s="51" t="str">
        <x:v>Trinity Business School</x:v>
      </x:c>
      <x:c r="F33" s="51" t="str">
        <x:v>Communicating Signatory</x:v>
      </x:c>
      <x:c r="G33" s="51" t="str">
        <x:v>Oct 11 2017</x:v>
      </x:c>
      <x:c r="H33" s="51" t="n">
        <x:v>3</x:v>
      </x:c>
      <x:c r="I33" s="51" t="n">
        <x:v>2025</x:v>
      </x:c>
      <x:c r="J33" s="51" t="str">
        <x:v>2025-09-30</x:v>
      </x:c>
      <x:c r="K33" s="51" t="str">
        <x:v>Trinity Business School - 2025 - SIP Report</x:v>
      </x:c>
      <x:c r="L33" s="54" t="str">
        <x:v>https://commons-static.s3.amazonaws.com/reports/34c66477519b949b09b45e131347c17b5822a30a/Trinity+Business+School+-+SIP+2025.pdf</x:v>
      </x:c>
      <x:c r="M33" s="54" t="str">
        <x:v>https://www.unprme.org/trinity-business-school/</x:v>
      </x:c>
      <x:c r="N33" s="54" t="str">
        <x:v>https://www.unprme.org/search/</x:v>
      </x:c>
      <x:c r="O33" s="51" t="n">
        <x:v>1</x:v>
      </x:c>
      <x:c r="P33" s="51" t="str">
        <x:v>Trinity Business School</x:v>
      </x:c>
      <x:c r="Q33" s="51" t="str">
        <x:v>Verified against the current UN PRME signatory directory; school-level scope is not promoted to the entire university.</x:v>
      </x:c>
    </x:row>
    <x:row r="34" ht="36" customHeight="1">
      <x:c r="A34" s="57" t="n">
        <x:v>30</x:v>
      </x:c>
      <x:c r="B34" s="21" t="str">
        <x:v>University of Pennsylvania</x:v>
      </x:c>
      <x:c r="C34" s="21" t="str">
        <x:v>United States</x:v>
      </x:c>
      <x:c r="D34" s="21" t="str">
        <x:v>Verified - Exact/contained institution</x:v>
      </x:c>
      <x:c r="E34" s="21" t="str">
        <x:v>Slippery Rock University of Pennsylvania</x:v>
      </x:c>
      <x:c r="F34" s="21" t="str">
        <x:v>Communicating Signatory</x:v>
      </x:c>
      <x:c r="G34" s="21" t="str">
        <x:v>Apr 03 2014</x:v>
      </x:c>
      <x:c r="H34" s="21" t="n">
        <x:v>2</x:v>
      </x:c>
      <x:c r="I34" s="21" t="n">
        <x:v>2025</x:v>
      </x:c>
      <x:c r="J34" s="21" t="str">
        <x:v>2025-12-31</x:v>
      </x:c>
      <x:c r="K34" s="21" t="str">
        <x:v>Slippery Rock SIP 2025</x:v>
      </x:c>
      <x:c r="L34" s="53" t="str">
        <x:v>https://d30mzt1bxg5llt.cloudfront.net/public/uploads/sip-reports/SRU-PRME-Report-2025-12-31-final.pdf</x:v>
      </x:c>
      <x:c r="M34" s="53" t="str">
        <x:v>https://www.unprme.org/slippery-rock-university-of-pennsylvania/</x:v>
      </x:c>
      <x:c r="N34" s="53" t="str">
        <x:v>https://www.unprme.org/search/</x:v>
      </x:c>
      <x:c r="O34" s="21" t="n">
        <x:v>0.96</x:v>
      </x:c>
      <x:c r="P34" s="21" t="str">
        <x:v>University of Pennsylvania</x:v>
      </x:c>
      <x:c r="Q34" s="21" t="str">
        <x:v>Verified against the current UN PRME signatory directory; school-level scope is not promoted to the entire university.</x:v>
      </x:c>
    </x:row>
    <x:row r="35" ht="36" customHeight="1">
      <x:c r="A35" s="58" t="n">
        <x:v>49</x:v>
      </x:c>
      <x:c r="B35" s="51" t="str">
        <x:v>University of Exeter</x:v>
      </x:c>
      <x:c r="C35" s="51" t="str">
        <x:v>United Kingdom</x:v>
      </x:c>
      <x:c r="D35" s="51" t="str">
        <x:v>Verified - Verified alias</x:v>
      </x:c>
      <x:c r="E35" s="51" t="str">
        <x:v>University of Exeter Business School</x:v>
      </x:c>
      <x:c r="F35" s="51" t="str">
        <x:v>Communicating Signatory</x:v>
      </x:c>
      <x:c r="G35" s="51" t="str">
        <x:v>May 20 2010</x:v>
      </x:c>
      <x:c r="H35" s="51" t="n">
        <x:v>3</x:v>
      </x:c>
      <x:c r="I35" s="51" t="n">
        <x:v>2025</x:v>
      </x:c>
      <x:c r="J35" s="51" t="str">
        <x:v>2025-09-26</x:v>
      </x:c>
      <x:c r="K35" s="51" t="str">
        <x:v>University of Exeter Business School - 2025 - SIP Report</x:v>
      </x:c>
      <x:c r="L35" s="54" t="str">
        <x:v>https://commons-static.s3.amazonaws.com/reports/855679730970f8a0fca717e82e76cc93053c09c1/University+of+Exeter+Business+School+-+SIP+2025.pdf</x:v>
      </x:c>
      <x:c r="M35" s="54" t="str">
        <x:v>https://www.unprme.org/university-of-exeter-business-school/</x:v>
      </x:c>
      <x:c r="N35" s="54" t="str">
        <x:v>https://www.unprme.org/search/</x:v>
      </x:c>
      <x:c r="O35" s="51" t="n">
        <x:v>1</x:v>
      </x:c>
      <x:c r="P35" s="51" t="str">
        <x:v>University of Exeter Business School</x:v>
      </x:c>
      <x:c r="Q35" s="51" t="str">
        <x:v>Verified against the current UN PRME signatory directory; school-level scope is not promoted to the entire university.</x:v>
      </x:c>
    </x:row>
    <x:row r="36" ht="36" customHeight="1">
      <x:c r="A36" s="57" t="n">
        <x:v>52</x:v>
      </x:c>
      <x:c r="B36" s="21" t="str">
        <x:v>Griffith University</x:v>
      </x:c>
      <x:c r="C36" s="21" t="str">
        <x:v>Australia</x:v>
      </x:c>
      <x:c r="D36" s="21" t="str">
        <x:v>Verified - Verified alias</x:v>
      </x:c>
      <x:c r="E36" s="21" t="str">
        <x:v>Griffith Business School</x:v>
      </x:c>
      <x:c r="F36" s="21" t="str">
        <x:v>Communicating Signatory</x:v>
      </x:c>
      <x:c r="G36" s="21" t="str">
        <x:v>Apr 01 2008</x:v>
      </x:c>
      <x:c r="H36" s="21" t="n">
        <x:v>2</x:v>
      </x:c>
      <x:c r="I36" s="21" t="n">
        <x:v>2025</x:v>
      </x:c>
      <x:c r="J36" s="21" t="str">
        <x:v>2025-09-02</x:v>
      </x:c>
      <x:c r="K36" s="21" t="str">
        <x:v>Griffith Business School - 2025 - SIP Report</x:v>
      </x:c>
      <x:c r="L36" s="53" t="str">
        <x:v>https://commons-static.s3.amazonaws.com/reports/b4ef7df17d3dc74720cd2a8fe98a173f9576d007/Griffith+Business+School+-+SIP+2025.pdf</x:v>
      </x:c>
      <x:c r="M36" s="53" t="str">
        <x:v>https://www.unprme.org/griffith-business-school/</x:v>
      </x:c>
      <x:c r="N36" s="53" t="str">
        <x:v>https://www.unprme.org/search/</x:v>
      </x:c>
      <x:c r="O36" s="21" t="n">
        <x:v>1</x:v>
      </x:c>
      <x:c r="P36" s="21" t="str">
        <x:v>Griffith Business School</x:v>
      </x:c>
      <x:c r="Q36" s="21" t="str">
        <x:v>Verified against the current UN PRME signatory directory; school-level scope is not promoted to the entire university.</x:v>
      </x:c>
    </x:row>
    <x:row r="37" ht="36" customHeight="1">
      <x:c r="A37" s="58" t="n">
        <x:v>53</x:v>
      </x:c>
      <x:c r="B37" s="51" t="str">
        <x:v>Western Sydney University</x:v>
      </x:c>
      <x:c r="C37" s="51" t="str">
        <x:v>Australia</x:v>
      </x:c>
      <x:c r="D37" s="51" t="str">
        <x:v>No verified match</x:v>
      </x:c>
      <x:c r="E37" s="51"/>
      <x:c r="F37" s="51"/>
      <x:c r="G37" s="51"/>
      <x:c r="H37" s="51"/>
      <x:c r="I37" s="51"/>
      <x:c r="J37" s="51"/>
      <x:c r="K37" s="51"/>
      <x:c r="L37" s="54"/>
      <x:c r="M37" s="54"/>
      <x:c r="N37" s="54" t="str">
        <x:v>https://www.unprme.org/search/</x:v>
      </x:c>
      <x:c r="O37" s="51"/>
      <x:c r="P37" s="51"/>
      <x:c r="Q37" s="51" t="str">
        <x:v>Manual review candidate only: The University of Sydney Business School</x:v>
      </x:c>
    </x:row>
    <x:row r="38" ht="36" customHeight="1">
      <x:c r="A38" s="57" t="n">
        <x:v>54</x:v>
      </x:c>
      <x:c r="B38" s="21" t="str">
        <x:v>Queen's University</x:v>
      </x:c>
      <x:c r="C38" s="21" t="str">
        <x:v>Canada</x:v>
      </x:c>
      <x:c r="D38" s="21" t="str">
        <x:v>Verified - Verified alias</x:v>
      </x:c>
      <x:c r="E38" s="21" t="str">
        <x:v>Smith School of Business</x:v>
      </x:c>
      <x:c r="F38" s="21" t="str">
        <x:v>Non Communicating Signatory</x:v>
      </x:c>
      <x:c r="G38" s="21" t="str">
        <x:v>Apr 01 2008</x:v>
      </x:c>
      <x:c r="H38" s="21" t="n">
        <x:v>1</x:v>
      </x:c>
      <x:c r="I38" s="21" t="n">
        <x:v>2022</x:v>
      </x:c>
      <x:c r="J38" s="21" t="str">
        <x:v>2022-03-25</x:v>
      </x:c>
      <x:c r="K38" s="21" t="str">
        <x:v>Smith School of Business - 2022 - Sip Report</x:v>
      </x:c>
      <x:c r="L38" s="53" t="str">
        <x:v>https://d30mzt1bxg5llt.cloudfront.net/public/uploads/sip-reports/PRME_Report_2022.pdf</x:v>
      </x:c>
      <x:c r="M38" s="53" t="str">
        <x:v>https://www.unprme.org/smith-school-of-business/</x:v>
      </x:c>
      <x:c r="N38" s="53" t="str">
        <x:v>https://www.unprme.org/search/</x:v>
      </x:c>
      <x:c r="O38" s="21" t="n">
        <x:v>1</x:v>
      </x:c>
      <x:c r="P38" s="21" t="str">
        <x:v>Smith School of Business</x:v>
      </x:c>
      <x:c r="Q38" s="21" t="str">
        <x:v>Verified against the current UN PRME signatory directory; school-level scope is not promoted to the entire university.</x:v>
      </x:c>
    </x:row>
    <x:row r="39" ht="36" customHeight="1">
      <x:c r="A39" s="58" t="n">
        <x:v>55</x:v>
      </x:c>
      <x:c r="B39" s="51" t="str">
        <x:v>Universiti Sains Malaysia</x:v>
      </x:c>
      <x:c r="C39" s="51" t="str">
        <x:v>Malaysia</x:v>
      </x:c>
      <x:c r="D39" s="51" t="str">
        <x:v>Verified - Verified alias</x:v>
      </x:c>
      <x:c r="E39" s="51" t="str">
        <x:v>Graduate School of Business, Universiti Sains Malaysia</x:v>
      </x:c>
      <x:c r="F39" s="51" t="str">
        <x:v>Communicating Signatory</x:v>
      </x:c>
      <x:c r="G39" s="51" t="str">
        <x:v>Apr 22 2014</x:v>
      </x:c>
      <x:c r="H39" s="51" t="n">
        <x:v>0</x:v>
      </x:c>
      <x:c r="I39" s="51"/>
      <x:c r="J39" s="51"/>
      <x:c r="K39" s="51"/>
      <x:c r="L39" s="54"/>
      <x:c r="M39" s="54" t="str">
        <x:v>https://www.unprme.org/graduate-school-of-business/</x:v>
      </x:c>
      <x:c r="N39" s="54" t="str">
        <x:v>https://www.unprme.org/search/</x:v>
      </x:c>
      <x:c r="O39" s="51" t="n">
        <x:v>1</x:v>
      </x:c>
      <x:c r="P39" s="51" t="str">
        <x:v>Graduate School of Business, Universiti Sains Malaysia</x:v>
      </x:c>
      <x:c r="Q39" s="51" t="str">
        <x:v>Verified against the current UN PRME signatory directory; school-level scope is not promoted to the entire university.</x:v>
      </x:c>
    </x:row>
    <x:row r="40" ht="36" customHeight="1">
      <x:c r="A40" s="57" t="n">
        <x:v>56</x:v>
      </x:c>
      <x:c r="B40" s="21" t="str">
        <x:v>Hanyang University</x:v>
      </x:c>
      <x:c r="C40" s="21" t="str">
        <x:v>South Korea</x:v>
      </x:c>
      <x:c r="D40" s="21" t="str">
        <x:v>No verified match</x:v>
      </x:c>
      <x:c r="E40" s="21"/>
      <x:c r="F40" s="21"/>
      <x:c r="G40" s="21"/>
      <x:c r="H40" s="21"/>
      <x:c r="I40" s="21"/>
      <x:c r="J40" s="21"/>
      <x:c r="K40" s="21"/>
      <x:c r="L40" s="53"/>
      <x:c r="M40" s="53"/>
      <x:c r="N40" s="53" t="str">
        <x:v>https://www.unprme.org/search/</x:v>
      </x:c>
      <x:c r="O40" s="21"/>
      <x:c r="P40" s="21"/>
      <x:c r="Q40" s="21" t="str">
        <x:v>No country-compatible signatory</x:v>
      </x:c>
    </x:row>
    <x:row r="41" ht="36" customHeight="1">
      <x:c r="A41" s="58" t="n">
        <x:v>57</x:v>
      </x:c>
      <x:c r="B41" s="51" t="str">
        <x:v>Hokkaido University</x:v>
      </x:c>
      <x:c r="C41" s="51" t="str">
        <x:v>Japan</x:v>
      </x:c>
      <x:c r="D41" s="51" t="str">
        <x:v>No verified match</x:v>
      </x:c>
      <x:c r="E41" s="51"/>
      <x:c r="F41" s="51"/>
      <x:c r="G41" s="51"/>
      <x:c r="H41" s="51"/>
      <x:c r="I41" s="51"/>
      <x:c r="J41" s="51"/>
      <x:c r="K41" s="51"/>
      <x:c r="L41" s="54"/>
      <x:c r="M41" s="54"/>
      <x:c r="N41" s="54" t="str">
        <x:v>https://www.unprme.org/search/</x:v>
      </x:c>
      <x:c r="O41" s="51"/>
      <x:c r="P41" s="51"/>
      <x:c r="Q41" s="51" t="str">
        <x:v>No reliable signatory match</x:v>
      </x:c>
    </x:row>
    <x:row r="42" ht="36" customHeight="1">
      <x:c r="A42" s="57" t="n">
        <x:v>58</x:v>
      </x:c>
      <x:c r="B42" s="21" t="str">
        <x:v>Universiti Kebangsaan Malaysia</x:v>
      </x:c>
      <x:c r="C42" s="21" t="str">
        <x:v>Malaysia</x:v>
      </x:c>
      <x:c r="D42" s="21" t="str">
        <x:v>No verified match</x:v>
      </x:c>
      <x:c r="E42" s="21"/>
      <x:c r="F42" s="21"/>
      <x:c r="G42" s="21"/>
      <x:c r="H42" s="21"/>
      <x:c r="I42" s="21"/>
      <x:c r="J42" s="21"/>
      <x:c r="K42" s="21"/>
      <x:c r="L42" s="53"/>
      <x:c r="M42" s="53"/>
      <x:c r="N42" s="53" t="str">
        <x:v>https://www.unprme.org/search/</x:v>
      </x:c>
      <x:c r="O42" s="21"/>
      <x:c r="P42" s="21"/>
      <x:c r="Q42" s="21" t="str">
        <x:v>Manual review candidate only: Graduate School of Business, Universiti Sains Malaysia</x:v>
      </x:c>
    </x:row>
    <x:row r="43" ht="36" customHeight="1">
      <x:c r="A43" s="58" t="n">
        <x:v>59</x:v>
      </x:c>
      <x:c r="B43" s="51" t="str">
        <x:v>Institut Agro</x:v>
      </x:c>
      <x:c r="C43" s="51" t="str">
        <x:v>France</x:v>
      </x:c>
      <x:c r="D43" s="51" t="str">
        <x:v>No verified match</x:v>
      </x:c>
      <x:c r="E43" s="51"/>
      <x:c r="F43" s="51"/>
      <x:c r="G43" s="51"/>
      <x:c r="H43" s="51"/>
      <x:c r="I43" s="51"/>
      <x:c r="J43" s="51"/>
      <x:c r="K43" s="51"/>
      <x:c r="L43" s="54"/>
      <x:c r="M43" s="54"/>
      <x:c r="N43" s="54" t="str">
        <x:v>https://www.unprme.org/search/</x:v>
      </x:c>
      <x:c r="O43" s="51"/>
      <x:c r="P43" s="51"/>
      <x:c r="Q43" s="51" t="str">
        <x:v>No reliable signatory match</x:v>
      </x:c>
    </x:row>
    <x:row r="44" ht="36" customHeight="1">
      <x:c r="A44" s="57" t="n">
        <x:v>60</x:v>
      </x:c>
      <x:c r="B44" s="21" t="str">
        <x:v>National Taiwan University (NTU)</x:v>
      </x:c>
      <x:c r="C44" s="21" t="str">
        <x:v>Taiwan</x:v>
      </x:c>
      <x:c r="D44" s="21" t="str">
        <x:v>No verified match</x:v>
      </x:c>
      <x:c r="E44" s="21"/>
      <x:c r="F44" s="21"/>
      <x:c r="G44" s="21"/>
      <x:c r="H44" s="21"/>
      <x:c r="I44" s="21"/>
      <x:c r="J44" s="21"/>
      <x:c r="K44" s="21"/>
      <x:c r="L44" s="53"/>
      <x:c r="M44" s="53"/>
      <x:c r="N44" s="53" t="str">
        <x:v>https://www.unprme.org/search/</x:v>
      </x:c>
      <x:c r="O44" s="21"/>
      <x:c r="P44" s="21"/>
      <x:c r="Q44" s="21" t="str">
        <x:v>No reliable signatory match</x:v>
      </x:c>
    </x:row>
    <x:row r="45" ht="36" customHeight="1">
      <x:c r="A45" s="58" t="n">
        <x:v>61</x:v>
      </x:c>
      <x:c r="B45" s="51" t="str">
        <x:v>University of Alberta</x:v>
      </x:c>
      <x:c r="C45" s="51" t="str">
        <x:v>Canada</x:v>
      </x:c>
      <x:c r="D45" s="51" t="str">
        <x:v>No verified match</x:v>
      </x:c>
      <x:c r="E45" s="51"/>
      <x:c r="F45" s="51"/>
      <x:c r="G45" s="51"/>
      <x:c r="H45" s="51"/>
      <x:c r="I45" s="51"/>
      <x:c r="J45" s="51"/>
      <x:c r="K45" s="51"/>
      <x:c r="L45" s="54"/>
      <x:c r="M45" s="54"/>
      <x:c r="N45" s="54" t="str">
        <x:v>https://www.unprme.org/search/</x:v>
      </x:c>
      <x:c r="O45" s="51"/>
      <x:c r="P45" s="51"/>
      <x:c r="Q45" s="51" t="str">
        <x:v>No reliable signatory match</x:v>
      </x:c>
    </x:row>
    <x:row r="46" ht="36" customHeight="1">
      <x:c r="A46" s="57" t="n">
        <x:v>62</x:v>
      </x:c>
      <x:c r="B46" s="21" t="str">
        <x:v>Korea University</x:v>
      </x:c>
      <x:c r="C46" s="21" t="str">
        <x:v>South Korea</x:v>
      </x:c>
      <x:c r="D46" s="21" t="str">
        <x:v>No verified match</x:v>
      </x:c>
      <x:c r="E46" s="21"/>
      <x:c r="F46" s="21"/>
      <x:c r="G46" s="21"/>
      <x:c r="H46" s="21"/>
      <x:c r="I46" s="21"/>
      <x:c r="J46" s="21"/>
      <x:c r="K46" s="21"/>
      <x:c r="L46" s="53"/>
      <x:c r="M46" s="53"/>
      <x:c r="N46" s="53" t="str">
        <x:v>https://www.unprme.org/search/</x:v>
      </x:c>
      <x:c r="O46" s="21"/>
      <x:c r="P46" s="21"/>
      <x:c r="Q46" s="21" t="str">
        <x:v>No country-compatible signatory</x:v>
      </x:c>
    </x:row>
    <x:row r="47" ht="36" customHeight="1">
      <x:c r="A47" s="58" t="n">
        <x:v>63</x:v>
      </x:c>
      <x:c r="B47" s="51" t="str">
        <x:v>Universitas Airlangga</x:v>
      </x:c>
      <x:c r="C47" s="51" t="str">
        <x:v>Indonesia</x:v>
      </x:c>
      <x:c r="D47" s="51" t="str">
        <x:v>Verified - Exact/contained institution</x:v>
      </x:c>
      <x:c r="E47" s="51" t="str">
        <x:v>Universitas Airlangga</x:v>
      </x:c>
      <x:c r="F47" s="51" t="str">
        <x:v>Communicating Signatory</x:v>
      </x:c>
      <x:c r="G47" s="51" t="str">
        <x:v>Feb 06 2025</x:v>
      </x:c>
      <x:c r="H47" s="51" t="n">
        <x:v>0</x:v>
      </x:c>
      <x:c r="I47" s="51"/>
      <x:c r="J47" s="51"/>
      <x:c r="K47" s="51"/>
      <x:c r="L47" s="54"/>
      <x:c r="M47" s="54" t="str">
        <x:v>https://www.unprme.org/universitas-airlangga/</x:v>
      </x:c>
      <x:c r="N47" s="54" t="str">
        <x:v>https://www.unprme.org/search/</x:v>
      </x:c>
      <x:c r="O47" s="51" t="n">
        <x:v>1</x:v>
      </x:c>
      <x:c r="P47" s="51" t="str">
        <x:v>Universitas Airlangga</x:v>
      </x:c>
      <x:c r="Q47" s="51" t="str">
        <x:v>Verified against the current UN PRME signatory directory; school-level scope is not promoted to the entire university.</x:v>
      </x:c>
    </x:row>
    <x:row r="48" ht="36" customHeight="1">
      <x:c r="A48" s="57" t="n">
        <x:v>64</x:v>
      </x:c>
      <x:c r="B48" s="21" t="str">
        <x:v>Pusan National University</x:v>
      </x:c>
      <x:c r="C48" s="21" t="str">
        <x:v>South Korea</x:v>
      </x:c>
      <x:c r="D48" s="21" t="str">
        <x:v>No verified match</x:v>
      </x:c>
      <x:c r="E48" s="21"/>
      <x:c r="F48" s="21"/>
      <x:c r="G48" s="21"/>
      <x:c r="H48" s="21"/>
      <x:c r="I48" s="21"/>
      <x:c r="J48" s="21"/>
      <x:c r="K48" s="21"/>
      <x:c r="L48" s="53"/>
      <x:c r="M48" s="53"/>
      <x:c r="N48" s="53" t="str">
        <x:v>https://www.unprme.org/search/</x:v>
      </x:c>
      <x:c r="O48" s="21"/>
      <x:c r="P48" s="21"/>
      <x:c r="Q48" s="21" t="str">
        <x:v>No country-compatible signatory</x:v>
      </x:c>
    </x:row>
    <x:row r="49" ht="36" customHeight="1">
      <x:c r="A49" s="58" t="n">
        <x:v>65</x:v>
      </x:c>
      <x:c r="B49" s="51" t="str">
        <x:v>University of Tasmania</x:v>
      </x:c>
      <x:c r="C49" s="51" t="str">
        <x:v>Australia</x:v>
      </x:c>
      <x:c r="D49" s="51" t="str">
        <x:v>Verified - Verified alias</x:v>
      </x:c>
      <x:c r="E49" s="51" t="str">
        <x:v>The Tasmanian School of Business and Economics</x:v>
      </x:c>
      <x:c r="F49" s="51" t="str">
        <x:v>Communicating Signatory</x:v>
      </x:c>
      <x:c r="G49" s="51" t="str">
        <x:v>Nov 18 2021</x:v>
      </x:c>
      <x:c r="H49" s="51" t="n">
        <x:v>3</x:v>
      </x:c>
      <x:c r="I49" s="51" t="n">
        <x:v>2026</x:v>
      </x:c>
      <x:c r="J49" s="51" t="str">
        <x:v>2026-03-18</x:v>
      </x:c>
      <x:c r="K49" s="51" t="str">
        <x:v>The Tasmanian School of Business and Economics - SIP 2026</x:v>
      </x:c>
      <x:c r="L49" s="54" t="str">
        <x:v>https://commons-static.s3.amazonaws.com/reports/c9ca442765657fc90e9e779c34d0d2259d2c3c5b/The+Tasmanian+School+of+Business+and+Economics+-+SIP+2026.pdf</x:v>
      </x:c>
      <x:c r="M49" s="54" t="str">
        <x:v>https://www.unprme.org/university-of-tasmania/</x:v>
      </x:c>
      <x:c r="N49" s="54" t="str">
        <x:v>https://www.unprme.org/search/</x:v>
      </x:c>
      <x:c r="O49" s="51" t="n">
        <x:v>1</x:v>
      </x:c>
      <x:c r="P49" s="51" t="str">
        <x:v>Tasmanian School of Business and Economics</x:v>
      </x:c>
      <x:c r="Q49" s="51" t="str">
        <x:v>Verified against the current UN PRME signatory directory; school-level scope is not promoted to the entire university.</x:v>
      </x:c>
    </x:row>
    <x:row r="50" ht="36" customHeight="1">
      <x:c r="A50" s="57" t="n">
        <x:v>66</x:v>
      </x:c>
      <x:c r="B50" s="21" t="str">
        <x:v>McMaster University</x:v>
      </x:c>
      <x:c r="C50" s="21" t="str">
        <x:v>Canada</x:v>
      </x:c>
      <x:c r="D50" s="21" t="str">
        <x:v>No verified match</x:v>
      </x:c>
      <x:c r="E50" s="21"/>
      <x:c r="F50" s="21"/>
      <x:c r="G50" s="21"/>
      <x:c r="H50" s="21"/>
      <x:c r="I50" s="21"/>
      <x:c r="J50" s="21"/>
      <x:c r="K50" s="21"/>
      <x:c r="L50" s="53"/>
      <x:c r="M50" s="53"/>
      <x:c r="N50" s="53" t="str">
        <x:v>https://www.unprme.org/search/</x:v>
      </x:c>
      <x:c r="O50" s="21"/>
      <x:c r="P50" s="21"/>
      <x:c r="Q50" s="21" t="str">
        <x:v>No reliable signatory match</x:v>
      </x:c>
    </x:row>
    <x:row r="51" ht="36" customHeight="1">
      <x:c r="A51" s="58" t="n">
        <x:v>67</x:v>
      </x:c>
      <x:c r="B51" s="51" t="str">
        <x:v>Chulalongkorn University</x:v>
      </x:c>
      <x:c r="C51" s="51" t="str">
        <x:v>Thailand</x:v>
      </x:c>
      <x:c r="D51" s="51" t="str">
        <x:v>Verified - Verified alias</x:v>
      </x:c>
      <x:c r="E51" s="51" t="str">
        <x:v>Chulalongkorn Business School</x:v>
      </x:c>
      <x:c r="F51" s="51" t="str">
        <x:v>Communicating Signatory</x:v>
      </x:c>
      <x:c r="G51" s="51" t="str">
        <x:v>Nov 24 2025</x:v>
      </x:c>
      <x:c r="H51" s="51" t="n">
        <x:v>0</x:v>
      </x:c>
      <x:c r="I51" s="51"/>
      <x:c r="J51" s="51"/>
      <x:c r="K51" s="51"/>
      <x:c r="L51" s="54"/>
      <x:c r="M51" s="54" t="str">
        <x:v>https://www.unprme.org/chulalongkorn-business-school/</x:v>
      </x:c>
      <x:c r="N51" s="54" t="str">
        <x:v>https://www.unprme.org/search/</x:v>
      </x:c>
      <x:c r="O51" s="51" t="n">
        <x:v>1</x:v>
      </x:c>
      <x:c r="P51" s="51" t="str">
        <x:v>Chulalongkorn Business School</x:v>
      </x:c>
      <x:c r="Q51" s="51" t="str">
        <x:v>Verified against the current UN PRME signatory directory; school-level scope is not promoted to the entire university.</x:v>
      </x:c>
    </x:row>
    <x:row r="52" ht="36" customHeight="1">
      <x:c r="A52" s="57" t="n">
        <x:v>68</x:v>
      </x:c>
      <x:c r="B52" s="21" t="str">
        <x:v>Kyungpook National University (KNU)</x:v>
      </x:c>
      <x:c r="C52" s="21" t="str">
        <x:v>South Korea</x:v>
      </x:c>
      <x:c r="D52" s="21" t="str">
        <x:v>No verified match</x:v>
      </x:c>
      <x:c r="E52" s="21"/>
      <x:c r="F52" s="21"/>
      <x:c r="G52" s="21"/>
      <x:c r="H52" s="21"/>
      <x:c r="I52" s="21"/>
      <x:c r="J52" s="21"/>
      <x:c r="K52" s="21"/>
      <x:c r="L52" s="53"/>
      <x:c r="M52" s="53"/>
      <x:c r="N52" s="53" t="str">
        <x:v>https://www.unprme.org/search/</x:v>
      </x:c>
      <x:c r="O52" s="21"/>
      <x:c r="P52" s="21"/>
      <x:c r="Q52" s="21" t="str">
        <x:v>No country-compatible signatory</x:v>
      </x:c>
    </x:row>
    <x:row r="53" ht="36" customHeight="1">
      <x:c r="A53" s="58" t="n">
        <x:v>69</x:v>
      </x:c>
      <x:c r="B53" s="51" t="str">
        <x:v>The Hong Kong University of Science and Technology</x:v>
      </x:c>
      <x:c r="C53" s="51" t="str">
        <x:v>Hong Kong</x:v>
      </x:c>
      <x:c r="D53" s="51" t="str">
        <x:v>Verified - Verified alias</x:v>
      </x:c>
      <x:c r="E53" s="51" t="str">
        <x:v>HKUST Business School</x:v>
      </x:c>
      <x:c r="F53" s="51" t="str">
        <x:v>Non Communicating Signatory</x:v>
      </x:c>
      <x:c r="G53" s="51" t="str">
        <x:v>Oct 23 2009</x:v>
      </x:c>
      <x:c r="H53" s="51" t="n">
        <x:v>0</x:v>
      </x:c>
      <x:c r="I53" s="51" t="n">
        <x:v>2015</x:v>
      </x:c>
      <x:c r="J53" s="51" t="str">
        <x:v>2015-09-10</x:v>
      </x:c>
      <x:c r="K53" s="51" t="str">
        <x:v>HKUST Business School - 2015 - SIP Report</x:v>
      </x:c>
      <x:c r="L53" s="54" t="str">
        <x:v>https://d30mzt1bxg5llt.cloudfront.net/public/uploads/sip-reports/PRMEReportfromHKUSTJune2013toJune2015.doc</x:v>
      </x:c>
      <x:c r="M53" s="54" t="str">
        <x:v>https://www.unprme.org/hkust-business-school/</x:v>
      </x:c>
      <x:c r="N53" s="54" t="str">
        <x:v>https://www.unprme.org/search/</x:v>
      </x:c>
      <x:c r="O53" s="51" t="n">
        <x:v>1</x:v>
      </x:c>
      <x:c r="P53" s="51" t="str">
        <x:v>HKUST Business School</x:v>
      </x:c>
      <x:c r="Q53" s="51" t="str">
        <x:v>Verified against the current UN PRME signatory directory; school-level scope is not promoted to the entire university.</x:v>
      </x:c>
    </x:row>
    <x:row r="54" ht="36" customHeight="1">
      <x:c r="A54" s="57" t="n">
        <x:v>70</x:v>
      </x:c>
      <x:c r="B54" s="21" t="str">
        <x:v>Lovely Professional University</x:v>
      </x:c>
      <x:c r="C54" s="21" t="str">
        <x:v>India</x:v>
      </x:c>
      <x:c r="D54" s="21" t="str">
        <x:v>No verified match</x:v>
      </x:c>
      <x:c r="E54" s="21"/>
      <x:c r="F54" s="21"/>
      <x:c r="G54" s="21"/>
      <x:c r="H54" s="21"/>
      <x:c r="I54" s="21"/>
      <x:c r="J54" s="21"/>
      <x:c r="K54" s="21"/>
      <x:c r="L54" s="53"/>
      <x:c r="M54" s="53"/>
      <x:c r="N54" s="53" t="str">
        <x:v>https://www.unprme.org/search/</x:v>
      </x:c>
      <x:c r="O54" s="21"/>
      <x:c r="P54" s="21"/>
      <x:c r="Q54" s="21" t="str">
        <x:v>Manual review candidate only: Amrita School of Business</x:v>
      </x:c>
    </x:row>
    <x:row r="55" ht="36" customHeight="1">
      <x:c r="A55" s="58" t="n">
        <x:v>71</x:v>
      </x:c>
      <x:c r="B55" s="51" t="str">
        <x:v>University of Malaya</x:v>
      </x:c>
      <x:c r="C55" s="51" t="str">
        <x:v>Malaysia</x:v>
      </x:c>
      <x:c r="D55" s="51" t="str">
        <x:v>No verified match</x:v>
      </x:c>
      <x:c r="E55" s="51"/>
      <x:c r="F55" s="51"/>
      <x:c r="G55" s="51"/>
      <x:c r="H55" s="51"/>
      <x:c r="I55" s="51"/>
      <x:c r="J55" s="51"/>
      <x:c r="K55" s="51"/>
      <x:c r="L55" s="54"/>
      <x:c r="M55" s="54"/>
      <x:c r="N55" s="54" t="str">
        <x:v>https://www.unprme.org/search/</x:v>
      </x:c>
      <x:c r="O55" s="51"/>
      <x:c r="P55" s="51"/>
      <x:c r="Q55" s="51" t="str">
        <x:v>No reliable signatory match</x:v>
      </x:c>
    </x:row>
    <x:row r="56" ht="36" customHeight="1">
      <x:c r="A56" s="57" t="n">
        <x:v>72</x:v>
      </x:c>
      <x:c r="B56" s="21" t="str">
        <x:v>Aalborg University</x:v>
      </x:c>
      <x:c r="C56" s="21" t="str">
        <x:v>Denmark</x:v>
      </x:c>
      <x:c r="D56" s="21" t="str">
        <x:v>No verified match</x:v>
      </x:c>
      <x:c r="E56" s="21"/>
      <x:c r="F56" s="21"/>
      <x:c r="G56" s="21"/>
      <x:c r="H56" s="21"/>
      <x:c r="I56" s="21"/>
      <x:c r="J56" s="21"/>
      <x:c r="K56" s="21"/>
      <x:c r="L56" s="53"/>
      <x:c r="M56" s="53"/>
      <x:c r="N56" s="53" t="str">
        <x:v>https://www.unprme.org/search/</x:v>
      </x:c>
      <x:c r="O56" s="21"/>
      <x:c r="P56" s="21"/>
      <x:c r="Q56" s="21" t="str">
        <x:v>No reliable signatory match</x:v>
      </x:c>
    </x:row>
    <x:row r="57" ht="36" customHeight="1">
      <x:c r="A57" s="58" t="n">
        <x:v>73</x:v>
      </x:c>
      <x:c r="B57" s="51" t="str">
        <x:v>Kyung Hee University</x:v>
      </x:c>
      <x:c r="C57" s="51" t="str">
        <x:v>South Korea</x:v>
      </x:c>
      <x:c r="D57" s="51" t="str">
        <x:v>No verified match</x:v>
      </x:c>
      <x:c r="E57" s="51"/>
      <x:c r="F57" s="51"/>
      <x:c r="G57" s="51"/>
      <x:c r="H57" s="51"/>
      <x:c r="I57" s="51"/>
      <x:c r="J57" s="51"/>
      <x:c r="K57" s="51"/>
      <x:c r="L57" s="54"/>
      <x:c r="M57" s="54"/>
      <x:c r="N57" s="54" t="str">
        <x:v>https://www.unprme.org/search/</x:v>
      </x:c>
      <x:c r="O57" s="51"/>
      <x:c r="P57" s="51"/>
      <x:c r="Q57" s="51" t="str">
        <x:v>No country-compatible signatory</x:v>
      </x:c>
    </x:row>
    <x:row r="58" ht="36" customHeight="1">
      <x:c r="A58" s="57" t="n">
        <x:v>74</x:v>
      </x:c>
      <x:c r="B58" s="21" t="str">
        <x:v>University of Victoria</x:v>
      </x:c>
      <x:c r="C58" s="21" t="str">
        <x:v>Canada</x:v>
      </x:c>
      <x:c r="D58" s="21" t="str">
        <x:v>Verified - Verified alias</x:v>
      </x:c>
      <x:c r="E58" s="21" t="str">
        <x:v>Gustavson School of Business</x:v>
      </x:c>
      <x:c r="F58" s="21" t="str">
        <x:v>Communicating Signatory</x:v>
      </x:c>
      <x:c r="G58" s="21" t="str">
        <x:v>Jan 15 2009</x:v>
      </x:c>
      <x:c r="H58" s="21" t="n">
        <x:v>3</x:v>
      </x:c>
      <x:c r="I58" s="21" t="n">
        <x:v>2025</x:v>
      </x:c>
      <x:c r="J58" s="21" t="str">
        <x:v>2025-09-26</x:v>
      </x:c>
      <x:c r="K58" s="21" t="str">
        <x:v>Gustavson School of Business - 2025 - SIP Report</x:v>
      </x:c>
      <x:c r="L58" s="53" t="str">
        <x:v>https://commons-static.s3.amazonaws.com/reports/d0226f9e35dab55020fca272f6d56ff5812633fd/Gustavson+School+of+Business+-+SIP+2025.pdf</x:v>
      </x:c>
      <x:c r="M58" s="53" t="str">
        <x:v>https://www.unprme.org/university-of-victoria-gustavson-school-of-business/</x:v>
      </x:c>
      <x:c r="N58" s="53" t="str">
        <x:v>https://www.unprme.org/search/</x:v>
      </x:c>
      <x:c r="O58" s="21" t="n">
        <x:v>1</x:v>
      </x:c>
      <x:c r="P58" s="21" t="str">
        <x:v>Gustavson School of Business</x:v>
      </x:c>
      <x:c r="Q58" s="21" t="str">
        <x:v>Verified against the current UN PRME signatory directory; school-level scope is not promoted to the entire university.</x:v>
      </x:c>
    </x:row>
    <x:row r="59" ht="36" customHeight="1">
      <x:c r="A59" s="58" t="n">
        <x:v>76</x:v>
      </x:c>
      <x:c r="B59" s="51" t="str">
        <x:v>Central Queensland University</x:v>
      </x:c>
      <x:c r="C59" s="51" t="str">
        <x:v>Australia</x:v>
      </x:c>
      <x:c r="D59" s="51" t="str">
        <x:v>Verified - Exact/contained institution</x:v>
      </x:c>
      <x:c r="E59" s="51" t="str">
        <x:v>School of Business and Law - Central Queensland University</x:v>
      </x:c>
      <x:c r="F59" s="51" t="str">
        <x:v>Communicating Signatory</x:v>
      </x:c>
      <x:c r="G59" s="51" t="str">
        <x:v>Jul 23 2015</x:v>
      </x:c>
      <x:c r="H59" s="51" t="n">
        <x:v>3</x:v>
      </x:c>
      <x:c r="I59" s="51" t="n">
        <x:v>2025</x:v>
      </x:c>
      <x:c r="J59" s="51" t="str">
        <x:v>2025-09-28</x:v>
      </x:c>
      <x:c r="K59" s="51" t="str">
        <x:v>School of Business and Law - Central Queensland University - 2025 - Sip Report</x:v>
      </x:c>
      <x:c r="L59" s="54" t="str">
        <x:v>https://commons-static.s3.amazonaws.com/reports/9f682df245668969bbcd5395bdc2882591eeecde/School+of+Business+and+Law+-+Central+Queensland+University+-+SIP+2025.pdf</x:v>
      </x:c>
      <x:c r="M59" s="54" t="str">
        <x:v>https://www.unprme.org/school-of-business-and-law-central-queensland-university/</x:v>
      </x:c>
      <x:c r="N59" s="54" t="str">
        <x:v>https://www.unprme.org/search/</x:v>
      </x:c>
      <x:c r="O59" s="51" t="n">
        <x:v>0.96</x:v>
      </x:c>
      <x:c r="P59" s="51" t="str">
        <x:v>Central Queensland University</x:v>
      </x:c>
      <x:c r="Q59" s="51" t="str">
        <x:v>Verified against the current UN PRME signatory directory; school-level scope is not promoted to the entire university.</x:v>
      </x:c>
    </x:row>
    <x:row r="60" ht="36" customHeight="1">
      <x:c r="A60" s="57" t="n">
        <x:v>77</x:v>
      </x:c>
      <x:c r="B60" s="21" t="str">
        <x:v>University of Newcastle</x:v>
      </x:c>
      <x:c r="C60" s="21" t="str">
        <x:v>Australia</x:v>
      </x:c>
      <x:c r="D60" s="21" t="str">
        <x:v>Verified - Verified alias</x:v>
      </x:c>
      <x:c r="E60" s="21" t="str">
        <x:v>Newcastle Business School, University of Newcastle</x:v>
      </x:c>
      <x:c r="F60" s="21" t="str">
        <x:v>Communicating Signatory</x:v>
      </x:c>
      <x:c r="G60" s="21" t="str">
        <x:v>Feb 23 2015</x:v>
      </x:c>
      <x:c r="H60" s="21" t="n">
        <x:v>0</x:v>
      </x:c>
      <x:c r="I60" s="21"/>
      <x:c r="J60" s="21"/>
      <x:c r="K60" s="21"/>
      <x:c r="L60" s="53"/>
      <x:c r="M60" s="53" t="str">
        <x:v>https://www.unprme.org/newcastle-business-school/</x:v>
      </x:c>
      <x:c r="N60" s="53" t="str">
        <x:v>https://www.unprme.org/search/</x:v>
      </x:c>
      <x:c r="O60" s="21" t="n">
        <x:v>1</x:v>
      </x:c>
      <x:c r="P60" s="21" t="str">
        <x:v>Newcastle Business School, University of Newcastle</x:v>
      </x:c>
      <x:c r="Q60" s="21" t="str">
        <x:v>Verified against the current UN PRME signatory directory; school-level scope is not promoted to the entire university.</x:v>
      </x:c>
    </x:row>
    <x:row r="61" ht="36" customHeight="1">
      <x:c r="A61" s="58" t="n">
        <x:v>78</x:v>
      </x:c>
      <x:c r="B61" s="51" t="str">
        <x:v>Northumbria University</x:v>
      </x:c>
      <x:c r="C61" s="51" t="str">
        <x:v>United Kingdom</x:v>
      </x:c>
      <x:c r="D61" s="51" t="str">
        <x:v>Verified - Verified alias</x:v>
      </x:c>
      <x:c r="E61" s="51" t="str">
        <x:v>Newcastle Business School, University of Northumbria</x:v>
      </x:c>
      <x:c r="F61" s="51" t="str">
        <x:v>Communicating Signatory</x:v>
      </x:c>
      <x:c r="G61" s="51" t="str">
        <x:v>Oct 31 2014</x:v>
      </x:c>
      <x:c r="H61" s="51" t="n">
        <x:v>0</x:v>
      </x:c>
      <x:c r="I61" s="51"/>
      <x:c r="J61" s="51"/>
      <x:c r="K61" s="51"/>
      <x:c r="L61" s="54"/>
      <x:c r="M61" s="54" t="str">
        <x:v>https://www.unprme.org/newcastle-business-school-northumbria/</x:v>
      </x:c>
      <x:c r="N61" s="54" t="str">
        <x:v>https://www.unprme.org/search/</x:v>
      </x:c>
      <x:c r="O61" s="51" t="n">
        <x:v>1</x:v>
      </x:c>
      <x:c r="P61" s="51" t="str">
        <x:v>Newcastle Business School, University of Northumbria</x:v>
      </x:c>
      <x:c r="Q61" s="51" t="str">
        <x:v>Verified against the current UN PRME signatory directory; school-level scope is not promoted to the entire university.</x:v>
      </x:c>
    </x:row>
    <x:row r="62" ht="36" customHeight="1">
      <x:c r="A62" s="57" t="n">
        <x:v>79</x:v>
      </x:c>
      <x:c r="B62" s="21" t="str">
        <x:v>University of Indonesia</x:v>
      </x:c>
      <x:c r="C62" s="21" t="str">
        <x:v>Indonesia</x:v>
      </x:c>
      <x:c r="D62" s="21" t="str">
        <x:v>No verified match</x:v>
      </x:c>
      <x:c r="E62" s="21"/>
      <x:c r="F62" s="21"/>
      <x:c r="G62" s="21"/>
      <x:c r="H62" s="21"/>
      <x:c r="I62" s="21"/>
      <x:c r="J62" s="21"/>
      <x:c r="K62" s="21"/>
      <x:c r="L62" s="53"/>
      <x:c r="M62" s="53"/>
      <x:c r="N62" s="53" t="str">
        <x:v>https://www.unprme.org/search/</x:v>
      </x:c>
      <x:c r="O62" s="21"/>
      <x:c r="P62" s="21"/>
      <x:c r="Q62" s="21" t="str">
        <x:v>Manual review candidate only: Faculty of Economics and Business, Universitas Andalas</x:v>
      </x:c>
    </x:row>
    <x:row r="63" ht="36" customHeight="1">
      <x:c r="A63" s="58" t="n">
        <x:v>80</x:v>
      </x:c>
      <x:c r="B63" s="51" t="str">
        <x:v>An-Najah National University</x:v>
      </x:c>
      <x:c r="C63" s="51" t="str">
        <x:v>Palestine</x:v>
      </x:c>
      <x:c r="D63" s="51" t="str">
        <x:v>No verified match</x:v>
      </x:c>
      <x:c r="E63" s="51"/>
      <x:c r="F63" s="51"/>
      <x:c r="G63" s="51"/>
      <x:c r="H63" s="51"/>
      <x:c r="I63" s="51"/>
      <x:c r="J63" s="51"/>
      <x:c r="K63" s="51"/>
      <x:c r="L63" s="54"/>
      <x:c r="M63" s="54"/>
      <x:c r="N63" s="54" t="str">
        <x:v>https://www.unprme.org/search/</x:v>
      </x:c>
      <x:c r="O63" s="51"/>
      <x:c r="P63" s="51"/>
      <x:c r="Q63" s="51" t="str">
        <x:v>No country-compatible signatory</x:v>
      </x:c>
    </x:row>
    <x:row r="64" ht="36" customHeight="1">
      <x:c r="A64" s="59" t="n">
        <x:v>81</x:v>
      </x:c>
      <x:c r="B64" s="22" t="str">
        <x:v>Arizona State University (Tempe)</x:v>
      </x:c>
      <x:c r="C64" s="22" t="str">
        <x:v>United States</x:v>
      </x:c>
      <x:c r="D64" s="22" t="str">
        <x:v>No verified match</x:v>
      </x:c>
      <x:c r="E64" s="22"/>
      <x:c r="F64" s="22"/>
      <x:c r="G64" s="22"/>
      <x:c r="H64" s="22"/>
      <x:c r="I64" s="22"/>
      <x:c r="J64" s="22"/>
      <x:c r="K64" s="22"/>
      <x:c r="L64" s="55"/>
      <x:c r="M64" s="55"/>
      <x:c r="N64" s="55" t="str">
        <x:v>https://www.unprme.org/search/</x:v>
      </x:c>
      <x:c r="O64" s="22"/>
      <x:c r="P64" s="22"/>
      <x:c r="Q64" s="22" t="str">
        <x:v>No reliable signatory match</x:v>
      </x:c>
    </x:row>
  </x:sheetData>
  <x:mergeCells>
    <x:mergeCell ref="A1:Q1"/>
    <x:mergeCell ref="A2:Q2"/>
  </x:mergeCells>
  <x:pageMargins left="0.7" right="0.7" top="0.75" bottom="0.75" header="0.3" footer="0.3"/>
  <x:tableParts count="1">
    <x:tablePart xmlns:r="http://schemas.openxmlformats.org/officeDocument/2006/relationships" r:id="R8f103e832afa486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6" hidden="0" customWidth="1"/>
    <x:col min="4" max="4" width="20" hidden="0" customWidth="1"/>
    <x:col min="5" max="5" width="30" hidden="0" customWidth="1"/>
    <x:col min="6" max="6" width="18" hidden="0" customWidth="1"/>
    <x:col min="7" max="7" width="12" hidden="0" customWidth="1"/>
    <x:col min="8" max="8" width="14" hidden="0" customWidth="1"/>
    <x:col min="9" max="9" width="16" hidden="0" customWidth="1"/>
    <x:col min="10" max="10" width="28" hidden="0" customWidth="1"/>
    <x:col min="11" max="11" width="24" hidden="0" customWidth="1"/>
    <x:col min="12" max="12" width="14" hidden="0" customWidth="1"/>
    <x:col min="13" max="13" width="15" hidden="0" customWidth="1"/>
    <x:col min="14" max="14" width="14" hidden="0" customWidth="1"/>
    <x:col min="15" max="15" width="16" hidden="0" customWidth="1"/>
    <x:col min="16" max="16" width="16" hidden="0" customWidth="1"/>
    <x:col min="17" max="17" width="14" hidden="0" customWidth="1"/>
    <x:col min="18" max="18" width="55" hidden="0" customWidth="1"/>
    <x:col min="19" max="19" width="55" hidden="0" customWidth="1"/>
    <x:col min="20" max="20" width="50" hidden="0" customWidth="1"/>
    <x:col min="21" max="21" width="55" hidden="0" customWidth="1"/>
  </x:cols>
  <x:sheetData>
    <x:row r="1" ht="28" customHeight="1">
      <x:c r="A1" s="3" t="str">
        <x:v>OpenAlex Research Signals (2021-2025) - 60 Selected Programs</x:v>
      </x:c>
      <x:c r="B1" s="3"/>
      <x:c r="C1" s="3"/>
      <x:c r="D1" s="3"/>
      <x:c r="E1" s="3"/>
      <x:c r="F1" s="3"/>
      <x:c r="G1" s="3"/>
      <x:c r="H1" s="3"/>
      <x:c r="I1" s="3"/>
      <x:c r="J1" s="3"/>
      <x:c r="K1" s="3"/>
      <x:c r="L1" s="3"/>
      <x:c r="M1" s="3"/>
      <x:c r="N1" s="3"/>
      <x:c r="O1" s="3"/>
      <x:c r="P1" s="3"/>
      <x:c r="Q1" s="3"/>
      <x:c r="R1" s="3"/>
      <x:c r="S1" s="3"/>
      <x:c r="T1" s="3"/>
      <x:c r="U1" s="3"/>
    </x:row>
    <x:row r="2" ht="34" customHeight="1">
      <x:c r="A2" s="7" t="str">
        <x:v>Institution matches and keyword-based research signals from the prior collection. Uncollected rows remain blank and must not be interpreted as zero.</x:v>
      </x:c>
      <x:c r="B2" s="7"/>
      <x:c r="C2" s="7"/>
      <x:c r="D2" s="7"/>
      <x:c r="E2" s="7"/>
      <x:c r="F2" s="7"/>
      <x:c r="G2" s="7"/>
      <x:c r="H2" s="7"/>
      <x:c r="I2" s="7"/>
      <x:c r="J2" s="7"/>
      <x:c r="K2" s="7"/>
      <x:c r="L2" s="7"/>
      <x:c r="M2" s="7"/>
      <x:c r="N2" s="7"/>
      <x:c r="O2" s="7"/>
      <x:c r="P2" s="7"/>
      <x:c r="Q2" s="7"/>
      <x:c r="R2" s="7"/>
      <x:c r="S2" s="7"/>
      <x:c r="T2" s="7"/>
      <x:c r="U2" s="7"/>
    </x:row>
    <x:row r="4" ht="38" customHeight="1">
      <x:c r="A4" s="47" t="str">
        <x:v>ID</x:v>
      </x:c>
      <x:c r="B4" s="48" t="str">
        <x:v>Candidate Institution</x:v>
      </x:c>
      <x:c r="C4" s="48" t="str">
        <x:v>Country</x:v>
      </x:c>
      <x:c r="D4" s="48" t="str">
        <x:v>Collection Status</x:v>
      </x:c>
      <x:c r="E4" s="48" t="str">
        <x:v>Matched OpenAlex Institution</x:v>
      </x:c>
      <x:c r="F4" s="48" t="str">
        <x:v>Match Status</x:v>
      </x:c>
      <x:c r="G4" s="48" t="str">
        <x:v>Match Score</x:v>
      </x:c>
      <x:c r="H4" s="48" t="str">
        <x:v>Country Code</x:v>
      </x:c>
      <x:c r="I4" s="48" t="str">
        <x:v>Institution Type</x:v>
      </x:c>
      <x:c r="J4" s="48" t="str">
        <x:v>ROR</x:v>
      </x:c>
      <x:c r="K4" s="48" t="str">
        <x:v>OpenAlex ID</x:v>
      </x:c>
      <x:c r="L4" s="48" t="str">
        <x:v>All-time Works</x:v>
      </x:c>
      <x:c r="M4" s="48" t="str">
        <x:v>All-time Citations</x:v>
      </x:c>
      <x:c r="N4" s="48" t="str">
        <x:v>All-time H-index</x:v>
      </x:c>
      <x:c r="O4" s="48" t="str">
        <x:v>Two-year Mean Citedness</x:v>
      </x:c>
      <x:c r="P4" s="48" t="str">
        <x:v>Keyword Works 2021-2025</x:v>
      </x:c>
      <x:c r="Q4" s="48" t="str">
        <x:v>Top-25 Citations</x:v>
      </x:c>
      <x:c r="R4" s="48" t="str">
        <x:v>Top Matching Work</x:v>
      </x:c>
      <x:c r="S4" s="48" t="str">
        <x:v>Works Query URL</x:v>
      </x:c>
      <x:c r="T4" s="48" t="str">
        <x:v>Institution Search URL</x:v>
      </x:c>
      <x:c r="U4" s="49" t="str">
        <x:v>Collection Note / Error</x:v>
      </x:c>
    </x:row>
    <x:row r="5" ht="36" customHeight="1">
      <x:c r="A5" s="56" t="n">
        <x:v>1</x:v>
      </x:c>
      <x:c r="B5" s="50" t="str">
        <x:v>Lund University</x:v>
      </x:c>
      <x:c r="C5" s="50" t="str">
        <x:v>Sweden</x:v>
      </x:c>
      <x:c r="D5" s="50" t="str">
        <x:v>Collected</x:v>
      </x:c>
      <x:c r="E5" s="50" t="str">
        <x:v>Lund University</x:v>
      </x:c>
      <x:c r="F5" s="50" t="str">
        <x:v>Verified</x:v>
      </x:c>
      <x:c r="G5" s="50" t="n">
        <x:v>1</x:v>
      </x:c>
      <x:c r="H5" s="50" t="str">
        <x:v>SE</x:v>
      </x:c>
      <x:c r="I5" s="50" t="str">
        <x:v>education</x:v>
      </x:c>
      <x:c r="J5" s="50" t="str">
        <x:v>https://ror.org/012a77v79</x:v>
      </x:c>
      <x:c r="K5" s="50" t="str">
        <x:v>https://openalex.org/I187531555</x:v>
      </x:c>
      <x:c r="L5" s="50" t="n">
        <x:v>235413</x:v>
      </x:c>
      <x:c r="M5" s="50" t="n">
        <x:v>22224211</x:v>
      </x:c>
      <x:c r="N5" s="50" t="n">
        <x:v>1076</x:v>
      </x:c>
      <x:c r="O5" s="50" t="n">
        <x:v>3.362402620640295</x:v>
      </x:c>
      <x:c r="P5" s="50" t="n">
        <x:v>14149</x:v>
      </x:c>
      <x:c r="Q5" s="50" t="n">
        <x:v>25737</x:v>
      </x:c>
      <x:c r="R5" s="50" t="str">
        <x:v>The Astropy Project: Sustaining and Growing a Community-oriented Open-source Project and the Latest Major Release (v5.0) of the Core Package (2022; 4749 citations)</x:v>
      </x:c>
      <x:c r="S5" s="52" t="str">
        <x:v>https://api.openalex.org/works?filter=authorships.institutions.id%3AI187531555%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 s="52" t="str">
        <x:v>https://api.openalex.org/institutions?search=Lund+University&amp;per_page=5&amp;select=id%2Cror%2Cdisplay_name%2Ccountry_code%2Ctype%2Chomepage_url%2Cworks_count%2Ccited_by_count%2Csummary_stats%2Cdisplay_name_alternatives&amp;mailto=busa649%40example.com</x:v>
      </x:c>
      <x:c r="U5" s="50"/>
    </x:row>
    <x:row r="6" ht="36" customHeight="1">
      <x:c r="A6" s="57" t="n">
        <x:v>2</x:v>
      </x:c>
      <x:c r="B6" s="21" t="str">
        <x:v>University of Toronto</x:v>
      </x:c>
      <x:c r="C6" s="21" t="str">
        <x:v>Canada</x:v>
      </x:c>
      <x:c r="D6" s="21" t="str">
        <x:v>Collected</x:v>
      </x:c>
      <x:c r="E6" s="21" t="str">
        <x:v>University of Toronto</x:v>
      </x:c>
      <x:c r="F6" s="21" t="str">
        <x:v>Verified</x:v>
      </x:c>
      <x:c r="G6" s="21" t="n">
        <x:v>1</x:v>
      </x:c>
      <x:c r="H6" s="21" t="str">
        <x:v>CA</x:v>
      </x:c>
      <x:c r="I6" s="21" t="str">
        <x:v>education</x:v>
      </x:c>
      <x:c r="J6" s="21" t="str">
        <x:v>https://ror.org/03dbr7087</x:v>
      </x:c>
      <x:c r="K6" s="21" t="str">
        <x:v>https://openalex.org/I185261750</x:v>
      </x:c>
      <x:c r="L6" s="21" t="n">
        <x:v>553930</x:v>
      </x:c>
      <x:c r="M6" s="21" t="n">
        <x:v>58615111</x:v>
      </x:c>
      <x:c r="N6" s="21" t="n">
        <x:v>1782</x:v>
      </x:c>
      <x:c r="O6" s="21" t="n">
        <x:v>4.394456194033209</x:v>
      </x:c>
      <x:c r="P6" s="21" t="n">
        <x:v>27148</x:v>
      </x:c>
      <x:c r="Q6" s="21" t="n">
        <x:v>58181</x:v>
      </x:c>
      <x:c r="R6" s="21" t="str">
        <x:v>PRISMA 2020 explanation and elaboration: updated guidance and exemplars for reporting systematic reviews (2021; 11186 citations)</x:v>
      </x:c>
      <x:c r="S6" s="53" t="str">
        <x:v>https://api.openalex.org/works?filter=authorships.institutions.id%3AI185261750%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6" s="53" t="str">
        <x:v>https://api.openalex.org/institutions?search=University+of+Toronto&amp;per_page=5&amp;select=id%2Cror%2Cdisplay_name%2Ccountry_code%2Ctype%2Chomepage_url%2Cworks_count%2Ccited_by_count%2Csummary_stats%2Cdisplay_name_alternatives&amp;mailto=busa649%40example.com</x:v>
      </x:c>
      <x:c r="U6" s="21"/>
    </x:row>
    <x:row r="7" ht="36" customHeight="1">
      <x:c r="A7" s="58" t="n">
        <x:v>3</x:v>
      </x:c>
      <x:c r="B7" s="51" t="str">
        <x:v>UCL</x:v>
      </x:c>
      <x:c r="C7" s="51" t="str">
        <x:v>United Kingdom</x:v>
      </x:c>
      <x:c r="D7" s="51" t="str">
        <x:v>Collected</x:v>
      </x:c>
      <x:c r="E7" s="51" t="str">
        <x:v>University College London</x:v>
      </x:c>
      <x:c r="F7" s="51" t="str">
        <x:v>Verified</x:v>
      </x:c>
      <x:c r="G7" s="51" t="n">
        <x:v>1</x:v>
      </x:c>
      <x:c r="H7" s="51" t="str">
        <x:v>GB</x:v>
      </x:c>
      <x:c r="I7" s="51" t="str">
        <x:v>education</x:v>
      </x:c>
      <x:c r="J7" s="51" t="str">
        <x:v>https://ror.org/02jx3x895</x:v>
      </x:c>
      <x:c r="K7" s="51" t="str">
        <x:v>https://openalex.org/I45129253</x:v>
      </x:c>
      <x:c r="L7" s="51" t="n">
        <x:v>583087</x:v>
      </x:c>
      <x:c r="M7" s="51" t="n">
        <x:v>65779892</x:v>
      </x:c>
      <x:c r="N7" s="51" t="n">
        <x:v>2066</x:v>
      </x:c>
      <x:c r="O7" s="51" t="n">
        <x:v>5.205234697290668</x:v>
      </x:c>
      <x:c r="P7" s="51" t="n">
        <x:v>36401</x:v>
      </x:c>
      <x:c r="Q7" s="51" t="n">
        <x:v>69680</x:v>
      </x:c>
      <x:c r="R7" s="51" t="str">
        <x:v>PRISMA 2020 explanation and elaboration: updated guidance and exemplars for reporting systematic reviews (2021; 11186 citations)</x:v>
      </x:c>
      <x:c r="S7" s="54" t="str">
        <x:v>https://api.openalex.org/works?filter=authorships.institutions.id%3AI45129253%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7" s="54" t="str">
        <x:v>https://api.openalex.org/institutions?search=University+College+London&amp;per_page=5&amp;select=id%2Cror%2Cdisplay_name%2Ccountry_code%2Ctype%2Chomepage_url%2Cworks_count%2Ccited_by_count%2Csummary_stats%2Cdisplay_name_alternatives&amp;mailto=busa649%40example.com</x:v>
      </x:c>
      <x:c r="U7" s="51"/>
    </x:row>
    <x:row r="8" ht="36" customHeight="1">
      <x:c r="A8" s="57" t="n">
        <x:v>4</x:v>
      </x:c>
      <x:c r="B8" s="21" t="str">
        <x:v>The University of Edinburgh</x:v>
      </x:c>
      <x:c r="C8" s="21" t="str">
        <x:v>United Kingdom</x:v>
      </x:c>
      <x:c r="D8" s="21" t="str">
        <x:v>No reliable match</x:v>
      </x:c>
      <x:c r="E8" s="21"/>
      <x:c r="F8" s="21"/>
      <x:c r="G8" s="21"/>
      <x:c r="H8" s="21"/>
      <x:c r="I8" s="21"/>
      <x:c r="J8" s="21"/>
      <x:c r="K8" s="21"/>
      <x:c r="L8" s="21"/>
      <x:c r="M8" s="21"/>
      <x:c r="N8" s="21"/>
      <x:c r="O8" s="21"/>
      <x:c r="P8" s="21"/>
      <x:c r="Q8" s="21"/>
      <x:c r="R8" s="21"/>
      <x:c r="S8" s="53"/>
      <x:c r="T8" s="53" t="str">
        <x:v>https://api.openalex.org/institutions?search=The+University+of+Edinburgh&amp;per_page=5&amp;select=id%2Cror%2Cdisplay_name%2Ccountry_code%2Ctype%2Chomepage_url%2Cworks_count%2Ccited_by_count%2Csummary_stats%2Cdisplay_name_alternatives&amp;mailto=busa649%40example.com</x:v>
      </x:c>
      <x:c r="U8" s="21" t="str">
        <x:v>No OpenAlex search result</x:v>
      </x:c>
    </x:row>
    <x:row r="9" ht="36" customHeight="1">
      <x:c r="A9" s="58" t="n">
        <x:v>5</x:v>
      </x:c>
      <x:c r="B9" s="51" t="str">
        <x:v>University of British Columbia</x:v>
      </x:c>
      <x:c r="C9" s="51" t="str">
        <x:v>Canada</x:v>
      </x:c>
      <x:c r="D9" s="51" t="str">
        <x:v>Collected</x:v>
      </x:c>
      <x:c r="E9" s="51" t="str">
        <x:v>University of British Columbia</x:v>
      </x:c>
      <x:c r="F9" s="51" t="str">
        <x:v>Verified</x:v>
      </x:c>
      <x:c r="G9" s="51" t="n">
        <x:v>1</x:v>
      </x:c>
      <x:c r="H9" s="51" t="str">
        <x:v>CA</x:v>
      </x:c>
      <x:c r="I9" s="51" t="str">
        <x:v>education</x:v>
      </x:c>
      <x:c r="J9" s="51" t="str">
        <x:v>https://ror.org/03rmrcq20</x:v>
      </x:c>
      <x:c r="K9" s="51" t="str">
        <x:v>https://openalex.org/I141945490</x:v>
      </x:c>
      <x:c r="L9" s="51" t="n">
        <x:v>374948</x:v>
      </x:c>
      <x:c r="M9" s="51" t="n">
        <x:v>32396043</x:v>
      </x:c>
      <x:c r="N9" s="51" t="n">
        <x:v>1334</x:v>
      </x:c>
      <x:c r="O9" s="51" t="n">
        <x:v>3.164244344880341</x:v>
      </x:c>
      <x:c r="P9" s="51" t="n">
        <x:v>19674</x:v>
      </x:c>
      <x:c r="Q9" s="51" t="n">
        <x:v>36457</x:v>
      </x:c>
      <x:c r="R9" s="51" t="str">
        <x:v>A clinical case definition of post-COVID-19 condition by a Delphi consensus (2021; 2600 citations)</x:v>
      </x:c>
      <x:c r="S9" s="54" t="str">
        <x:v>https://api.openalex.org/works?filter=authorships.institutions.id%3AI141945490%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9" s="54" t="str">
        <x:v>https://api.openalex.org/institutions?search=University+of+British+Columbia&amp;per_page=5&amp;select=id%2Cror%2Cdisplay_name%2Ccountry_code%2Ctype%2Chomepage_url%2Cworks_count%2Ccited_by_count%2Csummary_stats%2Cdisplay_name_alternatives&amp;mailto=busa649%40example.com</x:v>
      </x:c>
      <x:c r="U9" s="51"/>
    </x:row>
    <x:row r="10" ht="36" customHeight="1">
      <x:c r="A10" s="57" t="n">
        <x:v>6</x:v>
      </x:c>
      <x:c r="B10" s="21" t="str">
        <x:v>The London School of Economics and Political Science (LSE)</x:v>
      </x:c>
      <x:c r="C10" s="21" t="str">
        <x:v>United Kingdom</x:v>
      </x:c>
      <x:c r="D10" s="21" t="str">
        <x:v>Collected</x:v>
      </x:c>
      <x:c r="E10" s="21" t="str">
        <x:v>London School of Economics and Political Science</x:v>
      </x:c>
      <x:c r="F10" s="21" t="str">
        <x:v>Verified</x:v>
      </x:c>
      <x:c r="G10" s="21" t="n">
        <x:v>1</x:v>
      </x:c>
      <x:c r="H10" s="21" t="str">
        <x:v>GB</x:v>
      </x:c>
      <x:c r="I10" s="21" t="str">
        <x:v>education</x:v>
      </x:c>
      <x:c r="J10" s="21" t="str">
        <x:v>https://ror.org/0090zs177</x:v>
      </x:c>
      <x:c r="K10" s="21" t="str">
        <x:v>https://openalex.org/I909854389</x:v>
      </x:c>
      <x:c r="L10" s="21" t="n">
        <x:v>73569</x:v>
      </x:c>
      <x:c r="M10" s="21" t="n">
        <x:v>2719235</x:v>
      </x:c>
      <x:c r="N10" s="21" t="n">
        <x:v>550</x:v>
      </x:c>
      <x:c r="O10" s="21" t="n">
        <x:v>3.033035294117647</x:v>
      </x:c>
      <x:c r="P10" s="21" t="n">
        <x:v>5387</x:v>
      </x:c>
      <x:c r="Q10" s="21" t="n">
        <x:v>15795</x:v>
      </x:c>
      <x:c r="R10" s="21" t="str">
        <x:v>The 2022 report of the Lancet Countdown on health and climate change: health at the mercy of fossil fuels (2022; 1627 citations)</x:v>
      </x:c>
      <x:c r="S10" s="53" t="str">
        <x:v>https://api.openalex.org/works?filter=authorships.institutions.id%3AI909854389%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0" s="53" t="str">
        <x:v>https://api.openalex.org/institutions?search=London+School+of+Economics+and+Political+Science&amp;per_page=5&amp;select=id%2Cror%2Cdisplay_name%2Ccountry_code%2Ctype%2Chomepage_url%2Cworks_count%2Ccited_by_count%2Csummary_stats%2Cdisplay_name_alternatives&amp;mailto=busa649%40example.com</x:v>
      </x:c>
      <x:c r="U10" s="21"/>
    </x:row>
    <x:row r="11" ht="36" customHeight="1">
      <x:c r="A11" s="58" t="n">
        <x:v>7</x:v>
      </x:c>
      <x:c r="B11" s="51" t="str">
        <x:v>Imperial College London</x:v>
      </x:c>
      <x:c r="C11" s="51" t="str">
        <x:v>United Kingdom</x:v>
      </x:c>
      <x:c r="D11" s="51" t="str">
        <x:v>Collected</x:v>
      </x:c>
      <x:c r="E11" s="51" t="str">
        <x:v>Imperial College London</x:v>
      </x:c>
      <x:c r="F11" s="51" t="str">
        <x:v>Verified</x:v>
      </x:c>
      <x:c r="G11" s="51" t="n">
        <x:v>1</x:v>
      </x:c>
      <x:c r="H11" s="51" t="str">
        <x:v>GB</x:v>
      </x:c>
      <x:c r="I11" s="51" t="str">
        <x:v>education</x:v>
      </x:c>
      <x:c r="J11" s="51" t="str">
        <x:v>https://ror.org/041kmwe10</x:v>
      </x:c>
      <x:c r="K11" s="51" t="str">
        <x:v>https://openalex.org/I47508984</x:v>
      </x:c>
      <x:c r="L11" s="51" t="n">
        <x:v>387396</x:v>
      </x:c>
      <x:c r="M11" s="51" t="n">
        <x:v>42109070</x:v>
      </x:c>
      <x:c r="N11" s="51" t="n">
        <x:v>1551</x:v>
      </x:c>
      <x:c r="O11" s="51" t="n">
        <x:v>6.499100243463533</x:v>
      </x:c>
      <x:c r="P11" s="51" t="n">
        <x:v>22297</x:v>
      </x:c>
      <x:c r="Q11" s="51" t="n">
        <x:v>47844</x:v>
      </x:c>
      <x:c r="R11" s="51" t="str">
        <x:v>The 5th edition of the World Health Organization Classification of Haematolymphoid Tumours: Myeloid and Histiocytic/Dendritic Neoplasms (2022; 3974 citations)</x:v>
      </x:c>
      <x:c r="S11" s="54" t="str">
        <x:v>https://api.openalex.org/works?filter=authorships.institutions.id%3AI47508984%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1" s="54" t="str">
        <x:v>https://api.openalex.org/institutions?search=Imperial+College+London&amp;per_page=5&amp;select=id%2Cror%2Cdisplay_name%2Ccountry_code%2Ctype%2Chomepage_url%2Cworks_count%2Ccited_by_count%2Csummary_stats%2Cdisplay_name_alternatives&amp;mailto=busa649%40example.com</x:v>
      </x:c>
      <x:c r="U11" s="51"/>
    </x:row>
    <x:row r="12" ht="36" customHeight="1">
      <x:c r="A12" s="57" t="n">
        <x:v>8</x:v>
      </x:c>
      <x:c r="B12" s="21" t="str">
        <x:v>The University of New South Wales (UNSW Sydney)</x:v>
      </x:c>
      <x:c r="C12" s="21" t="str">
        <x:v>Australia</x:v>
      </x:c>
      <x:c r="D12" s="21" t="str">
        <x:v>Collected</x:v>
      </x:c>
      <x:c r="E12" s="21" t="str">
        <x:v>UNSW Sydney</x:v>
      </x:c>
      <x:c r="F12" s="21" t="str">
        <x:v>Verified</x:v>
      </x:c>
      <x:c r="G12" s="21" t="n">
        <x:v>1</x:v>
      </x:c>
      <x:c r="H12" s="21" t="str">
        <x:v>AU</x:v>
      </x:c>
      <x:c r="I12" s="21" t="str">
        <x:v>education</x:v>
      </x:c>
      <x:c r="J12" s="21" t="str">
        <x:v>https://ror.org/03r8z3t63</x:v>
      </x:c>
      <x:c r="K12" s="21" t="str">
        <x:v>https://openalex.org/I31746571</x:v>
      </x:c>
      <x:c r="L12" s="21" t="n">
        <x:v>273345</x:v>
      </x:c>
      <x:c r="M12" s="21" t="n">
        <x:v>20091565</x:v>
      </x:c>
      <x:c r="N12" s="21" t="n">
        <x:v>1041</x:v>
      </x:c>
      <x:c r="O12" s="21" t="n">
        <x:v>5.193142302307727</x:v>
      </x:c>
      <x:c r="P12" s="21" t="n">
        <x:v>19127</x:v>
      </x:c>
      <x:c r="Q12" s="21" t="n">
        <x:v>41208</x:v>
      </x:c>
      <x:c r="R12" s="21" t="str">
        <x:v>Natural products in drug discovery: advances and opportunities (2021; 5097 citations)</x:v>
      </x:c>
      <x:c r="S12" s="53" t="str">
        <x:v>https://api.openalex.org/works?filter=authorships.institutions.id%3AI31746571%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2" s="53" t="str">
        <x:v>https://api.openalex.org/institutions?search=University+of+New+South+Wales&amp;per_page=5&amp;select=id%2Cror%2Cdisplay_name%2Ccountry_code%2Ctype%2Chomepage_url%2Cworks_count%2Ccited_by_count%2Csummary_stats%2Cdisplay_name_alternatives&amp;mailto=busa649%40example.com</x:v>
      </x:c>
      <x:c r="U12" s="21"/>
    </x:row>
    <x:row r="13" ht="36" customHeight="1">
      <x:c r="A13" s="58" t="n">
        <x:v>9</x:v>
      </x:c>
      <x:c r="B13" s="51" t="str">
        <x:v>McGill University</x:v>
      </x:c>
      <x:c r="C13" s="51" t="str">
        <x:v>Canada</x:v>
      </x:c>
      <x:c r="D13" s="51" t="str">
        <x:v>Collected</x:v>
      </x:c>
      <x:c r="E13" s="51" t="str">
        <x:v>McGill University</x:v>
      </x:c>
      <x:c r="F13" s="51" t="str">
        <x:v>Verified</x:v>
      </x:c>
      <x:c r="G13" s="51" t="n">
        <x:v>1</x:v>
      </x:c>
      <x:c r="H13" s="51" t="str">
        <x:v>CA</x:v>
      </x:c>
      <x:c r="I13" s="51" t="str">
        <x:v>education</x:v>
      </x:c>
      <x:c r="J13" s="51" t="str">
        <x:v>https://ror.org/01pxwe438</x:v>
      </x:c>
      <x:c r="K13" s="51" t="str">
        <x:v>https://openalex.org/I5023651</x:v>
      </x:c>
      <x:c r="L13" s="51" t="n">
        <x:v>296965</x:v>
      </x:c>
      <x:c r="M13" s="51" t="n">
        <x:v>27391298</x:v>
      </x:c>
      <x:c r="N13" s="51" t="n">
        <x:v>1225</x:v>
      </x:c>
      <x:c r="O13" s="51" t="n">
        <x:v>3.9382953152983315</x:v>
      </x:c>
      <x:c r="P13" s="51" t="n">
        <x:v>14699</x:v>
      </x:c>
      <x:c r="Q13" s="51" t="n">
        <x:v>35508</x:v>
      </x:c>
      <x:c r="R13" s="51" t="str">
        <x:v>Strengthening the Reporting of Observational Studies in Epidemiology Using Mendelian Randomization (2021; 4065 citations)</x:v>
      </x:c>
      <x:c r="S13" s="54" t="str">
        <x:v>https://api.openalex.org/works?filter=authorships.institutions.id%3AI5023651%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3" s="54" t="str">
        <x:v>https://api.openalex.org/institutions?search=McGill+University&amp;per_page=5&amp;select=id%2Cror%2Cdisplay_name%2Ccountry_code%2Ctype%2Chomepage_url%2Cworks_count%2Ccited_by_count%2Csummary_stats%2Cdisplay_name_alternatives&amp;mailto=busa649%40example.com</x:v>
      </x:c>
      <x:c r="U13" s="51"/>
    </x:row>
    <x:row r="14" ht="36" customHeight="1">
      <x:c r="A14" s="57" t="n">
        <x:v>10</x:v>
      </x:c>
      <x:c r="B14" s="21" t="str">
        <x:v>The University of Manchester</x:v>
      </x:c>
      <x:c r="C14" s="21" t="str">
        <x:v>United Kingdom</x:v>
      </x:c>
      <x:c r="D14" s="21" t="str">
        <x:v>No reliable match</x:v>
      </x:c>
      <x:c r="E14" s="21"/>
      <x:c r="F14" s="21"/>
      <x:c r="G14" s="21"/>
      <x:c r="H14" s="21"/>
      <x:c r="I14" s="21"/>
      <x:c r="J14" s="21"/>
      <x:c r="K14" s="21"/>
      <x:c r="L14" s="21"/>
      <x:c r="M14" s="21"/>
      <x:c r="N14" s="21"/>
      <x:c r="O14" s="21"/>
      <x:c r="P14" s="21"/>
      <x:c r="Q14" s="21"/>
      <x:c r="R14" s="21"/>
      <x:c r="S14" s="53"/>
      <x:c r="T14" s="53" t="str">
        <x:v>https://api.openalex.org/institutions?search=The+University+of+Manchester&amp;per_page=5&amp;select=id%2Cror%2Cdisplay_name%2Ccountry_code%2Ctype%2Chomepage_url%2Cworks_count%2Ccited_by_count%2Csummary_stats%2Cdisplay_name_alternatives&amp;mailto=busa649%40example.com</x:v>
      </x:c>
      <x:c r="U14" s="21" t="str">
        <x:v>No OpenAlex search result</x:v>
      </x:c>
    </x:row>
    <x:row r="15" ht="36" customHeight="1">
      <x:c r="A15" s="58" t="n">
        <x:v>11</x:v>
      </x:c>
      <x:c r="B15" s="51" t="str">
        <x:v>ETH Zurich</x:v>
      </x:c>
      <x:c r="C15" s="51" t="str">
        <x:v>Switzerland</x:v>
      </x:c>
      <x:c r="D15" s="51" t="str">
        <x:v>Collected</x:v>
      </x:c>
      <x:c r="E15" s="51" t="str">
        <x:v>ETH Zurich</x:v>
      </x:c>
      <x:c r="F15" s="51" t="str">
        <x:v>Verified</x:v>
      </x:c>
      <x:c r="G15" s="51" t="n">
        <x:v>1</x:v>
      </x:c>
      <x:c r="H15" s="51" t="str">
        <x:v>CH</x:v>
      </x:c>
      <x:c r="I15" s="51" t="str">
        <x:v>education</x:v>
      </x:c>
      <x:c r="J15" s="51" t="str">
        <x:v>https://ror.org/05a28rw58</x:v>
      </x:c>
      <x:c r="K15" s="51" t="str">
        <x:v>https://openalex.org/I35440088</x:v>
      </x:c>
      <x:c r="L15" s="51" t="n">
        <x:v>247076</x:v>
      </x:c>
      <x:c r="M15" s="51" t="n">
        <x:v>26965222</x:v>
      </x:c>
      <x:c r="N15" s="51" t="n">
        <x:v>1171</x:v>
      </x:c>
      <x:c r="O15" s="51" t="n">
        <x:v>3.6387697457893085</x:v>
      </x:c>
      <x:c r="P15" s="51" t="n">
        <x:v>17955</x:v>
      </x:c>
      <x:c r="Q15" s="51" t="n">
        <x:v>35288</x:v>
      </x:c>
      <x:c r="R15" s="51" t="str">
        <x:v>Natural products in drug discovery: advances and opportunities (2021; 5097 citations)</x:v>
      </x:c>
      <x:c r="S15" s="54" t="str">
        <x:v>https://api.openalex.org/works?filter=authorships.institutions.id%3AI35440088%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5" s="54" t="str">
        <x:v>https://api.openalex.org/institutions?search=ETH+Zurich&amp;per_page=5&amp;select=id%2Cror%2Cdisplay_name%2Ccountry_code%2Ctype%2Chomepage_url%2Cworks_count%2Ccited_by_count%2Csummary_stats%2Cdisplay_name_alternatives&amp;mailto=busa649%40example.com</x:v>
      </x:c>
      <x:c r="U15" s="51"/>
    </x:row>
    <x:row r="16" ht="36" customHeight="1">
      <x:c r="A16" s="57" t="n">
        <x:v>12</x:v>
      </x:c>
      <x:c r="B16" s="21" t="str">
        <x:v>The University of Melbourne</x:v>
      </x:c>
      <x:c r="C16" s="21" t="str">
        <x:v>Australia</x:v>
      </x:c>
      <x:c r="D16" s="21" t="str">
        <x:v>Collected</x:v>
      </x:c>
      <x:c r="E16" s="21" t="str">
        <x:v>The University of Melbourne</x:v>
      </x:c>
      <x:c r="F16" s="21" t="str">
        <x:v>Verified</x:v>
      </x:c>
      <x:c r="G16" s="21" t="n">
        <x:v>1</x:v>
      </x:c>
      <x:c r="H16" s="21" t="str">
        <x:v>AU</x:v>
      </x:c>
      <x:c r="I16" s="21" t="str">
        <x:v>education</x:v>
      </x:c>
      <x:c r="J16" s="21" t="str">
        <x:v>https://ror.org/01ej9dk98</x:v>
      </x:c>
      <x:c r="K16" s="21" t="str">
        <x:v>https://openalex.org/I165779595</x:v>
      </x:c>
      <x:c r="L16" s="21" t="n">
        <x:v>345056</x:v>
      </x:c>
      <x:c r="M16" s="21" t="n">
        <x:v>30804922</x:v>
      </x:c>
      <x:c r="N16" s="21" t="n">
        <x:v>1272</x:v>
      </x:c>
      <x:c r="O16" s="21" t="n">
        <x:v>4.07334254365532</x:v>
      </x:c>
      <x:c r="P16" s="21" t="n">
        <x:v>22783</x:v>
      </x:c>
      <x:c r="Q16" s="21" t="n">
        <x:v>35238</x:v>
      </x:c>
      <x:c r="R16" s="21" t="str">
        <x:v>Large-scale cis- and trans-eQTL analyses identify thousands of genetic loci and polygenic scores that regulate blood gene expression (2021; 2221 citations)</x:v>
      </x:c>
      <x:c r="S16" s="53" t="str">
        <x:v>https://api.openalex.org/works?filter=authorships.institutions.id%3AI165779595%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6" s="53" t="str">
        <x:v>https://api.openalex.org/institutions?search=The+University+of+Melbourne&amp;per_page=5&amp;select=id%2Cror%2Cdisplay_name%2Ccountry_code%2Ctype%2Chomepage_url%2Cworks_count%2Ccited_by_count%2Csummary_stats%2Cdisplay_name_alternatives&amp;mailto=busa649%40example.com</x:v>
      </x:c>
      <x:c r="U16" s="21"/>
    </x:row>
    <x:row r="17" ht="36" customHeight="1">
      <x:c r="A17" s="58" t="n">
        <x:v>13</x:v>
      </x:c>
      <x:c r="B17" s="51" t="str">
        <x:v>University of California, Berkeley (UCB)</x:v>
      </x:c>
      <x:c r="C17" s="51" t="str">
        <x:v>United States</x:v>
      </x:c>
      <x:c r="D17" s="51" t="str">
        <x:v>Collected</x:v>
      </x:c>
      <x:c r="E17" s="51" t="str">
        <x:v>University of California, Berkeley</x:v>
      </x:c>
      <x:c r="F17" s="51" t="str">
        <x:v>Verified</x:v>
      </x:c>
      <x:c r="G17" s="51" t="n">
        <x:v>1</x:v>
      </x:c>
      <x:c r="H17" s="51" t="str">
        <x:v>US</x:v>
      </x:c>
      <x:c r="I17" s="51" t="str">
        <x:v>education</x:v>
      </x:c>
      <x:c r="J17" s="51" t="str">
        <x:v>https://ror.org/01an7q238</x:v>
      </x:c>
      <x:c r="K17" s="51" t="str">
        <x:v>https://openalex.org/I95457486</x:v>
      </x:c>
      <x:c r="L17" s="51" t="n">
        <x:v>450823</x:v>
      </x:c>
      <x:c r="M17" s="51" t="n">
        <x:v>56370727</x:v>
      </x:c>
      <x:c r="N17" s="51" t="n">
        <x:v>1876</x:v>
      </x:c>
      <x:c r="O17" s="51" t="n">
        <x:v>3.917210196023128</x:v>
      </x:c>
      <x:c r="P17" s="51" t="n">
        <x:v>15635</x:v>
      </x:c>
      <x:c r="Q17" s="51" t="n">
        <x:v>34640</x:v>
      </x:c>
      <x:c r="R17" s="51" t="str">
        <x:v>Informer: Beyond Efficient Transformer for Long Sequence Time-Series Forecasting (2021; 6303 citations)</x:v>
      </x:c>
      <x:c r="S17" s="54" t="str">
        <x:v>https://api.openalex.org/works?filter=authorships.institutions.id%3AI95457486%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7" s="54" t="str">
        <x:v>https://api.openalex.org/institutions?search=University+of+California+Berkeley&amp;per_page=5&amp;select=id%2Cror%2Cdisplay_name%2Ccountry_code%2Ctype%2Chomepage_url%2Cworks_count%2Ccited_by_count%2Csummary_stats%2Cdisplay_name_alternatives&amp;mailto=busa649%40example.com</x:v>
      </x:c>
      <x:c r="U17" s="51"/>
    </x:row>
    <x:row r="18" ht="36" customHeight="1">
      <x:c r="A18" s="57" t="n">
        <x:v>14</x:v>
      </x:c>
      <x:c r="B18" s="21" t="str">
        <x:v>Stanford University</x:v>
      </x:c>
      <x:c r="C18" s="21" t="str">
        <x:v>United States</x:v>
      </x:c>
      <x:c r="D18" s="21" t="str">
        <x:v>Collected</x:v>
      </x:c>
      <x:c r="E18" s="21" t="str">
        <x:v>Stanford University</x:v>
      </x:c>
      <x:c r="F18" s="21" t="str">
        <x:v>Verified</x:v>
      </x:c>
      <x:c r="G18" s="21" t="n">
        <x:v>1</x:v>
      </x:c>
      <x:c r="H18" s="21" t="str">
        <x:v>US</x:v>
      </x:c>
      <x:c r="I18" s="21" t="str">
        <x:v>education</x:v>
      </x:c>
      <x:c r="J18" s="21" t="str">
        <x:v>https://ror.org/00f54p054</x:v>
      </x:c>
      <x:c r="K18" s="21" t="str">
        <x:v>https://openalex.org/I97018004</x:v>
      </x:c>
      <x:c r="L18" s="21" t="n">
        <x:v>528279</x:v>
      </x:c>
      <x:c r="M18" s="21" t="n">
        <x:v>87451954</x:v>
      </x:c>
      <x:c r="N18" s="21" t="n">
        <x:v>2487</x:v>
      </x:c>
      <x:c r="O18" s="21" t="n">
        <x:v>6.412806063072928</x:v>
      </x:c>
      <x:c r="P18" s="21" t="n">
        <x:v>20548</x:v>
      </x:c>
      <x:c r="Q18" s="21" t="n">
        <x:v>46013</x:v>
      </x:c>
      <x:c r="R18" s="21" t="str">
        <x:v>The 5th edition of the World Health Organization Classification of Haematolymphoid Tumours: Myeloid and Histiocytic/Dendritic Neoplasms (2022; 3974 citations)</x:v>
      </x:c>
      <x:c r="S18" s="53" t="str">
        <x:v>https://api.openalex.org/works?filter=authorships.institutions.id%3AI97018004%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8" s="53" t="str">
        <x:v>https://api.openalex.org/institutions?search=Stanford+University&amp;per_page=5&amp;select=id%2Cror%2Cdisplay_name%2Ccountry_code%2Ctype%2Chomepage_url%2Cworks_count%2Ccited_by_count%2Csummary_stats%2Cdisplay_name_alternatives&amp;mailto=busa649%40example.com</x:v>
      </x:c>
      <x:c r="U18" s="21"/>
    </x:row>
    <x:row r="19" ht="36" customHeight="1">
      <x:c r="A19" s="58" t="n">
        <x:v>15</x:v>
      </x:c>
      <x:c r="B19" s="51" t="str">
        <x:v>University of Oxford</x:v>
      </x:c>
      <x:c r="C19" s="51" t="str">
        <x:v>United Kingdom</x:v>
      </x:c>
      <x:c r="D19" s="51" t="str">
        <x:v>Collected</x:v>
      </x:c>
      <x:c r="E19" s="51" t="str">
        <x:v>University of Oxford</x:v>
      </x:c>
      <x:c r="F19" s="51" t="str">
        <x:v>Verified</x:v>
      </x:c>
      <x:c r="G19" s="51" t="n">
        <x:v>1</x:v>
      </x:c>
      <x:c r="H19" s="51" t="str">
        <x:v>GB</x:v>
      </x:c>
      <x:c r="I19" s="51" t="str">
        <x:v>education</x:v>
      </x:c>
      <x:c r="J19" s="51" t="str">
        <x:v>https://ror.org/052gg0110</x:v>
      </x:c>
      <x:c r="K19" s="51" t="str">
        <x:v>https://openalex.org/I40120149</x:v>
      </x:c>
      <x:c r="L19" s="51" t="n">
        <x:v>595350</x:v>
      </x:c>
      <x:c r="M19" s="51" t="n">
        <x:v>63481881</x:v>
      </x:c>
      <x:c r="N19" s="51" t="n">
        <x:v>2073</x:v>
      </x:c>
      <x:c r="O19" s="51" t="n">
        <x:v>4.676979520012395</x:v>
      </x:c>
      <x:c r="P19" s="51" t="n">
        <x:v>30045</x:v>
      </x:c>
      <x:c r="Q19" s="51" t="n">
        <x:v>59188</x:v>
      </x:c>
      <x:c r="R19" s="51" t="str">
        <x:v>Cancer statistics for the year 2020: An overview (2021; 5720 citations)</x:v>
      </x:c>
      <x:c r="S19" s="54" t="str">
        <x:v>https://api.openalex.org/works?filter=authorships.institutions.id%3AI40120149%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9" s="54" t="str">
        <x:v>https://api.openalex.org/institutions?search=University+of+Oxford&amp;per_page=5&amp;select=id%2Cror%2Cdisplay_name%2Ccountry_code%2Ctype%2Chomepage_url%2Cworks_count%2Ccited_by_count%2Csummary_stats%2Cdisplay_name_alternatives&amp;mailto=busa649%40example.com</x:v>
      </x:c>
      <x:c r="U19" s="51"/>
    </x:row>
    <x:row r="20" ht="36" customHeight="1">
      <x:c r="A20" s="57" t="n">
        <x:v>16</x:v>
      </x:c>
      <x:c r="B20" s="21" t="str">
        <x:v>The University of Sydney</x:v>
      </x:c>
      <x:c r="C20" s="21" t="str">
        <x:v>Australia</x:v>
      </x:c>
      <x:c r="D20" s="21" t="str">
        <x:v>Collected</x:v>
      </x:c>
      <x:c r="E20" s="21" t="str">
        <x:v>The University of Sydney</x:v>
      </x:c>
      <x:c r="F20" s="21" t="str">
        <x:v>Verified</x:v>
      </x:c>
      <x:c r="G20" s="21" t="n">
        <x:v>1</x:v>
      </x:c>
      <x:c r="H20" s="21" t="str">
        <x:v>AU</x:v>
      </x:c>
      <x:c r="I20" s="21" t="str">
        <x:v>education</x:v>
      </x:c>
      <x:c r="J20" s="21" t="str">
        <x:v>https://ror.org/0384j8v12</x:v>
      </x:c>
      <x:c r="K20" s="21" t="str">
        <x:v>https://openalex.org/I129604602</x:v>
      </x:c>
      <x:c r="L20" s="21" t="n">
        <x:v>334397</x:v>
      </x:c>
      <x:c r="M20" s="21" t="n">
        <x:v>26953302</x:v>
      </x:c>
      <x:c r="N20" s="21" t="n">
        <x:v>1277</x:v>
      </x:c>
      <x:c r="O20" s="21" t="n">
        <x:v>4.803487245113999</x:v>
      </x:c>
      <x:c r="P20" s="21" t="n">
        <x:v>19613</x:v>
      </x:c>
      <x:c r="Q20" s="21" t="n">
        <x:v>33889</x:v>
      </x:c>
      <x:c r="R20" s="21" t="str">
        <x:v>A Consensus-Based Checklist for Reporting of Survey Studies (CROSS) (2021; 2161 citations)</x:v>
      </x:c>
      <x:c r="S20" s="53" t="str">
        <x:v>https://api.openalex.org/works?filter=authorships.institutions.id%3AI129604602%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0" s="53" t="str">
        <x:v>https://api.openalex.org/institutions?search=The+University+of+Sydney&amp;per_page=5&amp;select=id%2Cror%2Cdisplay_name%2Ccountry_code%2Ctype%2Chomepage_url%2Cworks_count%2Ccited_by_count%2Csummary_stats%2Cdisplay_name_alternatives&amp;mailto=busa649%40example.com</x:v>
      </x:c>
      <x:c r="U20" s="21"/>
    </x:row>
    <x:row r="21" ht="36" customHeight="1">
      <x:c r="A21" s="58" t="n">
        <x:v>17</x:v>
      </x:c>
      <x:c r="B21" s="51" t="str">
        <x:v>Australian National University (ANU)</x:v>
      </x:c>
      <x:c r="C21" s="51" t="str">
        <x:v>Australia</x:v>
      </x:c>
      <x:c r="D21" s="51" t="str">
        <x:v>Collected</x:v>
      </x:c>
      <x:c r="E21" s="51" t="str">
        <x:v>Australian National University</x:v>
      </x:c>
      <x:c r="F21" s="51" t="str">
        <x:v>Verified</x:v>
      </x:c>
      <x:c r="G21" s="51" t="n">
        <x:v>1</x:v>
      </x:c>
      <x:c r="H21" s="51" t="str">
        <x:v>AU</x:v>
      </x:c>
      <x:c r="I21" s="51" t="str">
        <x:v>education</x:v>
      </x:c>
      <x:c r="J21" s="51" t="str">
        <x:v>https://ror.org/019wvm592</x:v>
      </x:c>
      <x:c r="K21" s="51" t="str">
        <x:v>https://openalex.org/I118347636</x:v>
      </x:c>
      <x:c r="L21" s="51" t="n">
        <x:v>192747</x:v>
      </x:c>
      <x:c r="M21" s="51" t="n">
        <x:v>14656752</x:v>
      </x:c>
      <x:c r="N21" s="51" t="n">
        <x:v>1070</x:v>
      </x:c>
      <x:c r="O21" s="51" t="n">
        <x:v>4.353211618698344</x:v>
      </x:c>
      <x:c r="P21" s="51" t="n">
        <x:v>10091</x:v>
      </x:c>
      <x:c r="Q21" s="51" t="n">
        <x:v>28831</x:v>
      </x:c>
      <x:c r="R21" s="51" t="str">
        <x:v>The Astropy Project: Sustaining and Growing a Community-oriented Open-source Project and the Latest Major Release (v5.0) of the Core Package (2022; 4749 citations)</x:v>
      </x:c>
      <x:c r="S21" s="54" t="str">
        <x:v>https://api.openalex.org/works?filter=authorships.institutions.id%3AI118347636%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1" s="54" t="str">
        <x:v>https://api.openalex.org/institutions?search=Australian+National+University&amp;per_page=5&amp;select=id%2Cror%2Cdisplay_name%2Ccountry_code%2Ctype%2Chomepage_url%2Cworks_count%2Ccited_by_count%2Csummary_stats%2Cdisplay_name_alternatives&amp;mailto=busa649%40example.com</x:v>
      </x:c>
      <x:c r="U21" s="51"/>
    </x:row>
    <x:row r="22" ht="36" customHeight="1">
      <x:c r="A22" s="57" t="n">
        <x:v>18</x:v>
      </x:c>
      <x:c r="B22" s="21" t="str">
        <x:v>King's College London</x:v>
      </x:c>
      <x:c r="C22" s="21" t="str">
        <x:v>United Kingdom</x:v>
      </x:c>
      <x:c r="D22" s="21" t="str">
        <x:v>Collected</x:v>
      </x:c>
      <x:c r="E22" s="21" t="str">
        <x:v>King's College London</x:v>
      </x:c>
      <x:c r="F22" s="21" t="str">
        <x:v>Verified</x:v>
      </x:c>
      <x:c r="G22" s="21" t="n">
        <x:v>1</x:v>
      </x:c>
      <x:c r="H22" s="21" t="str">
        <x:v>GB</x:v>
      </x:c>
      <x:c r="I22" s="21" t="str">
        <x:v>education</x:v>
      </x:c>
      <x:c r="J22" s="21" t="str">
        <x:v>https://ror.org/0220mzb33</x:v>
      </x:c>
      <x:c r="K22" s="21" t="str">
        <x:v>https://openalex.org/I183935753</x:v>
      </x:c>
      <x:c r="L22" s="21" t="n">
        <x:v>260530</x:v>
      </x:c>
      <x:c r="M22" s="21" t="n">
        <x:v>22819015</x:v>
      </x:c>
      <x:c r="N22" s="21" t="n">
        <x:v>1242</x:v>
      </x:c>
      <x:c r="O22" s="21" t="n">
        <x:v>3.8004042500297244</x:v>
      </x:c>
      <x:c r="P22" s="21" t="n">
        <x:v>17300</x:v>
      </x:c>
      <x:c r="Q22" s="21" t="n">
        <x:v>46130</x:v>
      </x:c>
      <x:c r="R22" s="21" t="str">
        <x:v>Cancer statistics for the year 2020: An overview (2021; 5720 citations)</x:v>
      </x:c>
      <x:c r="S22" s="53" t="str">
        <x:v>https://api.openalex.org/works?filter=authorships.institutions.id%3AI183935753%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2" s="53" t="str">
        <x:v>https://api.openalex.org/institutions?search=King%27s+College+London&amp;per_page=5&amp;select=id%2Cror%2Cdisplay_name%2Ccountry_code%2Ctype%2Chomepage_url%2Cworks_count%2Ccited_by_count%2Csummary_stats%2Cdisplay_name_alternatives&amp;mailto=busa649%40example.com</x:v>
      </x:c>
      <x:c r="U22" s="21"/>
    </x:row>
    <x:row r="23" ht="36" customHeight="1">
      <x:c r="A23" s="58" t="n">
        <x:v>19</x:v>
      </x:c>
      <x:c r="B23" s="51" t="str">
        <x:v>University of Bristol</x:v>
      </x:c>
      <x:c r="C23" s="51" t="str">
        <x:v>United Kingdom</x:v>
      </x:c>
      <x:c r="D23" s="51" t="str">
        <x:v>Collected</x:v>
      </x:c>
      <x:c r="E23" s="51" t="str">
        <x:v>University of Bristol</x:v>
      </x:c>
      <x:c r="F23" s="51" t="str">
        <x:v>Verified</x:v>
      </x:c>
      <x:c r="G23" s="51" t="n">
        <x:v>1</x:v>
      </x:c>
      <x:c r="H23" s="51" t="str">
        <x:v>GB</x:v>
      </x:c>
      <x:c r="I23" s="51" t="str">
        <x:v>education</x:v>
      </x:c>
      <x:c r="J23" s="51" t="str">
        <x:v>https://ror.org/0524sp257</x:v>
      </x:c>
      <x:c r="K23" s="51" t="str">
        <x:v>https://openalex.org/I36234482</x:v>
      </x:c>
      <x:c r="L23" s="51" t="n">
        <x:v>215481</x:v>
      </x:c>
      <x:c r="M23" s="51" t="n">
        <x:v>21630291</x:v>
      </x:c>
      <x:c r="N23" s="51" t="n">
        <x:v>1175</x:v>
      </x:c>
      <x:c r="O23" s="51" t="n">
        <x:v>3.236909050805088</x:v>
      </x:c>
      <x:c r="P23" s="51" t="n">
        <x:v>13276</x:v>
      </x:c>
      <x:c r="Q23" s="51" t="n">
        <x:v>50018</x:v>
      </x:c>
      <x:c r="R23" s="51" t="str">
        <x:v>PRISMA 2020 explanation and elaboration: updated guidance and exemplars for reporting systematic reviews (2021; 11186 citations)</x:v>
      </x:c>
      <x:c r="S23" s="54" t="str">
        <x:v>https://api.openalex.org/works?filter=authorships.institutions.id%3AI36234482%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3" s="54" t="str">
        <x:v>https://api.openalex.org/institutions?search=University+of+Bristol&amp;per_page=5&amp;select=id%2Cror%2Cdisplay_name%2Ccountry_code%2Ctype%2Chomepage_url%2Cworks_count%2Ccited_by_count%2Csummary_stats%2Cdisplay_name_alternatives&amp;mailto=busa649%40example.com</x:v>
      </x:c>
      <x:c r="U23" s="51"/>
    </x:row>
    <x:row r="24" ht="36" customHeight="1">
      <x:c r="A24" s="57" t="n">
        <x:v>20</x:v>
      </x:c>
      <x:c r="B24" s="21" t="str">
        <x:v>New York University (NYU)</x:v>
      </x:c>
      <x:c r="C24" s="21" t="str">
        <x:v>United States</x:v>
      </x:c>
      <x:c r="D24" s="21" t="str">
        <x:v>Collected</x:v>
      </x:c>
      <x:c r="E24" s="21" t="str">
        <x:v>New York University</x:v>
      </x:c>
      <x:c r="F24" s="21" t="str">
        <x:v>Verified</x:v>
      </x:c>
      <x:c r="G24" s="21" t="n">
        <x:v>1</x:v>
      </x:c>
      <x:c r="H24" s="21" t="str">
        <x:v>US</x:v>
      </x:c>
      <x:c r="I24" s="21" t="str">
        <x:v>education</x:v>
      </x:c>
      <x:c r="J24" s="21" t="str">
        <x:v>https://ror.org/0190ak572</x:v>
      </x:c>
      <x:c r="K24" s="21" t="str">
        <x:v>https://openalex.org/I57206974</x:v>
      </x:c>
      <x:c r="L24" s="21" t="n">
        <x:v>276763</x:v>
      </x:c>
      <x:c r="M24" s="21" t="n">
        <x:v>26848678</x:v>
      </x:c>
      <x:c r="N24" s="21" t="n">
        <x:v>1382</x:v>
      </x:c>
      <x:c r="O24" s="21" t="n">
        <x:v>3.86483404214878</x:v>
      </x:c>
      <x:c r="P24" s="21" t="n">
        <x:v>11658</x:v>
      </x:c>
      <x:c r="Q24" s="21" t="n">
        <x:v>30128</x:v>
      </x:c>
      <x:c r="R24" s="21" t="str">
        <x:v>Surviving sepsis campaign: international guidelines for management of sepsis and septic shock 2021 (2021; 5104 citations)</x:v>
      </x:c>
      <x:c r="S24" s="53" t="str">
        <x:v>https://api.openalex.org/works?filter=authorships.institutions.id%3AI57206974%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4" s="53" t="str">
        <x:v>https://api.openalex.org/institutions?search=New+York+University&amp;per_page=5&amp;select=id%2Cror%2Cdisplay_name%2Ccountry_code%2Ctype%2Chomepage_url%2Cworks_count%2Ccited_by_count%2Csummary_stats%2Cdisplay_name_alternatives&amp;mailto=busa649%40example.com</x:v>
      </x:c>
      <x:c r="U24" s="21"/>
    </x:row>
    <x:row r="25" ht="36" customHeight="1">
      <x:c r="A25" s="58" t="n">
        <x:v>21</x:v>
      </x:c>
      <x:c r="B25" s="51" t="str">
        <x:v>Pennsylvania State University</x:v>
      </x:c>
      <x:c r="C25" s="51" t="str">
        <x:v>United States</x:v>
      </x:c>
      <x:c r="D25" s="51" t="str">
        <x:v>Collected</x:v>
      </x:c>
      <x:c r="E25" s="51" t="str">
        <x:v>Pennsylvania State University</x:v>
      </x:c>
      <x:c r="F25" s="51" t="str">
        <x:v>Verified</x:v>
      </x:c>
      <x:c r="G25" s="51" t="n">
        <x:v>1</x:v>
      </x:c>
      <x:c r="H25" s="51" t="str">
        <x:v>US</x:v>
      </x:c>
      <x:c r="I25" s="51" t="str">
        <x:v>education</x:v>
      </x:c>
      <x:c r="J25" s="51" t="str">
        <x:v>https://ror.org/04p491231</x:v>
      </x:c>
      <x:c r="K25" s="51" t="str">
        <x:v>https://openalex.org/I130769515</x:v>
      </x:c>
      <x:c r="L25" s="51" t="n">
        <x:v>335116</x:v>
      </x:c>
      <x:c r="M25" s="51" t="n">
        <x:v>27586539</x:v>
      </x:c>
      <x:c r="N25" s="51" t="n">
        <x:v>1262</x:v>
      </x:c>
      <x:c r="O25" s="51" t="n">
        <x:v>4.082826031038326</x:v>
      </x:c>
      <x:c r="P25" s="51" t="n">
        <x:v>14142</x:v>
      </x:c>
      <x:c r="Q25" s="51" t="n">
        <x:v>25764</x:v>
      </x:c>
      <x:c r="R25" s="51" t="str">
        <x:v>Towards complete and error-free genome assemblies of all vertebrate species (2021; 3155 citations)</x:v>
      </x:c>
      <x:c r="S25" s="54" t="str">
        <x:v>https://api.openalex.org/works?filter=authorships.institutions.id%3AI130769515%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5" s="54" t="str">
        <x:v>https://api.openalex.org/institutions?search=Pennsylvania+State+University&amp;per_page=5&amp;select=id%2Cror%2Cdisplay_name%2Ccountry_code%2Ctype%2Chomepage_url%2Cworks_count%2Ccited_by_count%2Csummary_stats%2Cdisplay_name_alternatives&amp;mailto=busa649%40example.com</x:v>
      </x:c>
      <x:c r="U25" s="51"/>
    </x:row>
    <x:row r="26" ht="36" customHeight="1">
      <x:c r="A26" s="57" t="n">
        <x:v>22</x:v>
      </x:c>
      <x:c r="B26" s="21" t="str">
        <x:v>KU Leuven</x:v>
      </x:c>
      <x:c r="C26" s="21" t="str">
        <x:v>Belgium</x:v>
      </x:c>
      <x:c r="D26" s="21" t="str">
        <x:v>Collected</x:v>
      </x:c>
      <x:c r="E26" s="21" t="str">
        <x:v>KU Leuven</x:v>
      </x:c>
      <x:c r="F26" s="21" t="str">
        <x:v>Verified</x:v>
      </x:c>
      <x:c r="G26" s="21" t="n">
        <x:v>1</x:v>
      </x:c>
      <x:c r="H26" s="21" t="str">
        <x:v>BE</x:v>
      </x:c>
      <x:c r="I26" s="21" t="str">
        <x:v>education</x:v>
      </x:c>
      <x:c r="J26" s="21" t="str">
        <x:v>https://ror.org/05f950310</x:v>
      </x:c>
      <x:c r="K26" s="21" t="str">
        <x:v>https://openalex.org/I99464096</x:v>
      </x:c>
      <x:c r="L26" s="21" t="n">
        <x:v>309364</x:v>
      </x:c>
      <x:c r="M26" s="21" t="n">
        <x:v>29046987</x:v>
      </x:c>
      <x:c r="N26" s="21" t="n">
        <x:v>1309</x:v>
      </x:c>
      <x:c r="O26" s="21" t="n">
        <x:v>3.787423467687415</x:v>
      </x:c>
      <x:c r="P26" s="21" t="n">
        <x:v>16786</x:v>
      </x:c>
      <x:c r="Q26" s="21" t="n">
        <x:v>32958</x:v>
      </x:c>
      <x:c r="R26" s="21" t="str">
        <x:v>2022 ESC/ERS Guidelines for the diagnosis and treatment of pulmonary hypertension (2022; 2110 citations)</x:v>
      </x:c>
      <x:c r="S26" s="53" t="str">
        <x:v>https://api.openalex.org/works?filter=authorships.institutions.id%3AI99464096%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6" s="53" t="str">
        <x:v>https://api.openalex.org/institutions?search=KU+Leuven&amp;per_page=5&amp;select=id%2Cror%2Cdisplay_name%2Ccountry_code%2Ctype%2Chomepage_url%2Cworks_count%2Ccited_by_count%2Csummary_stats%2Cdisplay_name_alternatives&amp;mailto=busa649%40example.com</x:v>
      </x:c>
      <x:c r="U26" s="21"/>
    </x:row>
    <x:row r="27" ht="36" customHeight="1">
      <x:c r="A27" s="58" t="n">
        <x:v>23</x:v>
      </x:c>
      <x:c r="B27" s="51" t="str">
        <x:v>University of Helsinki</x:v>
      </x:c>
      <x:c r="C27" s="51" t="str">
        <x:v>Finland</x:v>
      </x:c>
      <x:c r="D27" s="51" t="str">
        <x:v>Collected</x:v>
      </x:c>
      <x:c r="E27" s="51" t="str">
        <x:v>University of Helsinki</x:v>
      </x:c>
      <x:c r="F27" s="51" t="str">
        <x:v>Verified</x:v>
      </x:c>
      <x:c r="G27" s="51" t="n">
        <x:v>1</x:v>
      </x:c>
      <x:c r="H27" s="51" t="str">
        <x:v>FI</x:v>
      </x:c>
      <x:c r="I27" s="51" t="str">
        <x:v>education</x:v>
      </x:c>
      <x:c r="J27" s="51" t="str">
        <x:v>https://ror.org/040af2s02</x:v>
      </x:c>
      <x:c r="K27" s="51" t="str">
        <x:v>https://openalex.org/I133731052</x:v>
      </x:c>
      <x:c r="L27" s="51" t="n">
        <x:v>221579</x:v>
      </x:c>
      <x:c r="M27" s="51" t="n">
        <x:v>21675313</x:v>
      </x:c>
      <x:c r="N27" s="51" t="n">
        <x:v>1168</x:v>
      </x:c>
      <x:c r="O27" s="51" t="n">
        <x:v>3.0656081006171547</x:v>
      </x:c>
      <x:c r="P27" s="51" t="n">
        <x:v>15740</x:v>
      </x:c>
      <x:c r="Q27" s="51" t="n">
        <x:v>30942</x:v>
      </x:c>
      <x:c r="R27" s="51" t="str">
        <x:v>Dementia prevention, intervention, and care: 2024 report of the Lancet standing Commission (2024; 3130 citations)</x:v>
      </x:c>
      <x:c r="S27" s="54" t="str">
        <x:v>https://api.openalex.org/works?filter=authorships.institutions.id%3AI133731052%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7" s="54" t="str">
        <x:v>https://api.openalex.org/institutions?search=University+of+Helsinki&amp;per_page=5&amp;select=id%2Cror%2Cdisplay_name%2Ccountry_code%2Ctype%2Chomepage_url%2Cworks_count%2Ccited_by_count%2Csummary_stats%2Cdisplay_name_alternatives&amp;mailto=busa649%40example.com</x:v>
      </x:c>
      <x:c r="U27" s="51"/>
    </x:row>
    <x:row r="28" ht="36" customHeight="1">
      <x:c r="A28" s="57" t="n">
        <x:v>24</x:v>
      </x:c>
      <x:c r="B28" s="21" t="str">
        <x:v>Durham University</x:v>
      </x:c>
      <x:c r="C28" s="21" t="str">
        <x:v>United Kingdom</x:v>
      </x:c>
      <x:c r="D28" s="21" t="str">
        <x:v>Collected</x:v>
      </x:c>
      <x:c r="E28" s="21" t="str">
        <x:v>Durham University</x:v>
      </x:c>
      <x:c r="F28" s="21" t="str">
        <x:v>Verified</x:v>
      </x:c>
      <x:c r="G28" s="21" t="n">
        <x:v>1</x:v>
      </x:c>
      <x:c r="H28" s="21" t="str">
        <x:v>GB</x:v>
      </x:c>
      <x:c r="I28" s="21" t="str">
        <x:v>education</x:v>
      </x:c>
      <x:c r="J28" s="21" t="str">
        <x:v>https://ror.org/01v29qb04</x:v>
      </x:c>
      <x:c r="K28" s="21" t="str">
        <x:v>https://openalex.org/I190082696</x:v>
      </x:c>
      <x:c r="L28" s="21" t="n">
        <x:v>110496</x:v>
      </x:c>
      <x:c r="M28" s="21" t="n">
        <x:v>6959426</x:v>
      </x:c>
      <x:c r="N28" s="21" t="n">
        <x:v>731</x:v>
      </x:c>
      <x:c r="O28" s="21" t="n">
        <x:v>5.051097266133532</x:v>
      </x:c>
      <x:c r="P28" s="21" t="n">
        <x:v>6481</x:v>
      </x:c>
      <x:c r="Q28" s="21" t="n">
        <x:v>31001</x:v>
      </x:c>
      <x:c r="R28" s="21" t="str">
        <x:v>A Multi-Modal Distributed Real-Time IoT System for Urban Traffic Control (Invited Paper) (2024; 14340 citations)</x:v>
      </x:c>
      <x:c r="S28" s="53" t="str">
        <x:v>https://api.openalex.org/works?filter=authorships.institutions.id%3AI190082696%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8" s="53" t="str">
        <x:v>https://api.openalex.org/institutions?search=Durham+University&amp;per_page=5&amp;select=id%2Cror%2Cdisplay_name%2Ccountry_code%2Ctype%2Chomepage_url%2Cworks_count%2Ccited_by_count%2Csummary_stats%2Cdisplay_name_alternatives&amp;mailto=busa649%40example.com</x:v>
      </x:c>
      <x:c r="U28" s="21"/>
    </x:row>
    <x:row r="29" ht="36" customHeight="1">
      <x:c r="A29" s="58" t="n">
        <x:v>25</x:v>
      </x:c>
      <x:c r="B29" s="51" t="str">
        <x:v>University of Leeds</x:v>
      </x:c>
      <x:c r="C29" s="51" t="str">
        <x:v>United Kingdom</x:v>
      </x:c>
      <x:c r="D29" s="51" t="str">
        <x:v>Collected</x:v>
      </x:c>
      <x:c r="E29" s="51" t="str">
        <x:v>University of Leeds</x:v>
      </x:c>
      <x:c r="F29" s="51" t="str">
        <x:v>Verified</x:v>
      </x:c>
      <x:c r="G29" s="51" t="n">
        <x:v>1</x:v>
      </x:c>
      <x:c r="H29" s="51" t="str">
        <x:v>GB</x:v>
      </x:c>
      <x:c r="I29" s="51" t="str">
        <x:v>education</x:v>
      </x:c>
      <x:c r="J29" s="51" t="str">
        <x:v>https://ror.org/024mrxd33</x:v>
      </x:c>
      <x:c r="K29" s="51" t="str">
        <x:v>https://openalex.org/I130828816</x:v>
      </x:c>
      <x:c r="L29" s="51" t="n">
        <x:v>195765</x:v>
      </x:c>
      <x:c r="M29" s="51" t="n">
        <x:v>13854929</x:v>
      </x:c>
      <x:c r="N29" s="51" t="n">
        <x:v>938</x:v>
      </x:c>
      <x:c r="O29" s="51" t="n">
        <x:v>3.2439456913272373</x:v>
      </x:c>
      <x:c r="P29" s="51" t="n">
        <x:v>13763</x:v>
      </x:c>
      <x:c r="Q29" s="51" t="n">
        <x:v>23617</x:v>
      </x:c>
      <x:c r="R29" s="51" t="str">
        <x:v>The 2022 report of the Lancet Countdown on health and climate change: health at the mercy of fossil fuels (2022; 1627 citations)</x:v>
      </x:c>
      <x:c r="S29" s="54" t="str">
        <x:v>https://api.openalex.org/works?filter=authorships.institutions.id%3AI130828816%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9" s="54" t="str">
        <x:v>https://api.openalex.org/institutions?search=University+of+Leeds&amp;per_page=5&amp;select=id%2Cror%2Cdisplay_name%2Ccountry_code%2Ctype%2Chomepage_url%2Cworks_count%2Ccited_by_count%2Csummary_stats%2Cdisplay_name_alternatives&amp;mailto=busa649%40example.com</x:v>
      </x:c>
      <x:c r="U29" s="51"/>
    </x:row>
    <x:row r="30" ht="36" customHeight="1">
      <x:c r="A30" s="57" t="n">
        <x:v>26</x:v>
      </x:c>
      <x:c r="B30" s="21" t="str">
        <x:v>Western University</x:v>
      </x:c>
      <x:c r="C30" s="21" t="str">
        <x:v>Canada</x:v>
      </x:c>
      <x:c r="D30" s="21" t="str">
        <x:v>Collected</x:v>
      </x:c>
      <x:c r="E30" s="21" t="str">
        <x:v>Western University</x:v>
      </x:c>
      <x:c r="F30" s="21" t="str">
        <x:v>Verified</x:v>
      </x:c>
      <x:c r="G30" s="21" t="n">
        <x:v>1</x:v>
      </x:c>
      <x:c r="H30" s="21" t="str">
        <x:v>CA</x:v>
      </x:c>
      <x:c r="I30" s="21" t="str">
        <x:v>education</x:v>
      </x:c>
      <x:c r="J30" s="21" t="str">
        <x:v>https://ror.org/02grkyz14</x:v>
      </x:c>
      <x:c r="K30" s="21" t="str">
        <x:v>https://openalex.org/I125749732</x:v>
      </x:c>
      <x:c r="L30" s="21" t="n">
        <x:v>170934</x:v>
      </x:c>
      <x:c r="M30" s="21" t="n">
        <x:v>12351882</x:v>
      </x:c>
      <x:c r="N30" s="21" t="n">
        <x:v>837</x:v>
      </x:c>
      <x:c r="O30" s="21" t="n">
        <x:v>3.6689402827768607</x:v>
      </x:c>
      <x:c r="P30" s="21" t="n">
        <x:v>8457</x:v>
      </x:c>
      <x:c r="Q30" s="21" t="n">
        <x:v>20687</x:v>
      </x:c>
      <x:c r="R30" s="21" t="str">
        <x:v>Global burden of liver disease: 2023 update (2023; 2046 citations)</x:v>
      </x:c>
      <x:c r="S30" s="53" t="str">
        <x:v>https://api.openalex.org/works?filter=authorships.institutions.id%3AI125749732%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0" s="53" t="str">
        <x:v>https://api.openalex.org/institutions?search=Western+University&amp;per_page=5&amp;select=id%2Cror%2Cdisplay_name%2Ccountry_code%2Ctype%2Chomepage_url%2Cworks_count%2Ccited_by_count%2Csummary_stats%2Cdisplay_name_alternatives&amp;mailto=busa649%40example.com</x:v>
      </x:c>
      <x:c r="U30" s="21"/>
    </x:row>
    <x:row r="31" ht="36" customHeight="1">
      <x:c r="A31" s="58" t="n">
        <x:v>27</x:v>
      </x:c>
      <x:c r="B31" s="51" t="str">
        <x:v>University of Glasgow</x:v>
      </x:c>
      <x:c r="C31" s="51" t="str">
        <x:v>United Kingdom</x:v>
      </x:c>
      <x:c r="D31" s="51" t="str">
        <x:v>Collected</x:v>
      </x:c>
      <x:c r="E31" s="51" t="str">
        <x:v>University of Glasgow</x:v>
      </x:c>
      <x:c r="F31" s="51" t="str">
        <x:v>Verified</x:v>
      </x:c>
      <x:c r="G31" s="51" t="n">
        <x:v>1</x:v>
      </x:c>
      <x:c r="H31" s="51" t="str">
        <x:v>GB</x:v>
      </x:c>
      <x:c r="I31" s="51" t="str">
        <x:v>education</x:v>
      </x:c>
      <x:c r="J31" s="51" t="str">
        <x:v>https://ror.org/00vtgdb53</x:v>
      </x:c>
      <x:c r="K31" s="51" t="str">
        <x:v>https://openalex.org/I7882870</x:v>
      </x:c>
      <x:c r="L31" s="51" t="n">
        <x:v>193634</x:v>
      </x:c>
      <x:c r="M31" s="51" t="n">
        <x:v>23342341</x:v>
      </x:c>
      <x:c r="N31" s="51" t="n">
        <x:v>1458</x:v>
      </x:c>
      <x:c r="O31" s="51" t="n">
        <x:v>4.665662276341949</x:v>
      </x:c>
      <x:c r="P31" s="51" t="n">
        <x:v>12888</x:v>
      </x:c>
      <x:c r="Q31" s="51" t="n">
        <x:v>48132</x:v>
      </x:c>
      <x:c r="R31" s="51" t="str">
        <x:v>Twelve years of SAMtools and BCFtools (2021; 16205 citations)</x:v>
      </x:c>
      <x:c r="S31" s="54" t="str">
        <x:v>https://api.openalex.org/works?filter=authorships.institutions.id%3AI7882870%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1" s="54" t="str">
        <x:v>https://api.openalex.org/institutions?search=University+of+Glasgow&amp;per_page=5&amp;select=id%2Cror%2Cdisplay_name%2Ccountry_code%2Ctype%2Chomepage_url%2Cworks_count%2Ccited_by_count%2Csummary_stats%2Cdisplay_name_alternatives&amp;mailto=busa649%40example.com</x:v>
      </x:c>
      <x:c r="U31" s="51"/>
    </x:row>
    <x:row r="32" ht="36" customHeight="1">
      <x:c r="A32" s="57" t="n">
        <x:v>28</x:v>
      </x:c>
      <x:c r="B32" s="21" t="str">
        <x:v>The University of Auckland</x:v>
      </x:c>
      <x:c r="C32" s="21" t="str">
        <x:v>New Zealand</x:v>
      </x:c>
      <x:c r="D32" s="21" t="str">
        <x:v>No reliable match</x:v>
      </x:c>
      <x:c r="E32" s="21"/>
      <x:c r="F32" s="21"/>
      <x:c r="G32" s="21"/>
      <x:c r="H32" s="21"/>
      <x:c r="I32" s="21"/>
      <x:c r="J32" s="21"/>
      <x:c r="K32" s="21"/>
      <x:c r="L32" s="21"/>
      <x:c r="M32" s="21"/>
      <x:c r="N32" s="21"/>
      <x:c r="O32" s="21"/>
      <x:c r="P32" s="21"/>
      <x:c r="Q32" s="21"/>
      <x:c r="R32" s="21"/>
      <x:c r="S32" s="53"/>
      <x:c r="T32" s="53" t="str">
        <x:v>https://api.openalex.org/institutions?search=The+University+of+Auckland&amp;per_page=5&amp;select=id%2Cror%2Cdisplay_name%2Ccountry_code%2Ctype%2Chomepage_url%2Cworks_count%2Ccited_by_count%2Csummary_stats%2Cdisplay_name_alternatives&amp;mailto=busa649%40example.com</x:v>
      </x:c>
      <x:c r="U32" s="21" t="str">
        <x:v>No OpenAlex search result</x:v>
      </x:c>
    </x:row>
    <x:row r="33" ht="36" customHeight="1">
      <x:c r="A33" s="58" t="n">
        <x:v>29</x:v>
      </x:c>
      <x:c r="B33" s="51" t="str">
        <x:v>Trinity College Dublin, The University of Dublin</x:v>
      </x:c>
      <x:c r="C33" s="51" t="str">
        <x:v>Ireland</x:v>
      </x:c>
      <x:c r="D33" s="51" t="str">
        <x:v>Collected</x:v>
      </x:c>
      <x:c r="E33" s="51" t="str">
        <x:v>Trinity College Dublin</x:v>
      </x:c>
      <x:c r="F33" s="51" t="str">
        <x:v>Verified</x:v>
      </x:c>
      <x:c r="G33" s="51" t="n">
        <x:v>1</x:v>
      </x:c>
      <x:c r="H33" s="51" t="str">
        <x:v>IE</x:v>
      </x:c>
      <x:c r="I33" s="51" t="str">
        <x:v>education</x:v>
      </x:c>
      <x:c r="J33" s="51" t="str">
        <x:v>https://ror.org/02tyrky19</x:v>
      </x:c>
      <x:c r="K33" s="51" t="str">
        <x:v>https://openalex.org/I205274468</x:v>
      </x:c>
      <x:c r="L33" s="51" t="n">
        <x:v>96010</x:v>
      </x:c>
      <x:c r="M33" s="51" t="n">
        <x:v>7854805</x:v>
      </x:c>
      <x:c r="N33" s="51" t="n">
        <x:v>856</x:v>
      </x:c>
      <x:c r="O33" s="51" t="n">
        <x:v>3.9828273022461755</x:v>
      </x:c>
      <x:c r="P33" s="51" t="n">
        <x:v>7031</x:v>
      </x:c>
      <x:c r="Q33" s="51" t="n">
        <x:v>31034</x:v>
      </x:c>
      <x:c r="R33" s="51" t="str">
        <x:v>Natural products in drug discovery: advances and opportunities (2021; 5097 citations)</x:v>
      </x:c>
      <x:c r="S33" s="54" t="str">
        <x:v>https://api.openalex.org/works?filter=authorships.institutions.id%3AI205274468%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3" s="54" t="str">
        <x:v>https://api.openalex.org/institutions?search=Trinity+College+Dublin%2C+The+University+of+Dublin&amp;per_page=5&amp;select=id%2Cror%2Cdisplay_name%2Ccountry_code%2Ctype%2Chomepage_url%2Cworks_count%2Ccited_by_count%2Csummary_stats%2Cdisplay_name_alternatives&amp;mailto=busa649%40example.com</x:v>
      </x:c>
      <x:c r="U33" s="51"/>
    </x:row>
    <x:row r="34" ht="36" customHeight="1">
      <x:c r="A34" s="57" t="n">
        <x:v>30</x:v>
      </x:c>
      <x:c r="B34" s="21" t="str">
        <x:v>University of Pennsylvania</x:v>
      </x:c>
      <x:c r="C34" s="21" t="str">
        <x:v>United States</x:v>
      </x:c>
      <x:c r="D34" s="21" t="str">
        <x:v>Collected</x:v>
      </x:c>
      <x:c r="E34" s="21" t="str">
        <x:v>University of Pennsylvania</x:v>
      </x:c>
      <x:c r="F34" s="21" t="str">
        <x:v>Verified</x:v>
      </x:c>
      <x:c r="G34" s="21" t="n">
        <x:v>1</x:v>
      </x:c>
      <x:c r="H34" s="21" t="str">
        <x:v>US</x:v>
      </x:c>
      <x:c r="I34" s="21" t="str">
        <x:v>education</x:v>
      </x:c>
      <x:c r="J34" s="21" t="str">
        <x:v>https://ror.org/00b30xv10</x:v>
      </x:c>
      <x:c r="K34" s="21" t="str">
        <x:v>https://openalex.org/I79576946</x:v>
      </x:c>
      <x:c r="L34" s="21" t="n">
        <x:v>381274</x:v>
      </x:c>
      <x:c r="M34" s="21" t="n">
        <x:v>54895634</x:v>
      </x:c>
      <x:c r="N34" s="21" t="n">
        <x:v>1747</x:v>
      </x:c>
      <x:c r="O34" s="21" t="n">
        <x:v>6.083752294994767</x:v>
      </x:c>
      <x:c r="P34" s="21" t="n">
        <x:v>16180</x:v>
      </x:c>
      <x:c r="Q34" s="21" t="n">
        <x:v>57986</x:v>
      </x:c>
      <x:c r="R34" s="21" t="str">
        <x:v>Physics-informed machine learning (2021; 6919 citations)</x:v>
      </x:c>
      <x:c r="S34" s="53" t="str">
        <x:v>https://api.openalex.org/works?filter=authorships.institutions.id%3AI79576946%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4" s="53" t="str">
        <x:v>https://api.openalex.org/institutions?search=University+of+Pennsylvania&amp;per_page=5&amp;select=id%2Cror%2Cdisplay_name%2Ccountry_code%2Ctype%2Chomepage_url%2Cworks_count%2Ccited_by_count%2Csummary_stats%2Cdisplay_name_alternatives&amp;mailto=busa649%40example.com</x:v>
      </x:c>
      <x:c r="U34" s="21"/>
    </x:row>
    <x:row r="35" ht="36" customHeight="1">
      <x:c r="A35" s="58" t="n">
        <x:v>49</x:v>
      </x:c>
      <x:c r="B35" s="51" t="str">
        <x:v>University of Exeter</x:v>
      </x:c>
      <x:c r="C35" s="51" t="str">
        <x:v>United Kingdom</x:v>
      </x:c>
      <x:c r="D35" s="51" t="str">
        <x:v>Collected</x:v>
      </x:c>
      <x:c r="E35" s="51" t="str">
        <x:v>University of Exeter</x:v>
      </x:c>
      <x:c r="F35" s="51" t="str">
        <x:v>Verified</x:v>
      </x:c>
      <x:c r="G35" s="51" t="n">
        <x:v>1</x:v>
      </x:c>
      <x:c r="H35" s="51" t="str">
        <x:v>GB</x:v>
      </x:c>
      <x:c r="I35" s="51" t="str">
        <x:v>education</x:v>
      </x:c>
      <x:c r="J35" s="51" t="str">
        <x:v>https://ror.org/03yghzc09</x:v>
      </x:c>
      <x:c r="K35" s="51" t="str">
        <x:v>https://openalex.org/I23923803</x:v>
      </x:c>
      <x:c r="L35" s="51" t="n">
        <x:v>117984</x:v>
      </x:c>
      <x:c r="M35" s="51" t="n">
        <x:v>7480551</x:v>
      </x:c>
      <x:c r="N35" s="51" t="n">
        <x:v>800</x:v>
      </x:c>
      <x:c r="O35" s="51" t="n">
        <x:v>4.059573361082206</x:v>
      </x:c>
      <x:c r="P35" s="51" t="n">
        <x:v>13013</x:v>
      </x:c>
      <x:c r="Q35" s="51" t="n">
        <x:v>35199</x:v>
      </x:c>
      <x:c r="R35" s="51" t="str">
        <x:v>The Astropy Project: Sustaining and Growing a Community-oriented Open-source Project and the Latest Major Release (v5.0) of the Core Package (2022; 4749 citations)</x:v>
      </x:c>
      <x:c r="S35" s="54" t="str">
        <x:v>https://api.openalex.org/works?filter=authorships.institutions.id%3AI23923803%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5" s="54" t="str">
        <x:v>https://api.openalex.org/institutions?search=University+of+Exeter&amp;per_page=5&amp;select=id%2Cror%2Cdisplay_name%2Ccountry_code%2Ctype%2Chomepage_url%2Cworks_count%2Ccited_by_count%2Csummary_stats%2Cdisplay_name_alternatives&amp;mailto=busa649%40example.com</x:v>
      </x:c>
      <x:c r="U35" s="51"/>
    </x:row>
    <x:row r="36" ht="36" customHeight="1">
      <x:c r="A36" s="57" t="n">
        <x:v>52</x:v>
      </x:c>
      <x:c r="B36" s="21" t="str">
        <x:v>Griffith University</x:v>
      </x:c>
      <x:c r="C36" s="21" t="str">
        <x:v>Australia</x:v>
      </x:c>
      <x:c r="D36" s="21" t="str">
        <x:v>API quota reached</x:v>
      </x:c>
      <x:c r="E36" s="21"/>
      <x:c r="F36" s="21"/>
      <x:c r="G36" s="21"/>
      <x:c r="H36" s="21"/>
      <x:c r="I36" s="21"/>
      <x:c r="J36" s="21"/>
      <x:c r="K36" s="21"/>
      <x:c r="L36" s="21"/>
      <x:c r="M36" s="21"/>
      <x:c r="N36" s="21"/>
      <x:c r="O36" s="21"/>
      <x:c r="P36" s="21"/>
      <x:c r="Q36" s="21"/>
      <x:c r="R36" s="21"/>
      <x:c r="S36" s="53"/>
      <x:c r="T36" s="53"/>
      <x:c r="U36" s="21" t="str">
        <x:v>Collection error | HTTPError: HTTP Error 429: Too Many Requests</x:v>
      </x:c>
    </x:row>
    <x:row r="37" ht="36" customHeight="1">
      <x:c r="A37" s="58" t="n">
        <x:v>53</x:v>
      </x:c>
      <x:c r="B37" s="51" t="str">
        <x:v>Western Sydney University</x:v>
      </x:c>
      <x:c r="C37" s="51" t="str">
        <x:v>Australia</x:v>
      </x:c>
      <x:c r="D37" s="51" t="str">
        <x:v>API quota reached</x:v>
      </x:c>
      <x:c r="E37" s="51"/>
      <x:c r="F37" s="51"/>
      <x:c r="G37" s="51"/>
      <x:c r="H37" s="51"/>
      <x:c r="I37" s="51"/>
      <x:c r="J37" s="51"/>
      <x:c r="K37" s="51"/>
      <x:c r="L37" s="51"/>
      <x:c r="M37" s="51"/>
      <x:c r="N37" s="51"/>
      <x:c r="O37" s="51"/>
      <x:c r="P37" s="51"/>
      <x:c r="Q37" s="51"/>
      <x:c r="R37" s="51"/>
      <x:c r="S37" s="54"/>
      <x:c r="T37" s="54"/>
      <x:c r="U37" s="51" t="str">
        <x:v>Collection error | HTTPError: HTTP Error 429: Too Many Requests</x:v>
      </x:c>
    </x:row>
    <x:row r="38" ht="36" customHeight="1">
      <x:c r="A38" s="57" t="n">
        <x:v>54</x:v>
      </x:c>
      <x:c r="B38" s="21" t="str">
        <x:v>Queen's University</x:v>
      </x:c>
      <x:c r="C38" s="21" t="str">
        <x:v>Canada</x:v>
      </x:c>
      <x:c r="D38" s="21" t="str">
        <x:v>API quota reached</x:v>
      </x:c>
      <x:c r="E38" s="21"/>
      <x:c r="F38" s="21"/>
      <x:c r="G38" s="21"/>
      <x:c r="H38" s="21"/>
      <x:c r="I38" s="21"/>
      <x:c r="J38" s="21"/>
      <x:c r="K38" s="21"/>
      <x:c r="L38" s="21"/>
      <x:c r="M38" s="21"/>
      <x:c r="N38" s="21"/>
      <x:c r="O38" s="21"/>
      <x:c r="P38" s="21"/>
      <x:c r="Q38" s="21"/>
      <x:c r="R38" s="21"/>
      <x:c r="S38" s="53"/>
      <x:c r="T38" s="53"/>
      <x:c r="U38" s="21" t="str">
        <x:v>Collection error | HTTPError: HTTP Error 429: Too Many Requests</x:v>
      </x:c>
    </x:row>
    <x:row r="39" ht="36" customHeight="1">
      <x:c r="A39" s="58" t="n">
        <x:v>55</x:v>
      </x:c>
      <x:c r="B39" s="51" t="str">
        <x:v>Universiti Sains Malaysia</x:v>
      </x:c>
      <x:c r="C39" s="51" t="str">
        <x:v>Malaysia</x:v>
      </x:c>
      <x:c r="D39" s="51" t="str">
        <x:v>API quota reached</x:v>
      </x:c>
      <x:c r="E39" s="51"/>
      <x:c r="F39" s="51"/>
      <x:c r="G39" s="51"/>
      <x:c r="H39" s="51"/>
      <x:c r="I39" s="51"/>
      <x:c r="J39" s="51"/>
      <x:c r="K39" s="51"/>
      <x:c r="L39" s="51"/>
      <x:c r="M39" s="51"/>
      <x:c r="N39" s="51"/>
      <x:c r="O39" s="51"/>
      <x:c r="P39" s="51"/>
      <x:c r="Q39" s="51"/>
      <x:c r="R39" s="51"/>
      <x:c r="S39" s="54"/>
      <x:c r="T39" s="54"/>
      <x:c r="U39" s="51" t="str">
        <x:v>Collection error | HTTPError: HTTP Error 429: Too Many Requests</x:v>
      </x:c>
    </x:row>
    <x:row r="40" ht="36" customHeight="1">
      <x:c r="A40" s="57" t="n">
        <x:v>56</x:v>
      </x:c>
      <x:c r="B40" s="21" t="str">
        <x:v>Hanyang University</x:v>
      </x:c>
      <x:c r="C40" s="21" t="str">
        <x:v>South Korea</x:v>
      </x:c>
      <x:c r="D40" s="21" t="str">
        <x:v>API quota reached</x:v>
      </x:c>
      <x:c r="E40" s="21"/>
      <x:c r="F40" s="21"/>
      <x:c r="G40" s="21"/>
      <x:c r="H40" s="21"/>
      <x:c r="I40" s="21"/>
      <x:c r="J40" s="21"/>
      <x:c r="K40" s="21"/>
      <x:c r="L40" s="21"/>
      <x:c r="M40" s="21"/>
      <x:c r="N40" s="21"/>
      <x:c r="O40" s="21"/>
      <x:c r="P40" s="21"/>
      <x:c r="Q40" s="21"/>
      <x:c r="R40" s="21"/>
      <x:c r="S40" s="53"/>
      <x:c r="T40" s="53"/>
      <x:c r="U40" s="21" t="str">
        <x:v>Collection error | HTTPError: HTTP Error 429: Too Many Requests</x:v>
      </x:c>
    </x:row>
    <x:row r="41" ht="36" customHeight="1">
      <x:c r="A41" s="58" t="n">
        <x:v>57</x:v>
      </x:c>
      <x:c r="B41" s="51" t="str">
        <x:v>Hokkaido University</x:v>
      </x:c>
      <x:c r="C41" s="51" t="str">
        <x:v>Japan</x:v>
      </x:c>
      <x:c r="D41" s="51" t="str">
        <x:v>API quota reached</x:v>
      </x:c>
      <x:c r="E41" s="51"/>
      <x:c r="F41" s="51"/>
      <x:c r="G41" s="51"/>
      <x:c r="H41" s="51"/>
      <x:c r="I41" s="51"/>
      <x:c r="J41" s="51"/>
      <x:c r="K41" s="51"/>
      <x:c r="L41" s="51"/>
      <x:c r="M41" s="51"/>
      <x:c r="N41" s="51"/>
      <x:c r="O41" s="51"/>
      <x:c r="P41" s="51"/>
      <x:c r="Q41" s="51"/>
      <x:c r="R41" s="51"/>
      <x:c r="S41" s="54"/>
      <x:c r="T41" s="54"/>
      <x:c r="U41" s="51" t="str">
        <x:v>Collection error | HTTPError: HTTP Error 429: Too Many Requests</x:v>
      </x:c>
    </x:row>
    <x:row r="42" ht="36" customHeight="1">
      <x:c r="A42" s="57" t="n">
        <x:v>58</x:v>
      </x:c>
      <x:c r="B42" s="21" t="str">
        <x:v>Universiti Kebangsaan Malaysia</x:v>
      </x:c>
      <x:c r="C42" s="21" t="str">
        <x:v>Malaysia</x:v>
      </x:c>
      <x:c r="D42" s="21" t="str">
        <x:v>API quota reached</x:v>
      </x:c>
      <x:c r="E42" s="21"/>
      <x:c r="F42" s="21"/>
      <x:c r="G42" s="21"/>
      <x:c r="H42" s="21"/>
      <x:c r="I42" s="21"/>
      <x:c r="J42" s="21"/>
      <x:c r="K42" s="21"/>
      <x:c r="L42" s="21"/>
      <x:c r="M42" s="21"/>
      <x:c r="N42" s="21"/>
      <x:c r="O42" s="21"/>
      <x:c r="P42" s="21"/>
      <x:c r="Q42" s="21"/>
      <x:c r="R42" s="21"/>
      <x:c r="S42" s="53"/>
      <x:c r="T42" s="53"/>
      <x:c r="U42" s="21" t="str">
        <x:v>Collection error | HTTPError: HTTP Error 429: Too Many Requests</x:v>
      </x:c>
    </x:row>
    <x:row r="43" ht="36" customHeight="1">
      <x:c r="A43" s="58" t="n">
        <x:v>59</x:v>
      </x:c>
      <x:c r="B43" s="51" t="str">
        <x:v>Institut Agro</x:v>
      </x:c>
      <x:c r="C43" s="51" t="str">
        <x:v>France</x:v>
      </x:c>
      <x:c r="D43" s="51" t="str">
        <x:v>API quota reached</x:v>
      </x:c>
      <x:c r="E43" s="51"/>
      <x:c r="F43" s="51"/>
      <x:c r="G43" s="51"/>
      <x:c r="H43" s="51"/>
      <x:c r="I43" s="51"/>
      <x:c r="J43" s="51"/>
      <x:c r="K43" s="51"/>
      <x:c r="L43" s="51"/>
      <x:c r="M43" s="51"/>
      <x:c r="N43" s="51"/>
      <x:c r="O43" s="51"/>
      <x:c r="P43" s="51"/>
      <x:c r="Q43" s="51"/>
      <x:c r="R43" s="51"/>
      <x:c r="S43" s="54"/>
      <x:c r="T43" s="54"/>
      <x:c r="U43" s="51" t="str">
        <x:v>Collection error | HTTPError: HTTP Error 429: Too Many Requests</x:v>
      </x:c>
    </x:row>
    <x:row r="44" ht="36" customHeight="1">
      <x:c r="A44" s="57" t="n">
        <x:v>60</x:v>
      </x:c>
      <x:c r="B44" s="21" t="str">
        <x:v>National Taiwan University (NTU)</x:v>
      </x:c>
      <x:c r="C44" s="21" t="str">
        <x:v>Taiwan</x:v>
      </x:c>
      <x:c r="D44" s="21" t="str">
        <x:v>API quota reached</x:v>
      </x:c>
      <x:c r="E44" s="21"/>
      <x:c r="F44" s="21"/>
      <x:c r="G44" s="21"/>
      <x:c r="H44" s="21"/>
      <x:c r="I44" s="21"/>
      <x:c r="J44" s="21"/>
      <x:c r="K44" s="21"/>
      <x:c r="L44" s="21"/>
      <x:c r="M44" s="21"/>
      <x:c r="N44" s="21"/>
      <x:c r="O44" s="21"/>
      <x:c r="P44" s="21"/>
      <x:c r="Q44" s="21"/>
      <x:c r="R44" s="21"/>
      <x:c r="S44" s="53"/>
      <x:c r="T44" s="53"/>
      <x:c r="U44" s="21" t="str">
        <x:v>Collection error | HTTPError: HTTP Error 429: Too Many Requests</x:v>
      </x:c>
    </x:row>
    <x:row r="45" ht="36" customHeight="1">
      <x:c r="A45" s="58" t="n">
        <x:v>61</x:v>
      </x:c>
      <x:c r="B45" s="51" t="str">
        <x:v>University of Alberta</x:v>
      </x:c>
      <x:c r="C45" s="51" t="str">
        <x:v>Canada</x:v>
      </x:c>
      <x:c r="D45" s="51" t="str">
        <x:v>API quota reached</x:v>
      </x:c>
      <x:c r="E45" s="51"/>
      <x:c r="F45" s="51"/>
      <x:c r="G45" s="51"/>
      <x:c r="H45" s="51"/>
      <x:c r="I45" s="51"/>
      <x:c r="J45" s="51"/>
      <x:c r="K45" s="51"/>
      <x:c r="L45" s="51"/>
      <x:c r="M45" s="51"/>
      <x:c r="N45" s="51"/>
      <x:c r="O45" s="51"/>
      <x:c r="P45" s="51"/>
      <x:c r="Q45" s="51"/>
      <x:c r="R45" s="51"/>
      <x:c r="S45" s="54"/>
      <x:c r="T45" s="54"/>
      <x:c r="U45" s="51" t="str">
        <x:v>Collection error | HTTPError: HTTP Error 429: Too Many Requests</x:v>
      </x:c>
    </x:row>
    <x:row r="46" ht="36" customHeight="1">
      <x:c r="A46" s="57" t="n">
        <x:v>62</x:v>
      </x:c>
      <x:c r="B46" s="21" t="str">
        <x:v>Korea University</x:v>
      </x:c>
      <x:c r="C46" s="21" t="str">
        <x:v>South Korea</x:v>
      </x:c>
      <x:c r="D46" s="21" t="str">
        <x:v>API quota reached</x:v>
      </x:c>
      <x:c r="E46" s="21"/>
      <x:c r="F46" s="21"/>
      <x:c r="G46" s="21"/>
      <x:c r="H46" s="21"/>
      <x:c r="I46" s="21"/>
      <x:c r="J46" s="21"/>
      <x:c r="K46" s="21"/>
      <x:c r="L46" s="21"/>
      <x:c r="M46" s="21"/>
      <x:c r="N46" s="21"/>
      <x:c r="O46" s="21"/>
      <x:c r="P46" s="21"/>
      <x:c r="Q46" s="21"/>
      <x:c r="R46" s="21"/>
      <x:c r="S46" s="53"/>
      <x:c r="T46" s="53"/>
      <x:c r="U46" s="21" t="str">
        <x:v>Collection error | HTTPError: HTTP Error 429: Too Many Requests</x:v>
      </x:c>
    </x:row>
    <x:row r="47" ht="36" customHeight="1">
      <x:c r="A47" s="58" t="n">
        <x:v>63</x:v>
      </x:c>
      <x:c r="B47" s="51" t="str">
        <x:v>Universitas Airlangga</x:v>
      </x:c>
      <x:c r="C47" s="51" t="str">
        <x:v>Indonesia</x:v>
      </x:c>
      <x:c r="D47" s="51" t="str">
        <x:v>API quota reached</x:v>
      </x:c>
      <x:c r="E47" s="51"/>
      <x:c r="F47" s="51"/>
      <x:c r="G47" s="51"/>
      <x:c r="H47" s="51"/>
      <x:c r="I47" s="51"/>
      <x:c r="J47" s="51"/>
      <x:c r="K47" s="51"/>
      <x:c r="L47" s="51"/>
      <x:c r="M47" s="51"/>
      <x:c r="N47" s="51"/>
      <x:c r="O47" s="51"/>
      <x:c r="P47" s="51"/>
      <x:c r="Q47" s="51"/>
      <x:c r="R47" s="51"/>
      <x:c r="S47" s="54"/>
      <x:c r="T47" s="54"/>
      <x:c r="U47" s="51" t="str">
        <x:v>Collection error | HTTPError: HTTP Error 429: Too Many Requests</x:v>
      </x:c>
    </x:row>
    <x:row r="48" ht="36" customHeight="1">
      <x:c r="A48" s="57" t="n">
        <x:v>64</x:v>
      </x:c>
      <x:c r="B48" s="21" t="str">
        <x:v>Pusan National University</x:v>
      </x:c>
      <x:c r="C48" s="21" t="str">
        <x:v>South Korea</x:v>
      </x:c>
      <x:c r="D48" s="21" t="str">
        <x:v>API quota reached</x:v>
      </x:c>
      <x:c r="E48" s="21"/>
      <x:c r="F48" s="21"/>
      <x:c r="G48" s="21"/>
      <x:c r="H48" s="21"/>
      <x:c r="I48" s="21"/>
      <x:c r="J48" s="21"/>
      <x:c r="K48" s="21"/>
      <x:c r="L48" s="21"/>
      <x:c r="M48" s="21"/>
      <x:c r="N48" s="21"/>
      <x:c r="O48" s="21"/>
      <x:c r="P48" s="21"/>
      <x:c r="Q48" s="21"/>
      <x:c r="R48" s="21"/>
      <x:c r="S48" s="53"/>
      <x:c r="T48" s="53"/>
      <x:c r="U48" s="21" t="str">
        <x:v>Collection error | HTTPError: HTTP Error 429: Too Many Requests</x:v>
      </x:c>
    </x:row>
    <x:row r="49" ht="36" customHeight="1">
      <x:c r="A49" s="58" t="n">
        <x:v>65</x:v>
      </x:c>
      <x:c r="B49" s="51" t="str">
        <x:v>University of Tasmania</x:v>
      </x:c>
      <x:c r="C49" s="51" t="str">
        <x:v>Australia</x:v>
      </x:c>
      <x:c r="D49" s="51" t="str">
        <x:v>API quota reached</x:v>
      </x:c>
      <x:c r="E49" s="51"/>
      <x:c r="F49" s="51"/>
      <x:c r="G49" s="51"/>
      <x:c r="H49" s="51"/>
      <x:c r="I49" s="51"/>
      <x:c r="J49" s="51"/>
      <x:c r="K49" s="51"/>
      <x:c r="L49" s="51"/>
      <x:c r="M49" s="51"/>
      <x:c r="N49" s="51"/>
      <x:c r="O49" s="51"/>
      <x:c r="P49" s="51"/>
      <x:c r="Q49" s="51"/>
      <x:c r="R49" s="51"/>
      <x:c r="S49" s="54"/>
      <x:c r="T49" s="54"/>
      <x:c r="U49" s="51" t="str">
        <x:v>Collection error | HTTPError: HTTP Error 429: Too Many Requests</x:v>
      </x:c>
    </x:row>
    <x:row r="50" ht="36" customHeight="1">
      <x:c r="A50" s="57" t="n">
        <x:v>66</x:v>
      </x:c>
      <x:c r="B50" s="21" t="str">
        <x:v>McMaster University</x:v>
      </x:c>
      <x:c r="C50" s="21" t="str">
        <x:v>Canada</x:v>
      </x:c>
      <x:c r="D50" s="21" t="str">
        <x:v>API quota reached</x:v>
      </x:c>
      <x:c r="E50" s="21"/>
      <x:c r="F50" s="21"/>
      <x:c r="G50" s="21"/>
      <x:c r="H50" s="21"/>
      <x:c r="I50" s="21"/>
      <x:c r="J50" s="21"/>
      <x:c r="K50" s="21"/>
      <x:c r="L50" s="21"/>
      <x:c r="M50" s="21"/>
      <x:c r="N50" s="21"/>
      <x:c r="O50" s="21"/>
      <x:c r="P50" s="21"/>
      <x:c r="Q50" s="21"/>
      <x:c r="R50" s="21"/>
      <x:c r="S50" s="53"/>
      <x:c r="T50" s="53"/>
      <x:c r="U50" s="21" t="str">
        <x:v>Collection error | HTTPError: HTTP Error 429: Too Many Requests</x:v>
      </x:c>
    </x:row>
    <x:row r="51" ht="36" customHeight="1">
      <x:c r="A51" s="58" t="n">
        <x:v>67</x:v>
      </x:c>
      <x:c r="B51" s="51" t="str">
        <x:v>Chulalongkorn University</x:v>
      </x:c>
      <x:c r="C51" s="51" t="str">
        <x:v>Thailand</x:v>
      </x:c>
      <x:c r="D51" s="51" t="str">
        <x:v>API quota reached</x:v>
      </x:c>
      <x:c r="E51" s="51"/>
      <x:c r="F51" s="51"/>
      <x:c r="G51" s="51"/>
      <x:c r="H51" s="51"/>
      <x:c r="I51" s="51"/>
      <x:c r="J51" s="51"/>
      <x:c r="K51" s="51"/>
      <x:c r="L51" s="51"/>
      <x:c r="M51" s="51"/>
      <x:c r="N51" s="51"/>
      <x:c r="O51" s="51"/>
      <x:c r="P51" s="51"/>
      <x:c r="Q51" s="51"/>
      <x:c r="R51" s="51"/>
      <x:c r="S51" s="54"/>
      <x:c r="T51" s="54"/>
      <x:c r="U51" s="51" t="str">
        <x:v>Collection error | HTTPError: HTTP Error 429: Too Many Requests</x:v>
      </x:c>
    </x:row>
    <x:row r="52" ht="36" customHeight="1">
      <x:c r="A52" s="57" t="n">
        <x:v>68</x:v>
      </x:c>
      <x:c r="B52" s="21" t="str">
        <x:v>Kyungpook National University (KNU)</x:v>
      </x:c>
      <x:c r="C52" s="21" t="str">
        <x:v>South Korea</x:v>
      </x:c>
      <x:c r="D52" s="21" t="str">
        <x:v>API quota reached</x:v>
      </x:c>
      <x:c r="E52" s="21"/>
      <x:c r="F52" s="21"/>
      <x:c r="G52" s="21"/>
      <x:c r="H52" s="21"/>
      <x:c r="I52" s="21"/>
      <x:c r="J52" s="21"/>
      <x:c r="K52" s="21"/>
      <x:c r="L52" s="21"/>
      <x:c r="M52" s="21"/>
      <x:c r="N52" s="21"/>
      <x:c r="O52" s="21"/>
      <x:c r="P52" s="21"/>
      <x:c r="Q52" s="21"/>
      <x:c r="R52" s="21"/>
      <x:c r="S52" s="53"/>
      <x:c r="T52" s="53"/>
      <x:c r="U52" s="21" t="str">
        <x:v>Collection error | HTTPError: HTTP Error 429: Too Many Requests</x:v>
      </x:c>
    </x:row>
    <x:row r="53" ht="36" customHeight="1">
      <x:c r="A53" s="58" t="n">
        <x:v>69</x:v>
      </x:c>
      <x:c r="B53" s="51" t="str">
        <x:v>The Hong Kong University of Science and Technology</x:v>
      </x:c>
      <x:c r="C53" s="51" t="str">
        <x:v>Hong Kong</x:v>
      </x:c>
      <x:c r="D53" s="51" t="str">
        <x:v>API quota reached</x:v>
      </x:c>
      <x:c r="E53" s="51"/>
      <x:c r="F53" s="51"/>
      <x:c r="G53" s="51"/>
      <x:c r="H53" s="51"/>
      <x:c r="I53" s="51"/>
      <x:c r="J53" s="51"/>
      <x:c r="K53" s="51"/>
      <x:c r="L53" s="51"/>
      <x:c r="M53" s="51"/>
      <x:c r="N53" s="51"/>
      <x:c r="O53" s="51"/>
      <x:c r="P53" s="51"/>
      <x:c r="Q53" s="51"/>
      <x:c r="R53" s="51"/>
      <x:c r="S53" s="54"/>
      <x:c r="T53" s="54"/>
      <x:c r="U53" s="51" t="str">
        <x:v>Collection error | HTTPError: HTTP Error 429: Too Many Requests</x:v>
      </x:c>
    </x:row>
    <x:row r="54" ht="36" customHeight="1">
      <x:c r="A54" s="57" t="n">
        <x:v>70</x:v>
      </x:c>
      <x:c r="B54" s="21" t="str">
        <x:v>Lovely Professional University</x:v>
      </x:c>
      <x:c r="C54" s="21" t="str">
        <x:v>India</x:v>
      </x:c>
      <x:c r="D54" s="21" t="str">
        <x:v>API quota reached</x:v>
      </x:c>
      <x:c r="E54" s="21"/>
      <x:c r="F54" s="21"/>
      <x:c r="G54" s="21"/>
      <x:c r="H54" s="21"/>
      <x:c r="I54" s="21"/>
      <x:c r="J54" s="21"/>
      <x:c r="K54" s="21"/>
      <x:c r="L54" s="21"/>
      <x:c r="M54" s="21"/>
      <x:c r="N54" s="21"/>
      <x:c r="O54" s="21"/>
      <x:c r="P54" s="21"/>
      <x:c r="Q54" s="21"/>
      <x:c r="R54" s="21"/>
      <x:c r="S54" s="53"/>
      <x:c r="T54" s="53"/>
      <x:c r="U54" s="21" t="str">
        <x:v>Collection error | HTTPError: HTTP Error 429: Too Many Requests</x:v>
      </x:c>
    </x:row>
    <x:row r="55" ht="36" customHeight="1">
      <x:c r="A55" s="58" t="n">
        <x:v>71</x:v>
      </x:c>
      <x:c r="B55" s="51" t="str">
        <x:v>University of Malaya</x:v>
      </x:c>
      <x:c r="C55" s="51" t="str">
        <x:v>Malaysia</x:v>
      </x:c>
      <x:c r="D55" s="51" t="str">
        <x:v>API quota reached</x:v>
      </x:c>
      <x:c r="E55" s="51"/>
      <x:c r="F55" s="51"/>
      <x:c r="G55" s="51"/>
      <x:c r="H55" s="51"/>
      <x:c r="I55" s="51"/>
      <x:c r="J55" s="51"/>
      <x:c r="K55" s="51"/>
      <x:c r="L55" s="51"/>
      <x:c r="M55" s="51"/>
      <x:c r="N55" s="51"/>
      <x:c r="O55" s="51"/>
      <x:c r="P55" s="51"/>
      <x:c r="Q55" s="51"/>
      <x:c r="R55" s="51"/>
      <x:c r="S55" s="54"/>
      <x:c r="T55" s="54"/>
      <x:c r="U55" s="51" t="str">
        <x:v>Collection error | HTTPError: HTTP Error 429: Too Many Requests</x:v>
      </x:c>
    </x:row>
    <x:row r="56" ht="36" customHeight="1">
      <x:c r="A56" s="57" t="n">
        <x:v>72</x:v>
      </x:c>
      <x:c r="B56" s="21" t="str">
        <x:v>Aalborg University</x:v>
      </x:c>
      <x:c r="C56" s="21" t="str">
        <x:v>Denmark</x:v>
      </x:c>
      <x:c r="D56" s="21" t="str">
        <x:v>API quota reached</x:v>
      </x:c>
      <x:c r="E56" s="21"/>
      <x:c r="F56" s="21"/>
      <x:c r="G56" s="21"/>
      <x:c r="H56" s="21"/>
      <x:c r="I56" s="21"/>
      <x:c r="J56" s="21"/>
      <x:c r="K56" s="21"/>
      <x:c r="L56" s="21"/>
      <x:c r="M56" s="21"/>
      <x:c r="N56" s="21"/>
      <x:c r="O56" s="21"/>
      <x:c r="P56" s="21"/>
      <x:c r="Q56" s="21"/>
      <x:c r="R56" s="21"/>
      <x:c r="S56" s="53"/>
      <x:c r="T56" s="53"/>
      <x:c r="U56" s="21" t="str">
        <x:v>Collection error | HTTPError: HTTP Error 429: Too Many Requests</x:v>
      </x:c>
    </x:row>
    <x:row r="57" ht="36" customHeight="1">
      <x:c r="A57" s="58" t="n">
        <x:v>73</x:v>
      </x:c>
      <x:c r="B57" s="51" t="str">
        <x:v>Kyung Hee University</x:v>
      </x:c>
      <x:c r="C57" s="51" t="str">
        <x:v>South Korea</x:v>
      </x:c>
      <x:c r="D57" s="51" t="str">
        <x:v>API quota reached</x:v>
      </x:c>
      <x:c r="E57" s="51"/>
      <x:c r="F57" s="51"/>
      <x:c r="G57" s="51"/>
      <x:c r="H57" s="51"/>
      <x:c r="I57" s="51"/>
      <x:c r="J57" s="51"/>
      <x:c r="K57" s="51"/>
      <x:c r="L57" s="51"/>
      <x:c r="M57" s="51"/>
      <x:c r="N57" s="51"/>
      <x:c r="O57" s="51"/>
      <x:c r="P57" s="51"/>
      <x:c r="Q57" s="51"/>
      <x:c r="R57" s="51"/>
      <x:c r="S57" s="54"/>
      <x:c r="T57" s="54"/>
      <x:c r="U57" s="51" t="str">
        <x:v>Collection error | HTTPError: HTTP Error 429: Too Many Requests</x:v>
      </x:c>
    </x:row>
    <x:row r="58" ht="36" customHeight="1">
      <x:c r="A58" s="57" t="n">
        <x:v>74</x:v>
      </x:c>
      <x:c r="B58" s="21" t="str">
        <x:v>University of Victoria</x:v>
      </x:c>
      <x:c r="C58" s="21" t="str">
        <x:v>Canada</x:v>
      </x:c>
      <x:c r="D58" s="21" t="str">
        <x:v>API quota reached</x:v>
      </x:c>
      <x:c r="E58" s="21"/>
      <x:c r="F58" s="21"/>
      <x:c r="G58" s="21"/>
      <x:c r="H58" s="21"/>
      <x:c r="I58" s="21"/>
      <x:c r="J58" s="21"/>
      <x:c r="K58" s="21"/>
      <x:c r="L58" s="21"/>
      <x:c r="M58" s="21"/>
      <x:c r="N58" s="21"/>
      <x:c r="O58" s="21"/>
      <x:c r="P58" s="21"/>
      <x:c r="Q58" s="21"/>
      <x:c r="R58" s="21"/>
      <x:c r="S58" s="53"/>
      <x:c r="T58" s="53"/>
      <x:c r="U58" s="21" t="str">
        <x:v>Collection error | HTTPError: HTTP Error 429: Too Many Requests</x:v>
      </x:c>
    </x:row>
    <x:row r="59" ht="36" customHeight="1">
      <x:c r="A59" s="58" t="n">
        <x:v>76</x:v>
      </x:c>
      <x:c r="B59" s="51" t="str">
        <x:v>Central Queensland University</x:v>
      </x:c>
      <x:c r="C59" s="51" t="str">
        <x:v>Australia</x:v>
      </x:c>
      <x:c r="D59" s="51" t="str">
        <x:v>API quota reached</x:v>
      </x:c>
      <x:c r="E59" s="51"/>
      <x:c r="F59" s="51"/>
      <x:c r="G59" s="51"/>
      <x:c r="H59" s="51"/>
      <x:c r="I59" s="51"/>
      <x:c r="J59" s="51"/>
      <x:c r="K59" s="51"/>
      <x:c r="L59" s="51"/>
      <x:c r="M59" s="51"/>
      <x:c r="N59" s="51"/>
      <x:c r="O59" s="51"/>
      <x:c r="P59" s="51"/>
      <x:c r="Q59" s="51"/>
      <x:c r="R59" s="51"/>
      <x:c r="S59" s="54"/>
      <x:c r="T59" s="54"/>
      <x:c r="U59" s="51" t="str">
        <x:v>Collection error | HTTPError: HTTP Error 429: Too Many Requests</x:v>
      </x:c>
    </x:row>
    <x:row r="60" ht="36" customHeight="1">
      <x:c r="A60" s="57" t="n">
        <x:v>77</x:v>
      </x:c>
      <x:c r="B60" s="21" t="str">
        <x:v>University of Newcastle</x:v>
      </x:c>
      <x:c r="C60" s="21" t="str">
        <x:v>Australia</x:v>
      </x:c>
      <x:c r="D60" s="21" t="str">
        <x:v>API quota reached</x:v>
      </x:c>
      <x:c r="E60" s="21"/>
      <x:c r="F60" s="21"/>
      <x:c r="G60" s="21"/>
      <x:c r="H60" s="21"/>
      <x:c r="I60" s="21"/>
      <x:c r="J60" s="21"/>
      <x:c r="K60" s="21"/>
      <x:c r="L60" s="21"/>
      <x:c r="M60" s="21"/>
      <x:c r="N60" s="21"/>
      <x:c r="O60" s="21"/>
      <x:c r="P60" s="21"/>
      <x:c r="Q60" s="21"/>
      <x:c r="R60" s="21"/>
      <x:c r="S60" s="53"/>
      <x:c r="T60" s="53"/>
      <x:c r="U60" s="21" t="str">
        <x:v>Collection error | HTTPError: HTTP Error 429: Too Many Requests</x:v>
      </x:c>
    </x:row>
    <x:row r="61" ht="36" customHeight="1">
      <x:c r="A61" s="58" t="n">
        <x:v>78</x:v>
      </x:c>
      <x:c r="B61" s="51" t="str">
        <x:v>Northumbria University</x:v>
      </x:c>
      <x:c r="C61" s="51" t="str">
        <x:v>United Kingdom</x:v>
      </x:c>
      <x:c r="D61" s="51" t="str">
        <x:v>API quota reached</x:v>
      </x:c>
      <x:c r="E61" s="51"/>
      <x:c r="F61" s="51"/>
      <x:c r="G61" s="51"/>
      <x:c r="H61" s="51"/>
      <x:c r="I61" s="51"/>
      <x:c r="J61" s="51"/>
      <x:c r="K61" s="51"/>
      <x:c r="L61" s="51"/>
      <x:c r="M61" s="51"/>
      <x:c r="N61" s="51"/>
      <x:c r="O61" s="51"/>
      <x:c r="P61" s="51"/>
      <x:c r="Q61" s="51"/>
      <x:c r="R61" s="51"/>
      <x:c r="S61" s="54"/>
      <x:c r="T61" s="54"/>
      <x:c r="U61" s="51" t="str">
        <x:v>Collection error | HTTPError: HTTP Error 429: Too Many Requests</x:v>
      </x:c>
    </x:row>
    <x:row r="62" ht="36" customHeight="1">
      <x:c r="A62" s="57" t="n">
        <x:v>79</x:v>
      </x:c>
      <x:c r="B62" s="21" t="str">
        <x:v>University of Indonesia</x:v>
      </x:c>
      <x:c r="C62" s="21" t="str">
        <x:v>Indonesia</x:v>
      </x:c>
      <x:c r="D62" s="21" t="str">
        <x:v>API quota reached</x:v>
      </x:c>
      <x:c r="E62" s="21"/>
      <x:c r="F62" s="21"/>
      <x:c r="G62" s="21"/>
      <x:c r="H62" s="21"/>
      <x:c r="I62" s="21"/>
      <x:c r="J62" s="21"/>
      <x:c r="K62" s="21"/>
      <x:c r="L62" s="21"/>
      <x:c r="M62" s="21"/>
      <x:c r="N62" s="21"/>
      <x:c r="O62" s="21"/>
      <x:c r="P62" s="21"/>
      <x:c r="Q62" s="21"/>
      <x:c r="R62" s="21"/>
      <x:c r="S62" s="53"/>
      <x:c r="T62" s="53"/>
      <x:c r="U62" s="21" t="str">
        <x:v>Collection error | HTTPError: HTTP Error 429: Too Many Requests</x:v>
      </x:c>
    </x:row>
    <x:row r="63" ht="36" customHeight="1">
      <x:c r="A63" s="58" t="n">
        <x:v>80</x:v>
      </x:c>
      <x:c r="B63" s="51" t="str">
        <x:v>An-Najah National University</x:v>
      </x:c>
      <x:c r="C63" s="51" t="str">
        <x:v>Palestine</x:v>
      </x:c>
      <x:c r="D63" s="51" t="str">
        <x:v>API quota reached</x:v>
      </x:c>
      <x:c r="E63" s="51"/>
      <x:c r="F63" s="51"/>
      <x:c r="G63" s="51"/>
      <x:c r="H63" s="51"/>
      <x:c r="I63" s="51"/>
      <x:c r="J63" s="51"/>
      <x:c r="K63" s="51"/>
      <x:c r="L63" s="51"/>
      <x:c r="M63" s="51"/>
      <x:c r="N63" s="51"/>
      <x:c r="O63" s="51"/>
      <x:c r="P63" s="51"/>
      <x:c r="Q63" s="51"/>
      <x:c r="R63" s="51"/>
      <x:c r="S63" s="54"/>
      <x:c r="T63" s="54"/>
      <x:c r="U63" s="51" t="str">
        <x:v>Collection error | HTTPError: HTTP Error 429: Too Many Requests</x:v>
      </x:c>
    </x:row>
    <x:row r="64" ht="36" customHeight="1">
      <x:c r="A64" s="59" t="n">
        <x:v>81</x:v>
      </x:c>
      <x:c r="B64" s="22" t="str">
        <x:v>Arizona State University (Tempe)</x:v>
      </x:c>
      <x:c r="C64" s="22" t="str">
        <x:v>United States</x:v>
      </x:c>
      <x:c r="D64" s="22" t="str">
        <x:v>API quota reached</x:v>
      </x:c>
      <x:c r="E64" s="22"/>
      <x:c r="F64" s="22"/>
      <x:c r="G64" s="22"/>
      <x:c r="H64" s="22"/>
      <x:c r="I64" s="22"/>
      <x:c r="J64" s="22"/>
      <x:c r="K64" s="22"/>
      <x:c r="L64" s="22"/>
      <x:c r="M64" s="22"/>
      <x:c r="N64" s="22"/>
      <x:c r="O64" s="22"/>
      <x:c r="P64" s="22"/>
      <x:c r="Q64" s="22"/>
      <x:c r="R64" s="22"/>
      <x:c r="S64" s="55"/>
      <x:c r="T64" s="55"/>
      <x:c r="U64" s="22" t="str">
        <x:v>Collection error | HTTPError: HTTP Error 429: Too Many Requests</x:v>
      </x:c>
    </x:row>
  </x:sheetData>
  <x:mergeCells>
    <x:mergeCell ref="A1:U1"/>
    <x:mergeCell ref="A2:U2"/>
  </x:mergeCells>
  <x:pageMargins left="0.7" right="0.7" top="0.75" bottom="0.75" header="0.3" footer="0.3"/>
  <x:tableParts count="1">
    <x:tablePart xmlns:r="http://schemas.openxmlformats.org/officeDocument/2006/relationships" r:id="Rac61312fa0e7457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6" hidden="0" customWidth="1"/>
    <x:col min="4" max="4" width="38" hidden="0" customWidth="1"/>
    <x:col min="5" max="5" width="40" hidden="0" customWidth="1"/>
    <x:col min="6" max="6" width="45" hidden="0" customWidth="1"/>
    <x:col min="7" max="7" width="22" hidden="0" customWidth="1"/>
    <x:col min="8" max="8" width="40" hidden="0" customWidth="1"/>
    <x:col min="9" max="9" width="52" hidden="0" customWidth="1"/>
    <x:col min="10" max="10" width="45" hidden="0" customWidth="1"/>
    <x:col min="11" max="11" width="40" hidden="0" customWidth="1"/>
    <x:col min="12" max="12" width="16" hidden="0" customWidth="1"/>
    <x:col min="13" max="13" width="45" hidden="0" customWidth="1"/>
    <x:col min="14" max="14" width="45" hidden="0" customWidth="1"/>
    <x:col min="15" max="15" width="50" hidden="0" customWidth="1"/>
    <x:col min="16" max="16" width="50" hidden="0" customWidth="1"/>
    <x:col min="17" max="17" width="38" hidden="0" customWidth="1"/>
    <x:col min="18" max="18" width="55" hidden="0" customWidth="1"/>
  </x:cols>
  <x:sheetData>
    <x:row r="1" ht="28" customHeight="1">
      <x:c r="A1" s="3" t="str">
        <x:v>Program Details from Official University Sources - 60 Selected Programs</x:v>
      </x:c>
      <x:c r="B1" s="3"/>
      <x:c r="C1" s="3"/>
      <x:c r="D1" s="3"/>
      <x:c r="E1" s="3"/>
      <x:c r="F1" s="3"/>
      <x:c r="G1" s="3"/>
      <x:c r="H1" s="3"/>
      <x:c r="I1" s="3"/>
      <x:c r="J1" s="3"/>
      <x:c r="K1" s="3"/>
      <x:c r="L1" s="3"/>
      <x:c r="M1" s="3"/>
      <x:c r="N1" s="3"/>
      <x:c r="O1" s="3"/>
      <x:c r="P1" s="3"/>
      <x:c r="Q1" s="3"/>
      <x:c r="R1" s="3"/>
    </x:row>
    <x:row r="2" ht="34" customHeight="1">
      <x:c r="A2" s="7" t="str">
        <x:v>English-language evidence for cost, duration, delivery, entry requirements, curriculum, experiential learning, culminating work, thesis, and outcomes. NA retains its original meaning.</x:v>
      </x:c>
      <x:c r="B2" s="7"/>
      <x:c r="C2" s="7"/>
      <x:c r="D2" s="7"/>
      <x:c r="E2" s="7"/>
      <x:c r="F2" s="7"/>
      <x:c r="G2" s="7"/>
      <x:c r="H2" s="7"/>
      <x:c r="I2" s="7"/>
      <x:c r="J2" s="7"/>
      <x:c r="K2" s="7"/>
      <x:c r="L2" s="7"/>
      <x:c r="M2" s="7"/>
      <x:c r="N2" s="7"/>
      <x:c r="O2" s="7"/>
      <x:c r="P2" s="7"/>
      <x:c r="Q2" s="7"/>
      <x:c r="R2" s="7"/>
    </x:row>
    <x:row r="4" ht="38" customHeight="1">
      <x:c r="A4" s="47" t="str">
        <x:v>ID</x:v>
      </x:c>
      <x:c r="B4" s="48" t="str">
        <x:v>Institution</x:v>
      </x:c>
      <x:c r="C4" s="48" t="str">
        <x:v>Country</x:v>
      </x:c>
      <x:c r="D4" s="48" t="str">
        <x:v>Program</x:v>
      </x:c>
      <x:c r="E4" s="48" t="str">
        <x:v>Tuition / Fees</x:v>
      </x:c>
      <x:c r="F4" s="48" t="str">
        <x:v>Duration</x:v>
      </x:c>
      <x:c r="G4" s="48" t="str">
        <x:v>Study Mode / Delivery</x:v>
      </x:c>
      <x:c r="H4" s="48" t="str">
        <x:v>Entry Requirements</x:v>
      </x:c>
      <x:c r="I4" s="48" t="str">
        <x:v>Curriculum Focus</x:v>
      </x:c>
      <x:c r="J4" s="48" t="str">
        <x:v>Internship / Fieldwork</x:v>
      </x:c>
      <x:c r="K4" s="48" t="str">
        <x:v>Capstone / Project</x:v>
      </x:c>
      <x:c r="L4" s="48" t="str">
        <x:v>Thesis Option</x:v>
      </x:c>
      <x:c r="M4" s="48" t="str">
        <x:v>Thesis Evidence</x:v>
      </x:c>
      <x:c r="N4" s="48" t="str">
        <x:v>Placement Outcomes (if available)</x:v>
      </x:c>
      <x:c r="O4" s="48" t="str">
        <x:v>Official Program URL</x:v>
      </x:c>
      <x:c r="P4" s="48" t="str">
        <x:v>Additional Official Sources</x:v>
      </x:c>
      <x:c r="Q4" s="48" t="str">
        <x:v>Extraction Status</x:v>
      </x:c>
      <x:c r="R4" s="49" t="str">
        <x:v>Review Notes</x:v>
      </x:c>
    </x:row>
    <x:row r="5" ht="54" customHeight="1">
      <x:c r="A5" s="56" t="n">
        <x:v>1</x:v>
      </x:c>
      <x:c r="B5" s="50" t="str">
        <x:v>Lund University</x:v>
      </x:c>
      <x:c r="C5" s="50" t="str">
        <x:v>Sweden</x:v>
      </x:c>
      <x:c r="D5" s="50" t="str">
        <x:v>MSc Environmental Studies and Sustainability Science (LUMES)</x:v>
      </x:c>
      <x:c r="E5" s="50" t="str">
        <x:v>Tuition fees, payments and exemptions | Full programme/course tuition fee: SEK 300,000 | First payment: SEK 75,000</x:v>
      </x:c>
      <x:c r="F5" s="50" t="str">
        <x:v>Environmental Studies and Sustainability Science - Master of Science programme | Master's programme • 2 years • 120 credits | Understanding and tackling complex societal and environmental challenges has never been more crucial. This master’s programme equips you with skills and tools to understand today’s complex sustainability problems and create pathways to a better tomorrow. || Duration | 2 years | Level || The master’s programme in Environmental Studies and Sustainability Science (LUMES) is an interdisciplinary, international programme that tackles local and global sustainability challenges through a systems perspective. | For almost 30 years, the LUMES programme has attracted passionate students from around the world to Lund, Sweden. The programme trains you to understand and analyse present societal systems and the environmental pro</x:v>
      </x:c>
      <x:c r="G5" s="50" t="str">
        <x:v>In-person</x:v>
      </x:c>
      <x:c r="H5" s="50" t="str">
        <x:v>NA</x:v>
      </x:c>
      <x:c r="I5" s="50" t="str">
        <x:v>Overall, you will develop the ability to integrate knowledge across disciplines and critically evaluate assumptions underlying various processes and policies. The programme also trains you to work in cross-cultural and interdisciplinary teams. You develop interpersonal and academic skills through group work, presentations, academic writing, and interactions with society. | Programme structure | Career prospects || Programme structure | The programme spans two years and is divided into four semesters.</x:v>
      </x:c>
      <x:c r="J5" s="50" t="str">
        <x:v>NA</x:v>
      </x:c>
      <x:c r="K5" s="50" t="str">
        <x:v>Not stated on reviewed official page</x:v>
      </x:c>
      <x:c r="L5" s="50" t="str">
        <x:v>Yes</x:v>
      </x:c>
      <x:c r="M5" s="50" t="str">
        <x:v>7.5 | Environmental Studies and Sustainability Science: Master's Thesis | Compulsory</x:v>
      </x:c>
      <x:c r="N5" s="50" t="str">
        <x:v>Not stated on reviewed official page</x:v>
      </x:c>
      <x:c r="O5" s="52" t="str">
        <x:v>https://www.lunduniversity.lu.se/study/environmental-studies-and-sustainability-science-master-of-science-programme-SAESS</x:v>
      </x:c>
      <x:c r="P5" s="52" t="str">
        <x:v>https://www.lunduniversity.lu.se/study/environmental-studies-and-sustainability-science-master-of-science-programme-SAESS/programme-structure</x:v>
      </x:c>
      <x:c r="Q5" s="50" t="str">
        <x:v>Official program page retrieved; 2 official page(s) reviewed; 6/10 requested evidence groups found.</x:v>
      </x:c>
      <x:c r="R5" s="50" t="str">
        <x:v>Automated evidence extraction from official pages. Manually confirm year-specific tuition, language score applicability, and optional-versus-required curriculum elements before analysis.</x:v>
      </x:c>
    </x:row>
    <x:row r="6" ht="54" customHeight="1">
      <x:c r="A6" s="57" t="n">
        <x:v>2</x:v>
      </x:c>
      <x:c r="B6" s="21" t="str">
        <x:v>University of Toronto</x:v>
      </x:c>
      <x:c r="C6" s="21" t="str">
        <x:v>Canada</x:v>
      </x:c>
      <x:c r="D6" s="21" t="str">
        <x:v>Master of Environment &amp; Sustainability</x:v>
      </x:c>
      <x:c r="E6" s="21" t="str">
        <x:v> In the 2025-2026 academic year, these were set at $8,448.48 for domestic students, and $34,900.48 for international students.</x:v>
      </x:c>
      <x:c r="F6" s="21" t="str">
        <x:v> 12-month degree, starting in September each year</x:v>
      </x:c>
      <x:c r="G6" s="21" t="str">
        <x:v>In-person </x:v>
      </x:c>
      <x:c r="H6" s="21" t="str">
        <x:v>Not stated on reviewed official page</x:v>
      </x:c>
      <x:c r="I6" s="21" t="str">
        <x:v>Experiential Learning &amp; Research | Curriculum &amp; Courses Current Courses | Exciting Electives || Curriculum &amp; Courses | School of the Environment | Skip to main content || Undergraduate | Curriculum &amp; Courses | In This Section || Current &amp; Prospective Students | Curriculum &amp; Courses Current Courses | Exciting Electives</x:v>
      </x:c>
      <x:c r="J6" s="21" t="str">
        <x:v>Environment &amp; Health | Internship Guidelines | Research Paper &amp; Thesis Guidelines</x:v>
      </x:c>
      <x:c r="K6" s="21" t="str">
        <x:v>Not stated on reviewed official page</x:v>
      </x:c>
      <x:c r="L6" s="21" t="str">
        <x:v>Yes</x:v>
      </x:c>
      <x:c r="M6" s="21" t="str">
        <x:v>Not stated on reviewed official page</x:v>
      </x:c>
      <x:c r="N6" s="21" t="str">
        <x:v>Not stated on reviewed official page</x:v>
      </x:c>
      <x:c r="O6" s="53" t="str">
        <x:v>https://www.environment.utoronto.ca/graduate/mes</x:v>
      </x:c>
      <x:c r="P6" s="53" t="str">
        <x:v>https://www.environment.utoronto.ca/graduate/mes/tuition-funding; https://www.environment.utoronto.ca/graduate/mes/mes-admission-requirements; https://www.environment.utoronto.ca/undergraduate/curriculum-courses</x:v>
      </x:c>
      <x:c r="Q6" s="21" t="str">
        <x:v>Official program page retrieved; 4 official page(s) reviewed; 4/10 requested evidence groups found.</x:v>
      </x:c>
      <x:c r="R6" s="21" t="str">
        <x:v>Automated evidence extraction from official pages. Manually confirm year-specific tuition, language score applicability, and optional-versus-required curriculum elements before analysis.</x:v>
      </x:c>
    </x:row>
    <x:row r="7" ht="54" customHeight="1">
      <x:c r="A7" s="58" t="n">
        <x:v>3</x:v>
      </x:c>
      <x:c r="B7" s="51" t="str">
        <x:v>UCL</x:v>
      </x:c>
      <x:c r="C7" s="51" t="str">
        <x:v>United Kingdom</x:v>
      </x:c>
      <x:c r="D7" s="51" t="str">
        <x:v>Sustainable Resources: Economics, Policy and Transitions MSc</x:v>
      </x:c>
      <x:c r="E7" s="51" t="str">
        <x:v>Full-time Part-time Flexible | UK tuition fees (2026/27) | £21,500 || Programme also available on a modular (flexible) basis . | Overseas tuition fees (2026/27) | £39,200 || Part-time | Tuition fees (2026/27) | £21,500</x:v>
      </x:c>
      <x:c r="F7" s="51" t="str">
        <x:v>Full-time | Full-time students complete the course in one year and can expect to study for 37.5 hours per week during term time. | You take four core modules in Term 1, followed by two core module and two optional modules in Term 2. The dissertation skills module runs across Terms 1 and 2. In Term 3 students work on their dissertation. || Part-time | Part-time students complete the full course over two years. | As a part-time student, in your first year you will take two modules in Terms 1 and 2. In your second year you take two modules in Term 1, two modules in Term 2, and complete your dissertation research in Term 3. Some term 2 modules may have pre-requisites. || Flexible | The flexible option allows you to complete your studies within five years. Study is undertaken on a module-by-module basis, with the student accumulating credit by</x:v>
      </x:c>
      <x:c r="G7" s="51" t="str">
        <x:v>International students | Study mode | Full-time Part-time Flexible || Study mode | Full-time Part-time Flexible | UK tuition fees (2026/27) || Throughout your degree you will be assessed through written examinations, coursework, group work including class presentations, and a dissertation. | In Terms 1 and 2, full-time students can typically expect between 8 and 15 contact hours per teaching week. The remainder of the week (approximately 22-29 hours) should be dedicated towards self-directed study. In Term 3, you should be in regular contact with your dissertation supervisor and otherwise work independently on your dissertation. | Modu</x:v>
      </x:c>
      <x:c r="H7" s="51" t="str">
        <x:v>A minimum of an upper second-class Bachelor's degree from a UK university or an overseas qualification of an equivalent standard in an appropriate subject (earth science, economics, political sciences, geography, physical sciences, law, engineering or related subject). These requirements may be relaxed for students who can demonstrate considerable and relevant aptitude and experience, for example, in business or government. Please clearly state in your personal statement how your educational or  || English language requirements | The English language level for this course is: Level 2 | UCL Pre-Master's and Pre-sessional English courses are for international students who are aiming to study for a postgraduate degree at UCL. The courses will develop your academic English and academic skills required to succeed at postgraduate level. || UCL Pre-Master's and Pre-sessional English courses are for international students who are aiming to study for a postgraduate degree at UCL. The courses wi</x:v>
      </x:c>
      <x:c r="I7" s="51" t="str">
        <x:v>London, Bloomsbury | Globally we are unsustainably using our natural resources, causing major environmental, social and political challenges. This master’s degree in sustainability equips you with the skills and knowledge for a career driving change across business and policy, promoting efficient, circular, equitable and sustainable resource use. Our interdisciplinary curriculum focuses on the environmental, social, and economic aspects of managing resources from public policy and business persp || Full-time students complete the course in one year and can expect to study for 37.5 hours per week during term time. | You take four core modules in Term 1, followed by two core module and two optional modules in Term 2. The dissertation skills module runs across Terms 1 and 2. In Term 3 students work on their dissertation. | Our Term 1 core modules provide essential knowledge in: || You take four core modules in Term 1, followed by two core module and two optional modules in Term 2. The dissertation skills module runs across Terms 1 and 2. In Term 3 students work on their dissertation. |</x:v>
      </x:c>
      <x:c r="J7" s="51" t="str">
        <x:v>Entry requirements | A minimum of an upper second-class Bachelor's degree from a UK university or an overseas qualification of an equivalent standard in an appropriate subject (earth science, economics, political sciences, geography, physical sciences, law, engineering or related subject). These requirements may be relaxed for students who can demonstrate considerable and relevant aptitude and experience, for example, in business or government. Please clearly state in your personal statement how || Students undertake modules to the value of 180 credits. Upon successful completion of 180 credits, you will be awarded an MSc in Sustainable Resources: Economics, Policy and Transitions. | Fieldwork | Depending on your module choices you may have the opportunity to attend optional site visits to explore relevant sustainable resource challenges in-situ. These site visits will not contribute tow</x:v>
      </x:c>
      <x:c r="K7" s="51" t="str">
        <x:v>Networking | We provide numerous networking opportunities to foster invaluable connections for our students. Many modules in this master’s degree feature guest speakers, industry leaders, and experts, offering students the chance to build professional relationships. During the dissertation module, students collaborate with UCL Institute for Sustainable Resources academic team and benefit from their extensive industry contacts. Our Institute's strong industry ties ensure that you will gain real-w || The course is delivered using a diverse array of teaching techniques. Lectures provide foundational knowledge and expert insights, often featuring presentations from visiting speakers. Seminars and tutorials foster active participation and critical discussion amongst you and your peers, enhancing your analytical skills and deepening understanding. Collaborative group projects promote teamwork</x:v>
      </x:c>
      <x:c r="L7" s="51" t="str">
        <x:v>Not stated on reviewed official page</x:v>
      </x:c>
      <x:c r="M7" s="51" t="str">
        <x:v>Not stated on reviewed official page</x:v>
      </x:c>
      <x:c r="N7" s="51" t="str">
        <x:v>The foundation of your career | 95.6% of Sustainable Resources: Economics, Policy and Transitions MSc students were in work or further study within 15 months of graduating ( HESA Graduate Outcomes Survey 2017-2023 ). | Our alumni work in a broad range of sustainability-related career roles. Some examples include Environmental, Social and Governance Consultant, Strategy Consultant, Research Analyst, Innovation Officer, Environmental Economist, Environmental Scientist, Specialist in Environmental  || Our alumni work in a broad range of sustainability-related career roles. Some examples include Environmental, Social and Governance Consultant, Strategy Consultant, Research Analyst, Innovation Officer, Environmental Economist, Environmental Scientist, Specialist in Environmental Law, Business Development Lead, and Policy &amp; Public Affairs Officer. | Notable organisations where our graduates wo</x:v>
      </x:c>
      <x:c r="O7" s="54" t="str">
        <x:v>https://www.ucl.ac.uk/prospective-students/graduate/taught-degrees/sustainable-resources-economics-policy-and-transitions-msc</x:v>
      </x:c>
      <x:c r="P7" s="54" t="str">
        <x:v>https://www.ucl.ac.uk/study/prospective-students/graduate/how-apply/english-language-requirements</x:v>
      </x:c>
      <x:c r="Q7" s="51" t="str">
        <x:v>Official program page retrieved; 4 official page(s) reviewed; 8/10 requested evidence groups found.</x:v>
      </x:c>
      <x:c r="R7" s="51" t="str">
        <x:v>Automated evidence extraction from official pages. Manually confirm year-specific tuition, language score applicability, and optional-versus-required curriculum elements before analysis.</x:v>
      </x:c>
    </x:row>
    <x:row r="8" ht="54" customHeight="1">
      <x:c r="A8" s="57" t="n">
        <x:v>4</x:v>
      </x:c>
      <x:c r="B8" s="21" t="str">
        <x:v>The University of Edinburgh</x:v>
      </x:c>
      <x:c r="C8" s="21" t="str">
        <x:v>United Kingdom</x:v>
      </x:c>
      <x:c r="D8" s="21" t="str">
        <x:v>MSc Global Strategy and Sustainability</x:v>
      </x:c>
      <x:c r="E8" s="21" t="str">
        <x:v>Not stated on reviewed official page</x:v>
      </x:c>
      <x:c r="F8" s="21" t="str">
        <x:v>How old your English language tests can be | Tests no more than two years old | The following English language tests must be no more than two years old on the 1st of the month in which your programme starts, regardless of your nationality: || Tests no more than two years old | The following English language tests must be no more than two years old on the 1st of the month in which your programme starts, regardless of your nationality: | IELTS Academic || How old your degree can be | If you are not a national of a majority English-speaking country, then your degree must be no more than five years old on the 1st of the month in which your programme starts. | This time limit does not apply to your degree if you are a national of a majority English-speaking country.</x:v>
      </x:c>
      <x:c r="G8" s="21" t="str">
        <x:v>In-peerson</x:v>
      </x:c>
      <x:c r="H8" s="21" t="str">
        <x:v>International qualifications | English language requirements | The minimum academic requirement is a UK 2:1 honours degree in a related subject or an equivalent international qualification . || A conditional offer can be made if you are waiting for a final degree result or a language test result. | Regardless of your nationality or country of residence, you must demonstrate a level of English language competency which will enable you to succeed in your studies. | English language tests we accept || Regardless of your nationality or country of residence, you must demonstrate a level of English language competency which will enable you to succeed in your studies. | English language tests we accept | We accept any of the following English language tests, at the specified grade or higher: || English language tests we accept | We accept any of the following English language tests, at the specified grade or higher: | IELTS Academic : total 7.0 with at least 6.0 in each component. We do not a</x:v>
      </x:c>
      <x:c r="I8" s="21" t="str">
        <x:v>Our MSc Global Strategy and Sustainability programme provides a critical understanding of the theories, processes, and behaviours influencing environmental and social responsibility. It focuses on the role of organisations and institutions across public, private, and third sectors in driving lasting positive impact.
With topics ranging from corporate responsibilty, carbon accounting, and digital innovation, this MSc programme highlights the impact of strategy in affecting local and global outcomes that support a sustainable future.</x:v>
      </x:c>
      <x:c r="J8" s="21" t="str">
        <x:v>NA</x:v>
      </x:c>
      <x:c r="K8" s="21" t="str">
        <x:v>Develop Your Talent | Dissertation executive summaries | Contact || Through the selection of various option courses, you can tailor your studies towards your career interests. | Finally, your MSc dissertation brings all of the year’s learning together in a piece of work unique to you. | To give you an idea of what the programme structure and courses might consist of, the below information details the structure and courses for this programme in 2026/27.* || May–August | Dissertation | Dissertation (Global Strategy and Sustainability)</x:v>
      </x:c>
      <x:c r="L8" s="21" t="str">
        <x:v>Not stated on reviewed official page</x:v>
      </x:c>
      <x:c r="M8" s="21" t="str">
        <x:v>Not stated on reviewed official page</x:v>
      </x:c>
      <x:c r="N8" s="21" t="str">
        <x:v>Graduates from our MSc Global Strategy and Sustainability programme have gone on to work for a variety of companies.
85%Jobs achieved within 6 months of graduation</x:v>
      </x:c>
      <x:c r="O8" s="53" t="str">
        <x:v>https://www.business-school.ed.ac.uk/msc/global-strategy-sustainability</x:v>
      </x:c>
      <x:c r="P8" s="53" t="str">
        <x:v>https://www.business-school.ed.ac.uk/msc/global-strategy-sustainability/entry-requirements; https://www.business-school.ed.ac.uk/msc/global-strategy-sustainability/overview/programme-structure</x:v>
      </x:c>
      <x:c r="Q8" s="21" t="str">
        <x:v>Official program page retrieved; 3 official page(s) reviewed; 5/10 requested evidence groups found.</x:v>
      </x:c>
      <x:c r="R8" s="21" t="str">
        <x:v>Automated evidence extraction from official pages. Manually confirm year-specific tuition, language score applicability, and optional-versus-required curriculum elements before analysis.</x:v>
      </x:c>
    </x:row>
    <x:row r="9" ht="54" customHeight="1">
      <x:c r="A9" s="58" t="n">
        <x:v>5</x:v>
      </x:c>
      <x:c r="B9" s="51" t="str">
        <x:v>University of British Columbia</x:v>
      </x:c>
      <x:c r="C9" s="51" t="str">
        <x:v>Canada</x:v>
      </x:c>
      <x:c r="D9" s="51" t="str">
        <x:v>Master of Engineering Leadership in Clean Energy Engineering</x:v>
      </x:c>
      <x:c r="E9" s="51" t="str">
        <x:v>Home | Tuition and Finance | A professional master’s degree from UBC is an investment in your future. || The decision to invest in a master’s degree is a significant commitment, and understanding the costs involved is essential for planning your educational journey. | On this page, you’ll find detailed information about tuition fees for full-time and part-time study options, student fees, and available financing resources—including student loans and potential external funding opportunities—to help you make an informed decision about your education investment. | Tuition and student fees || On this page, you’ll find detailed information about tuition fees for full-time and part-time study options, student fees, and available financing resources—including student loans and potential external funding opportunities—to help you make an informed</x:v>
      </x:c>
      <x:c r="F9" s="51" t="str">
        <x:v>English proficiency test scores | If you are required to complete an English language proficiency test you must take the test within 24 months of the date you submit your application and you must attain specific scores for each component of the test. | To succeed in the UBC Master of Engineering Leadership and Master of Health Leadership and Policy you need to be able to speak, listen, read and write in English at a high academic level. || IELTS : On your IELTS application form, indicate that you would like to send your results to “The University of British Columbia – Graduate School Admissions.” You will select this on the drop-down menu. The address is 170-6371 Crescent Road, Vancouver, BC, V6T 1Z2. | Please allow us one week to receive your official English language proficiency scores and to see this reflected on MyApplication . You wi</x:v>
      </x:c>
      <x:c r="G9" s="51" t="str">
        <x:v>The decision to invest in a master’s degree is a significant commitment, and understanding the costs involved is essential for planning your educational journey. | On this page, you’ll find detailed information about tuition fees for full-time and part-time study options, student fees, and available financing resources—including student loans and potential external funding opportunities—to help you make an informed decision about your education investment. | Tuition and student fees || Tuition and student fees | Understand the tuition and student fees for the full-time MEL and MHLP programs. | Explore Tuition Details</x:v>
      </x:c>
      <x:c r="H9" s="51" t="str">
        <x:v>Eligibility | English language proficiency | To succeed in the UBC Master of Engineering Leadership and Master of Health Leadership and Policy you need to be able to speak, listen, read and write in English at a high academic level. || To succeed in the UBC Master of Engineering Leadership and Master of Health Leadership and Policy you need to be able to speak, listen, read and write in English at a high academic level. | If you completed your degree at a university in a country where English is an official language and was the language of instruction for your degree, you do not need to show proof of your English language proficiency. | If you completed your degree at a university in a country where English is not the only off || If you completed your degree at a university in a country where English is an official language and was the language of instruction for your degree, you do not need to show proof of your English language proficiency. | If you completed your degree at a univers</x:v>
      </x:c>
      <x:c r="I9" s="51" t="str">
        <x:v>Not stated on reviewed official page</x:v>
      </x:c>
      <x:c r="J9" s="51" t="str">
        <x:v>NA</x:v>
      </x:c>
      <x:c r="K9" s="51" t="str">
        <x:v>Not stated on reviewed official page</x:v>
      </x:c>
      <x:c r="L9" s="51" t="str">
        <x:v>Not stated on reviewed official page</x:v>
      </x:c>
      <x:c r="M9" s="51" t="str">
        <x:v>Not stated on reviewed official page</x:v>
      </x:c>
      <x:c r="N9" s="51" t="str">
        <x:v>Not stated on reviewed official page</x:v>
      </x:c>
      <x:c r="O9" s="54" t="str">
        <x:v>https://apscpp.ubc.ca/programs/mel/clean-energy-engineering</x:v>
      </x:c>
      <x:c r="P9" s="54" t="str">
        <x:v>https://apscpp.ubc.ca/tuition-finance; https://apscpp.ubc.ca/eligibility/english-language-proficiency</x:v>
      </x:c>
      <x:c r="Q9" s="51" t="str">
        <x:v>Official program page retrieved; 3 official page(s) reviewed; 4/10 requested evidence groups found.</x:v>
      </x:c>
      <x:c r="R9" s="51" t="str">
        <x:v>Automated evidence extraction from official pages. Manually confirm year-specific tuition, language score applicability, and optional-versus-required curriculum elements before analysis.</x:v>
      </x:c>
    </x:row>
    <x:row r="10" ht="54" customHeight="1">
      <x:c r="A10" s="57" t="n">
        <x:v>6</x:v>
      </x:c>
      <x:c r="B10" s="21" t="str">
        <x:v>The London School of Economics and Political Science (LSE)</x:v>
      </x:c>
      <x:c r="C10" s="21" t="str">
        <x:v>United Kingdom</x:v>
      </x:c>
      <x:c r="D10" s="21" t="str">
        <x:v>MSc Environmental Policy and Regulation</x:v>
      </x:c>
      <x:c r="E10" s="21" t="str">
        <x:v>Places are limited on some courses and/or subject to specific entry requirements so we cannot therefore guarantee you a place. | Changes to programmes and courses may be made after you’ve accepted your offer of a place – normally due to developments in the discipline or as a consequence of student feedback. We may also make changes to course content, teaching formats or assessment methods but these are made to improve the learning experience. | For || The | table of fees shows the latest tuition fees for all programmes. | You're charged a fee for your programme. At LSE, your tuition fee covers registration and examination fees payable to the School, lectures, classes and individual supervision, lectures given at other colleges under intercollegiate arrangements and, under current arrangements, membership of the Students' Union. It doesn't</x:v>
      </x:c>
      <x:c r="F10" s="21" t="str">
        <x:v>Study mode / Programme availability | Home full-time students ( 12 months ) Closed | Home part-time students ( 24 months ) Closed || Home full-time students ( 12 months ) Closed | Home part-time students ( 24 months ) Closed | Overseas full-time students ( 12 months ) Closed || Home part-time students ( 24 months ) Closed | Overseas full-time students ( 12 months ) Closed | Academic year 2026/27</x:v>
      </x:c>
      <x:c r="G10" s="21" t="str">
        <x:v>Key information | Study mode / Programme availability | Home full-time students ( 12 months ) Closed || Study mode / Programme availability | Home full-time students ( 12 months ) Closed | Home part-time students ( 24 months ) Closed || Home full-time students ( 12 months ) Closed | Home part-time students ( 24 months ) Closed | Overseas full-time students ( 12 months ) Closed</x:v>
      </x:c>
      <x:c r="H10" s="21" t="str">
        <x:v>Select a country Search for a country | English language requirements | The English language requirement for this programme is Standard . Read more about our English language requirements . || English language requirements | The English language requirement for this programme is Standard . Read more about our English language requirements . | Competition for places at LSE is strong. So, even if you meet the minimum entry requirements, this doesn't guarantee you an offer of a place. || See further information on supporting documents . | You may need to provide evidence of your English language proficiency. See our English language requirements . | This programme is available as part of an ESRC-funded pathway onto a PhD programme .</x:v>
      </x:c>
      <x:c r="I10" s="21" t="str">
        <x:v>Entry requirements | Programme content | Why study with us || However, please don’t feel deterred from applying – we want to hear from all suitably qualified students. Think carefully about how you can put together the strongest possible application to help you stand out. | Programme content | Year 1 || Places are limited on some courses and/or subject to specific entry requirements so we cannot therefore guarantee you a place. | Changes to programmes and courses may be made after you’ve accepted your offer of a place – normally due to developments in the discipline or as a consequence of student feedback. We may also make changes to course content, teaching formats or assessment methods but these are made to improve the learning experience. | For</x:v>
      </x:c>
      <x:c r="J10" s="21" t="str">
        <x:v>table of fees shows the latest tuition fees for all programmes. | You're charged a fee for your programme. At LSE, your tuition fee covers registration and examination fees payable to the School, lectures, classes and individual supervision, lectures given at other colleges under intercollegiate arrangements and, under current arrangements, membership of the Students' Union. It doesn't cover living costs or travel or fieldwork. | Home</x:v>
      </x:c>
      <x:c r="K10" s="21" t="str">
        <x:v>Year 1 | You'll take one compulsory course, a dissertation, and two and a half units of optional courses. | If you're planning to apply for a PhD within the department, please be advised that you need to take some methods training as part of the MSc. Contact your MSc programme director and the Director of Graduate studies to discuss this requirement. || One unit | Dissertation - Environment Programme - MSc Environmental Economics and Climate Change, MSc Environmental Policy and Regulation and MSc Environment and Development | Courses to the value of one unit from the following list (you can either choose GY473 or GY474): || Contact hours and independent study | You can expect to receive approximately 120 hours of contact time excluding the dissertation. Teaching is mainly through lectures and graduate level seminars. Hours vary according to courses you can view indicative details in the</x:v>
      </x:c>
      <x:c r="L10" s="21" t="str">
        <x:v>Not stated on reviewed official page</x:v>
      </x:c>
      <x:c r="M10" s="21" t="str">
        <x:v>Not stated on reviewed official page</x:v>
      </x:c>
      <x:c r="N10" s="21" t="str">
        <x:v>Other Professional, Scientific and Technical Activities | This data is drawn from the 2022/23 Graduate Outcomes Survey, conducted by the Higher Education Statistics Agency (HESA). Where included, median salaries are based on respondents in full-time employment who were paid in UK pounds sterling. Graduates from 2022/23 were the sixth and final cohort to take part in the Graduate Outcomes Survey. For data aggregated across the past five years, please visit the LSE Careers website . | Career suppo</x:v>
      </x:c>
      <x:c r="O10" s="53" t="str">
        <x:v>https://www.lse.ac.uk/study-at-lse/graduate/msc-environmental-policy-and-regulation</x:v>
      </x:c>
      <x:c r="P10" s="53"/>
      <x:c r="Q10" s="21" t="str">
        <x:v>Official program page retrieved; 3 official page(s) reviewed; 8/10 requested evidence groups found.</x:v>
      </x:c>
      <x:c r="R10" s="21" t="str">
        <x:v>Automated evidence extraction from official pages. Manually confirm year-specific tuition, language score applicability, and optional-versus-required curriculum elements before analysis.</x:v>
      </x:c>
    </x:row>
    <x:row r="11" ht="54" customHeight="1">
      <x:c r="A11" s="58" t="n">
        <x:v>7</x:v>
      </x:c>
      <x:c r="B11" s="51" t="str">
        <x:v>Imperial College London</x:v>
      </x:c>
      <x:c r="C11" s="51" t="str">
        <x:v>United Kingdom</x:v>
      </x:c>
      <x:c r="D11" s="51" t="str">
        <x:v>MSc Climate Change, Management &amp; Finance</x:v>
      </x:c>
      <x:c r="E11" s="51" t="str">
        <x:v>Elective modules in management and finance allow for customisation based on career interests. You will select seven elective modules (subject to availability), with the option to specialise in either management or finance. Regardless of the specialisation, you will take two electives from the alternative pathway to ensure a well-rounded education. Alternately, a more balanced route involves taking three modules from one pathway and four from the other. Upon graduation, all students receive the s || Requests submitted after 15th June 2026 will only be approved in exceptional circumstances. | Please note deferrals are considered on a case by case basis and in order to be considered for a deferral, payment of the tuition fees deposit is required. | If you already paid your deposit for the current admissions cycle, this will be carried over t</x:v>
      </x:c>
      <x:c r="F11" s="51" t="str">
        <x:v>Duration: | 12 months | Next application deadline: || 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 || Elective modules in management and finance allow for customisation based on career interests. You will select seven elective modules (subject to availability), with the option to specialise in either management or finance. Regardless of the specialisation, you will take two electives from th</x:v>
      </x:c>
      <x:c r="G11" s="51" t="str">
        <x:v>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 || Induction week | On campus | | September || | September | Your MSc Climate Change, Management &amp; Finance induction will be spent at our vibrant South Kensington campus in London. You’ll be invited to a welcome event, designed to help forge new connections and get a taste of life at Imperial. Here, you can meet and network with your fellow studen</x:v>
      </x:c>
      <x:c r="H11" s="51" t="str">
        <x:v>You can apply to be considered for one programme each year. We will take your areas of interest and eligibility into account when considering you for alternative programmes. | Do I need to submit evidence of my English language proficiency with my application? | It is not compulsory to submit the results of an approved English language test with your application. However, it is strongly encouraged. It will add weight to your application if you are able to show that you have met the language requ || Do I need to submit evidence of my English language proficiency with my application? | It is not compulsory to submit the results of an approved English language test with your application. However, it is strongly encouraged. It will add weight to your application if you are able to show that you have met the language requirement prior to applying. | Read about detailed information regarding the Business School’s language requirements and the tests that we accept || It is not compulsory to s</x:v>
      </x:c>
      <x:c r="I11" s="51" t="str">
        <x:v>Overview | Programme content | Admissions || Advisory board | Our Advisory Board reviews and informs the direction of the programme to ensure our curriculum aligns with industry. The board is composed of industry leaders such as the Sustainability Director for Google and the Founder and CEO at Octopus. | Leading in entrepreneurship || Discover the Imperial advantage | Programme content | Our MSc Climate Change, Management &amp; Finance is a one year, full-time programme. The programme content is informed by our expert advisory board of industry leaders. || 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x:v>
      </x:c>
      <x:c r="J11" s="51" t="str">
        <x:v>Extended Work Placement | With the Extended Work Placement you will access additional work placement opportunities. This includes longer summer internships in the UK and worldwide. | You will gain deeper work experience credentials and boost your marketability with potential future employers. The Extended Work Placement contributes to the development of your managerial potential by applying problem solving techniques to a challenging business situation in which you are fully immersed. The focus  || I’ve been put on a waiting list, when will I receive a final decision? | Unfortunately, we are unable to confirm when you will receive a decision on your application. We will be in touch via email as soon as there is an update. You do not need to provide any additional information unless you think it will add significant weight to your application. For example, updated transcripts, relevant in</x:v>
      </x:c>
      <x:c r="K11" s="51" t="str">
        <x:v>Read more | In the summer term, you can choose between a group-based consulting project, individual work placement or individual research project. | Consulting project || In the summer term, you can choose between a group-based consulting project, individual work placement or individual research project. | Consulting project | Summer || Summer | The consulting project will be delivered for a real client. You will combine the material from the programme with a specific problem and deliver it as part of a team. | You can take the opportunity to complete your project abroad. This will allow you to experience the corporate environment in a country other than the UK. We work closely with the Grantham Institute to offer a wide network of organisations to help students secure placements.</x:v>
      </x:c>
      <x:c r="L11" s="51" t="str">
        <x:v>Not stated on reviewed official page</x:v>
      </x:c>
      <x:c r="M11" s="51" t="str">
        <x:v>Not stated on reviewed official page</x:v>
      </x:c>
      <x:c r="N11" s="51" t="str">
        <x:v>95% | employed within six months (Class of 2024) | nationalities (Class of 2026) || Employment outcomes below refer to the Class of 2024. | employed within six months | employed in the UK || employed in finance | Find out more about career outcomes | What our students say</x:v>
      </x:c>
      <x:c r="O11" s="54" t="str">
        <x:v>https://www.imperial.ac.uk/business-school/masters/climate-change-management-finance/</x:v>
      </x:c>
      <x:c r="P11" s="54" t="str">
        <x:v>https://www.imperial.ac.uk/business-school/undergraduate/bpes/</x:v>
      </x:c>
      <x:c r="Q11" s="51" t="str">
        <x:v>Official program page retrieved; 3 official page(s) reviewed; 8/10 requested evidence groups found.</x:v>
      </x:c>
      <x:c r="R11" s="51" t="str">
        <x:v>Automated evidence extraction from official pages. Manually confirm year-specific tuition, language score applicability, and optional-versus-required curriculum elements before analysis.</x:v>
      </x:c>
    </x:row>
    <x:row r="12" ht="54" customHeight="1">
      <x:c r="A12" s="57" t="n">
        <x:v>8</x:v>
      </x:c>
      <x:c r="B12" s="21" t="str">
        <x:v>The University of New South Wales (UNSW Sydney)</x:v>
      </x:c>
      <x:c r="C12" s="21" t="str">
        <x:v>Australia</x:v>
      </x:c>
      <x:c r="D12" s="21" t="str">
        <x:v>Master of Environmental Management</x:v>
      </x:c>
      <x:c r="E12" s="21" t="str">
        <x:v>Indicative fees are a guide for comparison only based on current conditions and available data. You should not rely on indicative fees. More information on fees can be found at the UNSW fees website . | Indicative first year fees are for tuition only. Indicative fees to complete the degree/program include tuition plus an estimate of study-related costs of approximately $1,000 per year and have been calculated based on percentage increase for every year of the degree/program, noting that actual f</x:v>
      </x:c>
      <x:c r="F12" s="21" t="str">
        <x:v>Degree duration may vary depending on which intake you commence prior to 2028. Click below to check your specific degree duration and what it means for you. | 1 - 2 Year(s) | View Academic Calendar info || For all three streams, you will need to meet the following admission requirements to be considered for entry into the program: | For the 1 year stream (A) | Honours degree or Graduate Diploma (or equivalent qualification) in a relevant discipline with a record of academic achievement equivalent to a UNSW credit average (65%) || Honours degree or Graduate Diploma (or equivalent qualification) in a relevant discipline with a record of academic achievement equivalent to a UNSW credit average (65%) | Bachelor degree (or equivalent qualification) in a relevant discipline with a record of academic achievement equivalent to a UNSW credit avera</x:v>
      </x:c>
      <x:c r="G12" s="21" t="str">
        <x:v>View Academic Calendar info | Delivery Mode | Distance (online with some face-to-face), Face-to-face (includes blended) || Delivery Mode | Distance (online with some face-to-face), Face-to-face (includes blended) | Campus || Tailor your study to your lifestyle | Choose from a flexible mix of in-person seminars, evening classes, field-based learning, creative exploration and online access. Shape your study with electives that match your background, passions and career goals, while connecting with a diverse, supportive community of changemakers. | Fast-track your degree</x:v>
      </x:c>
      <x:c r="H12" s="21" t="str">
        <x:v>UNSW also offers a Graduate Certificate and Graduate Diploma in Environmental Management . Completion of either of these programs with a credit average or higher, will allow you admission into the Master’s with full credit for courses already completed. | English language requirements | You may be asked to provide evidence of your English proficiency to study at UNSW depending on your educational background and citizenship. English language skills are vitally important for coping with lectures,  || English language requirements |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 If you’re completing an Australian Year 12 qualification (e.g. NSW HSC or equivalent), you do not need to provide anything extra</x:v>
      </x:c>
      <x:c r="I12" s="21" t="str">
        <x:v>What will I study? | Program structure | You’ll study the social, cultural and ecological drivers of today’s environmental challenges, combining insights from science, humanities and the social sciences. You’ll also build practical and experiential skills to lead ethical, restorative sustainability initiatives at local and global levels. || Foundational courses are designed and taught by passionate educators from across disciplines, giving you both depth and flexibility in your study. You can tailor your learning through core transdisciplinary seminars, field courses, independent research, internships and a wide range of electives. | Full program structure | Students must complete 96 units of credit (UOC) when taken as a standalone program. || Environmental Management A – 1 year stream (48 UOC) | Core Courses (18 UOC) | Disciplinary Knowledge Courses (at least 24 UOC) || Environmental Management B – 1.7 year stream (72 UOC) | Core Courses (18 UOC) | Disciplinary Knowledge Courses (at least 42 UOC)</x:v>
      </x:c>
      <x:c r="J12" s="21" t="str">
        <x:v>Build your professional network | Benefit from UNSW’s strong industry connections, partnerships and internship opportunities. You’ll also gain lifelong access to a global alumni network, helping you build professional relationships that support your career – long after graduation. | Program Code || You’ll study the social, cultural and ecological drivers of today’s environmental challenges, combining insights from science, humanities and the social sciences. You’ll also build practical and experiential skills to lead ethical, restorative sustainability initiatives at local and global levels. | Foundational courses are designed and taught by passionate educators from across disciplines, giving you both depth and flexibility in your study. You can tailor your learning through core transdisci || Remaking Worlds: Creative &amp; Critical Paradigm Shifts in Environment &amp; Society | Alongside semina</x:v>
      </x:c>
      <x:c r="K12" s="21" t="str">
        <x:v>Not stated on reviewed official page</x:v>
      </x:c>
      <x:c r="L12" s="21" t="str">
        <x:v>Not stated on reviewed official page</x:v>
      </x:c>
      <x:c r="M12" s="21" t="str">
        <x:v>Not stated on reviewed official page</x:v>
      </x:c>
      <x:c r="N12" s="21" t="str">
        <x:v>Accelerate your career | Join the university recognised for producing Australia’s most employable graduates seven years in a row (AFR Top100 Future Leaders &amp; Graduate Employers Awards, 2020–2026) and ranked #1 in Australia for #46 globally for employment outcomes (QS World University Rankings, 2027). Graduate with the skills and experience to lead in the sustainability sector. | Build your professional network || Winner of the AFR Most Employable University Award seven years in a row | AFR Top100 Future Leaders &amp; Graduate Employers Awards, 2020–2026 | Australia's #1 for Innovation</x:v>
      </x:c>
      <x:c r="O12" s="53" t="str">
        <x:v>https://www.unsw.edu.au/study/postgraduate/master-of-environmental-management</x:v>
      </x:c>
      <x:c r="P12" s="53"/>
      <x:c r="Q12" s="21" t="str">
        <x:v>Official program page retrieved; 1 official page(s) reviewed; 7/10 requested evidence groups found.</x:v>
      </x:c>
      <x:c r="R12" s="21" t="str">
        <x:v>Automated evidence extraction from official pages. Manually confirm year-specific tuition, language score applicability, and optional-versus-required curriculum elements before analysis.</x:v>
      </x:c>
    </x:row>
    <x:row r="13" ht="54" customHeight="1">
      <x:c r="A13" s="58" t="n">
        <x:v>9</x:v>
      </x:c>
      <x:c r="B13" s="51" t="str">
        <x:v>McGill University</x:v>
      </x:c>
      <x:c r="C13" s="51" t="str">
        <x:v>Canada</x:v>
      </x:c>
      <x:c r="D13" s="51" t="str">
        <x:v>MSc Geography - Sustainability Science and Environmental Management research theme</x:v>
      </x:c>
      <x:c r="E13" s="51" t="str">
        <x:v>Not stated on reviewed official page</x:v>
      </x:c>
      <x:c r="F13" s="51" t="str">
        <x:v>Not stated on reviewed official page</x:v>
      </x:c>
      <x:c r="G13" s="51" t="str">
        <x:v>Not stated on reviewed official page</x:v>
      </x:c>
      <x:c r="H13" s="51" t="str">
        <x:v>Each program has specific admission requirements including required application documents. Please visit the program website for more details. | Visit our Educational credentials and grade equivalencies and English language proficiency webpages for additional information. | Program Website</x:v>
      </x:c>
      <x:c r="I13" s="51" t="str">
        <x:v>Not stated on reviewed official page</x:v>
      </x:c>
      <x:c r="J13" s="51" t="str">
        <x:v>NA</x:v>
      </x:c>
      <x:c r="K13" s="51" t="str">
        <x:v>Not stated on reviewed official page</x:v>
      </x:c>
      <x:c r="L13" s="51" t="str">
        <x:v>Not stated on reviewed official page</x:v>
      </x:c>
      <x:c r="M13" s="51" t="str">
        <x:v>Not stated on reviewed official page</x:v>
      </x:c>
      <x:c r="N13" s="51" t="str">
        <x:v>Not stated on reviewed official page</x:v>
      </x:c>
      <x:c r="O13" s="54" t="str">
        <x:v>https://www.mcgill.ca/gradapplicants/program/geography-msc</x:v>
      </x:c>
      <x:c r="P13" s="54"/>
      <x:c r="Q13" s="51" t="str">
        <x:v>Official program page retrieved; 1 official page(s) reviewed; 1/10 requested evidence groups found.</x:v>
      </x:c>
      <x:c r="R13" s="51" t="str">
        <x:v>Automated evidence extraction from official pages. Manually confirm year-specific tuition, language score applicability, and optional-versus-required curriculum elements before analysis.</x:v>
      </x:c>
    </x:row>
    <x:row r="14" ht="54" customHeight="1">
      <x:c r="A14" s="57" t="n">
        <x:v>10</x:v>
      </x:c>
      <x:c r="B14" s="21" t="str">
        <x:v>The University of Manchester</x:v>
      </x:c>
      <x:c r="C14" s="21" t="str">
        <x:v>United Kingdom</x:v>
      </x:c>
      <x:c r="D14" s="21" t="str">
        <x:v>MSc Environmental Governance</x:v>
      </x:c>
      <x:c r="E14" s="21" t="str">
        <x:v>International student CAS deposit | Self-funded international applicants are required to pay a deposit of £2500 towards their tuition fees before a confirmation of acceptance for studies (CAS) is issued. Some applicants will be required to pay a higher deposit. More information on tuition fee deposits | Policy on additional costs || How much you need to pay | The minimum deposit is GBP 2,500. You can pay up to the full tuition fee for your programme if you wish. | Applicants who live in certain countries - currently Bangladesh, Ghana and Pakistan - will need to pay a higher deposit before a CAS can be issued. This is part of the University's process to help confirm applications are genuine. If this applies to you, you'll receive a separate email following your offer with all the details and next steps. || Paying in instalments | We recomm</x:v>
      </x:c>
      <x:c r="F14" s="21" t="str">
        <x:v>Year of entry: 2026 | Duration: 1 year | MSc || For the latest information on demonstrating your English proficiency for those whose first language is not English, please see our language requirements | This programme also accepts successful completion of the 6 and 10 Week Pre-sessional English Language course. We accept the following qualifications which must be valid on the start date of the Master's course. | Pre-sessional 6 Week Course Requirement: || This programme also accepts successful completion of the 6 and 10 Week Pre-sessional English Language course. We accept the following qualifications which must be valid on the start date of the Master's course. | Pre-sessional 6 Week Course Requirement: | IELTS Academic or UKVI - 6.0 Overall with 6.0 in Writing, no more than one sub-skill at 5.5 and no other sub-skill below 5.5</x:v>
      </x:c>
      <x:c r="G14" s="21" t="str">
        <x:v>Postgraduate certificates and diplomas | Online and blended learning | Continuing professional development courses || MSc | Full-time: In person | Due to high demand for this course, we operate a staged admissions process with multiple selection deadlines throughout the year, to maintain a fair and transparent approach. || Meet us | Join us online or in person to learn more about the University and our courses. | Learn more</x:v>
      </x:c>
      <x:c r="H14" s="21" t="str">
        <x:v>When assessing your academic record we take into account the grades you have achieved and the standing of the institution where you studied your qualification. | English language | For the latest information on demonstrating your English proficiency for those whose first language is not English, please see our language requirements || English language | For the latest information on demonstrating your English proficiency for those whose first language is not English, please see our language requirements | This programme also accepts successful completion of the 6 and 10 Week Pre-sessional English Language course. We accept the following qualifications which must be valid on the start date of the Master's course. || For the latest information on demonstrating your English proficiency for those whose first language is not English, please see our language requirements | This programme also accepts successful completion of the 6 and 10 Week Pre-sessional English Language course. We accept</x:v>
      </x:c>
      <x:c r="I14" s="21" t="str">
        <x:v>Preparation, attendance and conduct | Attendance at preparatory classes is a compulsory pre-requisite of the fieldwork and placements to ensure safety and learning outcomes are met. | Students who do not attend the compulsory preparatory classes may be prevented from participating in the fieldwork or placement. It is the duty of students to discuss any attendance issues with the field course or placement convenor. || Course unit list | The course unit details given below are subject to change, and are the latest example of the curriculum available on this course of study. | Title</x:v>
      </x:c>
      <x:c r="J14" s="21" t="str">
        <x:v>And where better to study Geography than Manchester? Once the world’s first industrial city, today it’s a thriving 21st-century hub surrounded by three National Parks. | The city, and its surroundings, provide a rich and diverse setting for hands-on fieldwork throughout your course. | Aims || Teaching and learning | Important notice: factors affecting fieldwork and placements | The School of Environment, Education and Development (SEED) recognises the value of fieldwork and placements. However, the safety and wellbeing of our students and staff remains our priority. || Important notice: factors affecting fieldwork and placements | The School of Environment, Education and Development (SEED) recognises the value of fieldwork and placements. However, the safety and wellbeing of our students and staff remains our priority. | The School will assess on a regular basis the viability of any trav</x:v>
      </x:c>
      <x:c r="K14" s="21" t="str">
        <x:v>Coursework is designed to allow you to pursue your particular areas of interest. | In the summer semester, you work independently to undertake dissertation work based on primary and/or secondary data, or else a more philosophical/theoretical dissertation. | We encourage you develop research in collaboration with members of the Society and Environment Research Group (SERG) and external organisations. || Mandatory | Dissertation (Environmental Governance) | GEOG70930</x:v>
      </x:c>
      <x:c r="L14" s="21" t="str">
        <x:v>Not stated on reviewed official page</x:v>
      </x:c>
      <x:c r="M14" s="21" t="str">
        <x:v>Not stated on reviewed official page</x:v>
      </x:c>
      <x:c r="N14" s="21" t="str">
        <x:v>Not stated on reviewed official page</x:v>
      </x:c>
      <x:c r="O14" s="53" t="str">
        <x:v>https://www.manchester.ac.uk/study/masters/courses/list/06967/msc-environmental-governance/</x:v>
      </x:c>
      <x:c r="P14" s="53" t="str">
        <x:v>https://www.manchester.ac.uk/study/masters/fees-and-funding/international-student-fees/tuition-fee-deposits/</x:v>
      </x:c>
      <x:c r="Q14" s="21" t="str">
        <x:v>Official program page retrieved; 3 official page(s) reviewed; 7/10 requested evidence groups found.</x:v>
      </x:c>
      <x:c r="R14" s="21" t="str">
        <x:v>Automated evidence extraction from official pages. Manually confirm year-specific tuition, language score applicability, and optional-versus-required curriculum elements before analysis.</x:v>
      </x:c>
    </x:row>
    <x:row r="15" ht="54" customHeight="1">
      <x:c r="A15" s="58" t="n">
        <x:v>11</x:v>
      </x:c>
      <x:c r="B15" s="51" t="str">
        <x:v>ETH Zurich</x:v>
      </x:c>
      <x:c r="C15" s="51" t="str">
        <x:v>Switzerland</x:v>
      </x:c>
      <x:c r="D15" s="51" t="str">
        <x:v>MSc Environmental Sciences</x:v>
      </x:c>
      <x:c r="E15" s="51" t="str">
        <x:v>Not stated on reviewed official page</x:v>
      </x:c>
      <x:c r="F15" s="51" t="str">
        <x:v>Credits | duration | 120 ECTS | 2 years | Academic title</x:v>
      </x:c>
      <x:c r="G15" s="51" t="str">
        <x:v>Not stated on reviewed official page</x:v>
      </x:c>
      <x:c r="H15" s="51" t="str">
        <x:v>Not stated on reviewed official page</x:v>
      </x:c>
      <x:c r="I15" s="51" t="str">
        <x:v>Not stated on reviewed official page</x:v>
      </x:c>
      <x:c r="J15" s="51" t="str">
        <x:v>NA</x:v>
      </x:c>
      <x:c r="K15" s="51" t="str">
        <x:v>Not stated on reviewed official page</x:v>
      </x:c>
      <x:c r="L15" s="51" t="str">
        <x:v>Not stated on reviewed official page</x:v>
      </x:c>
      <x:c r="M15" s="51" t="str">
        <x:v>Not stated on reviewed official page</x:v>
      </x:c>
      <x:c r="N15" s="51" t="str">
        <x:v>Not stated on reviewed official page</x:v>
      </x:c>
      <x:c r="O15" s="54" t="str">
        <x:v>https://ethz.ch/en/studies/master/degree-programmes/system-oriented-natural-sciences/environmental-sciences.html</x:v>
      </x:c>
      <x:c r="P15" s="54"/>
      <x:c r="Q15" s="51" t="str">
        <x:v>Official program page retrieved; 1 official page(s) reviewed; 1/10 requested evidence groups found.</x:v>
      </x:c>
      <x:c r="R15" s="51" t="str">
        <x:v>Automated evidence extraction from official pages. Manually confirm year-specific tuition, language score applicability, and optional-versus-required curriculum elements before analysis.</x:v>
      </x:c>
    </x:row>
    <x:row r="16" ht="54" customHeight="1">
      <x:c r="A16" s="57" t="n">
        <x:v>12</x:v>
      </x:c>
      <x:c r="B16" s="21" t="str">
        <x:v>The University of Melbourne</x:v>
      </x:c>
      <x:c r="C16" s="21" t="str">
        <x:v>Australia</x:v>
      </x:c>
      <x:c r="D16" s="21" t="str">
        <x:v>Master of Environment</x:v>
      </x:c>
      <x:c r="E16" s="21" t="str">
        <x:v>Commonwealth Supported Places (CSPs) are available; the reviewed program page links to fees and scholarships but does not display a fixed amount.</x:v>
      </x:c>
      <x:c r="F16" s="21" t="str">
        <x:v>2 years full-time / 4 years part-time.</x:v>
      </x:c>
      <x:c r="G16" s="21" t="str">
        <x:v>On campus (Parkville); full-time or part-time.</x:v>
      </x:c>
      <x:c r="H16" s="21" t="str">
        <x:v>Not stated on reviewed official page</x:v>
      </x:c>
      <x:c r="I16" s="21" t="str">
        <x:v>Two core subjects followed by a specialisation or tailored study plan. Options include climate change, waste management, and conservation and restoration.</x:v>
      </x:c>
      <x:c r="J16" s="21" t="str">
        <x:v>Available: overseas field subjects, industry internships, and work-integrated internships.</x:v>
      </x:c>
      <x:c r="K16" s="21" t="str">
        <x:v>Tailored capstone option: an industry internship or major research project.</x:v>
      </x:c>
      <x:c r="L16" s="21" t="str">
        <x:v>Not stated on reviewed official page</x:v>
      </x:c>
      <x:c r="M16" s="21" t="str">
        <x:v>Not stated on reviewed official page</x:v>
      </x:c>
      <x:c r="N16" s="21" t="str">
        <x:v>Not stated on reviewed official page</x:v>
      </x:c>
      <x:c r="O16" s="53" t="str">
        <x:v>https://study.unimelb.edu.au/find/courses/graduate/master-of-environment/</x:v>
      </x:c>
      <x:c r="P16" s="53" t="str">
        <x:v>https://study.unimelb.edu.au/find/courses/graduate/master-of-environment/</x:v>
      </x:c>
      <x:c r="Q16" s="21" t="str">
        <x:v>Manually completed from current official indexed content after the automated page request was blocked or incomplete.</x:v>
      </x:c>
      <x:c r="R16" s="21" t="str">
        <x:v>Official source content was manually reviewed. Reconfirm year-specific tuition and linked university-wide requirements before final statistical analysis.</x:v>
      </x:c>
    </x:row>
    <x:row r="17" ht="54" customHeight="1">
      <x:c r="A17" s="58" t="n">
        <x:v>13</x:v>
      </x:c>
      <x:c r="B17" s="51" t="str">
        <x:v>University of California, Berkeley (UCB)</x:v>
      </x:c>
      <x:c r="C17" s="51" t="str">
        <x:v>United States</x:v>
      </x:c>
      <x:c r="D17" s="51" t="str">
        <x:v>Master of Climate Solutions</x:v>
      </x:c>
      <x:c r="E17" s="51" t="str">
        <x:v>Not stated on reviewed official page</x:v>
      </x:c>
      <x:c r="F17" s="51" t="str">
        <x:v>Earn Your Master | of Climate Solutions In Just One Year | Unleash your impact: Discover how to empower communities, foster resilience, and cultivate a sustainable future with environmental and climate justice. || Hands-on learning built into the curriculum to help you connect with real-world climate solutions | Designed for professionals with a minimum of 3 years of work experience, our program can be completed in just one year. | Opportunities for concurrent degree with other UC Berkeley programs || 1,300 | EY announced that it plans to hire 1,300 new employees over three years as it launches EYCarbon, “a new sustainability offering to support businesses preparing for net-zero.” | 1.2B</x:v>
      </x:c>
      <x:c r="G17" s="51" t="str">
        <x:v>The MCS Program at a Glance | In-person on the UC Berkeley campus in the San Francisco Bay Area | Built for students with a wide range of educational and technical backgrounds || Application Timeline | Applications open in September 2025 for the Fall 2026 term (full-time only, no spring admissions). | Submission Guidelines || Note: These instructions apply only to the Master of Climate Solutions application. | If you are applying to the joint MBA/MCS program, please follow the standard full-time MBA application process through the Haas School of Business. | Admissions Requirements</x:v>
      </x:c>
      <x:c r="H17" s="51" t="str">
        <x:v>Test Scores | English Language Proficiency Requirement | Applicants who earned their degree in a country where English is not the official language must submit official proof of English language proficiency. || English Language Proficiency Requirement | Applicants who earned their degree in a country where English is not the official language must submit official proof of English language proficiency. | This includes degrees from countries such as: || You may satisfy the English proficiency requirement by submitting scores from one of the following: | TOEFL (Test of English as a Foreign Language) | IELTS (International English Language Testing System) || TOEFL (Test of English as a Foreign Language) | IELTS (International English Language Testing System) | TOEFL Requirements</x:v>
      </x:c>
      <x:c r="I17" s="51" t="str">
        <x:v>Built for students with a wide range of educational and technical backgrounds | Hands-on learning built into the curriculum to help you connect with real-world climate solutions | Designed for professionals with a minimum of 3 years of work experience, our program can be completed in just one year. || Become a Climate Leader | Critical leadership skills are integrated within a compact curriculum, preparing you to be a proficient, conscientious leader in addressing climate challenges. A central change making course, Organizational, Political, and Societal Change for Climate Solutions , equips you with a framework for enacting change within organizations and across society. The year-long capstone program includes training in key management skills. All courses reinforce lessons in communication, || Unlocking Change for a Sustainable Tomorrow | A low-carbon future requires change across society and within organizations. Our unique leadership course Organizational, Political, and Societal Change for Climate Solutions prepares you to be a change agent across sectors like businesses, civil</x:v>
      </x:c>
      <x:c r="J17" s="51" t="str">
        <x:v>NA</x:v>
      </x:c>
      <x:c r="K17" s="51" t="str">
        <x:v>Become a Climate Leader | Critical leadership skills are integrated within a compact curriculum, preparing you to be a proficient, conscientious leader in addressing climate challenges. A central change making course, Organizational, Political, and Societal Change for Climate Solutions , equips you with a framework for enacting change within organizations and across society. The year-long capstone program includes training in key management skills. All courses reinforce lessons in communication, || Immersive Learning | The goal of the MCS is to both train you in new skills and to connect you to the real world. The program will connect you with sustainability leaders via guest presentations, fireside chats, and excursions. The program also includes a yearlong immersive capstone experience that pairs small groups of students with a real partner organization seeking help in creating a clima</x:v>
      </x:c>
      <x:c r="L17" s="51" t="str">
        <x:v>Not stated on reviewed official page</x:v>
      </x:c>
      <x:c r="M17" s="51" t="str">
        <x:v>Not stated on reviewed official page</x:v>
      </x:c>
      <x:c r="N17" s="51" t="str">
        <x:v>Not stated on reviewed official page</x:v>
      </x:c>
      <x:c r="O17" s="54" t="str">
        <x:v>https://climatesolutions.berkeley.edu/</x:v>
      </x:c>
      <x:c r="P17" s="54" t="str">
        <x:v>https://climatesolutions.berkeley.edu/mcs/mcs-admissions-overview/</x:v>
      </x:c>
      <x:c r="Q17" s="51" t="str">
        <x:v>Official program page retrieved; 2 official page(s) reviewed; 5/10 requested evidence groups found.</x:v>
      </x:c>
      <x:c r="R17" s="51" t="str">
        <x:v>Automated evidence extraction from official pages. Manually confirm year-specific tuition, language score applicability, and optional-versus-required curriculum elements before analysis.</x:v>
      </x:c>
    </x:row>
    <x:row r="18" ht="54" customHeight="1">
      <x:c r="A18" s="57" t="n">
        <x:v>14</x:v>
      </x:c>
      <x:c r="B18" s="21" t="str">
        <x:v>Stanford University</x:v>
      </x:c>
      <x:c r="C18" s="21" t="str">
        <x:v>United States</x:v>
      </x:c>
      <x:c r="D18" s="21" t="str">
        <x:v>MS Sustainability Science and Practice</x:v>
      </x:c>
      <x:c r="E18" s="21" t="str">
        <x:v>Transfer and Test Credit | Tuition and Fees | Veterans and Military Benefits || Academic Calendar | Tuition &amp; Fees | Enrolling in Courses || Tuition &amp; Fees | Main navigation</x:v>
      </x:c>
      <x:c r="F18" s="21" t="str">
        <x:v>Not stated on reviewed official page</x:v>
      </x:c>
      <x:c r="G18" s="21" t="str">
        <x:v>Elective courses for the master’s program must be selected from the program’s pre-approved list. | Blended Arts and Sciences Elective Courses (50% / 50%) | These course units are designated 50% in the arts and 50% in the sciences.</x:v>
      </x:c>
      <x:c r="H18" s="21" t="str">
        <x:v>Not stated on reviewed official page</x:v>
      </x:c>
      <x:c r="I18" s="21" t="str">
        <x:v>Program Policies | Learning Outcomes | Program Overview || The Sustainability Science and Practice program (SUST for short) is an interdisciplinary coterminal master’s program hosted by the Stanford Doerr School of Sustainability. The program prepares leaders to radically accelerate the transition to a sustainable and just society. As the global human population climbs toward 10 billion, consumption demands increase, and disparities in wealth and opportunity persist, humanity must learn to equitably meet existing needs in ways that do not forgo possibil || Courses in the natural sciences enable students to understand Earth and the planetary changes occurring, while courses in the social sciences and arts develop students’ understanding of the social, economic, and policy factors that influence human capacity to drive transformative change. Theoretical frameworks prepare students to analyze complex social-environmental systems and conceptualize the nature of human-environment interactions. To learn how sustainability works (or does not work) in pra || Sustainability Leadership Practic</x:v>
      </x:c>
      <x:c r="J18" s="21" t="str">
        <x:v>Students develop an understanding of how to intervene in complex systems for transformative impact by exploring frameworks and tools from systems thinking, design thinking, social cognitive theory, behavioral economics, and partnership strategies. They develop practical skills to understand complexity, analyze root causes, and design high-leverage intervention pathways that realign systems with the goal of intergenerational well-being. | Sustainability Leadership Practicum | To integrate and int || Sustainability Leadership Practicum | To integrate and internalize core lessons from the SUST curriculum, each student completes a 120-hour practicum project of their design, collaborating on a complex sustainability challenge with an outside partner and working through the constraints often faced by decision-makers and leaders. Students apply the curriculum’s leadership mindsets, knowledge, a</x:v>
      </x:c>
      <x:c r="K18" s="21" t="str">
        <x:v>Not stated on reviewed official page</x:v>
      </x:c>
      <x:c r="L18" s="21" t="str">
        <x:v>Not stated on reviewed official page</x:v>
      </x:c>
      <x:c r="M18" s="21" t="str">
        <x:v>Not stated on reviewed official page</x:v>
      </x:c>
      <x:c r="N18" s="21" t="str">
        <x:v>Not stated on reviewed official page</x:v>
      </x:c>
      <x:c r="O18" s="53" t="str">
        <x:v>https://bulletin.stanford.edu/programs/SUSTSCI-MS/general-aoYks</x:v>
      </x:c>
      <x:c r="P18" s="53" t="str">
        <x:v>https://studentservices.stanford.edu/my-finances/tuition-fees</x:v>
      </x:c>
      <x:c r="Q18" s="21" t="str">
        <x:v>Official program page retrieved; 2 official page(s) reviewed; 4/10 requested evidence groups found.</x:v>
      </x:c>
      <x:c r="R18" s="21" t="str">
        <x:v>Automated evidence extraction from official pages. Manually confirm year-specific tuition, language score applicability, and optional-versus-required curriculum elements before analysis.</x:v>
      </x:c>
    </x:row>
    <x:row r="19" ht="54" customHeight="1">
      <x:c r="A19" s="58" t="n">
        <x:v>15</x:v>
      </x:c>
      <x:c r="B19" s="51" t="str">
        <x:v>University of Oxford</x:v>
      </x:c>
      <x:c r="C19" s="51" t="str">
        <x:v>United Kingdom</x:v>
      </x:c>
      <x:c r="D19" s="51" t="str">
        <x:v>MSc in Sustainability, Enterprise and the Environment</x:v>
      </x:c>
      <x:c r="E19" s="51" t="str">
        <x:v>During the week-long trip, you will visit a selected region to connect with individual companies and their supply chains in order to bring to life critical concepts and apply your learning. | Field trip costs are included in the course fee, and any specific accessibility issues will be taken into account when planning the visits. | Assessments will consist of either written examination and/or coursework which may include written and/or oral tasks. You will also be assessed on your individual dis || What students say about this course | Student feedback plays a crucial role in refining the course and is gathered at the end of each term. A survey conducted in May revealed that 100% of students from the most recent cohort were satisfied with their experience. Furthermore, 76% of graduating students stated the course greatly exceeded their ex</x:v>
      </x:c>
      <x:c r="F19" s="51" t="str">
        <x:v>Duration | 12 months | Time commitment || Teaching is delivered by academic staff from the Smith School and School of Geography and the Environment as well as other departments across the University. In addition, guest lectures from enterprise, such as the Smith School’s Business Fellows, add to the breadth of teaching expertise. | The course is structured across three terms, progressing from broad-based concepts and skills to increased application and engagement: | Michaelmas Term || Module Four takes place in Michaelmas Term, where the focus is on understanding the nature of the net-zero sustainable development (NZSD) conundrum. This module considers the macro forces and drivers that are shaping, disrupting and re-shaping economic, social and environmental relationships, and the implications of ‘glocalization’ for NZSD. The module analy</x:v>
      </x:c>
      <x:c r="G19" s="51" t="str">
        <x:v>Time commitment | Full time | Location || Open | For the 2025-26 academic year, likely costs for full-time study is between £1,425 and £2,035 for each month spent in Oxford. Full information, including a breakdown of costs in Oxford for items such as food, accommodation and study costs, is available on the University’s living costs page . | Scholarships || Oxford FirstRand Scholarships | Applicants for the MSc in Sustainability, Enterprise and the Environment, ordinarily resident in South Africa, and have not previously studied at a university outside of South Africa. The successful applicant will demonstrate the potential to be a destiny changer, to rise to a position of leadership and influence. This scholarship is for full-time study only and offers full course fees, plus maintenance expenses for a single postgraduate living in College</x:v>
      </x:c>
      <x:c r="H19" s="51" t="str">
        <x:v>You should demonstrate an interest in sustainable development and net zero, and intersections with enterprise. Evidence of any relevant practice experience should be outlined, but is not required. | See English language requirement by visiting this page English at the University’s higher level . | Candidates will be asked to provide:</x:v>
      </x:c>
      <x:c r="I19" s="51" t="str">
        <x:v>The MSEE comprises: | 10 core modules | Two electives || During Michaelmas and Hilary terms (weeks 1 to 8), a typical study week includes an average of 16 contact hours: | 2 hours of lectures for each of the five core modules. | 2 hours per elective. || This module takes place in Hilary Term, where the focus is on how to tackle the Net-Zero, Sustainable Development challenge. This is done by integrated assessment of potential solutions and pathways. It provides students with foundational knowledge in the emerging theories and practice of sustainable finance and investment. | Learning Outcomes: | 1. To develop sufficient understanding to navigate and critically analyse the key aspects and developments in sustainable finance and investment. || Participation in this course will equip students with a foundational understanding of some of the key normative frameworks regarding the natural world and their influence on different actors, enabling critical evaluation of social and policy decisions. Students will also deepen their understanding of transdisciplinarity as a method for addressing</x:v>
      </x:c>
      <x:c r="J19" s="51" t="str">
        <x:v>Engage in benchmarking and comparative exercises, through case studies, to critically analyse both successful and less successful transitions and interventions and derive practical takeaways from their example. | This module manifests as eight consecutive two-hour sessions over the term, incorporating a mix of information dissemination (i.e., lectures with slides), classroom discussion and debate, and interactive exercises (‘practicums’). Example sessions in this module can be as follows: | Soci</x:v>
      </x:c>
      <x:c r="K19" s="51" t="str">
        <x:v>Two electives | A 15,000-word dissertation. | Our approach combines directed teaching, self-regulated learning, structured engagement with enterprise and formal assessment. || Field trip costs are included in the course fee, and any specific accessibility issues will be taken into account when planning the visits. | Assessments will consist of either written examination and/or coursework which may include written and/or oral tasks. You will also be assessed on your individual dissertation, which will have been produced independently and contain original work. | An independent and original dissertation is an integral component of the course. We offer a suite of trainin || Assessments will consist of either written examination and/or coursework which may include written and/or oral tasks. You will also be assessed on your individual dissertation, which will have been produced independently</x:v>
      </x:c>
      <x:c r="L19" s="51" t="str">
        <x:v>Not stated on reviewed official page</x:v>
      </x:c>
      <x:c r="M19" s="51" t="str">
        <x:v>Not stated on reviewed official page</x:v>
      </x:c>
      <x:c r="N19" s="51" t="str">
        <x:v>Not stated on reviewed official page</x:v>
      </x:c>
      <x:c r="O19" s="54" t="str">
        <x:v>https://www.smithschool.ox.ac.uk/course/msc-sustainability-enterprise-and-environment</x:v>
      </x:c>
      <x:c r="P19" s="54"/>
      <x:c r="Q19" s="51" t="str">
        <x:v>Official program page retrieved; 2 official page(s) reviewed; 7/10 requested evidence groups found.</x:v>
      </x:c>
      <x:c r="R19" s="51" t="str">
        <x:v>Automated evidence extraction from official pages. Manually confirm year-specific tuition, language score applicability, and optional-versus-required curriculum elements before analysis.</x:v>
      </x:c>
    </x:row>
    <x:row r="20" ht="54" customHeight="1">
      <x:c r="A20" s="57" t="n">
        <x:v>16</x:v>
      </x:c>
      <x:c r="B20" s="21" t="str">
        <x:v>The University of Sydney</x:v>
      </x:c>
      <x:c r="C20" s="21" t="str">
        <x:v>Australia</x:v>
      </x:c>
      <x:c r="D20" s="21" t="str">
        <x:v>Master of Sustainability</x:v>
      </x:c>
      <x:c r="E20" s="21" t="str">
        <x:v>Not stated on reviewed official page</x:v>
      </x:c>
      <x:c r="F20" s="21" t="str">
        <x:v>Not stated on reviewed official page</x:v>
      </x:c>
      <x:c r="G20" s="21" t="str">
        <x:v>Not stated on reviewed official page</x:v>
      </x:c>
      <x:c r="H20" s="21" t="str">
        <x:v>Not stated on reviewed official page</x:v>
      </x:c>
      <x:c r="I20" s="21" t="str">
        <x:v>Not stated on reviewed official page</x:v>
      </x:c>
      <x:c r="J20" s="21" t="str">
        <x:v>NA</x:v>
      </x:c>
      <x:c r="K20" s="21" t="str">
        <x:v>Not stated on reviewed official page</x:v>
      </x:c>
      <x:c r="L20" s="21" t="str">
        <x:v>Not stated on reviewed official page</x:v>
      </x:c>
      <x:c r="M20" s="21" t="str">
        <x:v>Not stated on reviewed official page</x:v>
      </x:c>
      <x:c r="N20" s="21" t="str">
        <x:v>Not stated on reviewed official page</x:v>
      </x:c>
      <x:c r="O20" s="53" t="str">
        <x:v>https://www.sydney.edu.au/courses/courses/pc/master-of-sustainability.html</x:v>
      </x:c>
      <x:c r="P20" s="53"/>
      <x:c r="Q20" s="21" t="str">
        <x:v>Official program page retrieved; 1 official page(s) reviewed; 0/10 requested evidence groups found.</x:v>
      </x:c>
      <x:c r="R20" s="21" t="str">
        <x:v>Automated evidence extraction from official pages. Manually confirm year-specific tuition, language score applicability, and optional-versus-required curriculum elements before analysis.</x:v>
      </x:c>
    </x:row>
    <x:row r="21" ht="54" customHeight="1">
      <x:c r="A21" s="58" t="n">
        <x:v>17</x:v>
      </x:c>
      <x:c r="B21" s="51" t="str">
        <x:v>Australian National University (ANU)</x:v>
      </x:c>
      <x:c r="C21" s="51" t="str">
        <x:v>Australia</x:v>
      </x:c>
      <x:c r="D21" s="51" t="str">
        <x:v>Master of Climate Change</x:v>
      </x:c>
      <x:c r="E21" s="51" t="str">
        <x:v>2026 annual indicative fee for international students: AUD 56,120. Domestic Tuition Fees (DTF) vary; Services and Amenities Fee also applies.</x:v>
      </x:c>
      <x:c r="F21" s="51" t="str">
        <x:v>1.5 years full-time; minimum 72 units.</x:v>
      </x:c>
      <x:c r="G21" s="51" t="str">
        <x:v>In person (MCLIM); a separate online plan (MCLIMO) is also published by ANU.</x:v>
      </x:c>
      <x:c r="H21" s="51" t="str">
        <x:v>Applicants must meet ANU English language admission requirements; a program-specific score was not stated on the reviewed page.</x:v>
      </x:c>
      <x:c r="I21" s="51" t="str">
        <x:v>Climate impacts, adaptation, mitigation, climate economics, law, policy, governance, research methods, and practical application; 72 units with at least 30 units of climate-change courses.</x:v>
      </x:c>
      <x:c r="J21" s="51" t="str">
        <x:v>NA</x:v>
      </x:c>
      <x:c r="K21" s="51" t="str">
        <x:v>Not stated on reviewed official page</x:v>
      </x:c>
      <x:c r="L21" s="51" t="str">
        <x:v>Not stated on reviewed official page</x:v>
      </x:c>
      <x:c r="M21" s="51" t="str">
        <x:v>Not stated on reviewed official page</x:v>
      </x:c>
      <x:c r="N21" s="51" t="str">
        <x:v>Not stated on reviewed official page</x:v>
      </x:c>
      <x:c r="O21" s="54" t="str">
        <x:v>https://programsandcourses.anu.edu.au/program/MCLCH</x:v>
      </x:c>
      <x:c r="P21" s="54" t="str">
        <x:v>https://programsandcourses.anu.edu.au/2026/program/MCLIM</x:v>
      </x:c>
      <x:c r="Q21" s="51" t="str">
        <x:v>Manually completed from current official indexed content after the automated page request was blocked or incomplete.</x:v>
      </x:c>
      <x:c r="R21" s="51" t="str">
        <x:v>Official source content was manually reviewed. Reconfirm year-specific tuition and linked university-wide requirements before final statistical analysis.</x:v>
      </x:c>
    </x:row>
    <x:row r="22" ht="54" customHeight="1">
      <x:c r="A22" s="57" t="n">
        <x:v>18</x:v>
      </x:c>
      <x:c r="B22" s="21" t="str">
        <x:v>King's College London</x:v>
      </x:c>
      <x:c r="C22" s="21" t="str">
        <x:v>United Kingdom</x:v>
      </x:c>
      <x:c r="D22" s="21" t="str">
        <x:v>Environment, Politics and Development MSc</x:v>
      </x:c>
      <x:c r="E22" s="21" t="str">
        <x:v>Not stated on reviewed official page</x:v>
      </x:c>
      <x:c r="F22" s="21" t="str">
        <x:v>Climate Change: Environment, Science and Policy MSc | One year full-time, two years part-time, September to September | Multiple study modes available || Environmental Science for Sustainability MSc | Full-time: one year; part-time: two years | Multiple study modes available || Geopolitics, Resources and Territory MA | One year full-time, September to September, two years part-time | Multiple study modes available</x:v>
      </x:c>
      <x:c r="G22" s="21" t="str">
        <x:v>Climate Change: Environment, Science and Policy MSc | One year full-time, two years part-time, September to September | Multiple study modes available || One year full-time, two years part-time, September to September | Multiple study modes available | In person || Multiple study modes available | In person | Environmental Science for Sustainability MSc</x:v>
      </x:c>
      <x:c r="H22" s="21" t="str">
        <x:v>Not stated on reviewed official page</x:v>
      </x:c>
      <x:c r="I22" s="21" t="str">
        <x:v>Not stated on reviewed official page</x:v>
      </x:c>
      <x:c r="J22" s="21" t="str">
        <x:v>Develop interdisciplinary understanding of the ways in which the human and physical world is revealed through representations of space, place and landscape. | Access opportunities to carry out original fieldwork either in the UK or overseas for your dissertation. | An optional internship module helps students take their first steps towards employment in a relevant vocational field. || Access opportunities to carry out original fieldwork either in the UK or overseas for your dissertation. | An optional internship module helps students take their first steps towards employment in a relevant vocational field. | I find many attractive things about King’s particularly the huge community of talented global students from whom I have gained invaluable insight into their rich cultural and built lifelong relationships. Kings facilities such as the academic libraries IT services and ext || thesis/r</x:v>
      </x:c>
      <x:c r="K22" s="21" t="str">
        <x:v>Develop interdisciplinary understanding of the ways in which the human and physical world is revealed through representations of space, place and landscape. | Access opportunities to carry out original fieldwork either in the UK or overseas for your dissertation. | An optional internship module helps students take their first steps towards employment in a relevant vocational field. || thesis/report; | • Undertaking effective fieldwork as part of dissertation, if suitable; | • Employing a variety of social survey and interpretative methods for analysing information from the human world.</x:v>
      </x:c>
      <x:c r="L22" s="21" t="str">
        <x:v>Not stated on reviewed official page</x:v>
      </x:c>
      <x:c r="M22" s="21" t="str">
        <x:v>Not stated on reviewed official page</x:v>
      </x:c>
      <x:c r="N22" s="21" t="str">
        <x:v>Not stated on reviewed official page</x:v>
      </x:c>
      <x:c r="O22" s="53" t="str">
        <x:v>https://www.kcl.ac.uk/study/postgraduate-taught/courses/environment-politics-and-development-msc</x:v>
      </x:c>
      <x:c r="P22" s="53"/>
      <x:c r="Q22" s="21" t="str">
        <x:v>Official program page retrieved; 1 official page(s) reviewed; 4/10 requested evidence groups found.</x:v>
      </x:c>
      <x:c r="R22" s="21" t="str">
        <x:v>Automated evidence extraction from official pages. Manually confirm year-specific tuition, language score applicability, and optional-versus-required curriculum elements before analysis.</x:v>
      </x:c>
    </x:row>
    <x:row r="23" ht="54" customHeight="1">
      <x:c r="A23" s="58" t="n">
        <x:v>19</x:v>
      </x:c>
      <x:c r="B23" s="51" t="str">
        <x:v>University of Bristol</x:v>
      </x:c>
      <x:c r="C23" s="51" t="str">
        <x:v>United Kingdom</x:v>
      </x:c>
      <x:c r="D23" s="51" t="str">
        <x:v>MSc Environmental Policy and Management</x:v>
      </x:c>
      <x:c r="E23" s="51" t="str">
        <x:v>Fees are subject to an annual review. For programmes that last longer than one year, please budget for up to an 8% increase in fees each year. | More about tuition fees, living costs and financial support . | Alumni discount || Alumni discount | University of Bristol students and graduates can benefit from a 25% reduction in tuition fees for postgraduate study. Check your eligibility for an alumni discount. | Funding and scholarships || Student finances | Find out everything you need to know to plan your student finances including tuition fees, living costs, student loans, grants and scholarships. | Scam warning</x:v>
      </x:c>
      <x:c r="F23" s="51" t="str">
        <x:v>Programme duration | One year full-time; | Two years part-time. || One year full-time; | Two years part-time. | Start date || You will typically need an upper second-class honours degree or international equivalent in Anthropology, History, Literature, Philosophy, Biology/Natural Sciences, Chemistry, Ecology, Engineering (any type), Environmental Science, Mathematics, Physics, Zoology, Business Studies, Economics, Environmental Studies, Geography, Human Geography, Politics/Political Science or Sociology. | We will also consider applicants with other degree subjects on a case-by-case basis if they have at least one year</x:v>
      </x:c>
      <x:c r="G23" s="51" t="str">
        <x:v>Programme duration | One year full-time; | Two years part-time. || One year full-time; | Two years part-time. | Start date || Delivery method | On-Campus | Location</x:v>
      </x:c>
      <x:c r="H23" s="51" t="str">
        <x:v>Go to admissions statement | English language requirements If English is not your first language, you will need to reach the requirements outlined in our profile level E. | Further information about English language requirements and profile levels . || English language requirements If English is not your first language, you will need to reach the requirements outlined in our profile level E. | Further information about English language requirements and profile levels . | Fees and funding</x:v>
      </x:c>
      <x:c r="I23" s="51" t="str">
        <x:v>The programme is closely affiliated with the University's Cabot Institute , which promotes multidisciplinary research around global environmental change and benefits from our location in the city of Bristol, the UK's first ever European Green Capital and a vibrant hub of environmental activism and technological innovation. | Through a demanding academic curriculum and practice-based learning opportunities, you will develop the skills and knowledge needed for employment in the public, private and || Find out more | Programme structure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 develop practical experience through the completion of an extended || We will also consider your application if your final overall achieved grade is slightly lowe</x:v>
      </x:c>
      <x:c r="J23" s="51" t="str">
        <x:v>NA</x:v>
      </x:c>
      <x:c r="K23" s="51" t="str">
        <x:v>Programme structure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 develop practical experience through the completion of an extended team-based proj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x:v>
      </x:c>
      <x:c r="L23" s="51" t="str">
        <x:v>Not stated on reviewed official page</x:v>
      </x:c>
      <x:c r="M23" s="51" t="str">
        <x:v>Not stated on reviewed official page</x:v>
      </x:c>
      <x:c r="N23" s="51" t="str">
        <x:v>Not stated on reviewed official page</x:v>
      </x:c>
      <x:c r="O23" s="54" t="str">
        <x:v>https://www.bristol.ac.uk/study/postgraduate/taught/msc-environmental-policy-and-management/</x:v>
      </x:c>
      <x:c r="P23" s="54" t="str">
        <x:v>https://www.bristol.ac.uk/students/support/finances/</x:v>
      </x:c>
      <x:c r="Q23" s="51" t="str">
        <x:v>Official program page retrieved; 3 official page(s) reviewed; 6/10 requested evidence groups found.</x:v>
      </x:c>
      <x:c r="R23" s="51" t="str">
        <x:v>Automated evidence extraction from official pages. Manually confirm year-specific tuition, language score applicability, and optional-versus-required curriculum elements before analysis.</x:v>
      </x:c>
    </x:row>
    <x:row r="24" ht="54" customHeight="1">
      <x:c r="A24" s="57" t="n">
        <x:v>20</x:v>
      </x:c>
      <x:c r="B24" s="21" t="str">
        <x:v>New York University (NYU)</x:v>
      </x:c>
      <x:c r="C24" s="21" t="str">
        <x:v>United States</x:v>
      </x:c>
      <x:c r="D24" s="21" t="str">
        <x:v>MS in Environmental Policy and Sustainability Management</x:v>
      </x:c>
      <x:c r="E24" s="21" t="str">
        <x:v>Federal Pell Grants provide assistance to undergraduate students who demonstrate financial need according to requirements established by the federal government. To be eligible, you must enroll in a degree program and must be matriculated for your first bachelor's degree. You are automatically considered for the Pell Grant upon filing the FAFSA . Amounts can change yearly. The maximum Pell Grant award is $7,395 for the 2025–2026 award year. | The Tuition Assistance Program is a grant awarded to r</x:v>
      </x:c>
      <x:c r="F24" s="21" t="str">
        <x:v>$19,400 | full-time bachelor’s (12 credits) per semester | $15,734 || $15,734 | part-time bachelor’s (6-10 credits) per semester | $765 || The Tuition Assistance Program is a grant awarded to residents of the state of New York who are enrolled in a full-time degree program. An annual TAP award can be up to $5,665. TAP is based on financial need, and you must file a FAFSA and a separate TAP application . If you qualify for TAP, the TAP application instructions will be included in your FAFSA results. | Aid for Part-Time Study (APTS) is a grant program that offers New York state residents pursuing part-time undergraduate degree study</x:v>
      </x:c>
      <x:c r="G24" s="21" t="str">
        <x:v>$19,400 | full-time bachelor’s (12 credits) per semester | $15,734 || $15,734 | part-time bachelor’s (6-10 credits) per semester | $765 || Federal Pell Grants provide assistance to undergraduate students who demonstrate financial need according to requirements established by the federal government. To be eligible, you must enroll in a degree program and must be matriculated for your first bachelor's degree. You are automatically considered for the Pell Grant upon filing the FAFSA . Amounts can change yearly. The maximum Pell Grant award is $7,395 for the 2025–2026 award year. | The Tuition Assistance Program is a grant awarded to r</x:v>
      </x:c>
      <x:c r="H24" s="21" t="str">
        <x:v>Not stated on reviewed official page</x:v>
      </x:c>
      <x:c r="I24" s="21" t="str">
        <x:v>Not stated on reviewed official page</x:v>
      </x:c>
      <x:c r="J24" s="21" t="str">
        <x:v>NA</x:v>
      </x:c>
      <x:c r="K24" s="21" t="str">
        <x:v>Not stated on reviewed official page</x:v>
      </x:c>
      <x:c r="L24" s="21" t="str">
        <x:v>Not stated on reviewed official page</x:v>
      </x:c>
      <x:c r="M24" s="21" t="str">
        <x:v>Not stated on reviewed official page</x:v>
      </x:c>
      <x:c r="N24" s="21" t="str">
        <x:v>Not stated on reviewed official page</x:v>
      </x:c>
      <x:c r="O24" s="53" t="str">
        <x:v>https://www.sps.nyu.edu/homepage/academics/masters-degrees/ms-in-environmental-policy-and-sustainability-management.html</x:v>
      </x:c>
      <x:c r="P24" s="53" t="str">
        <x:v>https://www.sps.nyu.edu/join/undergraduate-admissions/tuition-and-financial-aid.html</x:v>
      </x:c>
      <x:c r="Q24" s="21" t="str">
        <x:v>Official program page retrieved; 2 official page(s) reviewed; 3/10 requested evidence groups found.</x:v>
      </x:c>
      <x:c r="R24" s="21" t="str">
        <x:v>Automated evidence extraction from official pages. Manually confirm year-specific tuition, language score applicability, and optional-versus-required curriculum elements before analysis.</x:v>
      </x:c>
    </x:row>
    <x:row r="25" ht="54" customHeight="1">
      <x:c r="A25" s="58" t="n">
        <x:v>21</x:v>
      </x:c>
      <x:c r="B25" s="51" t="str">
        <x:v>Pennsylvania State University</x:v>
      </x:c>
      <x:c r="C25" s="51" t="str">
        <x:v>United States</x:v>
      </x:c>
      <x:c r="D25" s="51" t="str">
        <x:v>Master of Professional Studies in Renewable Energy and Sustainability Systems</x:v>
      </x:c>
      <x:c r="E25" s="51" t="str">
        <x:v>Not stated on reviewed official page</x:v>
      </x:c>
      <x:c r="F25" s="51" t="str">
        <x:v>Not stated on reviewed official page</x:v>
      </x:c>
      <x:c r="G25" s="51" t="str">
        <x:v>EMS Museum &amp; Art Gallery | The John A. Dutton Institute of Teaching and Learning Experience has helped faculty develop more than 185 fully online courses. | Undergraduate || Renewable Energy and Sustainability Systems M.P.S. | Prepare yourself to serve as a leader of the emerging green economy through the Renewable Energy and Sustainability Systems (RESS) master's degree program. This online program provides you with the technical depth in areas related to renewable energy. You can also gain a comprehensive understanding of the applications of technology in society, the energy economics, and the project development process. | Careers</x:v>
      </x:c>
      <x:c r="H25" s="51" t="str">
        <x:v>Not stated on reviewed official page</x:v>
      </x:c>
      <x:c r="I25" s="51" t="str">
        <x:v>Working Teams | Curriculum and Education | Environmental Justice || Sustainability in EMS Curriculum and Education | Penn State College of Earth and Mineral Sciences | Skip to main content || Sustainability | Sustainability In EMS Curriculum and Education | Sustainability in EMS Curriculum and Education || Sustainability In EMS Curriculum and Education | Sustainability in EMS Curriculum and Education | With courses and programs in diverse areas like energy resources, earth systems, human-environment interactions, weather and climate, and materials, our students are well-positioned to solve the challenges of creating a more sustainable future. Across the college, at both the graduate and undergraduate levels, we’re exploring a wide range of topics through a sustainability lens to provide students w</x:v>
      </x:c>
      <x:c r="J25" s="51" t="str">
        <x:v>NA</x:v>
      </x:c>
      <x:c r="K25" s="51" t="str">
        <x:v>Not stated on reviewed official page</x:v>
      </x:c>
      <x:c r="L25" s="51" t="str">
        <x:v>Not stated on reviewed official page</x:v>
      </x:c>
      <x:c r="M25" s="51" t="str">
        <x:v>Not stated on reviewed official page</x:v>
      </x:c>
      <x:c r="N25" s="51" t="str">
        <x:v>Hear from our Students | Where our Graduates Go | Events for Future Students</x:v>
      </x:c>
      <x:c r="O25" s="54" t="str">
        <x:v>https://www.ems.psu.edu/academics/find-program-study/renewable-energy-and-sustainability-systems-mps</x:v>
      </x:c>
      <x:c r="P25" s="54" t="str">
        <x:v>https://www.ems.psu.edu/about/strategic-initiatives/sustainability/sustainability-ems-curriculum-and-education</x:v>
      </x:c>
      <x:c r="Q25" s="51" t="str">
        <x:v>Official program page retrieved; 2 official page(s) reviewed; 3/10 requested evidence groups found.</x:v>
      </x:c>
      <x:c r="R25" s="51" t="str">
        <x:v>Automated evidence extraction from official pages. Manually confirm year-specific tuition, language score applicability, and optional-versus-required curriculum elements before analysis.</x:v>
      </x:c>
    </x:row>
    <x:row r="26" ht="54" customHeight="1">
      <x:c r="A26" s="57" t="n">
        <x:v>22</x:v>
      </x:c>
      <x:c r="B26" s="21" t="str">
        <x:v>KU Leuven</x:v>
      </x:c>
      <x:c r="C26" s="21" t="str">
        <x:v>Belgium</x:v>
      </x:c>
      <x:c r="D26" s="21" t="str">
        <x:v>Master of Sustainable Development</x:v>
      </x:c>
      <x:c r="E26" s="21" t="str">
        <x:v>Check the official and current admission requirements ​​​​ | Tuition fees, study costs &amp; scholarships | Tuition fees || Tuition fees, study costs &amp; scholarships | Tuition fees | The fees for any individual student are contingent upon their academic programme and the nationality of the student. || The fees for any individual student are contingent upon their academic programme and the nationality of the student. | For the most recent – and only official – information on tuition fees, check the tuition fee calculator . | Study costs</x:v>
      </x:c>
      <x:c r="F26" s="21" t="str">
        <x:v>Master's | 120 ECTS credits | English || Next year | This course is taught every three years (check the course description to know in which academic year). | External course || Optional Courses | Students must select as many as needed optional courses to reach the required minimum of 120 credits for the master’s programme. This may include any relevant KU Leuven courses approved by the master thesis promotor or the programme director. | PDF/print</x:v>
      </x:c>
      <x:c r="G26" s="21" t="str">
        <x:v>Location independent | Location independent with evaluation on campus | Strengthening Courses</x:v>
      </x:c>
      <x:c r="H26" s="21" t="str">
        <x:v>We expect successful applicants to have achieved excellent academic results in their previous studies. | Language requirements | All applicants must prove their proficiency in English. The accepted English proficiency tests are: || All applicants must prove their proficiency in English. The accepted English proficiency tests are: | - TOEFL iBT: minimum overall score of 94, with minimum subscores of 19 for Reading, 18 for Listening, 19 for Speaking and 21 for Writing. New TOEFL score scale: minimum overall score of 4.5, with minimum subscores of 4 for Reading, 4 for Listening, 3.5 for Speaking, 4,5 for Writing. | - IELTS Academic test: minimum overall score of 7.0, with minimum subscores of 6.5 for Reading, 6.0 for Listenin || - TOEFL iBT: minimum overall score of 94, with minimum subscores of 19 for Reading, 18 for Listening, 19 for Speaking and 21 for Writing. New TOEFL score scale: minimum overall score of 4.5, with minimum subscores of 4 for Reading, 4 for Listening, 3.5 for Speakin</x:v>
      </x:c>
      <x:c r="I26" s="21" t="str">
        <x:v>Discover the programme | Programme structure | Admission requirements || ICP Master of Science in Sustainable Development (Leuven) - Programme structure | | KU Leuven || Apply now | Programme structure | keyboard_arrow_down</x:v>
      </x:c>
      <x:c r="J26" s="21" t="str">
        <x:v>(120 sp.) | Future sustainability leaders come here to enjoy hands-on experience in real-world settings, combining rigorous academic training with practical fieldwork in the Global South through an innovative Living Lab platform. Students can specialise in either societal sustainability challenges or biodiversity conservation. | Leuven || Quality of education | Master of Sustainable Development Discover the Master of Sustainable Development at KU Leuven in Belgium. Specialise in space &amp; society and ecology. Engage in real-world sustainability challenges through the Sustainable Development Living Lab, a field trip in the Global South, an internship, and a thesis. https://plone.icts.kuleuven.be/plone6/opleidingsaanbod/programmes/master-sustainable-development/index.html https://plone.icts.kuleuven.be/plone6/opleidingsaanbod/++resou || Its key strength lies in its interdisciplinary approach</x:v>
      </x:c>
      <x:c r="K26" s="21" t="str">
        <x:v>Additional requirements | In your motivation letter, please motivate you specialisation choice (‘Ecology’ or ‘Space and Society’) and indicate your research interests/possible topics for your dissertation (with maximum 500 words). So please make sure you select your track correctly. More information can be found here and here . | Final version: 30/09/2026 || Additional requirements | In your motivation letter, please motivate you specialisation choice (‘Ecology’ or ‘Space and Society’) and indicate your research interests/possible topics for your dissertation (with maximum 500 words). So please make sure you select your track correctly. More information can be found here and here . | PDF/print</x:v>
      </x:c>
      <x:c r="L26" s="21" t="str">
        <x:v>Yes</x:v>
      </x:c>
      <x:c r="M26" s="21" t="str">
        <x:v>H02N1A | Master's Thesis | The Master's Thesis is compulsory. || Master's Thesis | The Master's Thesis is compulsory. | ECTS || G0I83A | Master's Thesis | The Master's Thesis is compulsory.</x:v>
      </x:c>
      <x:c r="N26" s="21" t="str">
        <x:v>Not stated on reviewed official page</x:v>
      </x:c>
      <x:c r="O26" s="53" t="str">
        <x:v>https://www.kuleuven.be/programmes/master-sustainable-development</x:v>
      </x:c>
      <x:c r="P26" s="53" t="str">
        <x:v>https://onderwijsaanbod.kuleuven.be/opleidingen/e/SC_53903372/diploma_omschrijving; https://onderwijsaanbod.kuleuven.be/opleidingen/e/SC_53903372; https://onderwijsaanbod.kuleuven.be/opleidingen/e/SC_53903372/toelatingsvoorwaarden</x:v>
      </x:c>
      <x:c r="Q26" s="21" t="str">
        <x:v>Official program page retrieved; 4 official page(s) reviewed; 8/10 requested evidence groups found.</x:v>
      </x:c>
      <x:c r="R26" s="21" t="str">
        <x:v>Automated evidence extraction from official pages. Manually confirm year-specific tuition, language score applicability, and optional-versus-required curriculum elements before analysis.</x:v>
      </x:c>
    </x:row>
    <x:row r="27" ht="54" customHeight="1">
      <x:c r="A27" s="58" t="n">
        <x:v>23</x:v>
      </x:c>
      <x:c r="B27" s="51" t="str">
        <x:v>University of Helsinki</x:v>
      </x:c>
      <x:c r="C27" s="51" t="str">
        <x:v>Finland</x:v>
      </x:c>
      <x:c r="D27" s="51" t="str">
        <x:v>Master's Programme in Environmental Change and Global Sustainability</x:v>
      </x:c>
      <x:c r="E27" s="51" t="str">
        <x:v>Finnish, English, Swedish | Tuition fee per year (only non-EU/EEA citizens) | 13 000 EUR</x:v>
      </x:c>
      <x:c r="F27" s="51" t="str">
        <x:v>Scope of studies and length | 120 ECTS credits, 2 years | Degree level</x:v>
      </x:c>
      <x:c r="G27" s="51" t="str">
        <x:v>Not stated on reviewed official page</x:v>
      </x:c>
      <x:c r="H27" s="51" t="str">
        <x:v>Not stated on reviewed official page</x:v>
      </x:c>
      <x:c r="I27" s="51" t="str">
        <x:v>You can choose from two study tracks: the Environmental Change study track in natural sciences and the Global Sustainability study track in social sciences. Within your study track, you will have the opportunity to deepen your knowledge and develop expertise in a chosen field of interest. | Find out more about the programme structure, content and courses from the link below. | Basic information</x:v>
      </x:c>
      <x:c r="J27" s="51" t="str">
        <x:v>NA</x:v>
      </x:c>
      <x:c r="K27" s="51" t="str">
        <x:v>Not stated on reviewed official page</x:v>
      </x:c>
      <x:c r="L27" s="51" t="str">
        <x:v>Not stated on reviewed official page</x:v>
      </x:c>
      <x:c r="M27" s="51" t="str">
        <x:v>Not stated on reviewed official page</x:v>
      </x:c>
      <x:c r="N27" s="51" t="str">
        <x:v>Not stated on reviewed official page</x:v>
      </x:c>
      <x:c r="O27" s="54" t="str">
        <x:v>https://www.helsinki.fi/en/degree-programmes/environmental-change-and-global-sustainability-masters-programme</x:v>
      </x:c>
      <x:c r="P27" s="54"/>
      <x:c r="Q27" s="51" t="str">
        <x:v>Official program page retrieved; 1 official page(s) reviewed; 3/10 requested evidence groups found.</x:v>
      </x:c>
      <x:c r="R27" s="51" t="str">
        <x:v>Automated evidence extraction from official pages. Manually confirm year-specific tuition, language score applicability, and optional-versus-required curriculum elements before analysis.</x:v>
      </x:c>
    </x:row>
    <x:row r="28" ht="54" customHeight="1">
      <x:c r="A28" s="57" t="n">
        <x:v>24</x:v>
      </x:c>
      <x:c r="B28" s="21" t="str">
        <x:v>Durham University</x:v>
      </x:c>
      <x:c r="C28" s="21" t="str">
        <x:v>United Kingdom</x:v>
      </x:c>
      <x:c r="D28" s="21" t="str">
        <x:v>MSc Climate Change, Environmental Processes and Sustainable Futures</x:v>
      </x:c>
      <x:c r="E28" s="21" t="str">
        <x:v>Graham Earp Scholarship in Sustainability &amp; the IHRR scholarship in Risk | Apply for our Graham Earp Scholarship in Sustainability or the Institute of Hazard, Risk and Resilience scholarship in Risk. Each scholarship provides GBP 7000 towards tuition fees for up to six international students (three per scholarship) starting one of the Geography Masters in September 2026. | Read more about scholarships here</x:v>
      </x:c>
      <x:c r="F28" s="21" t="str">
        <x:v>Not stated on reviewed official page</x:v>
      </x:c>
      <x:c r="G28" s="21" t="str">
        <x:v>Not stated on reviewed official page</x:v>
      </x:c>
      <x:c r="H28" s="21" t="str">
        <x:v>Not stated on reviewed official page</x:v>
      </x:c>
      <x:c r="I28" s="21" t="str">
        <x:v>Not stated on reviewed official page</x:v>
      </x:c>
      <x:c r="J28" s="21" t="str">
        <x:v>Student Life | Fieldwork | Student Voices</x:v>
      </x:c>
      <x:c r="K28" s="21" t="str">
        <x:v>Research Masters | Available Research Projects | Doctoral Study || Read more about scholarships here | Student Dissertation | See an example of the world class outputs from our postgraduate students: || Social Sciences International Brochure | The stories presented in our International Brochure demonstrate sustained and positive engagement with international partners, particularly around work with social justice in society and the UN s Sustainable Development Goals. Our 8 departments have funded research projects on every continent. | Find out more in our International Brochure</x:v>
      </x:c>
      <x:c r="L28" s="21" t="str">
        <x:v>Not stated on reviewed official page</x:v>
      </x:c>
      <x:c r="M28" s="21" t="str">
        <x:v>Not stated on reviewed official page</x:v>
      </x:c>
      <x:c r="N28" s="21" t="str">
        <x:v>Not stated on reviewed official page</x:v>
      </x:c>
      <x:c r="O28" s="53" t="str">
        <x:v>https://www.durham.ac.uk/departments/academic/geography/postgraduate-study/taught-masters/</x:v>
      </x:c>
      <x:c r="P28" s="53"/>
      <x:c r="Q28" s="21" t="str">
        <x:v>Official program page retrieved; 1 official page(s) reviewed; 3/10 requested evidence groups found.</x:v>
      </x:c>
      <x:c r="R28" s="21" t="str">
        <x:v>Automated evidence extraction from official pages. Manually confirm year-specific tuition, language score applicability, and optional-versus-required curriculum elements before analysis.</x:v>
      </x:c>
    </x:row>
    <x:row r="29" ht="54" customHeight="1">
      <x:c r="A29" s="58" t="n">
        <x:v>25</x:v>
      </x:c>
      <x:c r="B29" s="51" t="str">
        <x:v>University of Leeds</x:v>
      </x:c>
      <x:c r="C29" s="51" t="str">
        <x:v>United Kingdom</x:v>
      </x:c>
      <x:c r="D29" s="51" t="str">
        <x:v>MSc Sustainability, Environment and Development</x:v>
      </x:c>
      <x:c r="E29" s="51" t="str">
        <x:v>GBP 14,000 (Total) | International fees | GBP 31,000 (Total)</x:v>
      </x:c>
      <x:c r="F29" s="51" t="str">
        <x:v>Duration | 12 Months (Full time) | Entry requirements || Compulsory modules | Global Development and Public Governance – 30 credits | This module aims to equip you to analyse competing ideas and practices of global and local development. It enables you to apply this approach to a range of sectoral issues such as (but not limited to) poverty and inequality, access to services, natural resources allocations and management, economic transformation and livelihoods. It also enables you to explore multi-sectoral and multi-level governance challenges of prod || This module aims to equip you to analyse competing ideas and practices of global and local development. It enables you to apply this approach to a range of sectoral issues such as (but not limited to) poverty and inequality, access to services, natural resources allocations and management</x:v>
      </x:c>
      <x:c r="G29" s="51" t="str">
        <x:v>Delivery type | On campus | Duration || Duration | 12 Months (Full time) | Entry requirements || Our team of experts are active in national and international research and policy, such as the Intergovernmental Platform on Biodiversity and Ecosystem Services , the World Commission on Protected Areas and the Intergovernmental Panel on Climate Change . | On this course, you’ll be taught by our expert academics, from lecturers through to professors. You may also be taught by industry professionals with years of experience, as well as trained postgraduate researchers, connecting you to some of th</x:v>
      </x:c>
      <x:c r="H29" s="51" t="str">
        <x:v>Full entry requirements | English language requirements | IELTS 6.5 overall, with no less than 6.0 in any component || English language requirements | IELTS 6.5 overall, with no less than 6.0 in any component | UK fees || We accept a range of international equivalent qualifications . For more information, please contact the Admissions Team . | English language requirements | IELTS 6.5 overall, with no less than 6.0 in any component. For other English qualifications, read English language equivalent qualifications . || English language requirements | IELTS 6.5 overall, with no less than 6.0 in any component. For other English qualifications, read English language equivalent qualifications . | Improve your English</x:v>
      </x:c>
      <x:c r="I29" s="51" t="str">
        <x:v>You'll then apply your learning to your own individual research project where you’ll work with a dissertation supervisor, producing an original piece of cutting-edge research on a topic of your choice. | Course structure | The list shown below represents typical modules/components studied and may change from time to time. Read more in our terms and conditions.</x:v>
      </x:c>
      <x:c r="J29" s="51" t="str">
        <x:v>NA</x:v>
      </x:c>
      <x:c r="K29" s="51" t="str">
        <x:v>Build your skills in systems thinking, critical analysis, leadership, problem solving, communication and interdisciplinarity. | Conduct your own significant individual research project, taking advantage of our collaborative links with sustainability, environment and development organisations across the UK and internationally. | Experience expert practical and theoretical teaching delivered by a programme team made up of researchers covering the social sciences, economics, development studies, en || Throughout, you'll be taught through lectures, seminars, and workshops and will approach topics from different angles thanks to the interdisciplinary nature of academics from both the School of Earth and Environment and the School of Politics and International Studies. You'll also be able to apply what you have learned thus far to real-world scenarios through case study work in class and the f</x:v>
      </x:c>
      <x:c r="L29" s="51" t="str">
        <x:v>Not stated on reviewed official page</x:v>
      </x:c>
      <x:c r="M29" s="51" t="str">
        <x:v>Not stated on reviewed official page</x:v>
      </x:c>
      <x:c r="N29" s="51" t="str">
        <x:v>Not stated on reviewed official page</x:v>
      </x:c>
      <x:c r="O29" s="54" t="str">
        <x:v>https://courses.leeds.ac.uk/j985/sustainability-environment-and-development-msc</x:v>
      </x:c>
      <x:c r="P29" s="54"/>
      <x:c r="Q29" s="51" t="str">
        <x:v>Official program page retrieved; 3 official page(s) reviewed; 6/10 requested evidence groups found.</x:v>
      </x:c>
      <x:c r="R29" s="51" t="str">
        <x:v>Automated evidence extraction from official pages. Manually confirm year-specific tuition, language score applicability, and optional-versus-required curriculum elements before analysis.</x:v>
      </x:c>
    </x:row>
    <x:row r="30" ht="54" customHeight="1">
      <x:c r="A30" s="57" t="n">
        <x:v>26</x:v>
      </x:c>
      <x:c r="B30" s="21" t="str">
        <x:v>Western University</x:v>
      </x:c>
      <x:c r="C30" s="21" t="str">
        <x:v>Canada</x:v>
      </x:c>
      <x:c r="D30" s="21" t="str">
        <x:v>Master of Environment and Sustainability</x:v>
      </x:c>
      <x:c r="E30" s="21" t="str">
        <x:v>What it Costs | Expenses usually include tuition, fees, housing, food and other necessities. | Learn more about MES tuition and fees, as well as the fee schedule. || Expenses usually include tuition, fees, housing, food and other necessities. | Learn more about MES tuition and fees, as well as the fee schedule. | Tuition and Fees || Learn more about MES tuition and fees, as well as the fee schedule. | Tuition and Fees | Financial Support</x:v>
      </x:c>
      <x:c r="F30" s="21" t="str">
        <x:v>Master of Environment and Sustainability | In one year, you'll gain the knowledge, skills and professional experience needed for today’s rapidly evolving environment and sustainability sector. | Top 15 || Apply Now | Graduate in 12 Months | With 8 months of coursework and 4 months of industry co-op experience, you'll be ready to launch a high-impact environment and sustainability career in just one year. || Graduate in 12 Months | With 8 months of coursework and 4 months of industry co-op experience, you'll be ready to launch a high-impact environment and sustainability career in just one year. | Explore Program Format</x:v>
      </x:c>
      <x:c r="G30" s="21" t="str">
        <x:v>Who is exempt from submitted an English Language Proficiency test score? | Applicants are automatically exempted from our English language proficiency requirement if their first language is English or they have completed at least two full-time years of post-secondary education in a degree program in an English-speaking institution located in a country whose primary language is English . | The list of eligible countries is as follows: Australia, Barbados, Botswana, Canada, Ghana, Guyana, Ireland, || Does the university provide financial assistance? | MES is a one-year, course-based professional science master's program with a co-operative education term component. Students do not complete a research thesis and therefore, do not receive Teaching Assistantships or Research Assistantships. Students may apply for on-campus work study positions</x:v>
      </x:c>
      <x:c r="H30" s="21" t="str">
        <x:v>Employment and/or volunteer list (maximum 6 entries) | English Language Proficiency (ELP) Test Score, if required** | Application fee payment ($170 CAD) || Sign Up | English Language Proficiency | Strong English proficiency is essential for success in the MES program. You'll use communication skills daily through class participation, written work, group projects and presentations. Group work and in-class participation also require advanced listening skills and a high level of language comprehension. || ELP Documentation Requirements (if English is not your first language) | All applicants whose first language is not English must provide formal documentation demonstrating that they meet or exceed the MES program's English Language Proficiency requirements. | Specific documentation, test options and performance requirements are as follows: || Completed two or more years of high school plus a four-year undergraduate degree in Canada or the USA: Exempt from ELP requirement - not required t</x:v>
      </x:c>
      <x:c r="I30" s="21" t="str">
        <x:v>Not stated on reviewed official page</x:v>
      </x:c>
      <x:c r="J30" s="21" t="str">
        <x:v>NA</x:v>
      </x:c>
      <x:c r="K30" s="21" t="str">
        <x:v>Not stated on reviewed official page</x:v>
      </x:c>
      <x:c r="L30" s="21" t="str">
        <x:v>Not stated on reviewed official page</x:v>
      </x:c>
      <x:c r="M30" s="21" t="str">
        <x:v>Not stated on reviewed official page</x:v>
      </x:c>
      <x:c r="N30" s="21" t="str">
        <x:v>Not stated on reviewed official page</x:v>
      </x:c>
      <x:c r="O30" s="53" t="str">
        <x:v>https://www.uwo.ca/mes/</x:v>
      </x:c>
      <x:c r="P30" s="53" t="str">
        <x:v>https://www.uwo.ca/mes/admissions/index.html</x:v>
      </x:c>
      <x:c r="Q30" s="21" t="str">
        <x:v>Official program page retrieved; 2 official page(s) reviewed; 4/10 requested evidence groups found.</x:v>
      </x:c>
      <x:c r="R30" s="21" t="str">
        <x:v>Automated evidence extraction from official pages. Manually confirm year-specific tuition, language score applicability, and optional-versus-required curriculum elements before analysis.</x:v>
      </x:c>
    </x:row>
    <x:row r="31" ht="54" customHeight="1">
      <x:c r="A31" s="58" t="n">
        <x:v>27</x:v>
      </x:c>
      <x:c r="B31" s="51" t="str">
        <x:v>University of Glasgow</x:v>
      </x:c>
      <x:c r="C31" s="51" t="str">
        <x:v>United Kingdom</x:v>
      </x:c>
      <x:c r="D31" s="51" t="str">
        <x:v>MSc Environment &amp; Sustainable Development</x:v>
      </x:c>
      <x:c r="E31" s="51" t="str">
        <x:v>The Adam Smith Business School seeks curious, creative and globally minded individuals ready to drive innovation and make a positive impact in their communities and beyond. | This award offers a £15,000 tuition fee discount to support the next generation of purpose-driven leaders. | ASBS Entrepreneurial Leaders Award || The Adam Smith Business School Indian Achievers Award recognises outstanding students from India who demonstrate academic excellence, leadership potential and a commitment to creating positive change. | Open to Indian applicants for all eligible ASBS PGT programmes, this award offers a £15,000 tuition fee discount to support future business leaders in achieving their ambitions. | ASBS India Achievers Award || The Adam Smith Business School Chinese Pathway to Purpose Award recognises exceptional students from China who demo</x:v>
      </x:c>
      <x:c r="F31" s="51" t="str">
        <x:v>MSc: | 12 months full-time | Register your interest for more information || cause significant delays or prevent payment altogether. | We will aim to issue the deposit refund within 8 weeks of receipt of | information per point 2 above. At peak times this may be longer. || Beit-Glasgow Scholarship | One year Scholarship for an MSc in developmental subjects only. The Beit-UoG Scholarship does not cover MBA, PG Diploma, PG Certificate or CPD Online distance learning programmes. | Please see Beit Trust Postgraduate Scholarships for more details.</x:v>
      </x:c>
      <x:c r="G31" s="51" t="str">
        <x:v>MSc: | 12 months full-time | Register your interest for more information || Recent graduates have been employed as development practitioners and environmental policy analysts for organisations such as BP, Royal Society for the Protection of Birds and public sector bodies. | We have a dedicated careers and employability team who provide 1-2-1 support and advice, group workshops, employer events on campus and networking opportunities throughout the year to help you with your career prospects. | See our alumni success stories || Home &amp; RUK | Full-time fee: GBP 11,943 | International &amp; EU</x:v>
      </x:c>
      <x:c r="H31" s="51" t="str">
        <x:v>After the second deferral standard conditions will apply. | There is still time to meet the English language test requirement before | the final upload date. Please see section a) 4. || in partnership with Qualification | Check to check academic qualifications. English language qualifications | are verified with the provider. || International College , who offer a range of pre-Masters courses. | English language requirements | For applicants from non-English speaking countries, as defined by the UK Government , the University sets a minimum English Language proficiency level. || English language requirements | For applicants from non-English speaking countries, as defined by the UK Government , the University sets a minimum English Language proficiency level. | International English Language Testing System (IELTS) Academic and Academic Online (not General Training)</x:v>
      </x:c>
      <x:c r="I31" s="51" t="str">
        <x:v>Adam Smith Business School is triple accredited | Programme structure | You will take four core and two optional courses, and complete a dissertation. || You will take four core and two optional courses, and complete a dissertation. | Core courses | Environmental Economics || The MBA-MSc Euro-Asian programme is an exciting partnership designed in collaboration with Universiti Sains Malaysia (USM) and Universiti Malaya (UM), Malaysia. | The 2-year programme aims to provide you with a rigorous and comprehensive general management curriculum from the perspectives of Southeast Asian and European academics and practitioners, including a minimum of one-month work placement with our industry partners in Malaysia. | Find out more: MBA-MSc Euro-Asian programme</x:v>
      </x:c>
      <x:c r="J31" s="51" t="str">
        <x:v>NA</x:v>
      </x:c>
      <x:c r="K31" s="51" t="str">
        <x:v>Experience practical learning with real business challenges. Network, collaborate, and make a real-world impact through competitive, merit-based industry projects . * | * Industry Projects are not guaranteed. All applications are subject to availability and review processes. We will support candidates with their applications before the deadline but if unsuccessful, they can opt for a research proposal for their dissertation. Students can also secure their own projects with approval from academic || Programme structure | You will take four core and two optional courses, and complete a dissertation. | Core courses || The Economics of Migration | Research project | Dissertation GCDS or Economics PGT External Partner Project</x:v>
      </x:c>
      <x:c r="L31" s="51" t="str">
        <x:v>Not stated on reviewed official page</x:v>
      </x:c>
      <x:c r="M31" s="51" t="str">
        <x:v>Not stated on reviewed official page</x:v>
      </x:c>
      <x:c r="N31" s="51" t="str">
        <x:v>Not stated on reviewed official page</x:v>
      </x:c>
      <x:c r="O31" s="54" t="str">
        <x:v>https://www.gla.ac.uk/postgraduate/taught/environmentsustainabledevelopment/</x:v>
      </x:c>
      <x:c r="P31" s="54"/>
      <x:c r="Q31" s="51" t="str">
        <x:v>Official program page retrieved; 3 official page(s) reviewed; 6/10 requested evidence groups found.</x:v>
      </x:c>
      <x:c r="R31" s="51" t="str">
        <x:v>Automated evidence extraction from official pages. Manually confirm year-specific tuition, language score applicability, and optional-versus-required curriculum elements before analysis.</x:v>
      </x:c>
    </x:row>
    <x:row r="32" ht="54" customHeight="1">
      <x:c r="A32" s="57" t="n">
        <x:v>28</x:v>
      </x:c>
      <x:c r="B32" s="21" t="str">
        <x:v>The University of Auckland</x:v>
      </x:c>
      <x:c r="C32" s="21" t="str">
        <x:v>New Zealand</x:v>
      </x:c>
      <x:c r="D32" s="21" t="str">
        <x:v>Master of Environmental Science</x:v>
      </x:c>
      <x:c r="E32" s="21" t="str">
        <x:v>NZ$55,484 * | Fees are set in advance of each calendar year and will be updated on this website. Fees are inclusive of 15% GST, but do not include the Student Services Fee, course books, travel and health insurance, or living costs. Amounts shown are indicative only. In addition to the tuition fees, there is a Student Services Fee of $9.44 per point, estimated at $1,132.80 for full-time study (120 points). Fees will be confirmed upon completion of enrolment into courses. | *Please note: amounts</x:v>
      </x:c>
      <x:c r="F32" s="21" t="str">
        <x:v>Duration | Full-time: 18 months | Part-time: Varies || Next start date | 2026 Semester Two – 20 July | 2027 Semester One – 1 March || 2026 Semester Two – 20 July | 2027 Semester One – 1 March | Available locations</x:v>
      </x:c>
      <x:c r="G32" s="21" t="str">
        <x:v>Duration | Full-time: 18 months | Part-time: Varies || Full-time: 18 months | Part-time: Varies | Next start date || NZ$55,484 * | Fees are set in advance of each calendar year and will be updated on this website. Fees are inclusive of 15% GST, but do not include the Student Services Fee, course books, travel and health insurance, or living costs. Amounts shown are indicative only. In addition to the tuition fees, there is a Student Services Fee of $9.44 per point, estimated at $1,132.80 for full-time study (120 points). Fees will be confirmed upon completion of enrolment into courses. | *Please note: amounts</x:v>
      </x:c>
      <x:c r="H32" s="21" t="str">
        <x:v>Qualification | IELTS Academic | International English Language Testing System || IELTS Academic | International English Language Testing System | Score required || No bands less than 6.0 | See alternative English language requirements | Calculate your Grade Point Equivalent (GPE) || Find out more | English language requirements | Learn more about the University's English language requirements.</x:v>
      </x:c>
      <x:c r="I32" s="21" t="str">
        <x:v>Graduates of the MEnvSci will have developed the crucial conceptual and practical skills required of professional environmental scientists in research and industry. | Programme structure | Entry requirements || Key dates | Programme structure | All students are initially enrolled in the taught masters. Transfer to the research masters is possible after the first semester. || All students are initially enrolled in the taught masters. Transfer to the research masters is possible after the first semester. | Explore the courses you can take in the Master of Environmental Science in the Curriculum Catalogue. | Master of Environmental Science (MEnvSci) || You'll also need to meet other requirements, including time limits and total points limits. See Postgraduate enrolment . | For detailed information about a specific programme, including its courses and regulations, visit the Curriculum Catalogue . For the general university requirements for admission, enrolment and fees, visit the University Calendar . | 2026 entry requirements</x:v>
      </x:c>
      <x:c r="J32" s="21" t="str">
        <x:v>NA</x:v>
      </x:c>
      <x:c r="K32" s="21" t="str">
        <x:v>Not stated on reviewed official page</x:v>
      </x:c>
      <x:c r="L32" s="21" t="str">
        <x:v>Not stated on reviewed official page</x:v>
      </x:c>
      <x:c r="M32" s="21" t="str">
        <x:v>Not stated on reviewed official page</x:v>
      </x:c>
      <x:c r="N32" s="21" t="str">
        <x:v>Not stated on reviewed official page</x:v>
      </x:c>
      <x:c r="O32" s="53" t="str">
        <x:v>https://www.auckland.ac.nz/en/study/study-options/find-a-study-option/master-of-environmental-science-menvsci.html</x:v>
      </x:c>
      <x:c r="P32" s="53" t="str">
        <x:v>https://www.auckland.ac.nz/en/study/applications-and-admissions/entry-requirements.html</x:v>
      </x:c>
      <x:c r="Q32" s="21" t="str">
        <x:v>Official program page retrieved; 4 official page(s) reviewed; 5/10 requested evidence groups found.</x:v>
      </x:c>
      <x:c r="R32" s="21" t="str">
        <x:v>Automated evidence extraction from official pages. Manually confirm year-specific tuition, language score applicability, and optional-versus-required curriculum elements before analysis.</x:v>
      </x:c>
    </x:row>
    <x:row r="33" ht="54" customHeight="1">
      <x:c r="A33" s="58" t="n">
        <x:v>29</x:v>
      </x:c>
      <x:c r="B33" s="51" t="str">
        <x:v>Trinity College Dublin, The University of Dublin</x:v>
      </x:c>
      <x:c r="C33" s="51" t="str">
        <x:v>Ireland</x:v>
      </x:c>
      <x:c r="D33" s="51" t="str">
        <x:v>MSc Environmental Sciences</x:v>
      </x:c>
      <x:c r="E33" s="51" t="str">
        <x:v>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Course Fees | For a full list of postgraduate fees, click here . || • Up to date CV required. | Course Fees | Click Here for a full list of postgraduate fees.</x:v>
      </x:c>
      <x:c r="F33" s="51" t="str">
        <x:v>NFQ Level 9 | 1 year full-time | 30 Places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independent study. | Most taught modules in this course are in two to three week blocks. This provides a concentrated period of uninterrupted study, during which time students can immer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x:v>
      </x:c>
      <x:c r="G33" s="51" t="str">
        <x:v>NFQ Level 9 | 1 year full-time | 30 Places || Is This Course For Me? | This full-time, intensive course is intended for administrative and scientific workers and new graduates with an appropriate environmental science related background, although applications from graduates with different backgrounds are also welcomed. Our students have an excellent success rate in finding career paths in the field of environmental science following our program. We have had students from many different backgrounds that have successfully completed this progr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x:v>
      </x:c>
      <x:c r="H33" s="51" t="str">
        <x:v>Two academic references, or reference letters from industry for candidates who left academia several years ago. | English Language Requirements | 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English Language Requirements | 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Course Fees || Applicants should be currently working with older adults in any setting or managing a service. | Applicants need to have a fluent command of the English language. | What will I l</x:v>
      </x:c>
      <x:c r="I33" s="51" t="str">
        <x:v>Many graduates have gone on to do further research in a range of environmentally related disciplines. Graduates from the course have pursued their interests in environmental sciences throughout the world.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 || Most taught modules in this course are in two to three week blocks. This provides a concentrated period of uninterrupted study, during which time students can immerse themselves in the subject matter and ensure they have addressed any gaps in their knowledge. Assessment for each module will usually take place during these blocks unless otherwise stated in the module outline. To complete the programme a candidate must design and execute an individual research project. | Course Content | Students</x:v>
      </x:c>
      <x:c r="J33" s="51" t="str">
        <x:v>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independent study. | Most taught modules in this course are in two to three week blocks. This provides a concentrated period of uninterrupted study, during which time students can immer</x:v>
      </x:c>
      <x:c r="K33" s="51" t="str">
        <x:v>Course Overview | The degree in Environmental Sciences, the first of its kind in Ireland, has an established pedigree, attracting students with diverse academic backgrounds from Ireland and abroad. It comprises a series of taught modules encompassing a variety of current environmental themes, followed by a five-month research project. There is also the possibility to opt for a Postgraduate Diploma in Environmental Sciences, consisting of the taught modules only. | The aims of this course are to  || The aims of this course are to promote an understanding of environmental science, and the capability to apply that knowledge to current environmental issues and sound environmental management; to develop the necessary intellectual skills and practical expertise to design and execute independent research; and to cultivate skilled communicators able to organise ideas and disseminate them through</x:v>
      </x:c>
      <x:c r="L33" s="51" t="str">
        <x:v>Not stated on reviewed official page</x:v>
      </x:c>
      <x:c r="M33" s="51" t="str">
        <x:v>Not stated on reviewed official page</x:v>
      </x:c>
      <x:c r="N33" s="51" t="str">
        <x:v>Not stated on reviewed official page</x:v>
      </x:c>
      <x:c r="O33" s="54" t="str">
        <x:v>https://www.tcd.ie/courses/postgraduate/courses/environmental-sciences-msc--pgraddip/</x:v>
      </x:c>
      <x:c r="P33" s="54" t="str">
        <x:v>https://www.tcd.ie/courses/microcredentials/by-school/micro-credentials---medicine/assessment-amp-management-of-frailty-in-ageing-adults---mc-module/</x:v>
      </x:c>
      <x:c r="Q33" s="51" t="str">
        <x:v>Official program page retrieved; 3 official page(s) reviewed; 7/10 requested evidence groups found.</x:v>
      </x:c>
      <x:c r="R33" s="51" t="str">
        <x:v>Automated evidence extraction from official pages. Manually confirm year-specific tuition, language score applicability, and optional-versus-required curriculum elements before analysis.</x:v>
      </x:c>
    </x:row>
    <x:row r="34" ht="54" customHeight="1">
      <x:c r="A34" s="57" t="n">
        <x:v>30</x:v>
      </x:c>
      <x:c r="B34" s="21" t="str">
        <x:v>University of Pennsylvania</x:v>
      </x:c>
      <x:c r="C34" s="21" t="str">
        <x:v>United States</x:v>
      </x:c>
      <x:c r="D34" s="21" t="str">
        <x:v>Master of Environmental Studies</x:v>
      </x:c>
      <x:c r="E34" s="21" t="str">
        <x:v>Application Deadlines and Requirements | Tuition and Fees | Financial Aid || Courses and Curriculum | Tuition and Fees | Financial Aid || Academic Calendar | Tuition and Fees | Faculty, Staff, and Affiliates</x:v>
      </x:c>
      <x:c r="F34" s="21" t="str">
        <x:v>Program duration: | 2 years full-time | 3-4 years part-time || 2 years full-time | 3-4 years part-time | Required credits:</x:v>
      </x:c>
      <x:c r="G34" s="21" t="str">
        <x:v>Undergraduate courses | Penn LPS Online courses | Penn Summer Sessions courses || Penn Summer Sessions courses | Massive open online courses (MOOCs) | Professional Programming || Program duration: | 2 years full-time | 3-4 years part-time</x:v>
      </x:c>
      <x:c r="H34" s="21" t="str">
        <x:v>Request Information | English Language Programs | International Guest Student Program || English Language Programs (ELP) at The University of Pennsylvania | Skip to main content || How to Apply | Welcome to the University of Pennsylvania’s English Language Programs (ELP) | The ELP offers unparalleled opportunities to immerse yourself in the language and culture of the US in Philadelphia, Pennsylvania || The ELP offers unparalleled opportunities to immerse yourself in the language and culture of the US in Philadelphia, Pennsylvania | The University of Pennsylvania's English Language Programs (ELP) | Welcome to the University of Pennsylvania’s English Language Programs (ELP)</x:v>
      </x:c>
      <x:c r="I34" s="21" t="str">
        <x:v>Bachelor of Fine Arts | Courses and Curriculum | Tuition and Fees || Application Overview | Courses and Curriculum | Program Features || Application Deadlines and Requirements | Courses and Curriculum | Tuition and Fees || Submatriculation | Courses and Curriculum | Faculty Bios</x:v>
      </x:c>
      <x:c r="J34" s="21" t="str">
        <x:v>Navigating a future in sustainable water management | Field work at the intersection of ecology and technology | Making connections and improving communities</x:v>
      </x:c>
      <x:c r="K34" s="21" t="str">
        <x:v>Program Format &amp; Schedule | Capstones | Capstones - 2024 || Capstones | Capstones - 2024 | Capstones - 2023 || Capstones - 2024 | Capstones - 2023 | Capstones - 2022</x:v>
      </x:c>
      <x:c r="L34" s="21" t="str">
        <x:v>Not stated on reviewed official page</x:v>
      </x:c>
      <x:c r="M34" s="21" t="str">
        <x:v>Not stated on reviewed official page</x:v>
      </x:c>
      <x:c r="N34" s="21" t="str">
        <x:v>Not stated on reviewed official page</x:v>
      </x:c>
      <x:c r="O34" s="53" t="str">
        <x:v>https://www.lps.upenn.edu/degree-programs/mes</x:v>
      </x:c>
      <x:c r="P34" s="53" t="str">
        <x:v>https://www.elp.upenn.edu/</x:v>
      </x:c>
      <x:c r="Q34" s="21" t="str">
        <x:v>Official program page retrieved; 4 official page(s) reviewed; 8/10 requested evidence groups found.</x:v>
      </x:c>
      <x:c r="R34" s="21" t="str">
        <x:v>Automated evidence extraction from official pages. Manually confirm year-specific tuition, language score applicability, and optional-versus-required curriculum elements before analysis.</x:v>
      </x:c>
    </x:row>
    <x:row r="35" ht="54" customHeight="1">
      <x:c r="A35" s="58" t="n">
        <x:v>49</x:v>
      </x:c>
      <x:c r="B35" s="51" t="str">
        <x:v>University of Exeter</x:v>
      </x:c>
      <x:c r="C35" s="51" t="str">
        <x:v>United Kingdom</x:v>
      </x:c>
      <x:c r="D35" s="51" t="str">
        <x:v>MSc Global Sustainability Solutions</x:v>
      </x:c>
      <x:c r="E35" s="51" t="str">
        <x:v>GBP 14,300 full-time; GBP 7,150 part-time | International fees per year: | GBP 30,100 full-time; GBP 15,050 part-time || University of Exeter Alumni Scholarship | We are pleased to offer the University of Exeter Alumni Scholarship , a scholarship for University of Exeter alumni beginning a standalone postgraduate programme in 2026/27 with us a scholarship worth 20% of the cost of your first year tuition fees. | Terms and conditions, including deadlines, apply. || Terms and conditions, including deadlines, apply. | Find out more about tuition fees and funding | I love that the course has an interdisciplinary approach and together across a range of subjects we can work to create sustainability solutions. Each of our lecturers are the best in their field.</x:v>
      </x:c>
      <x:c r="F35" s="51" t="str">
        <x:v>Duration | 1 year full time | 2 years part time || 1 year full time | 2 years part time | Entry year || I ve really enjoyed meeting new people from all over the world and being able to come together to brainstorm and learn about subjects that we re all really motivated about. I ve also enjoyed working on real-world challenges as well as having a dissertation project that has the potential to encourage positive change. | I m a mature student who, after completing my first degree 11 years ago, decided to return to part-time study with the aim of learning about and helping to create solutions for som</x:v>
      </x:c>
      <x:c r="G35" s="51" t="str">
        <x:v>Duration | 1 year full time | 2 years part time || 1 year full time | 2 years part time | Entry year || Select programme | Full time | Part time</x:v>
      </x:c>
      <x:c r="H35" s="51" t="str">
        <x:v>Entry requirements for international students | English language requirements | International students need to show they have the required level of English language to study this course. || English language requirements | International students need to show they have the required level of English language to study this course. | The required IELTS test scores for this course fall under Profile B1 . || International students need to show they have the required level of English language to study this course. | The required IELTS test scores for this course fall under Profile B1 . | Please visit our English language requirements page to view the required test scores and equivalencies from your country. || The required IELTS test scores for this course fall under Profile B1 . | Please visit our English language requirements page to view the required test scores and equivalencies from your country. | The knowledge that I have gained from the MSc Global Sustainability Solutions has been inva</x:v>
      </x:c>
      <x:c r="I35" s="51" t="str">
        <x:v>Entry requirements | Course content | Fees || The knowledge that I have gained from the MSc Global Sustainability Solutions has been invaluable to inform the research that I now do into climate science and policy research in my role as Sustainability Analyst at ITV. | In terms of course content, I really enjoyed learning about the policy landscape within the Innovation and the Science-Policy Interface module, particularly the group work aspect of creating a report on a new policy proposal. But candidly, one of the most enjoyable parts of th || MSc Global Sustainability Solutions | Course content | Our impacts on the Earth system are at such a scale that we have become a geological force. If we are to not just survive but to flourish, we urgently need to create robust and practical solutions to a set of interacting and complex global challenges.</x:v>
      </x:c>
      <x:c r="J35" s="51" t="str">
        <x:v>The programme addresses global sustainability challenges, equipping you to apply systems thinking to solve complex problems in a wide variety of environments and contexts and develop a deeper understanding of the interface between science, policy and practice. Additionally, you can tailor the programme to meet your areas of interest and passion by choosing 30 credits of optional modules. | You can choose to focus your dissertation ( Solutions Project ) on a piece of original academic research or || Every year we have part-time students studying this programme who are an important part of our community. For part-time study we recommend that you complete 75 credits in year one, and 105 credits in year two (of which 60 credits is your dissertation). This means you will be taking approximately two core 15-credit modules per term and one optional 15-credit module, but there is flexibility if</x:v>
      </x:c>
      <x:c r="K35" s="51" t="str">
        <x:v>We offer immersive learning experiences which provide an opportunity for interactive learning of fundamental skills and approaches to understanding and solving challenges. | You have the opportunity to undertake a work placement as part of a module, and a research project within an organisation as an alternative to a traditional academic dissertation. | Your learning is underpinned by the latest research undertaken by world-leading scholars and the Global Systems Institute community. || MSc Global Sustainability Solutions graduate | I ve really enjoyed meeting new people from all over the world and being able to come together to brainstorm and learn about subjects that we re all really motivated about. I ve also enjoyed working on real-world challenges as well as having a dissertation project that has the potential to encourage positive change. | I m a mature student who, after completin</x:v>
      </x:c>
      <x:c r="L35" s="51" t="str">
        <x:v>Not stated on reviewed official page</x:v>
      </x:c>
      <x:c r="M35" s="51" t="str">
        <x:v>Not stated on reviewed official page</x:v>
      </x:c>
      <x:c r="N35" s="51" t="str">
        <x:v>Not stated on reviewed official page</x:v>
      </x:c>
      <x:c r="O35" s="54" t="str">
        <x:v>https://www.exeter.ac.uk/masters-degrees/msc-global-sustainability-solutions/</x:v>
      </x:c>
      <x:c r="P35" s="54"/>
      <x:c r="Q35" s="51" t="str">
        <x:v>Official program page retrieved; 4 official page(s) reviewed; 7/10 requested evidence groups found.</x:v>
      </x:c>
      <x:c r="R35" s="51" t="str">
        <x:v>Automated evidence extraction from official pages. Manually confirm year-specific tuition, language score applicability, and optional-versus-required curriculum elements before analysis.</x:v>
      </x:c>
    </x:row>
    <x:row r="36" ht="54" customHeight="1">
      <x:c r="A36" s="57" t="n">
        <x:v>52</x:v>
      </x:c>
      <x:c r="B36" s="21" t="str">
        <x:v>Griffith University</x:v>
      </x:c>
      <x:c r="C36" s="21" t="str">
        <x:v>Australia</x:v>
      </x:c>
      <x:c r="D36" s="21" t="str">
        <x:v>Master of Global Development - Sustainable Development major</x:v>
      </x:c>
      <x:c r="E36" s="21" t="str">
        <x:v>Not stated on reviewed official page</x:v>
      </x:c>
      <x:c r="F36" s="21" t="str">
        <x:v>Not stated on reviewed official page</x:v>
      </x:c>
      <x:c r="G36" s="21" t="str">
        <x:v>Not stated on reviewed official page</x:v>
      </x:c>
      <x:c r="H36" s="21" t="str">
        <x:v>Not stated on reviewed official page</x:v>
      </x:c>
      <x:c r="I36" s="21" t="str">
        <x:v>Not stated on reviewed official page</x:v>
      </x:c>
      <x:c r="J36" s="21" t="str">
        <x:v>NA</x:v>
      </x:c>
      <x:c r="K36" s="21" t="str">
        <x:v>Not stated on reviewed official page</x:v>
      </x:c>
      <x:c r="L36" s="21" t="str">
        <x:v>Not stated on reviewed official page</x:v>
      </x:c>
      <x:c r="M36" s="21" t="str">
        <x:v>Not stated on reviewed official page</x:v>
      </x:c>
      <x:c r="N36" s="21" t="str">
        <x:v>Not stated on reviewed official page</x:v>
      </x:c>
      <x:c r="O36" s="53" t="str">
        <x:v>https://www.griffith.edu.au/study/degrees/master-of-global-development-5724</x:v>
      </x:c>
      <x:c r="P36" s="53"/>
      <x:c r="Q36" s="21" t="str">
        <x:v>Manual review required: official program page retrieval failed (403).</x:v>
      </x:c>
      <x:c r="R36" s="21" t="str">
        <x:v>Automated evidence extraction from official pages. Manually confirm year-specific tuition, language score applicability, and optional-versus-required curriculum elements before analysis.</x:v>
      </x:c>
    </x:row>
    <x:row r="37" ht="54" customHeight="1">
      <x:c r="A37" s="58" t="n">
        <x:v>53</x:v>
      </x:c>
      <x:c r="B37" s="51" t="str">
        <x:v>Western Sydney University</x:v>
      </x:c>
      <x:c r="C37" s="51" t="str">
        <x:v>Australia</x:v>
      </x:c>
      <x:c r="D37" s="51" t="str">
        <x:v>Master of Sustainable Tourism, Hospitality and Event Management</x:v>
      </x:c>
      <x:c r="E37" s="51" t="str">
        <x:v>"}}' id="text-e58d65c472" class="cmp-text"&gt; | Study and save: Discounted student fees are available through Commonwealth Supported Places (CSPs) when undertaking this course in 2026. | The Master of Sustainable Tourism, Hospitality and Event Management provides students with the specialist knowledge and skills required to shape the future of the tourism, hospitality, and event management sectors in Australia and overseas. || UAC 950855 | Domestic Student Fees | Indicative annual fee from $11,885 || Not a permanent resident of Australia. | Admission to Western Sydney University is on the basis of meeting minimum academic and English language requirements . For more information about tuition fees and other costs, visit the Fees and Costs page . | Apply Now</x:v>
      </x:c>
      <x:c r="F37" s="51" t="str">
        <x:v>Duration | Full Time: 1-2 Years (Available Part Time)* | Next Start Date || The program provides many opportunities for applied learning to ensure students develop the practical skills and networks required to secure a job. Throughout the program students engage with industry and government experts and complete fieldtrips | Celebrating 30 years of Tourism at Western | Western Sydney University has been training tourism, hospitality, event and visitor economy practitioners for over 30 years. Our graduates are making exciting contributions to these sectors across the glob || Celebrating 30 years of Tourism at Western | Western Sydney University has been training tourism, hospitality, event and visitor economy practitioners for over 30 years. Our graduates are making exciting contributions to these sectors across the globe. | As a Bachelor o</x:v>
      </x:c>
      <x:c r="G37" s="51" t="str">
        <x:v>Duration | Full Time: 1-2 Years (Available Part Time)* | Next Start Date || Entry requirements for international students | **Please note, if this course lists a part-time option, this is not available to International Students on a Student Visa. | Please consult the handbook for more information regarding entry requirements for this course. || *Fee Disclaimer | The fee estimates provided are indicative only and subject to change. These estimates are based on the current fee structures for a normal full time study load. However, the final fees may vary depending on several factors, including the specific subjects chosen, the duration and timing of study, and annual fee adjustments (subject to Commonwealth student contribution band rates). Please note that these estimates do not include the Student Services and Amenities Fee. We encoura</x:v>
      </x:c>
      <x:c r="H37" s="51" t="str">
        <x:v>Pathway Programs | English Language Programs | Workplace Skilling || Not a permanent resident of Australia. | Admission to Western Sydney University is on the basis of meeting minimum academic and English language requirements . For more information about tuition fees and other costs, visit the Fees and Costs page . | Apply Now || English Language Programs | The College | Western Sydney University || Contact Us | English Language Programs | The College offers internationally-acclaimed English Language Programs that are designed to give you every chance of success. Whether you want to improve your general communication skills, work in Australia or study at Western Sydney University, our teachers are dedicated to you.</x:v>
      </x:c>
      <x:c r="I37" s="51" t="str">
        <x:v>What you can expect to study | The program structure is outlined in | our handbook . Here you can view all of the subjects</x:v>
      </x:c>
      <x:c r="J37" s="51" t="str">
        <x:v>The Master of Sustainable Tourism, Hospitality and Event Management is taught by staff with a wide range of expertise in the tourism, hospitality and events sectors. The teaching team are recognised internationally for the quality of their research and teaching. They pride themselves on taking a student-centred approach to teaching and enjoy working with students to achieve their ambitions. | Student Placements (Internships) | Students complete a placement (internship) in the final year of the p || Student Placements (Internships) | Students complete a placement (internship) in the final year of the program. The placement provides a stepping-stone to ongoing employment in the tourism, event, hospitality and/or visitor economy sectors. | Fieldtrips and Industry Engagement || How many hours of placement do I complete in the Bachelor of Tourism and Event Management? Do I get to choose where</x:v>
      </x:c>
      <x:c r="K37" s="51" t="str">
        <x:v>Not stated on reviewed official page</x:v>
      </x:c>
      <x:c r="L37" s="51" t="str">
        <x:v>Not stated on reviewed official page</x:v>
      </x:c>
      <x:c r="M37" s="51" t="str">
        <x:v>Not stated on reviewed official page</x:v>
      </x:c>
      <x:c r="N37" s="51" t="str">
        <x:v>Not stated on reviewed official page</x:v>
      </x:c>
      <x:c r="O37" s="54" t="str">
        <x:v>https://www.westernsydney.edu.au/future/study/courses/postgraduate/master-of-sustainable-tourism-hospitality-and-event-management</x:v>
      </x:c>
      <x:c r="P37" s="54" t="str">
        <x:v>https://www.westernsydney.edu.au/future/study/application-pathways/the-college/english-programs</x:v>
      </x:c>
      <x:c r="Q37" s="51" t="str">
        <x:v>Official program page retrieved; 2 official page(s) reviewed; 6/10 requested evidence groups found.</x:v>
      </x:c>
      <x:c r="R37" s="51" t="str">
        <x:v>Automated evidence extraction from official pages. Manually confirm year-specific tuition, language score applicability, and optional-versus-required curriculum elements before analysis.</x:v>
      </x:c>
    </x:row>
    <x:row r="38" ht="54" customHeight="1">
      <x:c r="A38" s="57" t="n">
        <x:v>54</x:v>
      </x:c>
      <x:c r="B38" s="21" t="str">
        <x:v>Queen's University</x:v>
      </x:c>
      <x:c r="C38" s="21" t="str">
        <x:v>Canada</x:v>
      </x:c>
      <x:c r="D38" s="21" t="str">
        <x:v>Master of Environmental Studies</x:v>
      </x:c>
      <x:c r="E38" s="21" t="str">
        <x:v>Not stated on reviewed official page</x:v>
      </x:c>
      <x:c r="F38" s="21" t="str">
        <x:v>PhD in Environmental Studies | Mandate: to provide outstanding graduate training at the doctoral level in sustainability &amp; sustainable practices, facilitating interdisciplinarity across Queen’s faculties. Degree Level Expectations and Learning Outcomes (PDF, 98KB) . The objectives of this program will be achieved by a combination of courses, independent research, seminars, readings, a comprehensive examination and a thesis. (48 months) | Master's of Environmental Studies (MES) || Research-based Master's | This program follows the traditional sequence of graduate training. Four half-credit courses, the challenge of original research culminating in a thesis, and a formal defense are required (24 months). | Course-based Master's || Course-based Master's | This program emphasizes the development of conceptual thinking and analytical and inter</x:v>
      </x:c>
      <x:c r="G38" s="21" t="str">
        <x:v>Not stated on reviewed official page</x:v>
      </x:c>
      <x:c r="H38" s="21" t="str">
        <x:v>Not stated on reviewed official page</x:v>
      </x:c>
      <x:c r="I38" s="21" t="str">
        <x:v>PhD in Environmental Studies | Mandate: to provide outstanding graduate training at the doctoral level in sustainability &amp; sustainable practices, facilitating interdisciplinarity across Queen’s faculties. Degree Level Expectations and Learning Outcomes (PDF, 98KB) . The objectives of this program will be achieved by a combination of courses, independent research, seminars, readings, a comprehensive examination and a thesis. (48 months) | Master's of Environmental Studies (MES) || Master's of Environmental Studies (MES) | The MES program at Queen's University provides graduate level training in the field of Environmental Sustainability by practicing an interdisciplinary approach to the study of the long-term nature and impacts of environmental change, the connections between today's decisions and tomorrow's welfare, and the strong dependence of human well-being on environmental quality. Degree Level Expectations and Learning Outcomes (PDF, 98KB) | The MES program meets a</x:v>
      </x:c>
      <x:c r="J38" s="21" t="str">
        <x:v>NA</x:v>
      </x:c>
      <x:c r="K38" s="21" t="str">
        <x:v>Not stated on reviewed official page</x:v>
      </x:c>
      <x:c r="L38" s="21" t="str">
        <x:v>Not stated on reviewed official page</x:v>
      </x:c>
      <x:c r="M38" s="21" t="str">
        <x:v>Not stated on reviewed official page</x:v>
      </x:c>
      <x:c r="N38" s="21" t="str">
        <x:v>Not stated on reviewed official page</x:v>
      </x:c>
      <x:c r="O38" s="53" t="str">
        <x:v>https://www.queensu.ca/ensc/graduate/programs-overview</x:v>
      </x:c>
      <x:c r="P38" s="53"/>
      <x:c r="Q38" s="21" t="str">
        <x:v>Official program page retrieved; 1 official page(s) reviewed; 2/10 requested evidence groups found.</x:v>
      </x:c>
      <x:c r="R38" s="21" t="str">
        <x:v>Automated evidence extraction from official pages. Manually confirm year-specific tuition, language score applicability, and optional-versus-required curriculum elements before analysis.</x:v>
      </x:c>
    </x:row>
    <x:row r="39" ht="54" customHeight="1">
      <x:c r="A39" s="58" t="n">
        <x:v>55</x:v>
      </x:c>
      <x:c r="B39" s="51" t="str">
        <x:v>Universiti Sains Malaysia</x:v>
      </x:c>
      <x:c r="C39" s="51" t="str">
        <x:v>Malaysia</x:v>
      </x:c>
      <x:c r="D39" s="51" t="str">
        <x:v>Master in Sustainable Development Practice</x:v>
      </x:c>
      <x:c r="E39" s="51" t="str">
        <x:v>Not stated on reviewed official page</x:v>
      </x:c>
      <x:c r="F39" s="51" t="str">
        <x:v>INTRODUCTION | Masters in Sustainable Development Practice (MSDP) is a global multi and interdisciplinary graduate degree program that prepares students to better identify and address the challenges of sustainable development. This programme consists of two years of coursework in four intersecting disciplines-health, natural, social, and management sciences-combined with cross-sectoral field training. The multi and interdisciplinary nature of this MSDP programme equips development practitioners  || The duration of studies shown below, | Full-time students: Minimum 4 semesters / Maximum 8 semesters | Part-time students: Minimum 6 semesters / Maximum 10 semester || Full-time students: Minimum 4 semesters / Maximum 8 semesters | Part-time students: Minimum 6 semesters / Maximum 10 semester | Classes are held in person (physical classes) duri</x:v>
      </x:c>
      <x:c r="G39" s="51" t="str">
        <x:v>The duration of studies shown below, | Full-time students: Minimum 4 semesters / Maximum 8 semesters | Part-time students: Minimum 6 semesters / Maximum 10 semester || Full-time students: Minimum 4 semesters / Maximum 8 semesters | Part-time students: Minimum 6 semesters / Maximum 10 semester | Classes are held in person (physical classes) during the weekend for both full-time and part-time students, possibly every fortnightly in Kuala Lumpur (sains@KL). || Part-time students: Minimum 6 semesters / Maximum 10 semester | Classes are held in person (physical classes) during the weekend for both full-time and part-time students, possibly every fortnightly in Kuala Lumpur (sains@KL). | Class venue:</x:v>
      </x:c>
      <x:c r="H39" s="51" t="str">
        <x:v>CGPA below 2.75/4.00 for Bachelor degree with additional requirements | LANGUAGE REQUIREMENTS | (Applicable for International Applicants Only) || (Applicable for International Applicants Only) | A minimum score of 35 in Internet-based TOEFL (Test of English as a Foreign Language); or | A minimum of Band 5 in IELTS (International English Language Testing System); or || A minimum score of 35 in Internet-based TOEFL (Test of English as a Foreign Language); or | A minimum of Band 5 in IELTS (International English Language Testing System); or | A minimum score of 154 in Cambridge English Advance (CAE); or</x:v>
      </x:c>
      <x:c r="I39" s="51" t="str">
        <x:v>The MSDP Programme Educational Objectives are: | Programme Learning Outcomes (PLO) | At the end of the MSDP programme, the students will be able to: || At the end of the MSDP programme, the students will be able to: | PROGRAMME STRUCTURE | Students have to complete a total of 44 units of core courses and electives courses to graduate. The core courses consist of 38 units, while the elective courses consist of 6 units. Both the core and the electives courses are divided into these clusters – General Cluster, Global and Health Cluster, Science and Engineering Clusters, Management Cluster, Social Science Cluster. || PROGRAMME STRUCTURE | Students have to complete a total of 44 units of core courses and electives courses to graduate. The core courses consist of 38 units, while the elective courses consist of 6 units. Both the core and the electives courses are divided into these clusters – General Cluster, Global and Health Cluster, Science and Engineering Clusters, Management Cluster, Social Science Cluster. | The duration of studies shown below, || COURSES | Core courses (38 units) | S</x:v>
      </x:c>
      <x:c r="J39" s="51" t="str">
        <x:v>NA</x:v>
      </x:c>
      <x:c r="K39" s="51" t="str">
        <x:v>Not stated on reviewed official page</x:v>
      </x:c>
      <x:c r="L39" s="51" t="str">
        <x:v>Not stated on reviewed official page</x:v>
      </x:c>
      <x:c r="M39" s="51" t="str">
        <x:v>Not stated on reviewed official page</x:v>
      </x:c>
      <x:c r="N39" s="51" t="str">
        <x:v>Not stated on reviewed official page</x:v>
      </x:c>
      <x:c r="O39" s="54" t="str">
        <x:v>https://cgss.usm.my/programmes/postgraduate/coursework/masters-in-sustainable-development-practice-msdp</x:v>
      </x:c>
      <x:c r="P39" s="54"/>
      <x:c r="Q39" s="51" t="str">
        <x:v>Official program page retrieved; 1 official page(s) reviewed; 4/10 requested evidence groups found.</x:v>
      </x:c>
      <x:c r="R39" s="51" t="str">
        <x:v>Automated evidence extraction from official pages. Manually confirm year-specific tuition, language score applicability, and optional-versus-required curriculum elements before analysis.</x:v>
      </x:c>
    </x:row>
    <x:row r="40" ht="54" customHeight="1">
      <x:c r="A40" s="57" t="n">
        <x:v>56</x:v>
      </x:c>
      <x:c r="B40" s="21" t="str">
        <x:v>Hanyang University</x:v>
      </x:c>
      <x:c r="C40" s="21" t="str">
        <x:v>South Korea</x:v>
      </x:c>
      <x:c r="D40" s="21" t="str">
        <x:v>Master's majors in Global Climate and Environmental Studies</x:v>
      </x:c>
      <x:c r="E40" s="21" t="str">
        <x:v>Not stated on reviewed official page</x:v>
      </x:c>
      <x:c r="F40" s="21" t="str">
        <x:v>Master’s | (27 Credits) | Major || Major | (22 Credits) | Elective Core General || Research | (5 Credits) | Compulsory Research</x:v>
      </x:c>
      <x:c r="G40" s="21" t="str">
        <x:v>Not stated on reviewed official page</x:v>
      </x:c>
      <x:c r="H40" s="21" t="str">
        <x:v>Note: Subsitution is possible with an official language proficiency certificate | - English (TOEIC, TOEFL, G-TELP, IELTS, GRE, GMAT) | - Korean (TOPIK) || Individuals who meet all of the below criteria: | - Satisfied foreign language requirement | - Completed all prerequisite courses</x:v>
      </x:c>
      <x:c r="I40" s="21" t="str">
        <x:v>학사일정 Academic Calendar | 교육과정 (교과목) Curriculum (Courses) | 학위취득로드맵 Road Map || 학사일정 Academic Calendar | 교육과정 (교과목) Curriculum (Courses) | 국문(KOR) || 학사안내 Academics | 교육과정 (교과목) Curriculum (Courses) | 국문(KOR)</x:v>
      </x:c>
      <x:c r="J40" s="21" t="str">
        <x:v>NA</x:v>
      </x:c>
      <x:c r="K40" s="21" t="str">
        <x:v>Not stated on reviewed official page</x:v>
      </x:c>
      <x:c r="L40" s="21" t="str">
        <x:v>Not stated on reviewed official page</x:v>
      </x:c>
      <x:c r="M40" s="21" t="str">
        <x:v>Not stated on reviewed official page</x:v>
      </x:c>
      <x:c r="N40" s="21" t="str">
        <x:v>Not stated on reviewed official page</x:v>
      </x:c>
      <x:c r="O40" s="53" t="str">
        <x:v>https://hygce.hanyang.ac.kr/-eng-1</x:v>
      </x:c>
      <x:c r="P40" s="53" t="str">
        <x:v>https://hygce.hanyang.ac.kr/-kor-</x:v>
      </x:c>
      <x:c r="Q40" s="21" t="str">
        <x:v>Official program page retrieved; 2 official page(s) reviewed; 3/10 requested evidence groups found.</x:v>
      </x:c>
      <x:c r="R40" s="21" t="str">
        <x:v>Automated evidence extraction from official pages. Manually confirm year-specific tuition, language score applicability, and optional-versus-required curriculum elements before analysis.</x:v>
      </x:c>
    </x:row>
    <x:row r="41" ht="54" customHeight="1">
      <x:c r="A41" s="58" t="n">
        <x:v>57</x:v>
      </x:c>
      <x:c r="B41" s="51" t="str">
        <x:v>Hokkaido University</x:v>
      </x:c>
      <x:c r="C41" s="51" t="str">
        <x:v>Japan</x:v>
      </x:c>
      <x:c r="D41" s="51" t="str">
        <x:v>Master's Program, Graduate School of Environmental Science</x:v>
      </x:c>
      <x:c r="E41" s="51" t="str">
        <x:v>Not stated on reviewed official page</x:v>
      </x:c>
      <x:c r="F41" s="51" t="str">
        <x:v>Not stated on reviewed official page</x:v>
      </x:c>
      <x:c r="G41" s="51" t="str">
        <x:v>Not stated on reviewed official page</x:v>
      </x:c>
      <x:c r="H41" s="51" t="str">
        <x:v>Not stated on reviewed official page</x:v>
      </x:c>
      <x:c r="I41" s="51" t="str">
        <x:v>Syllabus | Curriculum Map | Annual Report || Curriculum Map | Master’s Course (Japanese version only)</x:v>
      </x:c>
      <x:c r="J41" s="51" t="str">
        <x:v>NA</x:v>
      </x:c>
      <x:c r="K41" s="51" t="str">
        <x:v>Not stated on reviewed official page</x:v>
      </x:c>
      <x:c r="L41" s="51" t="str">
        <x:v>Not stated on reviewed official page</x:v>
      </x:c>
      <x:c r="M41" s="51" t="str">
        <x:v>Not stated on reviewed official page</x:v>
      </x:c>
      <x:c r="N41" s="51" t="str">
        <x:v>Not stated on reviewed official page</x:v>
      </x:c>
      <x:c r="O41" s="54" t="str">
        <x:v>https://www.ees.hokudai.ac.jp/?lang=en</x:v>
      </x:c>
      <x:c r="P41" s="54" t="str">
        <x:v>https://www.ees.hokudai.ac.jp/?page_id=2891&amp;lang=en</x:v>
      </x:c>
      <x:c r="Q41" s="51" t="str">
        <x:v>Official program page retrieved; 2 official page(s) reviewed; 1/10 requested evidence groups found.</x:v>
      </x:c>
      <x:c r="R41" s="51" t="str">
        <x:v>Automated evidence extraction from official pages. Manually confirm year-specific tuition, language score applicability, and optional-versus-required curriculum elements before analysis.</x:v>
      </x:c>
    </x:row>
    <x:row r="42" ht="54" customHeight="1">
      <x:c r="A42" s="57" t="n">
        <x:v>58</x:v>
      </x:c>
      <x:c r="B42" s="21" t="str">
        <x:v>Universiti Kebangsaan Malaysia</x:v>
      </x:c>
      <x:c r="C42" s="21" t="str">
        <x:v>Malaysia</x:v>
      </x:c>
      <x:c r="D42" s="21" t="str">
        <x:v>Master of Science / Master of Arts in Environment and Development</x:v>
      </x:c>
      <x:c r="E42" s="21" t="str">
        <x:v>Semester 2 Session 20XX/20XX (March) | Yuran Pengajian/ Tuition Fees | Pelajar Tempatan/ Local Students (Malaysian)</x:v>
      </x:c>
      <x:c r="F42" s="21" t="str">
        <x:v>Ijazah Sarjana Muda dengan kepujian dalam bidang yang berkaitan dari Universiti Kebangsaan Malaysia dengan PNGK atau dari universiti lain yang diiktiraf oleh Senat dengan SEKURANG-KURANGNYA SATU TAHUN PENGALAMAN dalam bidang yang berkaitan. | Bachelor degree with honours in areas of relevance from Universiti Kebangsaan Malaysia with CGPA 2.75 or other universities accredited by the Senate with AT LEAST ONE YEAR EXPERIENCE IN AREAS of relevance. | Tempoh Pengajian / Duration of Study || Sepenuh Masa /Full Time | 4-6 semesters | GOT = 5 semesters || 4-6 semesters | GOT = 5 semesters | Separuh Masa /Part Time*</x:v>
      </x:c>
      <x:c r="G42" s="21" t="str">
        <x:v>Tempoh Pengajian / Duration of Study | Sepenuh Masa /Full Time | 4-6 semesters || GOT = 5 semesters | Separuh Masa /Part Time* | *hanya untuk pelajar warganegara sahaja/ only applicable to Malaysian citizen only || Pelajar Tempatan/ Local Students (Malaysian) | Sepenuh Masa/ Full Time | Separuh Masa / Part Time</x:v>
      </x:c>
      <x:c r="H42" s="21" t="str">
        <x:v>4 – 8 semesters | Syarat Bahasa / Language Requirement | Syarat Keperluan Bahasa (Bagi pelajar Antarabangsa) || PASS Bahasa Melayu courses | Bahasa Inggeris English Language | TOEFL (Paper-Based) 550 || Bahasa Inggeris English Language | TOEFL (Paper-Based) 550 | TOEFL (Internet-Based) 95 || TOEFL (Paper-Based) 550 | TOEFL (Internet-Based) 95 | IELTS 6.0</x:v>
      </x:c>
      <x:c r="I42" s="21" t="str">
        <x:v>Not stated on reviewed official page</x:v>
      </x:c>
      <x:c r="J42" s="21" t="str">
        <x:v>NA</x:v>
      </x:c>
      <x:c r="K42" s="21" t="str">
        <x:v>Not stated on reviewed official page</x:v>
      </x:c>
      <x:c r="L42" s="21" t="str">
        <x:v>Not stated on reviewed official page</x:v>
      </x:c>
      <x:c r="M42" s="21" t="str">
        <x:v>Not stated on reviewed official page</x:v>
      </x:c>
      <x:c r="N42" s="21" t="str">
        <x:v>Not stated on reviewed official page</x:v>
      </x:c>
      <x:c r="O42" s="53" t="str">
        <x:v>https://www.ukm.my/lestari/program-siswazah/</x:v>
      </x:c>
      <x:c r="P42" s="53"/>
      <x:c r="Q42" s="21" t="str">
        <x:v>Official program page retrieved; 1 official page(s) reviewed; 4/10 requested evidence groups found.</x:v>
      </x:c>
      <x:c r="R42" s="21" t="str">
        <x:v>Automated evidence extraction from official pages. Manually confirm year-specific tuition, language score applicability, and optional-versus-required curriculum elements before analysis.</x:v>
      </x:c>
    </x:row>
    <x:row r="43" ht="54" customHeight="1">
      <x:c r="A43" s="58" t="n">
        <x:v>59</x:v>
      </x:c>
      <x:c r="B43" s="51" t="str">
        <x:v>Institut Agro</x:v>
      </x:c>
      <x:c r="C43" s="51" t="str">
        <x:v>France</x:v>
      </x:c>
      <x:c r="D43" s="51" t="str">
        <x:v>Master's pathway: Transitions in Environmental and Agrifood Systems Management</x:v>
      </x:c>
      <x:c r="E43" s="51" t="str">
        <x:v>Not stated on reviewed official page</x:v>
      </x:c>
      <x:c r="F43" s="51" t="str">
        <x:v>Not stated on reviewed official page</x:v>
      </x:c>
      <x:c r="G43" s="51" t="str">
        <x:v>Not stated on reviewed official page</x:v>
      </x:c>
      <x:c r="H43" s="51" t="str">
        <x:v>Not stated on reviewed official page</x:v>
      </x:c>
      <x:c r="I43" s="51" t="str">
        <x:v>Not stated on reviewed official page</x:v>
      </x:c>
      <x:c r="J43" s="51" t="str">
        <x:v>NA</x:v>
      </x:c>
      <x:c r="K43" s="51" t="str">
        <x:v>Not stated on reviewed official page</x:v>
      </x:c>
      <x:c r="L43" s="51" t="str">
        <x:v>Not stated on reviewed official page</x:v>
      </x:c>
      <x:c r="M43" s="51" t="str">
        <x:v>Not stated on reviewed official page</x:v>
      </x:c>
      <x:c r="N43" s="51" t="str">
        <x:v>Not stated on reviewed official page</x:v>
      </x:c>
      <x:c r="O43" s="54" t="str">
        <x:v>https://www.institut-agro.fr/fr/nos-formations</x:v>
      </x:c>
      <x:c r="P43" s="54"/>
      <x:c r="Q43" s="51" t="str">
        <x:v>Official program page retrieved; 1 official page(s) reviewed; 0/10 requested evidence groups found.</x:v>
      </x:c>
      <x:c r="R43" s="51" t="str">
        <x:v>Automated evidence extraction from official pages. Manually confirm year-specific tuition, language score applicability, and optional-versus-required curriculum elements before analysis.</x:v>
      </x:c>
    </x:row>
    <x:row r="44" ht="54" customHeight="1">
      <x:c r="A44" s="57" t="n">
        <x:v>60</x:v>
      </x:c>
      <x:c r="B44" s="21" t="str">
        <x:v>National Taiwan University (NTU)</x:v>
      </x:c>
      <x:c r="C44" s="21" t="str">
        <x:v>Taiwan</x:v>
      </x:c>
      <x:c r="D44" s="21" t="str">
        <x:v>Master's Program in Biodiversity</x:v>
      </x:c>
      <x:c r="E44" s="21" t="str">
        <x:v>Dates and Deadlines | Tuition and Scholarships | Ready to Apply?</x:v>
      </x:c>
      <x:c r="F44" s="21" t="str">
        <x:v>Photograph(+) | In color and less than 6 months old, showing a close-up shot of the head and shoulders, and without wearing a hat. | English Proficiency Certificate (see above)</x:v>
      </x:c>
      <x:c r="G44" s="21" t="str">
        <x:v>Not stated on reviewed official page</x:v>
      </x:c>
      <x:c r="H44" s="21" t="str">
        <x:v>The Master's Program in Biodiversity has the minimum admission requirements as follow: | English Proficiency Certificate at CEFR B2 (Vantage) or above | (please refer to English Proficiency Test Comparison Chart )</x:v>
      </x:c>
      <x:c r="I44" s="21" t="str">
        <x:v>The program emphasizes biodiversity theories as a foundation before moving onto more in-depth discussions on the scientific knowledge of biodiversity, sustainable resource utilization and planning, and benefit estimation and sharing. | Therefore, the curriculum covers the methodology and technology required for conducting research. It revolves around two main themes: | 1) Biodiversity Science</x:v>
      </x:c>
      <x:c r="J44" s="21" t="str">
        <x:v>NA</x:v>
      </x:c>
      <x:c r="K44" s="21" t="str">
        <x:v>Not stated on reviewed official page</x:v>
      </x:c>
      <x:c r="L44" s="21" t="str">
        <x:v>Not stated on reviewed official page</x:v>
      </x:c>
      <x:c r="M44" s="21" t="str">
        <x:v>Not stated on reviewed official page</x:v>
      </x:c>
      <x:c r="N44" s="21" t="str">
        <x:v>Not stated on reviewed official page</x:v>
      </x:c>
      <x:c r="O44" s="53" t="str">
        <x:v>https://mpb.ntu.edu.tw/about/overview</x:v>
      </x:c>
      <x:c r="P44" s="53" t="str">
        <x:v>https://mpb.ntu.edu.tw/prospective/admission/Requirements</x:v>
      </x:c>
      <x:c r="Q44" s="21" t="str">
        <x:v>Official program page retrieved; 2 official page(s) reviewed; 4/10 requested evidence groups found.</x:v>
      </x:c>
      <x:c r="R44" s="21" t="str">
        <x:v>Automated evidence extraction from official pages. Manually confirm year-specific tuition, language score applicability, and optional-versus-required curriculum elements before analysis.</x:v>
      </x:c>
    </x:row>
    <x:row r="45" ht="54" customHeight="1">
      <x:c r="A45" s="58" t="n">
        <x:v>61</x:v>
      </x:c>
      <x:c r="B45" s="51" t="str">
        <x:v>University of Alberta</x:v>
      </x:c>
      <x:c r="C45" s="51" t="str">
        <x:v>Canada</x:v>
      </x:c>
      <x:c r="D45" s="51" t="str">
        <x:v>Master of Sustainability</x:v>
      </x:c>
      <x:c r="E45" s="51" t="str">
        <x:v>Not stated on reviewed official page</x:v>
      </x:c>
      <x:c r="F45" s="51" t="str">
        <x:v>Not stated on reviewed official page</x:v>
      </x:c>
      <x:c r="G45" s="51" t="str">
        <x:v>Not stated on reviewed official page</x:v>
      </x:c>
      <x:c r="H45" s="51" t="str">
        <x:v>Not stated on reviewed official page</x:v>
      </x:c>
      <x:c r="I45" s="51" t="str">
        <x:v>Not stated on reviewed official page</x:v>
      </x:c>
      <x:c r="J45" s="51" t="str">
        <x:v>NA</x:v>
      </x:c>
      <x:c r="K45" s="51" t="str">
        <x:v>Effective: 2026-09-01 | SUST 900 - Sustainability Capstone | 6 units (fi 12)(EITHER, 0-6S-0) || 6 units (fi 12)(EITHER, 0-6S-0) | Course-based Master of Sustainability students complete a group capstone project on a sustainability focused project. | University of Alberta logo</x:v>
      </x:c>
      <x:c r="L45" s="51" t="str">
        <x:v>Not stated on reviewed official page</x:v>
      </x:c>
      <x:c r="M45" s="51" t="str">
        <x:v>Not stated on reviewed official page</x:v>
      </x:c>
      <x:c r="N45" s="51" t="str">
        <x:v>Not stated on reviewed official page</x:v>
      </x:c>
      <x:c r="O45" s="54" t="str">
        <x:v>https://apps.ualberta.ca/catalogue/course/sust</x:v>
      </x:c>
      <x:c r="P45" s="54"/>
      <x:c r="Q45" s="51" t="str">
        <x:v>Official program page retrieved; 1 official page(s) reviewed; 1/10 requested evidence groups found.</x:v>
      </x:c>
      <x:c r="R45" s="51" t="str">
        <x:v>Automated evidence extraction from official pages. Manually confirm year-specific tuition, language score applicability, and optional-versus-required curriculum elements before analysis.</x:v>
      </x:c>
    </x:row>
    <x:row r="46" ht="54" customHeight="1">
      <x:c r="A46" s="57" t="n">
        <x:v>62</x:v>
      </x:c>
      <x:c r="B46" s="21" t="str">
        <x:v>Korea University</x:v>
      </x:c>
      <x:c r="C46" s="21" t="str">
        <x:v>South Korea</x:v>
      </x:c>
      <x:c r="D46" s="21" t="str">
        <x:v>Master's in Climatic Environment</x:v>
      </x:c>
      <x:c r="E46" s="21" t="str">
        <x:v>Not stated on reviewed official page</x:v>
      </x:c>
      <x:c r="F46" s="21" t="str">
        <x:v>Not stated on reviewed official page</x:v>
      </x:c>
      <x:c r="G46" s="21" t="str">
        <x:v>Not stated on reviewed official page</x:v>
      </x:c>
      <x:c r="H46" s="21" t="str">
        <x:v>Not stated on reviewed official page</x:v>
      </x:c>
      <x:c r="I46" s="21" t="str">
        <x:v>Not stated on reviewed official page</x:v>
      </x:c>
      <x:c r="J46" s="21" t="str">
        <x:v>NA</x:v>
      </x:c>
      <x:c r="K46" s="21" t="str">
        <x:v>Not stated on reviewed official page</x:v>
      </x:c>
      <x:c r="L46" s="21" t="str">
        <x:v>Not stated on reviewed official page</x:v>
      </x:c>
      <x:c r="M46" s="21" t="str">
        <x:v>Not stated on reviewed official page</x:v>
      </x:c>
      <x:c r="N46" s="21" t="str">
        <x:v>Not stated on reviewed official page</x:v>
      </x:c>
      <x:c r="O46" s="53" t="str">
        <x:v>https://gsles.korea.edu/gsles_en/master/subject07.do</x:v>
      </x:c>
      <x:c r="P46" s="53"/>
      <x:c r="Q46" s="21" t="str">
        <x:v>Official program page retrieved; 1 official page(s) reviewed; 0/10 requested evidence groups found.</x:v>
      </x:c>
      <x:c r="R46" s="21" t="str">
        <x:v>Automated evidence extraction from official pages. Manually confirm year-specific tuition, language score applicability, and optional-versus-required curriculum elements before analysis.</x:v>
      </x:c>
    </x:row>
    <x:row r="47" ht="54" customHeight="1">
      <x:c r="A47" s="58" t="n">
        <x:v>63</x:v>
      </x:c>
      <x:c r="B47" s="51" t="str">
        <x:v>Universitas Airlangga</x:v>
      </x:c>
      <x:c r="C47" s="51" t="str">
        <x:v>Indonesia</x:v>
      </x:c>
      <x:c r="D47" s="51" t="str">
        <x:v>Master of Environmental Health</x:v>
      </x:c>
      <x:c r="E47" s="51" t="str">
        <x:v>Not stated on reviewed official page</x:v>
      </x:c>
      <x:c r="F47" s="51" t="str">
        <x:v>Not stated on reviewed official page</x:v>
      </x:c>
      <x:c r="G47" s="51" t="str">
        <x:v>Not stated on reviewed official page</x:v>
      </x:c>
      <x:c r="H47" s="51" t="str">
        <x:v>Not stated on reviewed official page</x:v>
      </x:c>
      <x:c r="I47" s="51" t="str">
        <x:v>Two study interests: Environmental Health Risk Analysis (49 credits) and Environmental Health Management (48 credits). Graduate profiles include manager, leader, communicator, advocate, decision maker, negotiator, and researcher.</x:v>
      </x:c>
      <x:c r="J47" s="51" t="str">
        <x:v>NA</x:v>
      </x:c>
      <x:c r="K47" s="51" t="str">
        <x:v>Not stated on reviewed official page</x:v>
      </x:c>
      <x:c r="L47" s="51" t="str">
        <x:v>Not stated on reviewed official page</x:v>
      </x:c>
      <x:c r="M47" s="51" t="str">
        <x:v>Not stated on reviewed official page</x:v>
      </x:c>
      <x:c r="N47" s="51" t="str">
        <x:v>Not stated on reviewed official page</x:v>
      </x:c>
      <x:c r="O47" s="54" t="str">
        <x:v>https://s2kesling.fkm.unair.ac.id/</x:v>
      </x:c>
      <x:c r="P47" s="54" t="str">
        <x:v>https://fkm.unair.ac.id/en/department-of-environmental-health/; https://ppmb.unair.ac.id/en/page1/syarat-khusus-magister</x:v>
      </x:c>
      <x:c r="Q47" s="51" t="str">
        <x:v>Manually completed from current official indexed content after the automated page request was blocked or incomplete.</x:v>
      </x:c>
      <x:c r="R47" s="51" t="str">
        <x:v>Official source content was manually reviewed. Reconfirm year-specific tuition and linked university-wide requirements before final statistical analysis.</x:v>
      </x:c>
    </x:row>
    <x:row r="48" ht="54" customHeight="1">
      <x:c r="A48" s="57" t="n">
        <x:v>64</x:v>
      </x:c>
      <x:c r="B48" s="21" t="str">
        <x:v>Pusan National University</x:v>
      </x:c>
      <x:c r="C48" s="21" t="str">
        <x:v>South Korea</x:v>
      </x:c>
      <x:c r="D48" s="21" t="str">
        <x:v>Master's programs, Graduate School of Environment</x:v>
      </x:c>
      <x:c r="E48" s="21" t="str">
        <x:v>Not stated on reviewed official page</x:v>
      </x:c>
      <x:c r="F48" s="21" t="str">
        <x:v>Not stated on reviewed official page</x:v>
      </x:c>
      <x:c r="G48" s="21" t="str">
        <x:v>Not stated on reviewed official page</x:v>
      </x:c>
      <x:c r="H48" s="21" t="str">
        <x:v>Not stated on reviewed official page</x:v>
      </x:c>
      <x:c r="I48" s="21" t="str">
        <x:v>Not stated on reviewed official page</x:v>
      </x:c>
      <x:c r="J48" s="21" t="str">
        <x:v>NA</x:v>
      </x:c>
      <x:c r="K48" s="21" t="str">
        <x:v>Not stated on reviewed official page</x:v>
      </x:c>
      <x:c r="L48" s="21" t="str">
        <x:v>Not stated on reviewed official page</x:v>
      </x:c>
      <x:c r="M48" s="21" t="str">
        <x:v>Not stated on reviewed official page</x:v>
      </x:c>
      <x:c r="N48" s="21" t="str">
        <x:v>Not stated on reviewed official page</x:v>
      </x:c>
      <x:c r="O48" s="53" t="str">
        <x:v>https://www.pusan.ac.kr/eng/CMS/OrganizationMgr/SpecialGraduateInfo.do?gc_code=280000&amp;gc_parent_code=NONE-009&amp;mCode=MN021</x:v>
      </x:c>
      <x:c r="P48" s="53"/>
      <x:c r="Q48" s="21" t="str">
        <x:v>Official program page retrieved; 1 official page(s) reviewed; 0/10 requested evidence groups found.</x:v>
      </x:c>
      <x:c r="R48" s="21" t="str">
        <x:v>Automated evidence extraction from official pages. Manually confirm year-specific tuition, language score applicability, and optional-versus-required curriculum elements before analysis.</x:v>
      </x:c>
    </x:row>
    <x:row r="49" ht="54" customHeight="1">
      <x:c r="A49" s="58" t="n">
        <x:v>65</x:v>
      </x:c>
      <x:c r="B49" s="51" t="str">
        <x:v>University of Tasmania</x:v>
      </x:c>
      <x:c r="C49" s="51" t="str">
        <x:v>Australia</x:v>
      </x:c>
      <x:c r="D49" s="51" t="str">
        <x:v>Master of Environmental Geospatial Science</x:v>
      </x:c>
      <x:c r="E49" s="51" t="str">
        <x:v>2026 domestic CSP indicative annual fee: AUD 9,312. International fee: AUD 42,950 per year; indicative total international tuition: AUD 88,048.</x:v>
      </x:c>
      <x:c r="F49" s="51" t="str">
        <x:v>Minimum 2 years; maximum 5 years. Course structure may be completed in 3 or 4 semesters depending on entry qualifications.</x:v>
      </x:c>
      <x:c r="G49" s="51" t="str">
        <x:v>Full-time or part-time; Hobart. Individual units may be on campus or online/off campus.</x:v>
      </x:c>
      <x:c r="H49" s="51" t="str">
        <x:v>IELTS Academic 6.5 overall, with no band below 6.0, unless the English requirement is met through an approved alternative.</x:v>
      </x:c>
      <x:c r="I49" s="51" t="str">
        <x:v>Environmental and geospatial science, GIS, remote sensing, environmental planning, field skills, and applied decision support; 200 credit points in the four-semester route.</x:v>
      </x:c>
      <x:c r="J49" s="51" t="str">
        <x:v>Compulsory Work Integrated Learning/professional experience placement; one listed unit includes an 80-hour unpaid professional placement. Field skills are embedded in the course.</x:v>
      </x:c>
      <x:c r="K49" s="51" t="str">
        <x:v>Second year includes either an independent Research Thesis Pathway or a Professional Research Pathway.</x:v>
      </x:c>
      <x:c r="L49" s="51" t="str">
        <x:v>Yes</x:v>
      </x:c>
      <x:c r="M49" s="51" t="str">
        <x:v>Optional independent research stream: Research Thesis A and B, producing a 50-credit-point research thesis; first-year average of at least 75% and approvals required.</x:v>
      </x:c>
      <x:c r="N49" s="51" t="str">
        <x:v>Not stated on reviewed official page</x:v>
      </x:c>
      <x:c r="O49" s="54" t="str">
        <x:v>https://www.utas.edu.au/courses/cse/courses/p7b-master-of-environmental-geospatial-science</x:v>
      </x:c>
      <x:c r="P49" s="54" t="str">
        <x:v>https://www.utas.edu.au/courses/sci-eng/courses/p7b-master-of-environmental-geospatial-science</x:v>
      </x:c>
      <x:c r="Q49" s="51" t="str">
        <x:v>Manually completed from current official indexed content after the automated page request was blocked or incomplete.</x:v>
      </x:c>
      <x:c r="R49" s="51" t="str">
        <x:v>Official source content was manually reviewed. Reconfirm year-specific tuition and linked university-wide requirements before final statistical analysis.</x:v>
      </x:c>
    </x:row>
    <x:row r="50" ht="54" customHeight="1">
      <x:c r="A50" s="57" t="n">
        <x:v>66</x:v>
      </x:c>
      <x:c r="B50" s="21" t="str">
        <x:v>McMaster University</x:v>
      </x:c>
      <x:c r="C50" s="21" t="str">
        <x:v>Canada</x:v>
      </x:c>
      <x:c r="D50" s="21" t="str">
        <x:v>No directly qualifying sustainability/environment master's confirmed</x:v>
      </x:c>
      <x:c r="E50" s="21" t="str">
        <x:v>Time Zone: Courses run in the Eastern Time (ET) Zone. | Course Fees: A McMaster Part Time Student fee is included in the cost of academic credit courses. There is no tax on courses unless indicated at the bottom of the schedule chart. | Additional Fees: New students pay a one-time, non-refundable $39 activation fee for their first academic-credit course. Not every program or course requires textbooks. Learn more about textbooks . || Google Pay is available for faster checkout | Payments can be made from a Canadian Financial Institution and can take 2 to 4 business days to arrive in your McMaster student account. Once payment has arrived, you can register for your course. Please note that if the amount of the course fees owing is more than what was transferred to your student account, you will be dropped from the course. | Problem processi</x:v>
      </x:c>
      <x:c r="F50" s="21" t="str">
        <x:v>Not stated on reviewed official page</x:v>
      </x:c>
      <x:c r="G50" s="21" t="str">
        <x:v>Overview | Complete the Sustainability program with our flexible online courses | Whether you want to launch a career in Sustainability or expand your knowledge of sustainable environment, economic and societal best practices, our online program can help. Gain in-demand skills for this rewarding profession. || Complete the Sustainability program with our flexible online courses | Whether you want to launch a career in Sustainability or expand your knowledge of sustainable environment, economic and societal best practices, our online program can help. Gain in-demand skills for this rewarding profession. | Designed with reference to several ISSP-SA (International Society of Sustainability Professionals) core competencies || Gain sustainability skills and knowledge of the best practices | Successfully complete any three out of the four onlin</x:v>
      </x:c>
      <x:c r="H50" s="21" t="str">
        <x:v>To ensure you are successful in your online courses, you are required to have knowledge and skills with general computer applications, such as keyboarding, file management, video conferencing and word processing. | Language Requirements | If English is not your native language, you must meet McMaster University’s English proficiency requirements by either qualifying for an exemption or passing a McMaster-approved English test. You will not need to provide proof of meeting this English requiremen</x:v>
      </x:c>
      <x:c r="I50" s="21" t="str">
        <x:v>Not stated on reviewed official page</x:v>
      </x:c>
      <x:c r="J50" s="21" t="str">
        <x:v>NA</x:v>
      </x:c>
      <x:c r="K50" s="21" t="str">
        <x:v>Not stated on reviewed official page</x:v>
      </x:c>
      <x:c r="L50" s="21" t="str">
        <x:v>Not stated on reviewed official page</x:v>
      </x:c>
      <x:c r="M50" s="21" t="str">
        <x:v>Not stated on reviewed official page</x:v>
      </x:c>
      <x:c r="N50" s="21" t="str">
        <x:v>Not stated on reviewed official page</x:v>
      </x:c>
      <x:c r="O50" s="53" t="str">
        <x:v>https://continuing.mcmaster.ca/programs/business/sustainability/</x:v>
      </x:c>
      <x:c r="P50" s="53"/>
      <x:c r="Q50" s="21" t="str">
        <x:v>Official program page retrieved; 1 official page(s) reviewed; 3/10 requested evidence groups found.</x:v>
      </x:c>
      <x:c r="R50" s="21" t="str">
        <x:v>Automated evidence extraction from official pages. Manually confirm year-specific tuition, language score applicability, and optional-versus-required curriculum elements before analysis.</x:v>
      </x:c>
    </x:row>
    <x:row r="51" ht="54" customHeight="1">
      <x:c r="A51" s="58" t="n">
        <x:v>67</x:v>
      </x:c>
      <x:c r="B51" s="51" t="str">
        <x:v>Chulalongkorn University</x:v>
      </x:c>
      <x:c r="C51" s="51" t="str">
        <x:v>Thailand</x:v>
      </x:c>
      <x:c r="D51" s="51" t="str">
        <x:v>MA Environment, Development and Sustainability</x:v>
      </x:c>
      <x:c r="E51" s="51" t="str">
        <x:v>Not stated on reviewed official page</x:v>
      </x:c>
      <x:c r="F51" s="51" t="str">
        <x:v>Not stated on reviewed official page</x:v>
      </x:c>
      <x:c r="G51" s="51" t="str">
        <x:v>Not stated on reviewed official page</x:v>
      </x:c>
      <x:c r="H51" s="51" t="str">
        <x:v>Not stated on reviewed official page</x:v>
      </x:c>
      <x:c r="I51" s="51" t="str">
        <x:v>Not stated on reviewed official page</x:v>
      </x:c>
      <x:c r="J51" s="51" t="str">
        <x:v>NA</x:v>
      </x:c>
      <x:c r="K51" s="51" t="str">
        <x:v>Not stated on reviewed official page</x:v>
      </x:c>
      <x:c r="L51" s="51" t="str">
        <x:v>Not stated on reviewed official page</x:v>
      </x:c>
      <x:c r="M51" s="51" t="str">
        <x:v>Not stated on reviewed official page</x:v>
      </x:c>
      <x:c r="N51" s="51" t="str">
        <x:v>Not stated on reviewed official page</x:v>
      </x:c>
      <x:c r="O51" s="54" t="str">
        <x:v>https://www.eds.grad.chula.ac.th/academics/degree-program/</x:v>
      </x:c>
      <x:c r="P51" s="54"/>
      <x:c r="Q51" s="51" t="str">
        <x:v>Manual review required: official program page retrieval failed (0).</x:v>
      </x:c>
      <x:c r="R51" s="51" t="str">
        <x:v>Automated evidence extraction from official pages. Manually confirm year-specific tuition, language score applicability, and optional-versus-required curriculum elements before analysis.</x:v>
      </x:c>
    </x:row>
    <x:row r="52" ht="54" customHeight="1">
      <x:c r="A52" s="57" t="n">
        <x:v>68</x:v>
      </x:c>
      <x:c r="B52" s="21" t="str">
        <x:v>Kyungpook National University (KNU)</x:v>
      </x:c>
      <x:c r="C52" s="21" t="str">
        <x:v>South Korea</x:v>
      </x:c>
      <x:c r="D52" s="21" t="str">
        <x:v>Graduate major in Environmental and Energy Engineering</x:v>
      </x:c>
      <x:c r="E52" s="21" t="str">
        <x:v>Overseas residents: International Post with address written on application. | Applicants residing in Korea: Pick up by visiting the Office of International Affairs at Kyungpook National University after the tuition payment. | Registration || Number of Selected Applicants | New international students: up to 70 applicants based on 100% tuition payment | Enrolled students: up to 210 applicants based on 100% tuition payment || New international students: up to 70 applicants based on 100% tuition payment | Enrolled students: up to 210 applicants based on 100% tuition payment | Procedure</x:v>
      </x:c>
      <x:c r="F52" s="21" t="str">
        <x:v>Combined Master’s &amp; Doctoral Program(*Applicants should first check with the appropriate department to confirm they are recruiting international students.) | ※ The Graduate School of International Studies has evening classes and has 5 semesters. | SangJu Campus</x:v>
      </x:c>
      <x:c r="G52" s="21" t="str">
        <x:v>All required documents should be submitted to the Office of International Affairs using one of the following methods: | In person | By Post (either express or regular registered post-mail)</x:v>
      </x:c>
      <x:c r="H52" s="21" t="str">
        <x:v>Korean Language &amp; Literature | English Language &amp; Literature | Korean Language &amp; Literature || Korean Language &amp; Literature | English Language &amp; Literature | History || Ethics Education | English Language Education | Social Studies Education || Korean proficiency: A "TOPIK" certificate for level 3 or higher | English proficiency: A score report from a recognized English proficiency test such as - TOEFL 530(CBT 197, iBT 71), IELTS 5.5, CEFR B2, TEPS 600점, TOEIC 700 or higher | Be a native English speaker</x:v>
      </x:c>
      <x:c r="I52" s="21" t="str">
        <x:v>Not stated on reviewed official page</x:v>
      </x:c>
      <x:c r="J52" s="21" t="str">
        <x:v>NA</x:v>
      </x:c>
      <x:c r="K52" s="21" t="str">
        <x:v>Not stated on reviewed official page</x:v>
      </x:c>
      <x:c r="L52" s="21" t="str">
        <x:v>Not stated on reviewed official page</x:v>
      </x:c>
      <x:c r="M52" s="21" t="str">
        <x:v>Not stated on reviewed official page</x:v>
      </x:c>
      <x:c r="N52" s="21" t="str">
        <x:v>Not stated on reviewed official page</x:v>
      </x:c>
      <x:c r="O52" s="53" t="str">
        <x:v>https://en.knu.ac.kr/admission/foreign02_inc.htm</x:v>
      </x:c>
      <x:c r="P52" s="53"/>
      <x:c r="Q52" s="21" t="str">
        <x:v>Official program page retrieved; 2 official page(s) reviewed; 4/10 requested evidence groups found.</x:v>
      </x:c>
      <x:c r="R52" s="21" t="str">
        <x:v>Automated evidence extraction from official pages. Manually confirm year-specific tuition, language score applicability, and optional-versus-required curriculum elements before analysis.</x:v>
      </x:c>
    </x:row>
    <x:row r="53" ht="54" customHeight="1">
      <x:c r="A53" s="58" t="n">
        <x:v>69</x:v>
      </x:c>
      <x:c r="B53" s="51" t="str">
        <x:v>The Hong Kong University of Science and Technology</x:v>
      </x:c>
      <x:c r="C53" s="51" t="str">
        <x:v>Hong Kong</x:v>
      </x:c>
      <x:c r="D53" s="51" t="str">
        <x:v>MSc in Environmental Engineering and Management</x:v>
      </x:c>
      <x:c r="E53" s="51" t="str">
        <x:v>2026/27 MSc program fee: HKD 210,000 full-time; HKD 180,000 part-time. Additional fees apply beyond the normative period or for extra/repeated courses.</x:v>
      </x:c>
      <x:c r="F53" s="51" t="str">
        <x:v>MSc: 1-1.5 years full-time; 2-2.5 years part-time.</x:v>
      </x:c>
      <x:c r="G53" s="51" t="str">
        <x:v>Full-time or part-time.</x:v>
      </x:c>
      <x:c r="H53" s="51" t="str">
        <x:v>IELTS Academic 6.5 overall with all sub-scores at least 5.5; TOEFL alternatives are listed in the official catalog. Exemptions apply for English first language or an English-medium bachelor's degree.</x:v>
      </x:c>
      <x:c r="I53" s="51" t="str">
        <x:v>30-credit MSc: at least 18 foundation-course credits, electives, and at least three management-related courses; focus on advanced environmental engineering and management of facilities and infrastructure systems.</x:v>
      </x:c>
      <x:c r="J53" s="51" t="str">
        <x:v>NA</x:v>
      </x:c>
      <x:c r="K53" s="51" t="str">
        <x:v>An elective list includes JEVE 6980; a mandatory capstone/project is not stated on the reviewed catalog page.</x:v>
      </x:c>
      <x:c r="L53" s="51" t="str">
        <x:v>Not stated on reviewed official page</x:v>
      </x:c>
      <x:c r="M53" s="51" t="str">
        <x:v>Not stated on reviewed official page</x:v>
      </x:c>
      <x:c r="N53" s="51" t="str">
        <x:v>Not stated on reviewed official page</x:v>
      </x:c>
      <x:c r="O53" s="54" t="str">
        <x:v>https://cee.hkust.edu.hk/msc-environmental-engineering-and-management</x:v>
      </x:c>
      <x:c r="P53" s="54" t="str">
        <x:v>https://prog-crs.hkust.edu.hk/pgprog/2026-27/pgd-msc-evem</x:v>
      </x:c>
      <x:c r="Q53" s="51" t="str">
        <x:v>Manually completed from current official indexed content after the automated page request was blocked or incomplete.</x:v>
      </x:c>
      <x:c r="R53" s="51" t="str">
        <x:v>Official source content was manually reviewed. Reconfirm year-specific tuition and linked university-wide requirements before final statistical analysis.</x:v>
      </x:c>
    </x:row>
    <x:row r="54" ht="54" customHeight="1">
      <x:c r="A54" s="57" t="n">
        <x:v>70</x:v>
      </x:c>
      <x:c r="B54" s="21" t="str">
        <x:v>Lovely Professional University</x:v>
      </x:c>
      <x:c r="C54" s="21" t="str">
        <x:v>India</x:v>
      </x:c>
      <x:c r="D54" s="21" t="str">
        <x:v>MSc Environmental Sciences</x:v>
      </x:c>
      <x:c r="E54" s="21" t="str">
        <x:v>Fiji, Papua New Guinea, Samoa, Tonga, Vanuatu and Solomon Islands | Programme Fee (per semester): | Details || (i.e. 60% of | Programme Fee) | (i.e. 50% of || (i.e. 50% of | Programme Fee) | (i.e. 40% of</x:v>
      </x:c>
      <x:c r="F54" s="21" t="str">
        <x:v>Kazhakstan | Certificate of General Secondary Education + 1 Year foundation or vocational | Course || Joint Exam. For the School certificate &amp; GCE | (11 Year Course) | International Baccalaurate || Research Proposal (Minimum 8 to 10 Pages). | Proof of Minimum 2 years of teaching/ industry experience. | Proof of Proficiency in English Language.</x:v>
      </x:c>
      <x:c r="G54" s="21" t="str">
        <x:v>Inclusivity | On Campus Jobs | Career Enhancement Initiatives || Skill-based Continuous Assessment (CA) is integrated into our curriculum to enhance practical knowledge application and develop essential skills for modern success. This approach fosters an engaging learning environment, preparing students for future careers while enhancing their entrepreneurial competencies and personal growth. | Blended Learning: The Best of Both Worlds | At LPU, blended learning combines in-person engagement and online flexibility, enabling discussions, resource access, and h || Blended Learning: The Best of Both Worlds | At LPU, blended learning combines in-person engagement and online flexibility, enabling discussions, resource access, and hands-on workshops. This approach develops digital literacy and collaboration skills while connecting students with</x:v>
      </x:c>
      <x:c r="H54" s="21" t="str">
        <x:v>Scholarship | English Language Requirement | How to Pay || Short Term Programme | English Language Programmes | Study India Programmes || Copyrights © 2026 All Rights Reserved by Lovely Professional University | English Language requirement for International Students: | All International Applicants are required to satisfy one of the following || as compulsory course in the Eligibility condition; even then he/she has to satisfy one | of the following English Language requirements. | Applicant must have passed English course in 10th or higher examination.</x:v>
      </x:c>
      <x:c r="I54" s="21" t="str">
        <x:v>Interdisciplinary Minors | Curriculum innovations | Guest lectures / Workshops || Programme Details | Curriculum | Fee || Related Programmes | Curriculum | Click on a course name below for viewing || Year | Electives Offered In Curriculum | Note: The Curriculum is subject to changes</x:v>
      </x:c>
      <x:c r="J54" s="21" t="str">
        <x:v>Knowledge is not skill. Knowledge plus 10000 times is skill! | LPU curriculum lets you master your skills. Extensive laboratory work, workshop courses, industry certifications, trainings, live projects and industry internships provide you rigorous hands-on exposure to real life. | Professional development classes</x:v>
      </x:c>
      <x:c r="K54" s="21" t="str">
        <x:v>Not stated on reviewed official page</x:v>
      </x:c>
      <x:c r="L54" s="21" t="str">
        <x:v>Not stated on reviewed official page</x:v>
      </x:c>
      <x:c r="M54" s="21" t="str">
        <x:v>Not stated on reviewed official page</x:v>
      </x:c>
      <x:c r="N54" s="21" t="str">
        <x:v>Not stated on reviewed official page</x:v>
      </x:c>
      <x:c r="O54" s="53" t="str">
        <x:v>https://www.lpu.in/international/programmes/msc-environmental-sciences</x:v>
      </x:c>
      <x:c r="P54" s="53" t="str">
        <x:v>https://www.lpu.in/academics/curriculum-innovations.php</x:v>
      </x:c>
      <x:c r="Q54" s="21" t="str">
        <x:v>Official program page retrieved; 3 official page(s) reviewed; 6/10 requested evidence groups found.</x:v>
      </x:c>
      <x:c r="R54" s="21" t="str">
        <x:v>Automated evidence extraction from official pages. Manually confirm year-specific tuition, language score applicability, and optional-versus-required curriculum elements before analysis.</x:v>
      </x:c>
    </x:row>
    <x:row r="55" ht="54" customHeight="1">
      <x:c r="A55" s="58" t="n">
        <x:v>71</x:v>
      </x:c>
      <x:c r="B55" s="51" t="str">
        <x:v>University of Malaya</x:v>
      </x:c>
      <x:c r="C55" s="51" t="str">
        <x:v>Malaysia</x:v>
      </x:c>
      <x:c r="D55" s="51" t="str">
        <x:v>Master of Sustainability Science</x:v>
      </x:c>
      <x:c r="E55" s="51" t="str">
        <x:v>Not stated on reviewed official page</x:v>
      </x:c>
      <x:c r="F55" s="51" t="str">
        <x:v>Bioethics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x:v>
      </x:c>
      <x:c r="G55" s="51" t="str">
        <x:v>Not stated on reviewed official page</x:v>
      </x:c>
      <x:c r="H55" s="51" t="str">
        <x:v>Is a government servants | English Language Requirement: | Fulfil any one of the following: || B4.0 | IELTS | 6.0 || 6.0 | TOEFL iBT (Centre-based) | TOEFL Essentials (Online) || TOEFL iBT (Centre-based) | TOEFL Essentials (Online) | 8.5</x:v>
      </x:c>
      <x:c r="I55" s="51" t="str">
        <x:v>Bioethics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SQE7015 Research Metho</x:v>
      </x:c>
      <x:c r="J55" s="51" t="str">
        <x:v>NA</x:v>
      </x:c>
      <x:c r="K55" s="51" t="str">
        <x:v>Master's Programme (Coursework) | Dissertation - PhD and Master | Industrial Training || SQE7015 Research Methodology (3 credits) | SQE7028 Research Project (Pre-requisite: SQE7015) (12 credit) | SQE7016 Sociology of Science (3 credits)</x:v>
      </x:c>
      <x:c r="L55" s="51" t="str">
        <x:v>Not stated on reviewed official page</x:v>
      </x:c>
      <x:c r="M55" s="51" t="str">
        <x:v>Not stated on reviewed official page</x:v>
      </x:c>
      <x:c r="N55" s="51" t="str">
        <x:v>Not stated on reviewed official page</x:v>
      </x:c>
      <x:c r="O55" s="54" t="str">
        <x:v>https://sts.um.edu.my/master-of-sustainability-science.html</x:v>
      </x:c>
      <x:c r="P55" s="54"/>
      <x:c r="Q55" s="51" t="str">
        <x:v>Official program page retrieved; 2 official page(s) reviewed; 4/10 requested evidence groups found.</x:v>
      </x:c>
      <x:c r="R55" s="51" t="str">
        <x:v>Automated evidence extraction from official pages. Manually confirm year-specific tuition, language score applicability, and optional-versus-required curriculum elements before analysis.</x:v>
      </x:c>
    </x:row>
    <x:row r="56" ht="54" customHeight="1">
      <x:c r="A56" s="57" t="n">
        <x:v>72</x:v>
      </x:c>
      <x:c r="B56" s="21" t="str">
        <x:v>Aalborg University</x:v>
      </x:c>
      <x:c r="C56" s="21" t="str">
        <x:v>Denmark</x:v>
      </x:c>
      <x:c r="D56" s="21" t="str">
        <x:v>MSc Engineering in Sustainable Cities</x:v>
      </x:c>
      <x:c r="E56" s="21" t="str">
        <x:v>Not stated on reviewed official page</x:v>
      </x:c>
      <x:c r="F56" s="21" t="str">
        <x:v>It is a priority for us that you have the opportunity to work with external partners, for instance in your semester projects, which can be carried out in cooperation with authorities, companies, NGOs, etc. This way you get to work on real life problems, preparing you for your professional career. | The Sustainable Cities programme is focusing on the developed cities where the programme’s first two semesters are focused on four infrastructure sectors as well as synergies across these sectors. We  || Courses at the 1st semester: | Transitioning from wasteful to sustainable cities (5 ECTS) | The aim of the course is to introduce how the energy and material flows of cities (urban metabolism) can be analysed and to provide students with both an overview of the waste management strategies, technologies and tools applied as well as the necessary</x:v>
      </x:c>
      <x:c r="G56" s="21" t="str">
        <x:v>New Master’s options | We expect that as of 2028 you will be able to take this Master's degree programme as a 2-year programme (full-time study, 120 ECTS credits) and as a 3-year Master's for working professionals (first year full-time and then two years of part-time study in combination with relevant employment) | Learn more about your new master’s options at AAU || What you can offer an employer | How to go about job search in Denmark – both student job, internship and full-time job | Read more about AAU Career here</x:v>
      </x:c>
      <x:c r="H56" s="21" t="str">
        <x:v>Not stated on reviewed official page</x:v>
      </x:c>
      <x:c r="I56" s="21" t="str">
        <x:v>Learn more about your new master’s options at AAU | Programme structure | Academic content and semester descriptions || The bachelor's degree programme which precedes these three Master's programmes is Urban, Energy and Environmental Planning ( By- Energi og Miljøplanlægning ). Unlike the Master's programmes, the bachelor's programme is carried out in Danish. | Curriculum | Find the curriculum for the programme here. || Curriculum | Find the curriculum for the programme here. | Meet Ida and Jule from the programme</x:v>
      </x:c>
      <x:c r="J56" s="21" t="str">
        <x:v>3rd Semester | Internship, study abroad or “prolonged project period” | This semester will provide the student with the option of applying the theoretical and methodological knowledge gained during the 1st and 2nd semesters into practice in real life situations in Denmark or abroad ( Professional Development ). This could take form as an internship within for example a private consultancy firm, a public authority or a private NGO. The choice of internship is made on the basis of your interests.  || Internship, study abroad or “prolonged project period” | This semester will provide the student with the option of applying the theoretical and methodological knowledge gained during the 1st and 2nd semesters into practice in real life situations in Denmark or abroad ( Professional Development ). This could take form as an internship within for example a private consultancy firm, a public auth</x:v>
      </x:c>
      <x:c r="K56" s="21" t="str">
        <x:v>Not stated on reviewed official page</x:v>
      </x:c>
      <x:c r="L56" s="21" t="str">
        <x:v>Yes</x:v>
      </x:c>
      <x:c r="M56" s="21" t="str">
        <x:v>4th Semester | Master's thesis | In the final semester the main focus is on the writing of the Master's Thesis . The students work individually or in small groups, under the guidance of supervisory staff. The Master's Thesis, being the highest level of work undertaken, should aim at synthesising theories and methods in order to perform a potential solution for real life environmental planning and management problems. On the master thesis it can also be beneficial to have a strong link to busines || Master's thesis | In the final semester the main focus is on the writing of the Master's Thesis . The students work individually or in small groups, under the guidance of supervisory staff. The Master's Thesis, being the highest level of work undertaken, should aim at synthesising theories and m</x:v>
      </x:c>
      <x:c r="N56" s="21" t="str">
        <x:v>Not stated on reviewed official page</x:v>
      </x:c>
      <x:c r="O56" s="53" t="str">
        <x:v>https://www.en.aau.dk/education/master/sustainable-cities</x:v>
      </x:c>
      <x:c r="P56" s="53"/>
      <x:c r="Q56" s="21" t="str">
        <x:v>Official program page retrieved; 2 official page(s) reviewed; 5/10 requested evidence groups found.</x:v>
      </x:c>
      <x:c r="R56" s="21" t="str">
        <x:v>Automated evidence extraction from official pages. Manually confirm year-specific tuition, language score applicability, and optional-versus-required curriculum elements before analysis.</x:v>
      </x:c>
    </x:row>
    <x:row r="57" ht="54" customHeight="1">
      <x:c r="A57" s="58" t="n">
        <x:v>73</x:v>
      </x:c>
      <x:c r="B57" s="51" t="str">
        <x:v>Kyung Hee University</x:v>
      </x:c>
      <x:c r="C57" s="51" t="str">
        <x:v>South Korea</x:v>
      </x:c>
      <x:c r="D57" s="51" t="str">
        <x:v>Graduate pathway in Environmental Science and Engineering</x:v>
      </x:c>
      <x:c r="E57" s="51" t="str">
        <x:v>Not stated on reviewed official page</x:v>
      </x:c>
      <x:c r="F57" s="51" t="str">
        <x:v>To receive the degree of B. Sc. in Environmental Science, a student must | 1) complete a minimum of 136 credit units | 2) satisfy the General Requirements of the School for professional degrees, || To receive the degree of B. Eng. in Environmental Engineering, a student must | 1) complete a minimum of 136 credit units | 2) satisfy the General Requirements of the School for professional degrees,</x:v>
      </x:c>
      <x:c r="G57" s="51" t="str">
        <x:v>Not stated on reviewed official page</x:v>
      </x:c>
      <x:c r="H57" s="51" t="str">
        <x:v>Not stated on reviewed official page</x:v>
      </x:c>
      <x:c r="I57" s="51" t="str">
        <x:v>What is Environmental Science and Engineering? | Environmental Science &amp;Engineering is an area of highly applied science to solve the environmental problems such as destruction of eco-system, water contamination, air pollution, soil contamination and municipal waste treatment. The department curriculum offers environmental management, eco-business, environmental education and toxicology in addition to the general environmental areas. In particular, process designs are the essential courses in th || 2) satisfy the General Requirements of the School for professional degrees, | 3) complete the 12 units of Core Courses for Environmental Science, | 4) complete at least more than 37 units of Elective Courses for Environmental Science. || 2) satisfy the General Requirements of the School for professional degrees, | 3) complete 18 units of Core Courses for Environmental Engineering, | 4) complete 42 units of Elective Courses for Environmental Engineering,</x:v>
      </x:c>
      <x:c r="J57" s="51" t="str">
        <x:v>Year 3 | Environmental Ecology II and Field work , Water Quality Analysis and Lab, Environmental Statistics with computer Applications, Physical and Chemical Wastewater Treatment, Air Quality Analysis and Lab, Solid Waste Treatment Engineering, Management of River Environment, Solid Waste Management and Lab, Aerosol Control Design, Biological wastewater Treatment Design, Waste Gas Control Design. | Year 4</x:v>
      </x:c>
      <x:c r="K57" s="51" t="str">
        <x:v>Not stated on reviewed official page</x:v>
      </x:c>
      <x:c r="L57" s="51" t="str">
        <x:v>Not stated on reviewed official page</x:v>
      </x:c>
      <x:c r="M57" s="51" t="str">
        <x:v>Not stated on reviewed official page</x:v>
      </x:c>
      <x:c r="N57" s="51" t="str">
        <x:v>Not stated on reviewed official page</x:v>
      </x:c>
      <x:c r="O57" s="54" t="str">
        <x:v>https://eng.khu.ac.kr/eng_eng/user/contents/view.do?menuNo=17200012</x:v>
      </x:c>
      <x:c r="P57" s="54"/>
      <x:c r="Q57" s="51" t="str">
        <x:v>Official program page retrieved; 1 official page(s) reviewed; 3/10 requested evidence groups found.</x:v>
      </x:c>
      <x:c r="R57" s="51" t="str">
        <x:v>Automated evidence extraction from official pages. Manually confirm year-specific tuition, language score applicability, and optional-versus-required curriculum elements before analysis.</x:v>
      </x:c>
    </x:row>
    <x:row r="58" ht="54" customHeight="1">
      <x:c r="A58" s="57" t="n">
        <x:v>74</x:v>
      </x:c>
      <x:c r="B58" s="21" t="str">
        <x:v>University of Victoria</x:v>
      </x:c>
      <x:c r="C58" s="21" t="str">
        <x:v>Canada</x:v>
      </x:c>
      <x:c r="D58" s="21" t="str">
        <x:v>MA/MSc Environmental Studies</x:v>
      </x:c>
      <x:c r="E58" s="21" t="str">
        <x:v>ES 690 Directed Studies | PhD students must register for ES 693 (PhD Candidacy Exam), or ES 699 (PhD Dissertation) if you have already completed ES 693. You must continue to register for these courses every term until you complete them unless you are doing other coursework. You will have full-time student status when registered for either course. If you choose to be a part-time student, you may register for 1.5 units of credit. In this case, you will have part time status. This will reduce your  || How much will the program cost? | Students in graduate programs pay tuition on a program basis, broken into fee instalments. Learn about tuition and costs . | Do I need a study permit? || Finances | Tuition &amp; costs | Estimate your tuition fees</x:v>
      </x:c>
      <x:c r="F58" s="21" t="str">
        <x:v>September: ES 500 (MA/MSc) or 600 (PhD) and | There is no formal residency requirement. However, in practice all students must be living in or near Greater Victoria during their first two terms of study and residency during the first year is encouraged. | Graduate course summary: || Master's program | The master's program is a research degree concluding with the presentation and defense of a thesis. It normally lasts for 24 months, but typically takes from 30-36 months to complete. The maximum time allowed is 60 months. | An MA/MSc student must successfully complete 18 units of course study. Of these 18 units, 7.5 units are required core courses (listed below). Three units are taken as electives, and 7.5 units are taken as thesis. || Key components of graduate program timeline: | formation of a supervisory committee: within 8 months of en</x:v>
      </x:c>
      <x:c r="G58" s="21" t="str">
        <x:v>At least 3.0 elective units must be taken from within, or outside, the School with the permission of the student's supervisor. Up to 1.5 units may be taken at the 400 level. A student's advisory committee may also stipulate additional courses to be taken. Elective courses should be chosen to fill specific gaps in your knowledge or skills or extend your interests into a new domain. We suggest that only one of the two elective courses is a pro forma or Directed Studies (i.e., individual one-on-one || ES 690 Directed Studies | PhD students must register for ES 693 (PhD Candidacy Exam), or ES 699 (PhD Dissertation) if you have already completed ES 693. You must continue to register for these courses every term until you complete them unless you are doing other coursework. You will have full-time student status when registered for either cours</x:v>
      </x:c>
      <x:c r="H58" s="21" t="str">
        <x:v>What language competency is required? | Students must demonstrate English language proficiency to attend UVic. Please visit the Faculty of Graduate Studies page for more information. | How much will the program cost?</x:v>
      </x:c>
      <x:c r="I58" s="21" t="str">
        <x:v>The master's program is a research degree concluding with the presentation and defense of a thesis. It normally lasts for 24 months, but typically takes from 30-36 months to complete. The maximum time allowed is 60 months. | An MA/MSc student must successfully complete 18 units of course study. Of these 18 units, 7.5 units are required core courses (listed below). Three units are taken as electives, and 7.5 units are taken as thesis. | Core Courses (required): || An MA/MSc student must successfully complete 18 units of course study. Of these 18 units, 7.5 units are required core courses (listed below). Three units are taken as electives, and 7.5 units are taken as thesis. | Core Courses (required): | ES 500 (1.5) Perspectives on Environmental Theories, Methods and Skills I || A typical PhD program lasts 4-5 years and focuses mainly on research, concluding with the presentation and defense of a dissertation. The PhD program is normally a 48-month research program. The current average time to completion is closer to 60 months. The maximum time allowed is 84 months. | The University of</x:v>
      </x:c>
      <x:c r="J58" s="21" t="str">
        <x:v>Funding | Sustainability Scholars internship | Co-op || Life happens... let us help you. Through Student Awards and Financial Aid, UVic has an emergency loan fund which provides short term assistance to students experiencing an unanticipated and urgent financial crisis. | Sustainability Scholars internship | The UVic Sustainability Scholars Program offers paid internships for graduate students, pairing them with community, government, Indigenous and not-for-profit partners to work on projects that advance sustainability. This hands-on experience enha || Sustainability Scholars internship | The UVic Sustainability Scholars Program offers paid internships for graduate students, pairing them with community, government, Indigenous and not-for-profit partners to work on projects that advance sustainability. This hands-on experience enhances career prospects and supports community initiatives,</x:v>
      </x:c>
      <x:c r="K58" s="21" t="str">
        <x:v>PhD program | A typical PhD program lasts 4-5 years and focuses mainly on research, concluding with the presentation and defense of a dissertation. The PhD program is normally a 48-month research program. The current average time to completion is closer to 60 months. The maximum time allowed is 84 months. | The University of Victoria requires a minimum of 30 units to obtain a PhD degree (if the student has a master's degree). Core courses contribute 9.0 units toward the 30-unit minimum degree re || ES 693 (3.0) Candidacy Examination - No class time required | ES 699 (21) PhD Dissertation - No class time required | Elective courses: || ES 690 Directed Studies | PhD students must register for ES 693 (PhD Candidacy Exam), or ES 699 (PhD Dissertation) if you have already completed ES 693. You must continue to register for these courses every term until you complete them unless you are doing</x:v>
      </x:c>
      <x:c r="L58" s="21" t="str">
        <x:v>Yes</x:v>
      </x:c>
      <x:c r="M58" s="21" t="str">
        <x:v>ES 593 (1.5) Thesis Proposal Preparation - No class time required | ES 599 (7.5) Masters Thesis - No class time required | ES 500, 501 and 503 are taken in sequence in the first year of study and are required by all students in this program. ES 593 is completed once the research proposal is approved by your committee (by September 30th on your second year of study). || At least 3.0 elective units must be taken from within, or outside, the School with the permission of the student's supervisor. Up to 1.5 units may be taken at the 400 level. A student's advisory committee may also stipulate additional courses to be taken. Elective courses should be chosen to fill specific gaps in your knowledge or skills or extend your interests into a new domain. We suggest that only one of the two elective</x:v>
      </x:c>
      <x:c r="N58" s="21" t="str">
        <x:v>Not stated on reviewed official page</x:v>
      </x:c>
      <x:c r="O58" s="53" t="str">
        <x:v>https://www.uvic.ca/socialsciences/environmental/programs/graduate/index.php</x:v>
      </x:c>
      <x:c r="P58" s="53" t="str">
        <x:v>https://www.uvic.ca/graduate/finances/tuition-costs/index.php</x:v>
      </x:c>
      <x:c r="Q58" s="21" t="str">
        <x:v>Official program page retrieved; 2 official page(s) reviewed; 8/10 requested evidence groups found.</x:v>
      </x:c>
      <x:c r="R58" s="21" t="str">
        <x:v>Automated evidence extraction from official pages. Manually confirm year-specific tuition, language score applicability, and optional-versus-required curriculum elements before analysis.</x:v>
      </x:c>
    </x:row>
    <x:row r="59" ht="54" customHeight="1">
      <x:c r="A59" s="58" t="n">
        <x:v>76</x:v>
      </x:c>
      <x:c r="B59" s="51" t="str">
        <x:v>Central Queensland University</x:v>
      </x:c>
      <x:c r="C59" s="51" t="str">
        <x:v>Australia</x:v>
      </x:c>
      <x:c r="D59" s="51" t="str">
        <x:v>Master of Sustainable Development</x:v>
      </x:c>
      <x:c r="E59" s="51" t="str">
        <x:v>Level 9: Masters Degree (Coursework) | Course Fees | Indicative Year - 2026 || Domestic Fees | International Fees | Course Features</x:v>
      </x:c>
      <x:c r="F59" s="51" t="str">
        <x:v>Duration | 2 years full-time or 4 years part-time | Credit Points that Must be Earned || a completed Australian Qualifications Framework (AQF) Certificate IV or Diploma level qualification, or | a Bachelor level qualification study for a period of at least 2 years fulltime with a minimum overall GPA 4.0. | These qualifications must be completed within Australia, Canada, New Zealand, United Kingdom, South Africa, Ireland, or the United States of America to meet the English language proficiency requirements. || an Occupational English Test with a minimum result of 'B' in each of the four components (listening, reading, writing and speaking). | English test results remain valid for no more than two years between final examination date and the date of commencement of study, and must appear on a single result certificate. | If you are an inter</x:v>
      </x:c>
      <x:c r="G59" s="51" t="str">
        <x:v>Duration | 2 years full-time or 4 years part-time | Credit Points that Must be Earned || Where and when can I start?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See Course Features tab for further info</x:v>
      </x:c>
      <x:c r="H59" s="51" t="str">
        <x:v>a completed Australian Qualifications Framework (AQF) equivalent Bachelor degree, or higher equivalent qualification. | English Language Proficiency Requirements | If you were not born in Australia, Canada, New Zealand, United Kingdom, Ireland, South Africa or the United States of America, you are required to meet the English language proficiency requirements set by the University. || English Language Proficiency Requirements | If you were not born in Australia, Canada, New Zealand, United Kingdom, Ireland, South Africa or the United States of America, you are required to meet the English language proficiency requirements set by the University. | You are required to provide documentation confirming completion of: || a Bachelor level qualification study for a period of at least 2 years fulltime with a minimum overall GPA 4.0. | These qualifications must be completed within Australia, Canada, New Zealand, United Kingdom, South Africa, Ireland, or the United States of America to meet the</x:v>
      </x:c>
      <x:c r="I59" s="51" t="str">
        <x:v>Inherent Requirements | Course Learning Outcomes | Core Structure || Core Structure | Course Structure | Core Structure || The Master of Sustainable Development is designed for professionals seeking to become leaders in the field of sustainability. This comprehensive course offers a holistic approach to sustainability, encompassing environmental, social and economic dimensions. You will delve into advanced topics including sustainable resource management, policy analysis and corporate sustainability strategies. | A distinctive feature of this course is the practical residential school, where you will gain hands-on s || Inherent Requirements | There are Inherent Requirements (IRs) that you need to be aware of, and fulfil, to achieve the core learning outcomes of the units and course. IRs are the essential capabilities, knowledge, behaviours and skills that are needed to complete a unit or course. | Please note that in some instances there may be similarities between course, entry and inherent requirements.</x:v>
      </x:c>
      <x:c r="J59" s="51" t="str">
        <x:v>Compulsory Residential School | Some units in this course require you to attend a compulsory Residential School or Work Integrated Learning. Please see Course Features in the Getting Started tab for further information. | Course Overview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See Course Features tab for further information. Online units are delivered using online resources only. || Click here to view all Residential Schools | Practicum/Work Placement | Not applicable</x:v>
      </x:c>
      <x:c r="K59" s="51" t="str">
        <x:v>9. APPLICATION OF KNOWLEDGE &amp; SKILLS Be able to use high level personal autonomy and accountability | 10 APPLICATION OF KNOWLEDGE &amp; SKILLS Be able to plan and execute a substantial research-based project, capstone experience and/or piece of scholarship. | APPLICATION OF KNOWLEDGE &amp; SKILLS Communicate, interact and collaborate with others effectively in culturally or linguistically diverse contexts in a culturally respectful manner</x:v>
      </x:c>
      <x:c r="L59" s="51" t="str">
        <x:v>Not stated on reviewed official page</x:v>
      </x:c>
      <x:c r="M59" s="51" t="str">
        <x:v>Not stated on reviewed official page</x:v>
      </x:c>
      <x:c r="N59" s="51" t="str">
        <x:v>Not stated on reviewed official page</x:v>
      </x:c>
      <x:c r="O59" s="54" t="str">
        <x:v>https://handbook.cqu.edu.au/he/courses/view/CM82/HT1/2025</x:v>
      </x:c>
      <x:c r="P59" s="54"/>
      <x:c r="Q59" s="51" t="str">
        <x:v>Official program page retrieved; 3 official page(s) reviewed; 7/10 requested evidence groups found.</x:v>
      </x:c>
      <x:c r="R59" s="51" t="str">
        <x:v>Automated evidence extraction from official pages. Manually confirm year-specific tuition, language score applicability, and optional-versus-required curriculum elements before analysis.</x:v>
      </x:c>
    </x:row>
    <x:row r="60" ht="54" customHeight="1">
      <x:c r="A60" s="57" t="n">
        <x:v>77</x:v>
      </x:c>
      <x:c r="B60" s="21" t="str">
        <x:v>University of Newcastle</x:v>
      </x:c>
      <x:c r="C60" s="21" t="str">
        <x:v>Australia</x:v>
      </x:c>
      <x:c r="D60" s="21" t="str">
        <x:v>Master of Environmental Management and Sustainability</x:v>
      </x:c>
      <x:c r="E60" s="21" t="str">
        <x:v>Indicative annual fee: AUD 49,640 for the indexed international/full-time study option; annual fees are based on an 80-unit full-time load.</x:v>
      </x:c>
      <x:c r="F60" s="21" t="str">
        <x:v>2 years full-time; up to 6 years part-time.</x:v>
      </x:c>
      <x:c r="G60" s="21" t="str">
        <x:v>Online option is published; other location/attendance options depend on the selections made on the official program page.</x:v>
      </x:c>
      <x:c r="H60" s="21" t="str">
        <x:v>Applicants must meet University of Newcastle English Language Proficiency requirements; the program page did not expose the numeric score in the reviewed view.</x:v>
      </x:c>
      <x:c r="I60" s="21" t="str">
        <x:v>Environmental management, sustainability, climate change, policy development and implementation, impact assessment, with specialisation in business management, natural resource management, and/or spatial science.</x:v>
      </x:c>
      <x:c r="J60" s="21" t="str">
        <x:v>NA</x:v>
      </x:c>
      <x:c r="K60" s="21" t="str">
        <x:v>Not stated on reviewed official page</x:v>
      </x:c>
      <x:c r="L60" s="21" t="str">
        <x:v>Not stated on reviewed official page</x:v>
      </x:c>
      <x:c r="M60" s="21" t="str">
        <x:v>Not stated on reviewed official page</x:v>
      </x:c>
      <x:c r="N60" s="21" t="str">
        <x:v>98.2% employed within four months of graduating (Graduate Outcomes Survey 2022-2024, Postgraduate Agriculture and Environmental Studies).</x:v>
      </x:c>
      <x:c r="O60" s="53" t="str">
        <x:v>https://www.newcastle.edu.au/degrees/master-environmental-management-sustainability</x:v>
      </x:c>
      <x:c r="P60" s="53" t="str">
        <x:v>https://www.newcastle.edu.au/degrees/master-environmental-management-sustainability</x:v>
      </x:c>
      <x:c r="Q60" s="21" t="str">
        <x:v>Manually completed from current official indexed content after the automated page request was blocked or incomplete.</x:v>
      </x:c>
      <x:c r="R60" s="21" t="str">
        <x:v>Official source content was manually reviewed. Reconfirm year-specific tuition and linked university-wide requirements before final statistical analysis.</x:v>
      </x:c>
    </x:row>
    <x:row r="61" ht="54" customHeight="1">
      <x:c r="A61" s="58" t="n">
        <x:v>78</x:v>
      </x:c>
      <x:c r="B61" s="51" t="str">
        <x:v>Northumbria University</x:v>
      </x:c>
      <x:c r="C61" s="51" t="str">
        <x:v>United Kingdom</x:v>
      </x:c>
      <x:c r="D61" s="51" t="str">
        <x:v>MSc Disaster Management and Sustainable Development</x:v>
      </x:c>
      <x:c r="E61" s="51" t="str">
        <x:v>Full UK Fee: GBP 12,950 | Tuition fees in the academic year 2027/28* will be GBP 10,050. Fees are set in line with the UK Government's tuition fee cap. The University may increase fees in subsequent years in line with any changes to the tuition fee cap. Increases will be linked to inflation. For example, increases may be linked to RPIX (Retail Price Index excluding mortgage interest payments) Students will be notified of any increase ahead of it taking effect. Student fee loans rise in line with || *if your course is longer than one year | Full International Fee: GBP 22,850 | This is the tuition fee for your first year of study. You should expect to pay tuition fees for every year of study. The University may increase fees in the second and subsequent years of your course at our discretion in line with any inflationary or other uplift. St</x:v>
      </x:c>
      <x:c r="F61" s="51" t="str">
        <x:v>Disaster Management and Sustainable Development MSc | 2 Years Full-Time (with Advanced Practice in Second Year) | September Start | APPLY NOW || Mode of Study | 2 years Full Time (with Advanced Practice in the second year) | 1 other options available || Tuition fees in the academic year 2027/28* will be GBP 10,050. Fees are set in line with the UK Government's tuition fee cap. The University may increase fees in subsequent years in line with any changes to the tuition fee cap. Increases will be linked to inflation. For example, increases may be linked to RPIX (Retail Price Index excluding mortgage interest payments) Students will be notified of any increase ahead of it taking effect. Student fee loans rise in line with the tuition fees cap. | *</x:v>
      </x:c>
      <x:c r="G61" s="51" t="str">
        <x:v>Disaster Management and Sustainable Development MSc | 2 Years Full-Time (with Advanced Practice in Second Year) | September Start | APPLY NOW || Postgraduate | Mode of Study | 2 years Full Time (with Advanced Practice in the second year) || Mode of Study | 2 years Full Time (with Advanced Practice in the second year) | 1 other options available</x:v>
      </x:c>
      <x:c r="H61" s="51" t="str">
        <x:v>Not stated on reviewed official page</x:v>
      </x:c>
      <x:c r="I61" s="51" t="str">
        <x:v>Not stated on reviewed official page</x:v>
      </x:c>
      <x:c r="J61" s="51" t="str">
        <x:v>Research methods covered will include both qualitative and quantitative methods and techniques to explore issues in disaster and development studies, and global development from a human / societal / social processes / organisations / communities perspective. Particular attention will be devoted to evidence-based policy making and “wicked issues”. “Natural” environmental processes will be within the scope of the module as far as a social science-based exploration of “produced nature” is fruitful  || This is an innovative experiential module that will involve you preparing for, taking part in and reflecting on an overseas study visit. Visits will take place in various locations and will draw on the expertise, partnership, and experiences of the teaching staff. You may visit India, Indonesia, Peru, Uganda or other countries where teaching staff maintain well-established research projects an</x:v>
      </x:c>
      <x:c r="K61" s="51" t="str">
        <x:v>More about the UK Government Loan. | In this rapidly expanding field, you will learn through real scenarios and case studies and live research projects, developing your personal and professional responses to disaster and development challenges. | Guided through lectures, seminars and workshops by staff with vast experience in applying expertise to current world issues, you will develop the knowledge and practical skills needed to prepare for, take action within, and recover from a crisis. You wi || In this rapidly expanding field, you will learn through real scenarios and case studies and live research projects, developing your personal and professional responses to disaster and development challenges. | Guided through lectures, seminars and workshops by staff with vast experience in applying expertise to current world issues, you will develop the knowledge and practical skills needed to</x:v>
      </x:c>
      <x:c r="L61" s="51" t="str">
        <x:v>Not stated on reviewed official page</x:v>
      </x:c>
      <x:c r="M61" s="51" t="str">
        <x:v>Not stated on reviewed official page</x:v>
      </x:c>
      <x:c r="N61" s="51" t="str">
        <x:v>Not stated on reviewed official page</x:v>
      </x:c>
      <x:c r="O61" s="54" t="str">
        <x:v>https://www.northumbria.ac.uk/study-at-northumbria/courses/disaster-management-and-sustainable-development-with-advanced-practice-msc-ft-dtsdds6/</x:v>
      </x:c>
      <x:c r="P61" s="54"/>
      <x:c r="Q61" s="51" t="str">
        <x:v>Official program page retrieved; 4 official page(s) reviewed; 5/10 requested evidence groups found.</x:v>
      </x:c>
      <x:c r="R61" s="51" t="str">
        <x:v>Automated evidence extraction from official pages. Manually confirm year-specific tuition, language score applicability, and optional-versus-required curriculum elements before analysis.</x:v>
      </x:c>
    </x:row>
    <x:row r="62" ht="54" customHeight="1">
      <x:c r="A62" s="57" t="n">
        <x:v>79</x:v>
      </x:c>
      <x:c r="B62" s="21" t="str">
        <x:v>University of Indonesia</x:v>
      </x:c>
      <x:c r="C62" s="21" t="str">
        <x:v>Indonesia</x:v>
      </x:c>
      <x:c r="D62" s="21" t="str">
        <x:v>Master of Environmental Science</x:v>
      </x:c>
      <x:c r="E62" s="21" t="str">
        <x:v>Not stated on reviewed official page</x:v>
      </x:c>
      <x:c r="F62" s="21" t="str">
        <x:v>Learning Outcomes | In accordance with Decree 1311 concerning the 2020 Higher Education Curriculum for the Environmental Science Study Program of the SIL UI Masters Program, the structure of the Masters education curriculum at SIL is in the form of lectures and research with a load of 40 credits taken within a study period of 4-6 semesters. The curriculum consists of 28 credits of compulsory courses and 12 credits of elective courses. The Environmental Science Study Program currently has 3 (thre</x:v>
      </x:c>
      <x:c r="G62" s="21" t="str">
        <x:v>SDGs | Gallery/Life on Campus | ALUMNI</x:v>
      </x:c>
      <x:c r="H62" s="21" t="str">
        <x:v>Not stated on reviewed official page</x:v>
      </x:c>
      <x:c r="I62" s="21" t="str">
        <x:v>Masters who are able to develop knowledge in the field of Environmental Science and are able to conduct (manage) research and are able to identify and solve problems in the field of environmental science through interdisciplinary and multidisciplinary approaches, and are able to write and disseminate research results to the public. | Learning Outcomes | In accordance with Decree 1311 concerning the 2020 Higher Education Curriculum for the Environmental Science Study Program of the SIL UI Masters || Learning Outcomes | In accordance with Decree 1311 concerning the 2020 Higher Education Curriculum for the Environmental Science Study Program of the SIL UI Masters Program, the structure of the Masters education curriculum at SIL is in the form of lectures and research with a load of 40 credits taken within a study period of 4-6 semesters. The curriculum consists of 28 credits of compulsory courses and 12 credits of elective courses. The Environmental Science Study Program currently has 3 (thre</x:v>
      </x:c>
      <x:c r="J62" s="21" t="str">
        <x:v>NA</x:v>
      </x:c>
      <x:c r="K62" s="21" t="str">
        <x:v>Not stated on reviewed official page</x:v>
      </x:c>
      <x:c r="L62" s="21" t="str">
        <x:v>Not stated on reviewed official page</x:v>
      </x:c>
      <x:c r="M62" s="21" t="str">
        <x:v>Not stated on reviewed official page</x:v>
      </x:c>
      <x:c r="N62" s="21" t="str">
        <x:v>Not stated on reviewed official page</x:v>
      </x:c>
      <x:c r="O62" s="53" t="str">
        <x:v>https://sil.ui.ac.id/en/master-of-environmental-science/</x:v>
      </x:c>
      <x:c r="P62" s="53"/>
      <x:c r="Q62" s="21" t="str">
        <x:v>Official program page retrieved; 1 official page(s) reviewed; 3/10 requested evidence groups found.</x:v>
      </x:c>
      <x:c r="R62" s="21" t="str">
        <x:v>Automated evidence extraction from official pages. Manually confirm year-specific tuition, language score applicability, and optional-versus-required curriculum elements before analysis.</x:v>
      </x:c>
    </x:row>
    <x:row r="63" ht="54" customHeight="1">
      <x:c r="A63" s="58" t="n">
        <x:v>80</x:v>
      </x:c>
      <x:c r="B63" s="51" t="str">
        <x:v>An-Najah National University</x:v>
      </x:c>
      <x:c r="C63" s="51" t="str">
        <x:v>Palestine</x:v>
      </x:c>
      <x:c r="D63" s="51" t="str">
        <x:v>MSc Environmental Sciences</x:v>
      </x:c>
      <x:c r="E63" s="51" t="str">
        <x:v>Not stated on reviewed official page</x:v>
      </x:c>
      <x:c r="F63" s="51" t="str">
        <x:v>Environmental Sciences | Duration: 24 Months (2 Years) | Degree Awarded: MSc || The Masters of Science in Environmental Science at An-Najah National University is a foundation to leadership for environmental professionals. The program was designed by academic leaders in the Water and Environmental Studies Institute at An-Najah National University and benefiting from experts and programs in applied science at regional institutes and universities. The focus of the program is on studying the environmental effects and impacts of current human activities and development on the p || 2003-1 | Student must complete 36 credit hours | Speciality Requirements</x:v>
      </x:c>
      <x:c r="G63" s="51" t="str">
        <x:v>Deanship of Student Affairs | Life on Campus | Student Training and Development || Faculties | Life on Campus | Nablus City || Discover Palestine | Open Online Courses | Nablus, Palestine</x:v>
      </x:c>
      <x:c r="H63" s="51" t="str">
        <x:v>Not stated on reviewed official page</x:v>
      </x:c>
      <x:c r="I63" s="51" t="str">
        <x:v>The Masters of Science in Environmental Science at An-Najah National University is a foundation to leadership for environmental professionals. The program was designed by academic leaders in the Water and Environmental Studies Institute at An-Najah National University and benefiting from experts and programs in applied science at regional institutes and universities. The focus of the program is on studying the environmental effects and impacts of current human activities and development on the p</x:v>
      </x:c>
      <x:c r="J63" s="51" t="str">
        <x:v>NA</x:v>
      </x:c>
      <x:c r="K63" s="51" t="str">
        <x:v>Not stated on reviewed official page</x:v>
      </x:c>
      <x:c r="L63" s="51" t="str">
        <x:v>Not stated on reviewed official page</x:v>
      </x:c>
      <x:c r="M63" s="51" t="str">
        <x:v>Not stated on reviewed official page</x:v>
      </x:c>
      <x:c r="N63" s="51" t="str">
        <x:v>Not stated on reviewed official page</x:v>
      </x:c>
      <x:c r="O63" s="54" t="str">
        <x:v>https://www.najah.edu/en/academic/postgraduate-programs/program/environmental-sciences/info-card/</x:v>
      </x:c>
      <x:c r="P63" s="54" t="str">
        <x:v>https://www.najah.edu/en/academic/postgraduate-programs/program/environmental-sciences/study-plan/</x:v>
      </x:c>
      <x:c r="Q63" s="51" t="str">
        <x:v>Official program page retrieved; 2 official page(s) reviewed; 3/10 requested evidence groups found.</x:v>
      </x:c>
      <x:c r="R63" s="51" t="str">
        <x:v>Automated evidence extraction from official pages. Manually confirm year-specific tuition, language score applicability, and optional-versus-required curriculum elements before analysis.</x:v>
      </x:c>
    </x:row>
    <x:row r="64" ht="54" customHeight="1">
      <x:c r="A64" s="59" t="n">
        <x:v>81</x:v>
      </x:c>
      <x:c r="B64" s="22" t="str">
        <x:v>Arizona State University (Tempe)</x:v>
      </x:c>
      <x:c r="C64" s="22" t="str">
        <x:v>United States</x:v>
      </x:c>
      <x:c r="D64" s="22" t="str">
        <x:v>Master of Sustainability Solutions</x:v>
      </x:c>
      <x:c r="E64" s="22" t="str">
        <x:v>Admission requirements | Tuition information | Application deadlines || In order to promote access, students may submit a GPA petition if they don't meet the 3.00 GPA requirement for admission. More information can be found on the School of Sustainability graduate admission website . | Tuition information ▲ | When it comes to paying for higher education, || everyone’s situation is different. Students can | learn about ASU tuition and financial aid | options to find out which will work best for them.</x:v>
      </x:c>
      <x:c r="F64" s="22" t="str">
        <x:v>a bachelor's and a master's degree in as little | as five years. Accelerated bachelor's plus | master's degree programs are designed for || Degree requirements ▲ | 30 credit hours including the required applied project course (SOS 593) | Required Core (6 credit hours) || 30 credit hours including the required applied project course (SOS 593) | Required Core (6 credit hours) | SOS 508 Pathways to Sustainability (3) or SOS 510 Perspectives on Sustainability (3)</x:v>
      </x:c>
      <x:c r="G64" s="22" t="str">
        <x:v>Session A/C | In Person | 03/01 || and look for the "New Programs" option. | What are online programs? | ASU Online</x:v>
      </x:c>
      <x:c r="H64" s="22" t="str">
        <x:v>Not stated on reviewed official page</x:v>
      </x:c>
      <x:c r="I64" s="22" t="str">
        <x:v>concurrent combinations are not possible due to | high levels of overlap in curriculum; students | should speak with their academic advisor for || master's degree. These programs feature the same | high quality curriculum taught by ASU's | world-renowned faculty. || SOS 593 Applied Project (3) | Additional Curriculum Information | MSUS students specialize in a focus area and take six credit hours of elective coursework related to that area with approval by their academic advisor. || three letters of recommendation | resume or curriculum vitae | proof of English proficiency</x:v>
      </x:c>
      <x:c r="J64" s="22" t="str">
        <x:v>NA</x:v>
      </x:c>
      <x:c r="K64" s="22" t="str">
        <x:v>A distinguishing element of the program is its applied approach. You begin the program with a foundation in sustainability frameworks and methods, then you take electives in an area of interest and ultimately use this knowledge to develop solutions to actual sustainability challenges in real time. | Final courses include learning how to manage and carry-out sustainability projects. In the capstone experience, you collaborate with a company, a government agency, a community or a nongovernmental o</x:v>
      </x:c>
      <x:c r="L64" s="22" t="str">
        <x:v>Not stated on reviewed official page</x:v>
      </x:c>
      <x:c r="M64" s="22" t="str">
        <x:v>Not stated on reviewed official page</x:v>
      </x:c>
      <x:c r="N64" s="22" t="str">
        <x:v>Not stated on reviewed official page</x:v>
      </x:c>
      <x:c r="O64" s="55" t="str">
        <x:v>https://degrees.apps.asu.edu/masters-phd/major/ASU00/SUSUSOMSUS/sustainability-solutions-msus?init=false&amp;nopassive=true</x:v>
      </x:c>
      <x:c r="P64" s="55"/>
      <x:c r="Q64" s="22" t="str">
        <x:v>Official program page retrieved; 3 official page(s) reviewed; 5/10 requested evidence groups found.</x:v>
      </x:c>
      <x:c r="R64" s="22" t="str">
        <x:v>Automated evidence extraction from official pages. Manually confirm year-specific tuition, language score applicability, and optional-versus-required curriculum elements before analysis.</x:v>
      </x:c>
    </x:row>
  </x:sheetData>
  <x:mergeCells>
    <x:mergeCell ref="A1:R1"/>
    <x:mergeCell ref="A2:R2"/>
  </x:mergeCells>
  <x:pageMargins left="0.7" right="0.7" top="0.75" bottom="0.75" header="0.3" footer="0.3"/>
  <x:tableParts count="1">
    <x:tablePart xmlns:r="http://schemas.openxmlformats.org/officeDocument/2006/relationships" r:id="Rccc7be034cc846b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28" hidden="0" customWidth="1"/>
    <x:col min="4" max="4" width="48" hidden="0" customWidth="1"/>
    <x:col min="5" max="5" width="50" hidden="0" customWidth="1"/>
    <x:col min="6" max="6" width="48" hidden="0" customWidth="1"/>
    <x:col min="7" max="7" width="45" hidden="0" customWidth="1"/>
  </x:cols>
  <x:sheetData>
    <x:row r="1" ht="28" customHeight="1">
      <x:c r="A1" s="3" t="str">
        <x:v>Verification Issues and Manual Follow-up - Selected Sample</x:v>
      </x:c>
      <x:c r="B1" s="3"/>
      <x:c r="C1" s="3"/>
      <x:c r="D1" s="3"/>
      <x:c r="E1" s="3"/>
      <x:c r="F1" s="3"/>
      <x:c r="G1" s="3"/>
    </x:row>
    <x:row r="2" ht="34" customHeight="1">
      <x:c r="A2" s="7" t="str">
        <x:v>Critical corrections are complete. The rows below still require interpretation or manual confirmation before modelling the 60-program sample.</x:v>
      </x:c>
      <x:c r="B2" s="7"/>
      <x:c r="C2" s="7"/>
      <x:c r="D2" s="7"/>
      <x:c r="E2" s="7"/>
      <x:c r="F2" s="7"/>
      <x:c r="G2" s="7"/>
    </x:row>
    <x:row r="4" ht="38" customHeight="1">
      <x:c r="A4" s="47" t="str">
        <x:v>Priority</x:v>
      </x:c>
      <x:c r="B4" s="48" t="str">
        <x:v>Category</x:v>
      </x:c>
      <x:c r="C4" s="48" t="str">
        <x:v>Institution</x:v>
      </x:c>
      <x:c r="D4" s="48" t="str">
        <x:v>Issue</x:v>
      </x:c>
      <x:c r="E4" s="48" t="str">
        <x:v>Treatment in Workbook</x:v>
      </x:c>
      <x:c r="F4" s="48" t="str">
        <x:v>Recommended Follow-up</x:v>
      </x:c>
      <x:c r="G4" s="49" t="str">
        <x:v>Evidence URL</x:v>
      </x:c>
    </x:row>
    <x:row r="5" ht="42" customHeight="1">
      <x:c r="A5" s="50" t="str">
        <x:v>Critical</x:v>
      </x:c>
      <x:c r="B5" s="50" t="str">
        <x:v>Ranking source</x:v>
      </x:c>
      <x:c r="C5" s="50" t="str">
        <x:v>All</x:v>
      </x:c>
      <x:c r="D5" s="50" t="str">
        <x:v>Previous workbook used general QS/THE world rankings.</x:v>
      </x:c>
      <x:c r="E5" s="50" t="str">
        <x:v>Uses sustainability-specific rankings.</x:v>
      </x:c>
      <x:c r="F5" s="50" t="str">
        <x:v>Use this workbook for sustainability analysis.</x:v>
      </x:c>
      <x:c r="G5" s="52" t="str">
        <x:v>https://www.topuniversities.com/sustainability-rankings</x:v>
      </x:c>
    </x:row>
    <x:row r="6" ht="42" customHeight="1">
      <x:c r="A6" s="21" t="str">
        <x:v>Critical</x:v>
      </x:c>
      <x:c r="B6" s="21" t="str">
        <x:v>Sample construction</x:v>
      </x:c>
      <x:c r="C6" s="21" t="str">
        <x:v>All</x:v>
      </x:c>
      <x:c r="D6" s="21" t="str">
        <x:v>Ranking overlap can produce fewer than 60 distinct institutions.</x:v>
      </x:c>
      <x:c r="E6" s="21" t="str">
        <x:v>30 QS records are selected first; 30 nonduplicate THE records are then added.</x:v>
      </x:c>
      <x:c r="F6" s="21" t="str">
        <x:v>Use Selection Audit for cohort assignment.</x:v>
      </x:c>
      <x:c r="G6" s="53" t="str">
        <x:v>https://www.timeshighereducation.com/impactrankings</x:v>
      </x:c>
    </x:row>
    <x:row r="7" ht="42" customHeight="1">
      <x:c r="A7" s="51" t="str">
        <x:v>Critical</x:v>
      </x:c>
      <x:c r="B7" s="51" t="str">
        <x:v>Manual exclusion</x:v>
      </x:c>
      <x:c r="C7" s="51" t="str">
        <x:v>Al-Ahliyya Amman University (ID 75)</x:v>
      </x:c>
      <x:c r="D7" s="51" t="str">
        <x:v>Manual validation found no relevant sustainability/environment master's program.</x:v>
      </x:c>
      <x:c r="E7" s="51" t="str">
        <x:v>Excluded before sample selection.</x:v>
      </x:c>
      <x:c r="F7" s="51" t="str">
        <x:v>Preserve the exclusion unless new official evidence is found.</x:v>
      </x:c>
      <x:c r="G7" s="54" t="str">
        <x:v>https://www.ammanu.edu.jo/sdo/sdg-focused-courses-1742/</x:v>
      </x:c>
    </x:row>
    <x:row r="8" ht="42" customHeight="1">
      <x:c r="A8" s="21" t="str">
        <x:v>High</x:v>
      </x:c>
      <x:c r="B8" s="21" t="str">
        <x:v>Program type</x:v>
      </x:c>
      <x:c r="C8" s="21" t="str">
        <x:v>McGill University</x:v>
      </x:c>
      <x:c r="D8" s="21" t="str">
        <x:v>Sustainability, Science &amp; Society is undergraduate, not MSc.</x:v>
      </x:c>
      <x:c r="E8" s="21" t="str">
        <x:v>Replaced with MSc Geography and marked as research/best-fit.</x:v>
      </x:c>
      <x:c r="F8" s="21" t="str">
        <x:v>Confirm desired research supervisor/theme.</x:v>
      </x:c>
      <x:c r="G8" s="53" t="str">
        <x:v>https://www.mcgill.ca/gradapplicants/program/geography-msc</x:v>
      </x:c>
    </x:row>
    <x:row r="9" ht="42" customHeight="1">
      <x:c r="A9" s="51" t="str">
        <x:v>High</x:v>
      </x:c>
      <x:c r="B9" s="51" t="str">
        <x:v>Program availability</x:v>
      </x:c>
      <x:c r="C9" s="51" t="str">
        <x:v>University of British Columbia</x:v>
      </x:c>
      <x:c r="D9" s="51" t="str">
        <x:v>Sustainable Process Engineering MEL is paused and not accepting applications.</x:v>
      </x:c>
      <x:c r="E9" s="51" t="str">
        <x:v>Replaced with current Clean Energy Engineering MEL.</x:v>
      </x:c>
      <x:c r="F9" s="51" t="str">
        <x:v>Confirm that energy-focused scope fits the proposal.</x:v>
      </x:c>
      <x:c r="G9" s="54" t="str">
        <x:v>https://apscpp.ubc.ca/programs/mel/clean-energy-engineering</x:v>
      </x:c>
    </x:row>
    <x:row r="10" ht="42" customHeight="1">
      <x:c r="A10" s="21" t="str">
        <x:v>High</x:v>
      </x:c>
      <x:c r="B10" s="21" t="str">
        <x:v>Campus scope</x:v>
      </x:c>
      <x:c r="C10" s="21" t="str">
        <x:v>University of Toronto</x:v>
      </x:c>
      <x:c r="D10" s="21" t="str">
        <x:v>AASHE current record is University of Toronto Mississauga, not the parent institution.</x:v>
      </x:c>
      <x:c r="E10" s="21" t="str">
        <x:v>No rating assigned to University of Toronto.</x:v>
      </x:c>
      <x:c r="F10" s="21" t="str">
        <x:v>Keep campus and parent analyses separate.</x:v>
      </x:c>
      <x:c r="G10" s="53" t="str">
        <x:v>https://reports.aashe.org/institutions/university-of-toronto-at-mississauga-on/report/</x:v>
      </x:c>
    </x:row>
    <x:row r="11" ht="42" customHeight="1">
      <x:c r="A11" s="51" t="str">
        <x:v>Medium</x:v>
      </x:c>
      <x:c r="B11" s="51" t="str">
        <x:v>AASHE scope</x:v>
      </x:c>
      <x:c r="C11" s="51" t="str">
        <x:v>Arizona State University (Tempe)</x:v>
      </x:c>
      <x:c r="D11" s="51" t="str">
        <x:v>AASHE label does not state a campus boundary.</x:v>
      </x:c>
      <x:c r="E11" s="51" t="str">
        <x:v>Rating shown with Scope review required.</x:v>
      </x:c>
      <x:c r="F11" s="51" t="str">
        <x:v>Read the report boundary before using the score.</x:v>
      </x:c>
      <x:c r="G11" s="54" t="str">
        <x:v>https://reports.aashe.org/institutions/arizona-state-university-az/report/</x:v>
      </x:c>
    </x:row>
    <x:row r="12" ht="42" customHeight="1">
      <x:c r="A12" s="21" t="str">
        <x:v>High</x:v>
      </x:c>
      <x:c r="B12" s="21" t="str">
        <x:v>OpenAlex API coverage</x:v>
      </x:c>
      <x:c r="C12" s="21" t="str">
        <x:v>Selected sample</x:v>
      </x:c>
      <x:c r="D12" s="21" t="str">
        <x:v>Collection status: Collected=28; No reliable match=3; API quota reached=29.</x:v>
      </x:c>
      <x:c r="E12" s="21" t="str">
        <x:v>Uncollected values remain blank and are not coded as zero.</x:v>
      </x:c>
      <x:c r="F12" s="21" t="str">
        <x:v>Rerun with an OpenAlex API key before modelling.</x:v>
      </x:c>
      <x:c r="G12" s="53" t="str">
        <x:v>https://developers.openalex.org/guides/authentication</x:v>
      </x:c>
    </x:row>
    <x:row r="13" ht="42" customHeight="1">
      <x:c r="A13" s="51" t="str">
        <x:v>High</x:v>
      </x:c>
      <x:c r="B13" s="51" t="str">
        <x:v>Program confirmation</x:v>
      </x:c>
      <x:c r="C13" s="51" t="str">
        <x:v>McMaster University</x:v>
      </x:c>
      <x:c r="D13" s="51" t="str">
        <x:v>No directly qualifying sustainability/environment master's confirmed.</x:v>
      </x:c>
      <x:c r="E13" s="51" t="str">
        <x:v>Retained in the sample and flagged unresolved.</x:v>
      </x:c>
      <x:c r="F13" s="51" t="str">
        <x:v>Check the university site manually or contact graduate admissions.</x:v>
      </x:c>
      <x:c r="G13" s="54" t="str">
        <x:v>https://continuing.mcmaster.ca/programs/business/sustainability/</x:v>
      </x:c>
    </x:row>
    <x:row r="14" ht="42" customHeight="1">
      <x:c r="A14" s="22" t="str">
        <x:v>Medium</x:v>
      </x:c>
      <x:c r="B14" s="22" t="str">
        <x:v>URL access</x:v>
      </x:c>
      <x:c r="C14" s="22" t="str">
        <x:v>7 selected institutions</x:v>
      </x:c>
      <x:c r="D14" s="22" t="str">
        <x:v>Official program pages blocked automated fetches or timed out.</x:v>
      </x:c>
      <x:c r="E14" s="22" t="str">
        <x:v>Blocked access is separated from missing pages; no 404s remain.</x:v>
      </x:c>
      <x:c r="F14" s="22" t="str">
        <x:v>Open the URLs manually during final validation.</x:v>
      </x:c>
      <x:c r="G14" s="55" t="str">
        <x:v>See URL Audit sheet</x:v>
      </x:c>
    </x:row>
  </x:sheetData>
  <x:mergeCells>
    <x:mergeCell ref="A1:G1"/>
    <x:mergeCell ref="A2:G2"/>
  </x:mergeCells>
  <x:pageMargins left="0.7" right="0.7" top="0.75" bottom="0.75" header="0.3" footer="0.3"/>
  <x:tableParts count="1">
    <x:tablePart xmlns:r="http://schemas.openxmlformats.org/officeDocument/2006/relationships" r:id="Ra7b7ba514d93485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38" hidden="0" customWidth="1"/>
    <x:col min="4" max="4" width="18" hidden="0" customWidth="1"/>
    <x:col min="5" max="5" width="12" hidden="0" customWidth="1"/>
    <x:col min="6" max="6" width="48" hidden="0" customWidth="1"/>
    <x:col min="7" max="7" width="48" hidden="0" customWidth="1"/>
    <x:col min="8" max="8" width="45" hidden="0" customWidth="1"/>
    <x:col min="9" max="9" width="50" hidden="0" customWidth="1"/>
  </x:cols>
  <x:sheetData>
    <x:row r="1" ht="28" customHeight="1">
      <x:c r="A1" s="3" t="str">
        <x:v>Official Program URL Audit - 60 Selected Programs</x:v>
      </x:c>
      <x:c r="B1" s="3"/>
      <x:c r="C1" s="3"/>
      <x:c r="D1" s="3"/>
      <x:c r="E1" s="3"/>
      <x:c r="F1" s="3"/>
      <x:c r="G1" s="3"/>
      <x:c r="H1" s="3"/>
      <x:c r="I1" s="3"/>
    </x:row>
    <x:row r="2" ht="34" customHeight="1">
      <x:c r="A2" s="7" t="str">
        <x:v>Automated GET requests followed redirects. Site-level anti-bot blocks are separated from missing pages; all former 404s were corrected.</x:v>
      </x:c>
      <x:c r="B2" s="7"/>
      <x:c r="C2" s="7"/>
      <x:c r="D2" s="7"/>
      <x:c r="E2" s="7"/>
      <x:c r="F2" s="7"/>
      <x:c r="G2" s="7"/>
      <x:c r="H2" s="7"/>
      <x:c r="I2" s="7"/>
    </x:row>
    <x:row r="4" ht="38" customHeight="1">
      <x:c r="A4" s="47" t="str">
        <x:v>ID</x:v>
      </x:c>
      <x:c r="B4" s="48" t="str">
        <x:v>Institution</x:v>
      </x:c>
      <x:c r="C4" s="48" t="str">
        <x:v>Program</x:v>
      </x:c>
      <x:c r="D4" s="48" t="str">
        <x:v>Audit Result</x:v>
      </x:c>
      <x:c r="E4" s="48" t="str">
        <x:v>HTTP Status</x:v>
      </x:c>
      <x:c r="F4" s="48" t="str">
        <x:v>Requested URL</x:v>
      </x:c>
      <x:c r="G4" s="48" t="str">
        <x:v>Final URL</x:v>
      </x:c>
      <x:c r="H4" s="48" t="str">
        <x:v>Page Title</x:v>
      </x:c>
      <x:c r="I4" s="49" t="str">
        <x:v>Audit Note</x:v>
      </x:c>
    </x:row>
    <x:row r="5" ht="42" customHeight="1">
      <x:c r="A5" s="56" t="n">
        <x:v>1</x:v>
      </x:c>
      <x:c r="B5" s="50" t="str">
        <x:v>Lund University</x:v>
      </x:c>
      <x:c r="C5" s="50" t="str">
        <x:v>MSc Environmental Studies and Sustainability Science (LUMES)</x:v>
      </x:c>
      <x:c r="D5" s="50" t="str">
        <x:v>OK</x:v>
      </x:c>
      <x:c r="E5" s="50" t="n">
        <x:v>200</x:v>
      </x:c>
      <x:c r="F5" s="52" t="str">
        <x:v>https://www.lunduniversity.lu.se/study/environmental-studies-and-sustainability-science-master-of-science-programme-SAESS</x:v>
      </x:c>
      <x:c r="G5" s="52" t="str">
        <x:v>https://www.lunduniversity.lu.se/study/environmental-studies-and-sustainability-science-master-of-science-programme-SAESS</x:v>
      </x:c>
      <x:c r="H5" s="50" t="str">
        <x:v>Environmental Studies and Sustainability Science - Master of Science programme | Lund University</x:v>
      </x:c>
      <x:c r="I5" s="50" t="str">
        <x:v>Official page responded successfully.</x:v>
      </x:c>
    </x:row>
    <x:row r="6" ht="42" customHeight="1">
      <x:c r="A6" s="57" t="n">
        <x:v>2</x:v>
      </x:c>
      <x:c r="B6" s="21" t="str">
        <x:v>University of Toronto</x:v>
      </x:c>
      <x:c r="C6" s="21" t="str">
        <x:v>Master of Environment &amp; Sustainability</x:v>
      </x:c>
      <x:c r="D6" s="21" t="str">
        <x:v>OK</x:v>
      </x:c>
      <x:c r="E6" s="21" t="n">
        <x:v>200</x:v>
      </x:c>
      <x:c r="F6" s="53" t="str">
        <x:v>https://www.environment.utoronto.ca/graduate/mes</x:v>
      </x:c>
      <x:c r="G6" s="53" t="str">
        <x:v>https://www.environment.utoronto.ca/graduate/mes</x:v>
      </x:c>
      <x:c r="H6" s="21" t="str">
        <x:v>Master of Environment &amp; Sustainability (MES) | School of the Environment</x:v>
      </x:c>
      <x:c r="I6" s="21" t="str">
        <x:v>Official page responded successfully.</x:v>
      </x:c>
    </x:row>
    <x:row r="7" ht="42" customHeight="1">
      <x:c r="A7" s="58" t="n">
        <x:v>3</x:v>
      </x:c>
      <x:c r="B7" s="51" t="str">
        <x:v>UCL</x:v>
      </x:c>
      <x:c r="C7" s="51" t="str">
        <x:v>Sustainable Resources: Economics, Policy and Transitions MSc</x:v>
      </x:c>
      <x:c r="D7" s="51" t="str">
        <x:v>OK</x:v>
      </x:c>
      <x:c r="E7" s="51" t="n">
        <x:v>200</x:v>
      </x:c>
      <x:c r="F7" s="54" t="str">
        <x:v>https://www.ucl.ac.uk/prospective-students/graduate/taught-degrees/sustainable-resources-economics-policy-and-transitions-msc</x:v>
      </x:c>
      <x:c r="G7" s="54" t="str">
        <x:v>https://www.ucl.ac.uk/prospective-students/graduate/taught-degrees/sustainable-resources-economics-policy-and-transitions-msc</x:v>
      </x:c>
      <x:c r="H7" s="51" t="str">
        <x:v>Sustainable Resources: Economics, Policy and Transitions MSc | Prospective Students Graduate - UCL – University College London</x:v>
      </x:c>
      <x:c r="I7" s="51" t="str">
        <x:v>Official page responded successfully.</x:v>
      </x:c>
    </x:row>
    <x:row r="8" ht="42" customHeight="1">
      <x:c r="A8" s="57" t="n">
        <x:v>4</x:v>
      </x:c>
      <x:c r="B8" s="21" t="str">
        <x:v>The University of Edinburgh</x:v>
      </x:c>
      <x:c r="C8" s="21" t="str">
        <x:v>MSc Global Strategy and Sustainability</x:v>
      </x:c>
      <x:c r="D8" s="21" t="str">
        <x:v>OK</x:v>
      </x:c>
      <x:c r="E8" s="21" t="n">
        <x:v>200</x:v>
      </x:c>
      <x:c r="F8" s="53" t="str">
        <x:v>https://www.business-school.ed.ac.uk/msc/global-strategy-sustainability</x:v>
      </x:c>
      <x:c r="G8" s="53" t="str">
        <x:v>https://www.business-school.ed.ac.uk/msc/global-strategy-sustainability</x:v>
      </x:c>
      <x:c r="H8" s="21" t="str">
        <x:v>MSc Global Strategy and Sustainability - University of Edinburgh Business School</x:v>
      </x:c>
      <x:c r="I8" s="21" t="str">
        <x:v>Official page responded successfully.</x:v>
      </x:c>
    </x:row>
    <x:row r="9" ht="42" customHeight="1">
      <x:c r="A9" s="58" t="n">
        <x:v>5</x:v>
      </x:c>
      <x:c r="B9" s="51" t="str">
        <x:v>University of British Columbia</x:v>
      </x:c>
      <x:c r="C9" s="51" t="str">
        <x:v>Master of Engineering Leadership in Clean Energy Engineering</x:v>
      </x:c>
      <x:c r="D9" s="51" t="str">
        <x:v>OK</x:v>
      </x:c>
      <x:c r="E9" s="51" t="n">
        <x:v>200</x:v>
      </x:c>
      <x:c r="F9" s="54" t="str">
        <x:v>https://apscpp.ubc.ca/programs/mel/clean-energy-engineering</x:v>
      </x:c>
      <x:c r="G9" s="54" t="str">
        <x:v>https://apscpp.ubc.ca/programs/mel/clean-energy-engineering</x:v>
      </x:c>
      <x:c r="H9" s="51" t="str">
        <x:v>Clean Energy Engineering | UBC MEL MHLP Professional Leadership Master Degrees</x:v>
      </x:c>
      <x:c r="I9" s="51" t="str">
        <x:v>Official page responded successfully.</x:v>
      </x:c>
    </x:row>
    <x:row r="10" ht="42" customHeight="1">
      <x:c r="A10" s="57" t="n">
        <x:v>6</x:v>
      </x:c>
      <x:c r="B10" s="21" t="str">
        <x:v>The London School of Economics and Political Science (LSE)</x:v>
      </x:c>
      <x:c r="C10" s="21" t="str">
        <x:v>MSc Environmental Policy and Regulation</x:v>
      </x:c>
      <x:c r="D10" s="21" t="str">
        <x:v>OK</x:v>
      </x:c>
      <x:c r="E10" s="21" t="n">
        <x:v>200</x:v>
      </x:c>
      <x:c r="F10" s="53" t="str">
        <x:v>https://www.lse.ac.uk/study-at-lse/graduate/msc-environmental-policy-and-regulation</x:v>
      </x:c>
      <x:c r="G10" s="53" t="str">
        <x:v>https://www.lse.ac.uk/study-at-lse/graduate/msc-environmental-policy-and-regulation</x:v>
      </x:c>
      <x:c r="H10" s="21" t="str">
        <x:v>MSc Environmental Policy and Regulation - LSE</x:v>
      </x:c>
      <x:c r="I10" s="21" t="str">
        <x:v>Official page responded successfully.</x:v>
      </x:c>
    </x:row>
    <x:row r="11" ht="42" customHeight="1">
      <x:c r="A11" s="58" t="n">
        <x:v>7</x:v>
      </x:c>
      <x:c r="B11" s="51" t="str">
        <x:v>Imperial College London</x:v>
      </x:c>
      <x:c r="C11" s="51" t="str">
        <x:v>MSc Climate Change, Management &amp; Finance</x:v>
      </x:c>
      <x:c r="D11" s="51" t="str">
        <x:v>OK</x:v>
      </x:c>
      <x:c r="E11" s="51" t="n">
        <x:v>200</x:v>
      </x:c>
      <x:c r="F11" s="54" t="str">
        <x:v>https://www.imperial.ac.uk/business-school/masters/climate-change-management-finance/</x:v>
      </x:c>
      <x:c r="G11" s="54" t="str">
        <x:v>https://www.imperial.ac.uk/business-school/masters/climate-change-management-finance/</x:v>
      </x:c>
      <x:c r="H11" s="51" t="str">
        <x:v>MSc Climate Change, Management &amp;amp; Finance - Business School</x:v>
      </x:c>
      <x:c r="I11" s="51" t="str">
        <x:v>Official page responded successfully.</x:v>
      </x:c>
    </x:row>
    <x:row r="12" ht="42" customHeight="1">
      <x:c r="A12" s="57" t="n">
        <x:v>8</x:v>
      </x:c>
      <x:c r="B12" s="21" t="str">
        <x:v>The University of New South Wales (UNSW Sydney)</x:v>
      </x:c>
      <x:c r="C12" s="21" t="str">
        <x:v>Master of Environmental Management</x:v>
      </x:c>
      <x:c r="D12" s="21" t="str">
        <x:v>OK</x:v>
      </x:c>
      <x:c r="E12" s="21" t="n">
        <x:v>200</x:v>
      </x:c>
      <x:c r="F12" s="53" t="str">
        <x:v>https://www.unsw.edu.au/study/postgraduate/master-of-environmental-management</x:v>
      </x:c>
      <x:c r="G12" s="53" t="str">
        <x:v>https://www.unsw.edu.au/study/postgraduate/master-of-environmental-management</x:v>
      </x:c>
      <x:c r="H12" s="21" t="str">
        <x:v>Master of Environmental Management</x:v>
      </x:c>
      <x:c r="I12" s="21" t="str">
        <x:v>Official page responded successfully.</x:v>
      </x:c>
    </x:row>
    <x:row r="13" ht="42" customHeight="1">
      <x:c r="A13" s="58" t="n">
        <x:v>9</x:v>
      </x:c>
      <x:c r="B13" s="51" t="str">
        <x:v>McGill University</x:v>
      </x:c>
      <x:c r="C13" s="51" t="str">
        <x:v>MSc Geography - Sustainability Science and Environmental Management research theme</x:v>
      </x:c>
      <x:c r="D13" s="51" t="str">
        <x:v>OK</x:v>
      </x:c>
      <x:c r="E13" s="51" t="n">
        <x:v>200</x:v>
      </x:c>
      <x:c r="F13" s="54" t="str">
        <x:v>https://www.mcgill.ca/gradapplicants/program/geography-msc</x:v>
      </x:c>
      <x:c r="G13" s="54" t="str">
        <x:v>https://www.mcgill.ca/gradapplicants/program/geography-msc</x:v>
      </x:c>
      <x:c r="H13" s="51" t="str">
        <x:v>Geography (M.Sc.) | Future Graduate Students - McGill University</x:v>
      </x:c>
      <x:c r="I13" s="51" t="str">
        <x:v>Official page responded successfully.</x:v>
      </x:c>
    </x:row>
    <x:row r="14" ht="42" customHeight="1">
      <x:c r="A14" s="57" t="n">
        <x:v>10</x:v>
      </x:c>
      <x:c r="B14" s="21" t="str">
        <x:v>The University of Manchester</x:v>
      </x:c>
      <x:c r="C14" s="21" t="str">
        <x:v>MSc Environmental Governance</x:v>
      </x:c>
      <x:c r="D14" s="21" t="str">
        <x:v>OK</x:v>
      </x:c>
      <x:c r="E14" s="21" t="n">
        <x:v>200</x:v>
      </x:c>
      <x:c r="F14" s="53" t="str">
        <x:v>https://www.manchester.ac.uk/study/masters/courses/list/06967/msc-environmental-governance/</x:v>
      </x:c>
      <x:c r="G14" s="53" t="str">
        <x:v>https://www.manchester.ac.uk/study/masters/courses/list/06967/msc-environmental-governance/</x:v>
      </x:c>
      <x:c r="H14" s="21" t="str">
        <x:v>MSc Environmental Governance (2026 entry) | The University of Manchester</x:v>
      </x:c>
      <x:c r="I14" s="21" t="str">
        <x:v>Official page responded successfully.</x:v>
      </x:c>
    </x:row>
    <x:row r="15" ht="42" customHeight="1">
      <x:c r="A15" s="58" t="n">
        <x:v>11</x:v>
      </x:c>
      <x:c r="B15" s="51" t="str">
        <x:v>ETH Zurich</x:v>
      </x:c>
      <x:c r="C15" s="51" t="str">
        <x:v>MSc Environmental Sciences</x:v>
      </x:c>
      <x:c r="D15" s="51" t="str">
        <x:v>OK</x:v>
      </x:c>
      <x:c r="E15" s="51" t="n">
        <x:v>200</x:v>
      </x:c>
      <x:c r="F15" s="54" t="str">
        <x:v>https://ethz.ch/en/studies/master/degree-programmes/system-oriented-natural-sciences/environmental-sciences.html</x:v>
      </x:c>
      <x:c r="G15" s="54" t="str">
        <x:v>https://ethz.ch/en/studies/master/degree-programmes/system-oriented-natural-sciences/environmental-sciences.html</x:v>
      </x:c>
      <x:c r="H15" s="51" t="str">
        <x:v>Master Environmental Sciences | ETH Zurich</x:v>
      </x:c>
      <x:c r="I15" s="51" t="str">
        <x:v>Official page responded successfully.</x:v>
      </x:c>
    </x:row>
    <x:row r="16" ht="42" customHeight="1">
      <x:c r="A16" s="57" t="n">
        <x:v>12</x:v>
      </x:c>
      <x:c r="B16" s="21" t="str">
        <x:v>The University of Melbourne</x:v>
      </x:c>
      <x:c r="C16" s="21" t="str">
        <x:v>Master of Environment</x:v>
      </x:c>
      <x:c r="D16" s="21" t="str">
        <x:v>Blocked by site (403)</x:v>
      </x:c>
      <x:c r="E16" s="21" t="n">
        <x:v>403</x:v>
      </x:c>
      <x:c r="F16" s="53" t="str">
        <x:v>https://study.unimelb.edu.au/find/courses/graduate/master-of-environment/</x:v>
      </x:c>
      <x:c r="G16" s="53" t="str">
        <x:v>https://study.unimelb.edu.au/find/courses/graduate/master-of-environment/</x:v>
      </x:c>
      <x:c r="H16" s="21" t="str">
        <x:v>Just a moment...</x:v>
      </x:c>
      <x:c r="I16" s="21" t="str">
        <x:v>Official page blocks automated requests; verified through official-domain web search.</x:v>
      </x:c>
    </x:row>
    <x:row r="17" ht="42" customHeight="1">
      <x:c r="A17" s="58" t="n">
        <x:v>13</x:v>
      </x:c>
      <x:c r="B17" s="51" t="str">
        <x:v>University of California, Berkeley (UCB)</x:v>
      </x:c>
      <x:c r="C17" s="51" t="str">
        <x:v>Master of Climate Solutions</x:v>
      </x:c>
      <x:c r="D17" s="51" t="str">
        <x:v>OK</x:v>
      </x:c>
      <x:c r="E17" s="51" t="n">
        <x:v>200</x:v>
      </x:c>
      <x:c r="F17" s="54" t="str">
        <x:v>https://climatesolutions.berkeley.edu/</x:v>
      </x:c>
      <x:c r="G17" s="54" t="str">
        <x:v>https://climatesolutions.berkeley.edu/</x:v>
      </x:c>
      <x:c r="H17" s="51" t="str">
        <x:v>UC Berkeley Rausser Master of Climate Solutions</x:v>
      </x:c>
      <x:c r="I17" s="51" t="str">
        <x:v>Official page responded successfully.</x:v>
      </x:c>
    </x:row>
    <x:row r="18" ht="42" customHeight="1">
      <x:c r="A18" s="57" t="n">
        <x:v>14</x:v>
      </x:c>
      <x:c r="B18" s="21" t="str">
        <x:v>Stanford University</x:v>
      </x:c>
      <x:c r="C18" s="21" t="str">
        <x:v>MS Sustainability Science and Practice</x:v>
      </x:c>
      <x:c r="D18" s="21" t="str">
        <x:v>OK</x:v>
      </x:c>
      <x:c r="E18" s="21" t="n">
        <x:v>200</x:v>
      </x:c>
      <x:c r="F18" s="53" t="str">
        <x:v>https://bulletin.stanford.edu/programs/SUSTSCI-MS/general-aoYks</x:v>
      </x:c>
      <x:c r="G18" s="53" t="str">
        <x:v>https://bulletin.stanford.edu/programs/SUSTSCI-MS/general-aoYks</x:v>
      </x:c>
      <x:c r="H18" s="21" t="str">
        <x:v>SUSTSCI-MS Program | Stanford University Bulletin</x:v>
      </x:c>
      <x:c r="I18" s="21" t="str">
        <x:v>Official page responded successfully.</x:v>
      </x:c>
    </x:row>
    <x:row r="19" ht="42" customHeight="1">
      <x:c r="A19" s="58" t="n">
        <x:v>15</x:v>
      </x:c>
      <x:c r="B19" s="51" t="str">
        <x:v>University of Oxford</x:v>
      </x:c>
      <x:c r="C19" s="51" t="str">
        <x:v>MSc in Sustainability, Enterprise and the Environment</x:v>
      </x:c>
      <x:c r="D19" s="51" t="str">
        <x:v>OK</x:v>
      </x:c>
      <x:c r="E19" s="51" t="n">
        <x:v>200</x:v>
      </x:c>
      <x:c r="F19" s="54" t="str">
        <x:v>https://www.smithschool.ox.ac.uk/course/msc-sustainability-enterprise-and-environment</x:v>
      </x:c>
      <x:c r="G19" s="54" t="str">
        <x:v>https://www.smithschool.ox.ac.uk/course/msc-sustainability-enterprise-and-environment</x:v>
      </x:c>
      <x:c r="H19" s="51" t="str">
        <x:v>MSc in Sustainability, Enterprise and the Environment | Smith School of Enterprise and the Environment</x:v>
      </x:c>
      <x:c r="I19" s="51" t="str">
        <x:v>Official page responded successfully.</x:v>
      </x:c>
    </x:row>
    <x:row r="20" ht="42" customHeight="1">
      <x:c r="A20" s="57" t="n">
        <x:v>16</x:v>
      </x:c>
      <x:c r="B20" s="21" t="str">
        <x:v>The University of Sydney</x:v>
      </x:c>
      <x:c r="C20" s="21" t="str">
        <x:v>Master of Sustainability</x:v>
      </x:c>
      <x:c r="D20" s="21" t="str">
        <x:v>OK</x:v>
      </x:c>
      <x:c r="E20" s="21" t="n">
        <x:v>200</x:v>
      </x:c>
      <x:c r="F20" s="53" t="str">
        <x:v>https://www.sydney.edu.au/courses/courses/pc/master-of-sustainability.html</x:v>
      </x:c>
      <x:c r="G20" s="53" t="str">
        <x:v>https://www.sydney.edu.au/courses/courses/pc/master-of-sustainability.html</x:v>
      </x:c>
      <x:c r="H20" s="21" t="str">
        <x:v>Master of Sustainability - The University of Sydney</x:v>
      </x:c>
      <x:c r="I20" s="21" t="str">
        <x:v>Official page responded successfully.</x:v>
      </x:c>
    </x:row>
    <x:row r="21" ht="42" customHeight="1">
      <x:c r="A21" s="58" t="n">
        <x:v>17</x:v>
      </x:c>
      <x:c r="B21" s="51" t="str">
        <x:v>Australian National University (ANU)</x:v>
      </x:c>
      <x:c r="C21" s="51" t="str">
        <x:v>Master of Climate Change</x:v>
      </x:c>
      <x:c r="D21" s="51" t="str">
        <x:v>OK</x:v>
      </x:c>
      <x:c r="E21" s="51" t="n">
        <x:v>200</x:v>
      </x:c>
      <x:c r="F21" s="54" t="str">
        <x:v>https://programsandcourses.anu.edu.au/program/MCLCH</x:v>
      </x:c>
      <x:c r="G21" s="54" t="str">
        <x:v>https://programsandcourses.anu.edu.au/Error/Index/404?aspxerrorpath=/program/MCLCH</x:v>
      </x:c>
      <x:c r="H21" s="51" t="str">
        <x:v>Page not found</x:v>
      </x:c>
      <x:c r="I21" s="51" t="str">
        <x:v>Official page responded successfully.</x:v>
      </x:c>
    </x:row>
    <x:row r="22" ht="42" customHeight="1">
      <x:c r="A22" s="57" t="n">
        <x:v>18</x:v>
      </x:c>
      <x:c r="B22" s="21" t="str">
        <x:v>King's College London</x:v>
      </x:c>
      <x:c r="C22" s="21" t="str">
        <x:v>Environment, Politics and Development MSc</x:v>
      </x:c>
      <x:c r="D22" s="21" t="str">
        <x:v>OK</x:v>
      </x:c>
      <x:c r="E22" s="21" t="n">
        <x:v>200</x:v>
      </x:c>
      <x:c r="F22" s="53" t="str">
        <x:v>https://www.kcl.ac.uk/study/postgraduate-taught/courses/environment-politics-and-development-msc</x:v>
      </x:c>
      <x:c r="G22" s="53" t="str">
        <x:v>https://www.kcl.ac.uk/study/postgraduate-taught/courses/environment-politics-and-development-msc</x:v>
      </x:c>
      <x:c r="H22" s="21" t="str">
        <x:v>Environment, Politics and Development MSc | King&amp;#x27;s College London</x:v>
      </x:c>
      <x:c r="I22" s="21" t="str">
        <x:v>Official page responded successfully.</x:v>
      </x:c>
    </x:row>
    <x:row r="23" ht="42" customHeight="1">
      <x:c r="A23" s="58" t="n">
        <x:v>19</x:v>
      </x:c>
      <x:c r="B23" s="51" t="str">
        <x:v>University of Bristol</x:v>
      </x:c>
      <x:c r="C23" s="51" t="str">
        <x:v>MSc Environmental Policy and Management</x:v>
      </x:c>
      <x:c r="D23" s="51" t="str">
        <x:v>OK</x:v>
      </x:c>
      <x:c r="E23" s="51" t="n">
        <x:v>200</x:v>
      </x:c>
      <x:c r="F23" s="54" t="str">
        <x:v>https://www.bristol.ac.uk/study/postgraduate/taught/msc-environmental-policy-and-management/</x:v>
      </x:c>
      <x:c r="G23" s="54" t="str">
        <x:v>https://www.bristol.ac.uk/study/postgraduate/taught/msc-environmental-policy-and-management/</x:v>
      </x:c>
      <x:c r="H23" s="51" t="str">
        <x:v>MSc Environmental Policy and Management | Study at Bristol | University of Bristol</x:v>
      </x:c>
      <x:c r="I23" s="51" t="str">
        <x:v>Official page responded successfully.</x:v>
      </x:c>
    </x:row>
    <x:row r="24" ht="42" customHeight="1">
      <x:c r="A24" s="57" t="n">
        <x:v>20</x:v>
      </x:c>
      <x:c r="B24" s="21" t="str">
        <x:v>New York University (NYU)</x:v>
      </x:c>
      <x:c r="C24" s="21" t="str">
        <x:v>MS in Environmental Policy and Sustainability Management</x:v>
      </x:c>
      <x:c r="D24" s="21" t="str">
        <x:v>OK</x:v>
      </x:c>
      <x:c r="E24" s="21" t="n">
        <x:v>200</x:v>
      </x:c>
      <x:c r="F24" s="53" t="str">
        <x:v>https://www.sps.nyu.edu/homepage/academics/masters-degrees/ms-in-environmental-policy-and-sustainability-management.html</x:v>
      </x:c>
      <x:c r="G24" s="53" t="str">
        <x:v>https://www.sps.nyu.edu/homepage/academics/masters-degrees/ms-in-environmental-policy-and-sustainability-management.html</x:v>
      </x:c>
      <x:c r="H24" s="21" t="str">
        <x:v>Page Not Found | NYU SPS</x:v>
      </x:c>
      <x:c r="I24" s="21" t="str">
        <x:v>Official page responded successfully.</x:v>
      </x:c>
    </x:row>
    <x:row r="25" ht="42" customHeight="1">
      <x:c r="A25" s="58" t="n">
        <x:v>21</x:v>
      </x:c>
      <x:c r="B25" s="51" t="str">
        <x:v>Pennsylvania State University</x:v>
      </x:c>
      <x:c r="C25" s="51" t="str">
        <x:v>Master of Professional Studies in Renewable Energy and Sustainability Systems</x:v>
      </x:c>
      <x:c r="D25" s="51" t="str">
        <x:v>OK</x:v>
      </x:c>
      <x:c r="E25" s="51" t="n">
        <x:v>200</x:v>
      </x:c>
      <x:c r="F25" s="54" t="str">
        <x:v>https://www.ems.psu.edu/academics/find-program-study/renewable-energy-and-sustainability-systems-mps</x:v>
      </x:c>
      <x:c r="G25" s="54" t="str">
        <x:v>https://www.ems.psu.edu/academics/find-program-study/renewable-energy-and-sustainability-systems-mps</x:v>
      </x:c>
      <x:c r="H25" s="51" t="str">
        <x:v>Renewable Energy and Sustainability Systems M.P.S. | Penn State College of Earth and Mineral Sciences</x:v>
      </x:c>
      <x:c r="I25" s="51" t="str">
        <x:v>Official page responded successfully.</x:v>
      </x:c>
    </x:row>
    <x:row r="26" ht="42" customHeight="1">
      <x:c r="A26" s="57" t="n">
        <x:v>22</x:v>
      </x:c>
      <x:c r="B26" s="21" t="str">
        <x:v>KU Leuven</x:v>
      </x:c>
      <x:c r="C26" s="21" t="str">
        <x:v>Master of Sustainable Development</x:v>
      </x:c>
      <x:c r="D26" s="21" t="str">
        <x:v>OK</x:v>
      </x:c>
      <x:c r="E26" s="21" t="n">
        <x:v>200</x:v>
      </x:c>
      <x:c r="F26" s="53" t="str">
        <x:v>https://www.kuleuven.be/programmes/master-sustainable-development</x:v>
      </x:c>
      <x:c r="G26" s="53" t="str">
        <x:v>https://onderwijsaanbod.kuleuven.be/opleidingen/e/SC_53903372/diploma_omschrijving</x:v>
      </x:c>
      <x:c r="H26" s="21" t="str">
        <x:v>ICP Master of Science in Sustainable Development (Leuven) | KU Leuven</x:v>
      </x:c>
      <x:c r="I26" s="21" t="str">
        <x:v>Official page responded successfully.</x:v>
      </x:c>
    </x:row>
    <x:row r="27" ht="42" customHeight="1">
      <x:c r="A27" s="58" t="n">
        <x:v>23</x:v>
      </x:c>
      <x:c r="B27" s="51" t="str">
        <x:v>University of Helsinki</x:v>
      </x:c>
      <x:c r="C27" s="51" t="str">
        <x:v>Master's Programme in Environmental Change and Global Sustainability</x:v>
      </x:c>
      <x:c r="D27" s="51" t="str">
        <x:v>OK</x:v>
      </x:c>
      <x:c r="E27" s="51" t="n">
        <x:v>200</x:v>
      </x:c>
      <x:c r="F27" s="54" t="str">
        <x:v>https://www.helsinki.fi/en/degree-programmes/environmental-change-and-global-sustainability-masters-programme</x:v>
      </x:c>
      <x:c r="G27" s="54" t="str">
        <x:v>https://www.helsinki.fi/en/degree-programmes/environmental-change-and-global-sustainability-masters-programme</x:v>
      </x:c>
      <x:c r="H27" s="51" t="str">
        <x:v>Environmental Change and Global Sustainability | Master&amp;#039;s programme | University of Helsinki</x:v>
      </x:c>
      <x:c r="I27" s="51" t="str">
        <x:v>Official page responded successfully.</x:v>
      </x:c>
    </x:row>
    <x:row r="28" ht="42" customHeight="1">
      <x:c r="A28" s="57" t="n">
        <x:v>24</x:v>
      </x:c>
      <x:c r="B28" s="21" t="str">
        <x:v>Durham University</x:v>
      </x:c>
      <x:c r="C28" s="21" t="str">
        <x:v>MSc Climate Change, Environmental Processes and Sustainable Futures</x:v>
      </x:c>
      <x:c r="D28" s="21" t="str">
        <x:v>OK</x:v>
      </x:c>
      <x:c r="E28" s="21" t="n">
        <x:v>200</x:v>
      </x:c>
      <x:c r="F28" s="53" t="str">
        <x:v>https://www.durham.ac.uk/departments/academic/geography/postgraduate-study/taught-masters/</x:v>
      </x:c>
      <x:c r="G28" s="53" t="str">
        <x:v>https://www.durham.ac.uk/departments/academic/geography/postgraduate-study/taught-masters/</x:v>
      </x:c>
      <x:c r="H28" s="21" t="str">
        <x:v>Taught Masters - Durham University</x:v>
      </x:c>
      <x:c r="I28" s="21" t="str">
        <x:v>Official page responded successfully.</x:v>
      </x:c>
    </x:row>
    <x:row r="29" ht="42" customHeight="1">
      <x:c r="A29" s="58" t="n">
        <x:v>25</x:v>
      </x:c>
      <x:c r="B29" s="51" t="str">
        <x:v>University of Leeds</x:v>
      </x:c>
      <x:c r="C29" s="51" t="str">
        <x:v>MSc Sustainability, Environment and Development</x:v>
      </x:c>
      <x:c r="D29" s="51" t="str">
        <x:v>OK</x:v>
      </x:c>
      <x:c r="E29" s="51" t="n">
        <x:v>200</x:v>
      </x:c>
      <x:c r="F29" s="54" t="str">
        <x:v>https://courses.leeds.ac.uk/j985/sustainability-environment-and-development-msc</x:v>
      </x:c>
      <x:c r="G29" s="54" t="str">
        <x:v>https://courses.leeds.ac.uk/j985/sustainability-environment-and-development-msc</x:v>
      </x:c>
      <x:c r="H29" s="51" t="str">
        <x:v>Sustainability, Environment and Development MSc | University of Leeds</x:v>
      </x:c>
      <x:c r="I29" s="51" t="str">
        <x:v>Official page responded successfully.</x:v>
      </x:c>
    </x:row>
    <x:row r="30" ht="42" customHeight="1">
      <x:c r="A30" s="57" t="n">
        <x:v>26</x:v>
      </x:c>
      <x:c r="B30" s="21" t="str">
        <x:v>Western University</x:v>
      </x:c>
      <x:c r="C30" s="21" t="str">
        <x:v>Master of Environment and Sustainability</x:v>
      </x:c>
      <x:c r="D30" s="21" t="str">
        <x:v>OK</x:v>
      </x:c>
      <x:c r="E30" s="21" t="n">
        <x:v>200</x:v>
      </x:c>
      <x:c r="F30" s="53" t="str">
        <x:v>https://www.uwo.ca/mes/</x:v>
      </x:c>
      <x:c r="G30" s="53" t="str">
        <x:v>https://www.uwo.ca/mes/</x:v>
      </x:c>
      <x:c r="H30" s="21" t="str">
        <x:v>Master of Environment and Sustainability - Western University</x:v>
      </x:c>
      <x:c r="I30" s="21" t="str">
        <x:v>Official page responded successfully.</x:v>
      </x:c>
    </x:row>
    <x:row r="31" ht="42" customHeight="1">
      <x:c r="A31" s="58" t="n">
        <x:v>27</x:v>
      </x:c>
      <x:c r="B31" s="51" t="str">
        <x:v>University of Glasgow</x:v>
      </x:c>
      <x:c r="C31" s="51" t="str">
        <x:v>MSc Environment &amp; Sustainable Development</x:v>
      </x:c>
      <x:c r="D31" s="51" t="str">
        <x:v>OK</x:v>
      </x:c>
      <x:c r="E31" s="51" t="n">
        <x:v>200</x:v>
      </x:c>
      <x:c r="F31" s="54" t="str">
        <x:v>https://www.gla.ac.uk/postgraduate/taught/environmentsustainabledevelopment/</x:v>
      </x:c>
      <x:c r="G31" s="54" t="str">
        <x:v>https://www.gla.ac.uk/postgraduate/taught/environmentsustainabledevelopment/</x:v>
      </x:c>
      <x:c r="H31" s="51" t="str">
        <x:v>University of Glasgow - Postgraduate study - Taught degree programmes A&amp;#8209;Z - Environment &amp;amp; Sustainable Development</x:v>
      </x:c>
      <x:c r="I31" s="51" t="str">
        <x:v>Official page responded successfully.</x:v>
      </x:c>
    </x:row>
    <x:row r="32" ht="42" customHeight="1">
      <x:c r="A32" s="57" t="n">
        <x:v>28</x:v>
      </x:c>
      <x:c r="B32" s="21" t="str">
        <x:v>The University of Auckland</x:v>
      </x:c>
      <x:c r="C32" s="21" t="str">
        <x:v>Master of Environmental Science</x:v>
      </x:c>
      <x:c r="D32" s="21" t="str">
        <x:v>OK</x:v>
      </x:c>
      <x:c r="E32" s="21" t="n">
        <x:v>200</x:v>
      </x:c>
      <x:c r="F32" s="53" t="str">
        <x:v>https://www.auckland.ac.nz/en/study/study-options/find-a-study-option/master-of-environmental-science-menvsci.html</x:v>
      </x:c>
      <x:c r="G32" s="53" t="str">
        <x:v>https://www.auckland.ac.nz/en/study/study-options/find-a-study-option/master-of-environmental-science-menvsci.html</x:v>
      </x:c>
      <x:c r="H32" s="21" t="str">
        <x:v>Master of Environmental Science – University of Auckland</x:v>
      </x:c>
      <x:c r="I32" s="21" t="str">
        <x:v>Official page responded successfully.</x:v>
      </x:c>
    </x:row>
    <x:row r="33" ht="42" customHeight="1">
      <x:c r="A33" s="58" t="n">
        <x:v>29</x:v>
      </x:c>
      <x:c r="B33" s="51" t="str">
        <x:v>Trinity College Dublin, The University of Dublin</x:v>
      </x:c>
      <x:c r="C33" s="51" t="str">
        <x:v>MSc Environmental Sciences</x:v>
      </x:c>
      <x:c r="D33" s="51" t="str">
        <x:v>OK</x:v>
      </x:c>
      <x:c r="E33" s="51" t="n">
        <x:v>200</x:v>
      </x:c>
      <x:c r="F33" s="54" t="str">
        <x:v>https://www.tcd.ie/courses/postgraduate/courses/environmental-sciences-msc--pgraddip/</x:v>
      </x:c>
      <x:c r="G33" s="54" t="str">
        <x:v>https://www.tcd.ie/courses/postgraduate/courses/environmental-sciences-msc--pgraddip/</x:v>
      </x:c>
      <x:c r="H33" s="51" t="str">
        <x:v>Environmental Sciences (M.Sc. / P.Grad.Dip.) - Courses | Trinity College Dublin</x:v>
      </x:c>
      <x:c r="I33" s="51" t="str">
        <x:v>Official page responded successfully.</x:v>
      </x:c>
    </x:row>
    <x:row r="34" ht="42" customHeight="1">
      <x:c r="A34" s="57" t="n">
        <x:v>30</x:v>
      </x:c>
      <x:c r="B34" s="21" t="str">
        <x:v>University of Pennsylvania</x:v>
      </x:c>
      <x:c r="C34" s="21" t="str">
        <x:v>Master of Environmental Studies</x:v>
      </x:c>
      <x:c r="D34" s="21" t="str">
        <x:v>OK</x:v>
      </x:c>
      <x:c r="E34" s="21" t="n">
        <x:v>200</x:v>
      </x:c>
      <x:c r="F34" s="53" t="str">
        <x:v>https://www.lps.upenn.edu/degree-programs/mes</x:v>
      </x:c>
      <x:c r="G34" s="53" t="str">
        <x:v>https://www.lps.upenn.edu/degree-programs/mes</x:v>
      </x:c>
      <x:c r="H34" s="21" t="str">
        <x:v>Master of Environmental Studies | Penn LPS</x:v>
      </x:c>
      <x:c r="I34" s="21" t="str">
        <x:v>Official page responded successfully.</x:v>
      </x:c>
    </x:row>
    <x:row r="35" ht="42" customHeight="1">
      <x:c r="A35" s="58" t="n">
        <x:v>49</x:v>
      </x:c>
      <x:c r="B35" s="51" t="str">
        <x:v>University of Exeter</x:v>
      </x:c>
      <x:c r="C35" s="51" t="str">
        <x:v>MSc Global Sustainability Solutions</x:v>
      </x:c>
      <x:c r="D35" s="51" t="str">
        <x:v>OK</x:v>
      </x:c>
      <x:c r="E35" s="51" t="n">
        <x:v>200</x:v>
      </x:c>
      <x:c r="F35" s="54" t="str">
        <x:v>https://www.exeter.ac.uk/masters-degrees/msc-global-sustainability-solutions/</x:v>
      </x:c>
      <x:c r="G35" s="54" t="str">
        <x:v>https://www.exeter.ac.uk/masters-degrees/msc-global-sustainability-solutions/</x:v>
      </x:c>
      <x:c r="H35" s="51" t="str">
        <x:v>MSc Global Sustainability Solutions | Sustainability Masters | University of Exeter</x:v>
      </x:c>
      <x:c r="I35" s="51" t="str">
        <x:v>Official page responded successfully.</x:v>
      </x:c>
    </x:row>
    <x:row r="36" ht="42" customHeight="1">
      <x:c r="A36" s="57" t="n">
        <x:v>52</x:v>
      </x:c>
      <x:c r="B36" s="21" t="str">
        <x:v>Griffith University</x:v>
      </x:c>
      <x:c r="C36" s="21" t="str">
        <x:v>Master of Global Development - Sustainable Development major</x:v>
      </x:c>
      <x:c r="D36" s="21" t="str">
        <x:v>Blocked by site (403)</x:v>
      </x:c>
      <x:c r="E36" s="21" t="n">
        <x:v>403</x:v>
      </x:c>
      <x:c r="F36" s="53" t="str">
        <x:v>https://www.griffith.edu.au/study/degrees/master-of-global-development-5724</x:v>
      </x:c>
      <x:c r="G36" s="53" t="str">
        <x:v>https://www.griffith.edu.au/study/degrees/master-of-global-development-5724</x:v>
      </x:c>
      <x:c r="H36" s="21" t="str">
        <x:v>Just a moment...</x:v>
      </x:c>
      <x:c r="I36" s="21" t="str">
        <x:v>Official page blocks automated requests; verified through official-domain web search.</x:v>
      </x:c>
    </x:row>
    <x:row r="37" ht="42" customHeight="1">
      <x:c r="A37" s="58" t="n">
        <x:v>53</x:v>
      </x:c>
      <x:c r="B37" s="51" t="str">
        <x:v>Western Sydney University</x:v>
      </x:c>
      <x:c r="C37" s="51" t="str">
        <x:v>Master of Sustainable Tourism, Hospitality and Event Management</x:v>
      </x:c>
      <x:c r="D37" s="51" t="str">
        <x:v>OK</x:v>
      </x:c>
      <x:c r="E37" s="51" t="n">
        <x:v>200</x:v>
      </x:c>
      <x:c r="F37" s="54" t="str">
        <x:v>https://www.westernsydney.edu.au/future/study/courses/postgraduate/master-of-sustainable-tourism-hospitality-and-event-management</x:v>
      </x:c>
      <x:c r="G37" s="54" t="str">
        <x:v>https://www.westernsydney.edu.au/future/study/courses/postgraduate/master-of-sustainable-tourism-hospitality-and-event-management</x:v>
      </x:c>
      <x:c r="H37" s="51" t="str">
        <x:v>Master of Sustainable Tourism, Hospitality and Event Management | Western Sydney University</x:v>
      </x:c>
      <x:c r="I37" s="51" t="str">
        <x:v>Official page responded successfully.</x:v>
      </x:c>
    </x:row>
    <x:row r="38" ht="42" customHeight="1">
      <x:c r="A38" s="57" t="n">
        <x:v>54</x:v>
      </x:c>
      <x:c r="B38" s="21" t="str">
        <x:v>Queen's University</x:v>
      </x:c>
      <x:c r="C38" s="21" t="str">
        <x:v>Master of Environmental Studies</x:v>
      </x:c>
      <x:c r="D38" s="21" t="str">
        <x:v>OK</x:v>
      </x:c>
      <x:c r="E38" s="21" t="n">
        <x:v>200</x:v>
      </x:c>
      <x:c r="F38" s="53" t="str">
        <x:v>https://www.queensu.ca/ensc/graduate/programs-overview</x:v>
      </x:c>
      <x:c r="G38" s="53" t="str">
        <x:v>https://www.queensu.ca/ensc/graduate/programs-overview</x:v>
      </x:c>
      <x:c r="H38" s="21" t="str">
        <x:v>Programs Overview | School of Environmental Studies</x:v>
      </x:c>
      <x:c r="I38" s="21" t="str">
        <x:v>Official page responded successfully.</x:v>
      </x:c>
    </x:row>
    <x:row r="39" ht="42" customHeight="1">
      <x:c r="A39" s="58" t="n">
        <x:v>55</x:v>
      </x:c>
      <x:c r="B39" s="51" t="str">
        <x:v>Universiti Sains Malaysia</x:v>
      </x:c>
      <x:c r="C39" s="51" t="str">
        <x:v>Master in Sustainable Development Practice</x:v>
      </x:c>
      <x:c r="D39" s="51" t="str">
        <x:v>OK</x:v>
      </x:c>
      <x:c r="E39" s="51" t="n">
        <x:v>200</x:v>
      </x:c>
      <x:c r="F39" s="54" t="str">
        <x:v>https://cgss.usm.my/programmes/postgraduate/coursework/masters-in-sustainable-development-practice-msdp</x:v>
      </x:c>
      <x:c r="G39" s="54" t="str">
        <x:v>https://cgss.usm.my/programmes/postgraduate/coursework/masters-in-sustainable-development-practice-msdp</x:v>
      </x:c>
      <x:c r="H39" s="51" t="str">
        <x:v>Masters in Sustainable Development Practice (MSDP)</x:v>
      </x:c>
      <x:c r="I39" s="51" t="str">
        <x:v>Official page responded successfully.</x:v>
      </x:c>
    </x:row>
    <x:row r="40" ht="42" customHeight="1">
      <x:c r="A40" s="57" t="n">
        <x:v>56</x:v>
      </x:c>
      <x:c r="B40" s="21" t="str">
        <x:v>Hanyang University</x:v>
      </x:c>
      <x:c r="C40" s="21" t="str">
        <x:v>Master's majors in Global Climate and Environmental Studies</x:v>
      </x:c>
      <x:c r="D40" s="21" t="str">
        <x:v>OK</x:v>
      </x:c>
      <x:c r="E40" s="21" t="n">
        <x:v>200</x:v>
      </x:c>
      <x:c r="F40" s="53" t="str">
        <x:v>https://hygce.hanyang.ac.kr/-eng-1</x:v>
      </x:c>
      <x:c r="G40" s="53" t="str">
        <x:v>https://hygce.hanyang.ac.kr/-eng-1</x:v>
      </x:c>
      <x:c r="H40" s="21" t="str">
        <x:v>영문(ENG) - 글로벌기후환경학과 HYGCE - 한양대학교</x:v>
      </x:c>
      <x:c r="I40" s="21" t="str">
        <x:v>Official page responded successfully.</x:v>
      </x:c>
    </x:row>
    <x:row r="41" ht="42" customHeight="1">
      <x:c r="A41" s="58" t="n">
        <x:v>57</x:v>
      </x:c>
      <x:c r="B41" s="51" t="str">
        <x:v>Hokkaido University</x:v>
      </x:c>
      <x:c r="C41" s="51" t="str">
        <x:v>Master's Program, Graduate School of Environmental Science</x:v>
      </x:c>
      <x:c r="D41" s="51" t="str">
        <x:v>OK</x:v>
      </x:c>
      <x:c r="E41" s="51" t="n">
        <x:v>200</x:v>
      </x:c>
      <x:c r="F41" s="54" t="str">
        <x:v>https://www.ees.hokudai.ac.jp/?lang=en</x:v>
      </x:c>
      <x:c r="G41" s="54" t="str">
        <x:v>https://www.ees.hokudai.ac.jp/?lang=en</x:v>
      </x:c>
      <x:c r="H41" s="51" t="str">
        <x:v>Graduate School of Environmental Science</x:v>
      </x:c>
      <x:c r="I41" s="51" t="str">
        <x:v>Official page responded successfully.</x:v>
      </x:c>
    </x:row>
    <x:row r="42" ht="42" customHeight="1">
      <x:c r="A42" s="57" t="n">
        <x:v>58</x:v>
      </x:c>
      <x:c r="B42" s="21" t="str">
        <x:v>Universiti Kebangsaan Malaysia</x:v>
      </x:c>
      <x:c r="C42" s="21" t="str">
        <x:v>Master of Science / Master of Arts in Environment and Development</x:v>
      </x:c>
      <x:c r="D42" s="21" t="str">
        <x:v>OK</x:v>
      </x:c>
      <x:c r="E42" s="21" t="n">
        <x:v>200</x:v>
      </x:c>
      <x:c r="F42" s="53" t="str">
        <x:v>https://www.ukm.my/lestari/program-siswazah/</x:v>
      </x:c>
      <x:c r="G42" s="53" t="str">
        <x:v>https://www.ukm.my/lestari/program-siswazah/</x:v>
      </x:c>
      <x:c r="H42" s="21" t="str">
        <x:v>Program &amp;#8211; LESTARI UKM</x:v>
      </x:c>
      <x:c r="I42" s="21" t="str">
        <x:v>Official page responded successfully.</x:v>
      </x:c>
    </x:row>
    <x:row r="43" ht="42" customHeight="1">
      <x:c r="A43" s="58" t="n">
        <x:v>59</x:v>
      </x:c>
      <x:c r="B43" s="51" t="str">
        <x:v>Institut Agro</x:v>
      </x:c>
      <x:c r="C43" s="51" t="str">
        <x:v>Master's pathway: Transitions in Environmental and Agrifood Systems Management</x:v>
      </x:c>
      <x:c r="D43" s="51" t="str">
        <x:v>OK</x:v>
      </x:c>
      <x:c r="E43" s="51" t="n">
        <x:v>200</x:v>
      </x:c>
      <x:c r="F43" s="54" t="str">
        <x:v>https://www.institut-agro.fr/fr/nos-formations</x:v>
      </x:c>
      <x:c r="G43" s="54" t="str">
        <x:v>https://www.institut-agro.fr/fr/nos-formations</x:v>
      </x:c>
      <x:c r="H43" s="51" t="str">
        <x:v>Nos formations | L&amp;#039;Institut Agro</x:v>
      </x:c>
      <x:c r="I43" s="51" t="str">
        <x:v>Official page responded successfully.</x:v>
      </x:c>
    </x:row>
    <x:row r="44" ht="42" customHeight="1">
      <x:c r="A44" s="57" t="n">
        <x:v>60</x:v>
      </x:c>
      <x:c r="B44" s="21" t="str">
        <x:v>National Taiwan University (NTU)</x:v>
      </x:c>
      <x:c r="C44" s="21" t="str">
        <x:v>Master's Program in Biodiversity</x:v>
      </x:c>
      <x:c r="D44" s="21" t="str">
        <x:v>OK</x:v>
      </x:c>
      <x:c r="E44" s="21" t="n">
        <x:v>200</x:v>
      </x:c>
      <x:c r="F44" s="53" t="str">
        <x:v>https://mpb.ntu.edu.tw/about/overview</x:v>
      </x:c>
      <x:c r="G44" s="53" t="str">
        <x:v>https://mpb.ntu.edu.tw/about/overview</x:v>
      </x:c>
      <x:c r="H44" s="21" t="str">
        <x:v>Overview - Master&amp;#x27;s Program in Biodiversity, NTU 臺大生物多樣性國際碩士學位學程</x:v>
      </x:c>
      <x:c r="I44" s="21" t="str">
        <x:v>Official page responded successfully.</x:v>
      </x:c>
    </x:row>
    <x:row r="45" ht="42" customHeight="1">
      <x:c r="A45" s="58" t="n">
        <x:v>61</x:v>
      </x:c>
      <x:c r="B45" s="51" t="str">
        <x:v>University of Alberta</x:v>
      </x:c>
      <x:c r="C45" s="51" t="str">
        <x:v>Master of Sustainability</x:v>
      </x:c>
      <x:c r="D45" s="51" t="str">
        <x:v>OK</x:v>
      </x:c>
      <x:c r="E45" s="51" t="n">
        <x:v>200</x:v>
      </x:c>
      <x:c r="F45" s="54" t="str">
        <x:v>https://apps.ualberta.ca/catalogue/course/sust</x:v>
      </x:c>
      <x:c r="G45" s="54" t="str">
        <x:v>https://apps.ualberta.ca/catalogue/course/sust</x:v>
      </x:c>
      <x:c r="H45" s="51" t="str">
        <x:v>SUST - Sustainability - Catalogue@UAlberta.ca</x:v>
      </x:c>
      <x:c r="I45" s="51" t="str">
        <x:v>Official page responded successfully.</x:v>
      </x:c>
    </x:row>
    <x:row r="46" ht="42" customHeight="1">
      <x:c r="A46" s="57" t="n">
        <x:v>62</x:v>
      </x:c>
      <x:c r="B46" s="21" t="str">
        <x:v>Korea University</x:v>
      </x:c>
      <x:c r="C46" s="21" t="str">
        <x:v>Master's in Climatic Environment</x:v>
      </x:c>
      <x:c r="D46" s="21" t="str">
        <x:v>OK</x:v>
      </x:c>
      <x:c r="E46" s="21" t="n">
        <x:v>200</x:v>
      </x:c>
      <x:c r="F46" s="53" t="str">
        <x:v>https://gsles.korea.edu/gsles_en/master/subject07.do</x:v>
      </x:c>
      <x:c r="G46" s="53" t="str">
        <x:v>https://gsles.korea.edu/gsles_en/master/subject07.do</x:v>
      </x:c>
      <x:c r="H46" s="21" t="str">
        <x:v>Korea University Graduate School of Life and Environmental Science | Master ’ s Program | Department</x:v>
      </x:c>
      <x:c r="I46" s="21" t="str">
        <x:v>Official page responded successfully.</x:v>
      </x:c>
    </x:row>
    <x:row r="47" ht="42" customHeight="1">
      <x:c r="A47" s="58" t="n">
        <x:v>63</x:v>
      </x:c>
      <x:c r="B47" s="51" t="str">
        <x:v>Universitas Airlangga</x:v>
      </x:c>
      <x:c r="C47" s="51" t="str">
        <x:v>Master of Environmental Health</x:v>
      </x:c>
      <x:c r="D47" s="51" t="str">
        <x:v>Automated fetch failed</x:v>
      </x:c>
      <x:c r="E47" s="51"/>
      <x:c r="F47" s="54" t="str">
        <x:v>https://s2kesling.fkm.unair.ac.id/</x:v>
      </x:c>
      <x:c r="G47" s="54"/>
      <x:c r="H47" s="51"/>
      <x:c r="I47" s="51" t="str">
        <x:v>Automated fetch failed or timed out; verified through official-domain web search.</x:v>
      </x:c>
    </x:row>
    <x:row r="48" ht="42" customHeight="1">
      <x:c r="A48" s="57" t="n">
        <x:v>64</x:v>
      </x:c>
      <x:c r="B48" s="21" t="str">
        <x:v>Pusan National University</x:v>
      </x:c>
      <x:c r="C48" s="21" t="str">
        <x:v>Master's programs, Graduate School of Environment</x:v>
      </x:c>
      <x:c r="D48" s="21" t="str">
        <x:v>OK</x:v>
      </x:c>
      <x:c r="E48" s="21" t="n">
        <x:v>200</x:v>
      </x:c>
      <x:c r="F48" s="53" t="str">
        <x:v>https://www.pusan.ac.kr/eng/CMS/OrganizationMgr/SpecialGraduateInfo.do?gc_code=280000&amp;gc_parent_code=NONE-009&amp;mCode=MN021</x:v>
      </x:c>
      <x:c r="G48" s="53" t="str">
        <x:v>https://www.pusan.ac.kr/eng/CMS/OrganizationMgr/SpecialGraduateInfo.do?gc_code=280000&amp;gc_parent_code=NONE-009&amp;mCode=MN021</x:v>
      </x:c>
      <x:c r="H48" s="21" t="str">
        <x:v>Professional &amp; Special Graduate &gt; Academics | Pusan National University</x:v>
      </x:c>
      <x:c r="I48" s="21" t="str">
        <x:v>Official page responded successfully.</x:v>
      </x:c>
    </x:row>
    <x:row r="49" ht="42" customHeight="1">
      <x:c r="A49" s="58" t="n">
        <x:v>65</x:v>
      </x:c>
      <x:c r="B49" s="51" t="str">
        <x:v>University of Tasmania</x:v>
      </x:c>
      <x:c r="C49" s="51" t="str">
        <x:v>Master of Environmental Geospatial Science</x:v>
      </x:c>
      <x:c r="D49" s="51" t="str">
        <x:v>Blocked by site (403)</x:v>
      </x:c>
      <x:c r="E49" s="51" t="n">
        <x:v>403</x:v>
      </x:c>
      <x:c r="F49" s="54" t="str">
        <x:v>https://www.utas.edu.au/courses/cse/courses/p7b-master-of-environmental-geospatial-science</x:v>
      </x:c>
      <x:c r="G49" s="54" t="str">
        <x:v>https://www.utas.edu.au/courses/cse/courses/p7b-master-of-environmental-geospatial-science</x:v>
      </x:c>
      <x:c r="H49" s="51" t="str">
        <x:v>Just a moment...</x:v>
      </x:c>
      <x:c r="I49" s="51" t="str">
        <x:v>Official page blocks automated requests; verified through official-domain web search.</x:v>
      </x:c>
    </x:row>
    <x:row r="50" ht="42" customHeight="1">
      <x:c r="A50" s="57" t="n">
        <x:v>66</x:v>
      </x:c>
      <x:c r="B50" s="21" t="str">
        <x:v>McMaster University</x:v>
      </x:c>
      <x:c r="C50" s="21" t="str">
        <x:v>No directly qualifying sustainability/environment master's confirmed</x:v>
      </x:c>
      <x:c r="D50" s="21" t="str">
        <x:v>OK</x:v>
      </x:c>
      <x:c r="E50" s="21" t="n">
        <x:v>200</x:v>
      </x:c>
      <x:c r="F50" s="53" t="str">
        <x:v>https://continuing.mcmaster.ca/programs/business/sustainability/</x:v>
      </x:c>
      <x:c r="G50" s="53" t="str">
        <x:v>https://continuing.mcmaster.ca/programs/business/sustainability/</x:v>
      </x:c>
      <x:c r="H50" s="21" t="str">
        <x:v>Sustainability Program - McMaster McMaster Continuing Education</x:v>
      </x:c>
      <x:c r="I50" s="21" t="str">
        <x:v>Official page responded successfully.</x:v>
      </x:c>
    </x:row>
    <x:row r="51" ht="42" customHeight="1">
      <x:c r="A51" s="58" t="n">
        <x:v>67</x:v>
      </x:c>
      <x:c r="B51" s="51" t="str">
        <x:v>Chulalongkorn University</x:v>
      </x:c>
      <x:c r="C51" s="51" t="str">
        <x:v>MA Environment, Development and Sustainability</x:v>
      </x:c>
      <x:c r="D51" s="51" t="str">
        <x:v>Automated fetch failed</x:v>
      </x:c>
      <x:c r="E51" s="51"/>
      <x:c r="F51" s="54" t="str">
        <x:v>https://www.eds.grad.chula.ac.th/academics/degree-program/</x:v>
      </x:c>
      <x:c r="G51" s="54"/>
      <x:c r="H51" s="51"/>
      <x:c r="I51" s="51" t="str">
        <x:v>Automated fetch failed or timed out; verified through official-domain web search.</x:v>
      </x:c>
    </x:row>
    <x:row r="52" ht="42" customHeight="1">
      <x:c r="A52" s="57" t="n">
        <x:v>68</x:v>
      </x:c>
      <x:c r="B52" s="21" t="str">
        <x:v>Kyungpook National University (KNU)</x:v>
      </x:c>
      <x:c r="C52" s="21" t="str">
        <x:v>Graduate major in Environmental and Energy Engineering</x:v>
      </x:c>
      <x:c r="D52" s="21" t="str">
        <x:v>OK</x:v>
      </x:c>
      <x:c r="E52" s="21" t="n">
        <x:v>200</x:v>
      </x:c>
      <x:c r="F52" s="53" t="str">
        <x:v>https://en.knu.ac.kr/admission/foreign02_inc.htm</x:v>
      </x:c>
      <x:c r="G52" s="53" t="str">
        <x:v>https://en.knu.ac.kr/admission/foreign02_inc.htm</x:v>
      </x:c>
      <x:c r="H52" s="21" t="str">
        <x:v>Kyungpook National University</x:v>
      </x:c>
      <x:c r="I52" s="21" t="str">
        <x:v>Official page responded successfully.</x:v>
      </x:c>
    </x:row>
    <x:row r="53" ht="42" customHeight="1">
      <x:c r="A53" s="58" t="n">
        <x:v>69</x:v>
      </x:c>
      <x:c r="B53" s="51" t="str">
        <x:v>The Hong Kong University of Science and Technology</x:v>
      </x:c>
      <x:c r="C53" s="51" t="str">
        <x:v>MSc in Environmental Engineering and Management</x:v>
      </x:c>
      <x:c r="D53" s="51" t="str">
        <x:v>Automated fetch failed</x:v>
      </x:c>
      <x:c r="E53" s="51"/>
      <x:c r="F53" s="54" t="str">
        <x:v>https://cee.hkust.edu.hk/msc-environmental-engineering-and-management</x:v>
      </x:c>
      <x:c r="G53" s="54"/>
      <x:c r="H53" s="51"/>
      <x:c r="I53" s="51" t="str">
        <x:v>Automated fetch failed or timed out; verified through official-domain web search.</x:v>
      </x:c>
    </x:row>
    <x:row r="54" ht="42" customHeight="1">
      <x:c r="A54" s="57" t="n">
        <x:v>70</x:v>
      </x:c>
      <x:c r="B54" s="21" t="str">
        <x:v>Lovely Professional University</x:v>
      </x:c>
      <x:c r="C54" s="21" t="str">
        <x:v>MSc Environmental Sciences</x:v>
      </x:c>
      <x:c r="D54" s="21" t="str">
        <x:v>OK</x:v>
      </x:c>
      <x:c r="E54" s="21" t="n">
        <x:v>200</x:v>
      </x:c>
      <x:c r="F54" s="53" t="str">
        <x:v>https://www.lpu.in/international/programmes/msc-environmental-sciences</x:v>
      </x:c>
      <x:c r="G54" s="53" t="str">
        <x:v>https://www.lpu.in/international/programmes/msc-environmental-sciences</x:v>
      </x:c>
      <x:c r="H54" s="21" t="str">
        <x:v>Programmes Search - LPU</x:v>
      </x:c>
      <x:c r="I54" s="21" t="str">
        <x:v>Official page responded successfully.</x:v>
      </x:c>
    </x:row>
    <x:row r="55" ht="42" customHeight="1">
      <x:c r="A55" s="58" t="n">
        <x:v>71</x:v>
      </x:c>
      <x:c r="B55" s="51" t="str">
        <x:v>University of Malaya</x:v>
      </x:c>
      <x:c r="C55" s="51" t="str">
        <x:v>Master of Sustainability Science</x:v>
      </x:c>
      <x:c r="D55" s="51" t="str">
        <x:v>OK</x:v>
      </x:c>
      <x:c r="E55" s="51" t="n">
        <x:v>200</x:v>
      </x:c>
      <x:c r="F55" s="54" t="str">
        <x:v>https://sts.um.edu.my/master-of-sustainability-science.html</x:v>
      </x:c>
      <x:c r="G55" s="54" t="str">
        <x:v>https://sts.um.edu.my/master-of-sustainability-science.html</x:v>
      </x:c>
      <x:c r="H55" s="51" t="str">
        <x:v>STS - Universiti Malaya</x:v>
      </x:c>
      <x:c r="I55" s="51" t="str">
        <x:v>Official page responded successfully.</x:v>
      </x:c>
    </x:row>
    <x:row r="56" ht="42" customHeight="1">
      <x:c r="A56" s="57" t="n">
        <x:v>72</x:v>
      </x:c>
      <x:c r="B56" s="21" t="str">
        <x:v>Aalborg University</x:v>
      </x:c>
      <x:c r="C56" s="21" t="str">
        <x:v>MSc Engineering in Sustainable Cities</x:v>
      </x:c>
      <x:c r="D56" s="21" t="str">
        <x:v>OK</x:v>
      </x:c>
      <x:c r="E56" s="21" t="n">
        <x:v>200</x:v>
      </x:c>
      <x:c r="F56" s="53" t="str">
        <x:v>https://www.en.aau.dk/education/master/sustainable-cities</x:v>
      </x:c>
      <x:c r="G56" s="53" t="str">
        <x:v>https://www.en.aau.dk/education/master/sustainable-cities</x:v>
      </x:c>
      <x:c r="H56" s="21" t="str">
        <x:v>Sustainable Cities - Master degree - Aalborg University</x:v>
      </x:c>
      <x:c r="I56" s="21" t="str">
        <x:v>Official page responded successfully.</x:v>
      </x:c>
    </x:row>
    <x:row r="57" ht="42" customHeight="1">
      <x:c r="A57" s="58" t="n">
        <x:v>73</x:v>
      </x:c>
      <x:c r="B57" s="51" t="str">
        <x:v>Kyung Hee University</x:v>
      </x:c>
      <x:c r="C57" s="51" t="str">
        <x:v>Graduate pathway in Environmental Science and Engineering</x:v>
      </x:c>
      <x:c r="D57" s="51" t="str">
        <x:v>OK</x:v>
      </x:c>
      <x:c r="E57" s="51" t="n">
        <x:v>200</x:v>
      </x:c>
      <x:c r="F57" s="54" t="str">
        <x:v>https://eng.khu.ac.kr/eng_eng/user/contents/view.do?menuNo=17200012</x:v>
      </x:c>
      <x:c r="G57" s="54" t="str">
        <x:v>https://eng.khu.ac.kr/eng_eng/user/contents/view.do?menuNo=17200012</x:v>
      </x:c>
      <x:c r="H57" s="51" t="str">
        <x:v>경희대학교</x:v>
      </x:c>
      <x:c r="I57" s="51" t="str">
        <x:v>Official page responded successfully.</x:v>
      </x:c>
    </x:row>
    <x:row r="58" ht="42" customHeight="1">
      <x:c r="A58" s="57" t="n">
        <x:v>74</x:v>
      </x:c>
      <x:c r="B58" s="21" t="str">
        <x:v>University of Victoria</x:v>
      </x:c>
      <x:c r="C58" s="21" t="str">
        <x:v>MA/MSc Environmental Studies</x:v>
      </x:c>
      <x:c r="D58" s="21" t="str">
        <x:v>OK</x:v>
      </x:c>
      <x:c r="E58" s="21" t="n">
        <x:v>200</x:v>
      </x:c>
      <x:c r="F58" s="53" t="str">
        <x:v>https://www.uvic.ca/socialsciences/environmental/programs/graduate/index.php</x:v>
      </x:c>
      <x:c r="G58" s="53" t="str">
        <x:v>https://www.uvic.ca/socialsciences/environmental/programs/graduate/index.php</x:v>
      </x:c>
      <x:c r="H58" s="21" t="str">
        <x:v>Master's and PhD programs - ENVI - UVic</x:v>
      </x:c>
      <x:c r="I58" s="21" t="str">
        <x:v>Official page responded successfully.</x:v>
      </x:c>
    </x:row>
    <x:row r="59" ht="42" customHeight="1">
      <x:c r="A59" s="58" t="n">
        <x:v>76</x:v>
      </x:c>
      <x:c r="B59" s="51" t="str">
        <x:v>Central Queensland University</x:v>
      </x:c>
      <x:c r="C59" s="51" t="str">
        <x:v>Master of Sustainable Development</x:v>
      </x:c>
      <x:c r="D59" s="51" t="str">
        <x:v>OK</x:v>
      </x:c>
      <x:c r="E59" s="51" t="n">
        <x:v>200</x:v>
      </x:c>
      <x:c r="F59" s="54" t="str">
        <x:v>https://handbook.cqu.edu.au/he/courses/view/CM82/HT1/2025</x:v>
      </x:c>
      <x:c r="G59" s="54" t="str">
        <x:v>https://handbook.cqu.edu.au/he/courses/view/CM82/HT1/2025</x:v>
      </x:c>
      <x:c r="H59" s="51" t="str">
        <x:v>CQUni Handbook</x:v>
      </x:c>
      <x:c r="I59" s="51" t="str">
        <x:v>Official page responded successfully.</x:v>
      </x:c>
    </x:row>
    <x:row r="60" ht="42" customHeight="1">
      <x:c r="A60" s="57" t="n">
        <x:v>77</x:v>
      </x:c>
      <x:c r="B60" s="21" t="str">
        <x:v>University of Newcastle</x:v>
      </x:c>
      <x:c r="C60" s="21" t="str">
        <x:v>Master of Environmental Management and Sustainability</x:v>
      </x:c>
      <x:c r="D60" s="21" t="str">
        <x:v>Blocked by site (403)</x:v>
      </x:c>
      <x:c r="E60" s="21" t="n">
        <x:v>403</x:v>
      </x:c>
      <x:c r="F60" s="53" t="str">
        <x:v>https://www.newcastle.edu.au/degrees/master-environmental-management-sustainability</x:v>
      </x:c>
      <x:c r="G60" s="53" t="str">
        <x:v>https://www.newcastle.edu.au/degrees/master-environmental-management-sustainability</x:v>
      </x:c>
      <x:c r="H60" s="21" t="str">
        <x:v>Just a moment...</x:v>
      </x:c>
      <x:c r="I60" s="21" t="str">
        <x:v>Official page blocks automated requests; verified through official-domain web search.</x:v>
      </x:c>
    </x:row>
    <x:row r="61" ht="42" customHeight="1">
      <x:c r="A61" s="58" t="n">
        <x:v>78</x:v>
      </x:c>
      <x:c r="B61" s="51" t="str">
        <x:v>Northumbria University</x:v>
      </x:c>
      <x:c r="C61" s="51" t="str">
        <x:v>MSc Disaster Management and Sustainable Development</x:v>
      </x:c>
      <x:c r="D61" s="51" t="str">
        <x:v>OK</x:v>
      </x:c>
      <x:c r="E61" s="51" t="n">
        <x:v>200</x:v>
      </x:c>
      <x:c r="F61" s="54" t="str">
        <x:v>https://www.northumbria.ac.uk/study-at-northumbria/courses/disaster-management-and-sustainable-development-with-advanced-practice-msc-ft-dtsdds6/</x:v>
      </x:c>
      <x:c r="G61" s="54" t="str">
        <x:v>https://www.northumbria.ac.uk/study-at-northumbria/courses/disaster-management-and-sustainable-development-with-advanced-practice-msc-ft-dtsdds6/</x:v>
      </x:c>
      <x:c r="H61" s="51" t="str">
        <x:v>Disaster Management Masters | MSc Sustainable Development | Northumbria</x:v>
      </x:c>
      <x:c r="I61" s="51" t="str">
        <x:v>Official page responded successfully.</x:v>
      </x:c>
    </x:row>
    <x:row r="62" ht="42" customHeight="1">
      <x:c r="A62" s="57" t="n">
        <x:v>79</x:v>
      </x:c>
      <x:c r="B62" s="21" t="str">
        <x:v>University of Indonesia</x:v>
      </x:c>
      <x:c r="C62" s="21" t="str">
        <x:v>Master of Environmental Science</x:v>
      </x:c>
      <x:c r="D62" s="21" t="str">
        <x:v>OK</x:v>
      </x:c>
      <x:c r="E62" s="21" t="n">
        <x:v>200</x:v>
      </x:c>
      <x:c r="F62" s="53" t="str">
        <x:v>https://sil.ui.ac.id/en/master-of-environmental-science/</x:v>
      </x:c>
      <x:c r="G62" s="53" t="str">
        <x:v>https://sil.ui.ac.id/en/master-of-environmental-science/</x:v>
      </x:c>
      <x:c r="H62" s="21" t="str">
        <x:v>Master of Environmental Science &amp;#8211; SIL UI | Sekolah Ilmu Lingkungan Universitas Indonesia</x:v>
      </x:c>
      <x:c r="I62" s="21" t="str">
        <x:v>Official page responded successfully.</x:v>
      </x:c>
    </x:row>
    <x:row r="63" ht="42" customHeight="1">
      <x:c r="A63" s="58" t="n">
        <x:v>80</x:v>
      </x:c>
      <x:c r="B63" s="51" t="str">
        <x:v>An-Najah National University</x:v>
      </x:c>
      <x:c r="C63" s="51" t="str">
        <x:v>MSc Environmental Sciences</x:v>
      </x:c>
      <x:c r="D63" s="51" t="str">
        <x:v>OK</x:v>
      </x:c>
      <x:c r="E63" s="51" t="n">
        <x:v>200</x:v>
      </x:c>
      <x:c r="F63" s="54" t="str">
        <x:v>https://www.najah.edu/en/academic/postgraduate-programs/program/environmental-sciences/info-card/</x:v>
      </x:c>
      <x:c r="G63" s="54" t="str">
        <x:v>https://www.najah.edu/en/academic/postgraduate-programs/program/environmental-sciences/info-card/</x:v>
      </x:c>
      <x:c r="H63" s="51" t="str">
        <x:v>An-Najah National University : Graduate Programs - Environmental Sciences - Info Card</x:v>
      </x:c>
      <x:c r="I63" s="51" t="str">
        <x:v>Official page responded successfully.</x:v>
      </x:c>
    </x:row>
    <x:row r="64" ht="42" customHeight="1">
      <x:c r="A64" s="59" t="n">
        <x:v>81</x:v>
      </x:c>
      <x:c r="B64" s="22" t="str">
        <x:v>Arizona State University (Tempe)</x:v>
      </x:c>
      <x:c r="C64" s="22" t="str">
        <x:v>Master of Sustainability Solutions</x:v>
      </x:c>
      <x:c r="D64" s="22" t="str">
        <x:v>OK</x:v>
      </x:c>
      <x:c r="E64" s="22" t="n">
        <x:v>200</x:v>
      </x:c>
      <x:c r="F64" s="55" t="str">
        <x:v>https://degrees.apps.asu.edu/masters-phd/major/ASU00/SUSUSOMSUS/sustainability-solutions-msus?init=false&amp;nopassive=true</x:v>
      </x:c>
      <x:c r="G64" s="55" t="str">
        <x:v>https://degrees.apps.asu.edu/masters-phd/major/ASU00/SUSUSOMSUS/sustainability-solutions-msus?init=false&amp;nopassive=true</x:v>
      </x:c>
      <x:c r="H64" s="22" t="str">
        <x:v>Sustainability Solutions, MSUS - MSUS | Degree Details | ASU Degree Search</x:v>
      </x:c>
      <x:c r="I64" s="22" t="str">
        <x:v>Official page responded successfully.</x:v>
      </x:c>
    </x:row>
  </x:sheetData>
  <x:mergeCells>
    <x:mergeCell ref="A1:I1"/>
    <x:mergeCell ref="A2:I2"/>
  </x:mergeCells>
  <x:pageMargins left="0.7" right="0.7" top="0.75" bottom="0.75" header="0.3" footer="0.3"/>
  <x:tableParts count="1">
    <x:tablePart xmlns:r="http://schemas.openxmlformats.org/officeDocument/2006/relationships" r:id="R575bbf25da4b4d1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35" hidden="0" customWidth="1"/>
    <x:col min="4" max="4" width="55" hidden="0" customWidth="1"/>
    <x:col min="5" max="5" width="18" hidden="0" customWidth="1"/>
    <x:col min="6" max="6" width="50" hidden="0" customWidth="1"/>
  </x:cols>
  <x:sheetData>
    <x:row r="1" ht="28" customHeight="1">
      <x:c r="A1" s="3" t="str">
        <x:v>Data Dictionary - 60-Program Workbook</x:v>
      </x:c>
      <x:c r="B1" s="3"/>
      <x:c r="C1" s="3"/>
      <x:c r="D1" s="3"/>
      <x:c r="E1" s="3"/>
      <x:c r="F1" s="3"/>
    </x:row>
    <x:row r="2" ht="34" customHeight="1">
      <x:c r="A2" s="7" t="str">
        <x:v>Definitions for selection, ranking, program, and external-source fields. Selection Cohort and Candidate Source are intentionally distinct.</x:v>
      </x:c>
      <x:c r="B2" s="7"/>
      <x:c r="C2" s="7"/>
      <x:c r="D2" s="7"/>
      <x:c r="E2" s="7"/>
      <x:c r="F2" s="7"/>
    </x:row>
    <x:row r="4" ht="38" customHeight="1">
      <x:c r="A4" s="47" t="str">
        <x:v>Sheet</x:v>
      </x:c>
      <x:c r="B4" s="48" t="str">
        <x:v>Field</x:v>
      </x:c>
      <x:c r="C4" s="48" t="str">
        <x:v>Allowed Values / Example</x:v>
      </x:c>
      <x:c r="D4" s="48" t="str">
        <x:v>Definition</x:v>
      </x:c>
      <x:c r="E4" s="48" t="str">
        <x:v>Type</x:v>
      </x:c>
      <x:c r="F4" s="49" t="str">
        <x:v>Analysis Note</x:v>
      </x:c>
    </x:row>
    <x:row r="5" ht="38" customHeight="1">
      <x:c r="A5" s="50" t="str">
        <x:v>Selection Audit</x:v>
      </x:c>
      <x:c r="B5" s="50" t="str">
        <x:v>Selection Cohort</x:v>
      </x:c>
      <x:c r="C5" s="50" t="str">
        <x:v>QS / THE</x:v>
      </x:c>
      <x:c r="D5" s="50" t="str">
        <x:v>The mutually exclusive cohort used to construct the 60-program sample.</x:v>
      </x:c>
      <x:c r="E5" s="50" t="str">
        <x:v>Controlled text</x:v>
      </x:c>
      <x:c r="F5" s="50" t="str">
        <x:v>Each cohort contains exactly 30 programs.</x:v>
      </x:c>
    </x:row>
    <x:row r="6" ht="38" customHeight="1">
      <x:c r="A6" s="21" t="str">
        <x:v>Selection Audit</x:v>
      </x:c>
      <x:c r="B6" s="21" t="str">
        <x:v>Cohort Position</x:v>
      </x:c>
      <x:c r="C6" s="21" t="str">
        <x:v>1-30</x:v>
      </x:c>
      <x:c r="D6" s="21" t="str">
        <x:v>Position after applying the documented cohort rule.</x:v>
      </x:c>
      <x:c r="E6" s="21" t="str">
        <x:v>Number</x:v>
      </x:c>
      <x:c r="F6" s="21" t="str">
        <x:v>This is not a new published rank.</x:v>
      </x:c>
    </x:row>
    <x:row r="7" ht="38" customHeight="1">
      <x:c r="A7" s="51" t="str">
        <x:v>Candidate Universities</x:v>
      </x:c>
      <x:c r="B7" s="51" t="str">
        <x:v>Candidate Source</x:v>
      </x:c>
      <x:c r="C7" s="51" t="str">
        <x:v>QS Sustainability / THE Impact / Both</x:v>
      </x:c>
      <x:c r="D7" s="51" t="str">
        <x:v>Which source top-50 cutoff originally contained the institution.</x:v>
      </x:c>
      <x:c r="E7" s="51" t="str">
        <x:v>Text</x:v>
      </x:c>
      <x:c r="F7" s="51" t="str">
        <x:v>Do not confuse source membership with Selection Cohort.</x:v>
      </x:c>
    </x:row>
    <x:row r="8" ht="38" customHeight="1">
      <x:c r="A8" s="21" t="str">
        <x:v>Candidate Universities</x:v>
      </x:c>
      <x:c r="B8" s="21" t="str">
        <x:v>QS Rank</x:v>
      </x:c>
      <x:c r="C8" s="21" t="str">
        <x:v>1, =7, etc.</x:v>
      </x:c>
      <x:c r="D8" s="21" t="str">
        <x:v>Published QS Sustainability rank string.</x:v>
      </x:c>
      <x:c r="E8" s="21" t="str">
        <x:v>Text</x:v>
      </x:c>
      <x:c r="F8" s="21" t="str">
        <x:v>Rank Number on QS sheet is numeric for cutoff checks.</x:v>
      </x:c>
    </x:row>
    <x:row r="9" ht="38" customHeight="1">
      <x:c r="A9" s="51" t="str">
        <x:v>Candidate Universities</x:v>
      </x:c>
      <x:c r="B9" s="51" t="str">
        <x:v>THE Rank</x:v>
      </x:c>
      <x:c r="C9" s="51" t="str">
        <x:v>1, =17, etc.</x:v>
      </x:c>
      <x:c r="D9" s="51" t="str">
        <x:v>Published THE Sustainability Impact rank string.</x:v>
      </x:c>
      <x:c r="E9" s="51" t="str">
        <x:v>Text</x:v>
      </x:c>
      <x:c r="F9" s="51" t="str">
        <x:v>Rank Number on THE sheet is numeric for cutoff checks.</x:v>
      </x:c>
    </x:row>
    <x:row r="10" ht="38" customHeight="1">
      <x:c r="A10" s="21" t="str">
        <x:v>Program Verification</x:v>
      </x:c>
      <x:c r="B10" s="21" t="str">
        <x:v>Match Type</x:v>
      </x:c>
      <x:c r="C10" s="21" t="str">
        <x:v>Direct / Major / Concentration / Research / Best-fit / Restricted / Joint degree / Specialization / Unresolved</x:v>
      </x:c>
      <x:c r="D10" s="21" t="str">
        <x:v>How directly the selected program matches a standalone sustainability/environment master's.</x:v>
      </x:c>
      <x:c r="E10" s="21" t="str">
        <x:v>Controlled text</x:v>
      </x:c>
      <x:c r="F10" s="21" t="str">
        <x:v>Filter before comparative analysis.</x:v>
      </x:c>
    </x:row>
    <x:row r="11" ht="38" customHeight="1">
      <x:c r="A11" s="51" t="str">
        <x:v>Program Verification</x:v>
      </x:c>
      <x:c r="B11" s="51" t="str">
        <x:v>Verification Status</x:v>
      </x:c>
      <x:c r="C11" s="51" t="str">
        <x:v>Confirmed / Manual review required</x:v>
      </x:c>
      <x:c r="D11" s="51" t="str">
        <x:v>Whether an official source confirms a qualifying path.</x:v>
      </x:c>
      <x:c r="E11" s="51" t="str">
        <x:v>Controlled text</x:v>
      </x:c>
      <x:c r="F11" s="51" t="str">
        <x:v>Manual-review rows should not be imputed.</x:v>
      </x:c>
    </x:row>
    <x:row r="12" ht="38" customHeight="1">
      <x:c r="A12" s="21" t="str">
        <x:v>Program Verification</x:v>
      </x:c>
      <x:c r="B12" s="21" t="str">
        <x:v>URL Audit</x:v>
      </x:c>
      <x:c r="C12" s="21" t="str">
        <x:v>OK / Blocked by site / Automated fetch failed</x:v>
      </x:c>
      <x:c r="D12" s="21" t="str">
        <x:v>Result of automated page retrieval.</x:v>
      </x:c>
      <x:c r="E12" s="21" t="str">
        <x:v>Controlled text</x:v>
      </x:c>
      <x:c r="F12" s="21" t="str">
        <x:v>Blocked does not mean invalid.</x:v>
      </x:c>
    </x:row>
    <x:row r="13" ht="38" customHeight="1">
      <x:c r="A13" s="51" t="str">
        <x:v>AASHE STARS</x:v>
      </x:c>
      <x:c r="B13" s="51" t="str">
        <x:v>AASHE Match Status</x:v>
      </x:c>
      <x:c r="C13" s="51" t="str">
        <x:v>Exact name / Verified alias / Scope review required / Campus-only record found / No current exact record</x:v>
      </x:c>
      <x:c r="D13" s="51" t="str">
        <x:v>Institutional identity and scope result.</x:v>
      </x:c>
      <x:c r="E13" s="51" t="str">
        <x:v>Controlled text</x:v>
      </x:c>
      <x:c r="F13" s="51" t="str">
        <x:v>Only exact/alias matches are fully clean.</x:v>
      </x:c>
    </x:row>
    <x:row r="14" ht="38" customHeight="1">
      <x:c r="A14" s="21" t="str">
        <x:v>AASHE STARS</x:v>
      </x:c>
      <x:c r="B14" s="21" t="str">
        <x:v>Rating</x:v>
      </x:c>
      <x:c r="C14" s="21" t="str">
        <x:v>Reporter / Bronze / Silver / Gold / Platinum</x:v>
      </x:c>
      <x:c r="D14" s="21" t="str">
        <x:v>Published current STARS rating.</x:v>
      </x:c>
      <x:c r="E14" s="21" t="str">
        <x:v>Text</x:v>
      </x:c>
      <x:c r="F14" s="21" t="str">
        <x:v>Blank when no exact applicable rating.</x:v>
      </x:c>
    </x:row>
    <x:row r="15" ht="38" customHeight="1">
      <x:c r="A15" s="51" t="str">
        <x:v>AASHE STARS</x:v>
      </x:c>
      <x:c r="B15" s="51" t="str">
        <x:v>Score</x:v>
      </x:c>
      <x:c r="C15" s="51" t="str">
        <x:v>40 / 55 / 70 / 85 / 100</x:v>
      </x:c>
      <x:c r="D15" s="51" t="str">
        <x:v>Project coding of the categorical STARS rating.</x:v>
      </x:c>
      <x:c r="E15" s="51" t="str">
        <x:v>Number</x:v>
      </x:c>
      <x:c r="F15" s="51" t="str">
        <x:v>Not an AASHE raw score.</x:v>
      </x:c>
    </x:row>
    <x:row r="16" ht="38" customHeight="1">
      <x:c r="A16" s="21" t="str">
        <x:v>UN PRME</x:v>
      </x:c>
      <x:c r="B16" s="21" t="str">
        <x:v>PRME Match Status</x:v>
      </x:c>
      <x:c r="C16" s="21" t="str">
        <x:v>Verified - Exact / Verified - Verified alias / No verified match</x:v>
      </x:c>
      <x:c r="D16" s="21" t="str">
        <x:v>Strict current signatory match result.</x:v>
      </x:c>
      <x:c r="E16" s="21" t="str">
        <x:v>Controlled text</x:v>
      </x:c>
      <x:c r="F16" s="21" t="str">
        <x:v>School-level scope is retained explicitly.</x:v>
      </x:c>
    </x:row>
    <x:row r="17" ht="38" customHeight="1">
      <x:c r="A17" s="51" t="str">
        <x:v>UN PRME</x:v>
      </x:c>
      <x:c r="B17" s="51" t="str">
        <x:v>Recent SIP Count</x:v>
      </x:c>
      <x:c r="C17" s="51" t="str">
        <x:v>0, 1, 2, ...</x:v>
      </x:c>
      <x:c r="D17" s="51" t="str">
        <x:v>Number of SIP reports whose report year is 2022-2026.</x:v>
      </x:c>
      <x:c r="E17" s="51" t="str">
        <x:v>Number</x:v>
      </x:c>
      <x:c r="F17" s="51" t="str">
        <x:v>A blank or unmatched institution must not be inferred as zero.</x:v>
      </x:c>
    </x:row>
    <x:row r="18" ht="38" customHeight="1">
      <x:c r="A18" s="21" t="str">
        <x:v>OpenAlex 2021-2025</x:v>
      </x:c>
      <x:c r="B18" s="21" t="str">
        <x:v>Collection Status</x:v>
      </x:c>
      <x:c r="C18" s="21" t="str">
        <x:v>Collected / API quota reached / No reliable match / Collection error</x:v>
      </x:c>
      <x:c r="D18" s="21" t="str">
        <x:v>Whether comparable institution and work metrics were collected.</x:v>
      </x:c>
      <x:c r="E18" s="21" t="str">
        <x:v>Controlled text</x:v>
      </x:c>
      <x:c r="F18" s="21" t="str">
        <x:v>Use only Collected rows in analysis until the quota run is completed.</x:v>
      </x:c>
    </x:row>
    <x:row r="19" ht="38" customHeight="1">
      <x:c r="A19" s="51" t="str">
        <x:v>OpenAlex 2021-2025</x:v>
      </x:c>
      <x:c r="B19" s="51" t="str">
        <x:v>Keyword Works 2021-2025</x:v>
      </x:c>
      <x:c r="C19" s="51" t="str">
        <x:v>Non-negative integer</x:v>
      </x:c>
      <x:c r="D19" s="51" t="str">
        <x:v>Works returned by the documented OpenAlex institution/date/keyword query.</x:v>
      </x:c>
      <x:c r="E19" s="51" t="str">
        <x:v>Number</x:v>
      </x:c>
      <x:c r="F19" s="51" t="str">
        <x:v>Broad keyword signal; not a program-specific publication count.</x:v>
      </x:c>
    </x:row>
    <x:row r="20" ht="38" customHeight="1">
      <x:c r="A20" s="21" t="str">
        <x:v>OpenAlex 2021-2025</x:v>
      </x:c>
      <x:c r="B20" s="21" t="str">
        <x:v>Top-25 Citations</x:v>
      </x:c>
      <x:c r="C20" s="21" t="str">
        <x:v>Non-negative integer</x:v>
      </x:c>
      <x:c r="D20" s="21" t="str">
        <x:v>Citation sum for the 25 most-cited matching works returned by the query.</x:v>
      </x:c>
      <x:c r="E20" s="21" t="str">
        <x:v>Number</x:v>
      </x:c>
      <x:c r="F20" s="21" t="str">
        <x:v>Not total citations for all matching works.</x:v>
      </x:c>
    </x:row>
    <x:row r="21" ht="38" customHeight="1">
      <x:c r="A21" s="51" t="str">
        <x:v>Program Details</x:v>
      </x:c>
      <x:c r="B21" s="51" t="str">
        <x:v>Tuition / Fees</x:v>
      </x:c>
      <x:c r="C21" s="51" t="str">
        <x:v>Published amount and fee context, or Not stated</x:v>
      </x:c>
      <x:c r="D21" s="51" t="str">
        <x:v>Current official cost evidence where available.</x:v>
      </x:c>
      <x:c r="E21" s="51" t="str">
        <x:v>Text</x:v>
      </x:c>
      <x:c r="F21" s="51" t="str">
        <x:v>Validate cohort/year and domestic/international applicability before comparison.</x:v>
      </x:c>
    </x:row>
    <x:row r="22" ht="38" customHeight="1">
      <x:c r="A22" s="21" t="str">
        <x:v>Program Details</x:v>
      </x:c>
      <x:c r="B22" s="21" t="str">
        <x:v>Internship / Fieldwork</x:v>
      </x:c>
      <x:c r="C22" s="21" t="str">
        <x:v>Official evidence text / NA</x:v>
      </x:c>
      <x:c r="D22" s="21" t="str">
        <x:v>Experiential learning identified on reviewed official pages.</x:v>
      </x:c>
      <x:c r="E22" s="21" t="str">
        <x:v>Text</x:v>
      </x:c>
      <x:c r="F22" s="21" t="str">
        <x:v>NA means none was identified; it does not prove the program never offers it.</x:v>
      </x:c>
    </x:row>
    <x:row r="23" ht="38" customHeight="1">
      <x:c r="A23" s="51" t="str">
        <x:v>Program Details</x:v>
      </x:c>
      <x:c r="B23" s="51" t="str">
        <x:v>Thesis Option</x:v>
      </x:c>
      <x:c r="C23" s="51" t="str">
        <x:v>Yes / No / Not stated</x:v>
      </x:c>
      <x:c r="D23" s="51" t="str">
        <x:v>Whether a thesis route or requirement was identified.</x:v>
      </x:c>
      <x:c r="E23" s="51" t="str">
        <x:v>Controlled text</x:v>
      </x:c>
      <x:c r="F23" s="51" t="str">
        <x:v>Read Thesis Evidence for required versus optional status.</x:v>
      </x:c>
    </x:row>
    <x:row r="24" ht="38" customHeight="1">
      <x:c r="A24" s="21" t="str">
        <x:v>Program Details</x:v>
      </x:c>
      <x:c r="B24" s="21" t="str">
        <x:v>Not stated on reviewed official page</x:v>
      </x:c>
      <x:c r="C24" s="21" t="str">
        <x:v>Missing-value label</x:v>
      </x:c>
      <x:c r="D24" s="21" t="str">
        <x:v>Requested evidence was not found on reviewed official sources.</x:v>
      </x:c>
      <x:c r="E24" s="21" t="str">
        <x:v>Text</x:v>
      </x:c>
      <x:c r="F24" s="21" t="str">
        <x:v>Do not convert this label to zero.</x:v>
      </x:c>
    </x:row>
    <x:row r="25" ht="38" customHeight="1">
      <x:c r="A25" s="63" t="str">
        <x:v>All</x:v>
      </x:c>
      <x:c r="B25" s="63" t="str">
        <x:v>Verification Date / Retrieved</x:v>
      </x:c>
      <x:c r="C25" s="63" t="str">
        <x:v>YYYY-MM-DD</x:v>
      </x:c>
      <x:c r="D25" s="63" t="str">
        <x:v>Point-in-time date of verification or source collection.</x:v>
      </x:c>
      <x:c r="E25" s="63" t="str">
        <x:v>Date-like text</x:v>
      </x:c>
      <x:c r="F25" s="63" t="str">
        <x:v>Refresh before final publication.</x:v>
      </x:c>
    </x:row>
  </x:sheetData>
  <x:mergeCells>
    <x:mergeCell ref="A1:F1"/>
    <x:mergeCell ref="A2:F2"/>
  </x:mergeCells>
  <x:pageMargins left="0.7" right="0.7" top="0.75" bottom="0.75" header="0.3" footer="0.3"/>
  <x:tableParts count="1">
    <x:tablePart xmlns:r="http://schemas.openxmlformats.org/officeDocument/2006/relationships" r:id="R9a43ccbbf50e4644"/>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8" hidden="0" customWidth="1"/>
    <x:col min="2" max="2" width="32" hidden="0" customWidth="1"/>
    <x:col min="3" max="3" width="58" hidden="0" customWidth="1"/>
    <x:col min="4" max="4" width="58" hidden="0" customWidth="1"/>
    <x:col min="5" max="5" width="48" hidden="0" customWidth="1"/>
    <x:col min="6" max="6" width="16" hidden="0" customWidth="1"/>
  </x:cols>
  <x:sheetData>
    <x:row r="1" ht="28" customHeight="1">
      <x:c r="A1" s="3" t="str">
        <x:v>Method and Official Sources - 60-Program Selection</x:v>
      </x:c>
      <x:c r="B1" s="3"/>
      <x:c r="C1" s="3"/>
      <x:c r="D1" s="3"/>
      <x:c r="E1" s="3"/>
      <x:c r="F1" s="3"/>
    </x:row>
    <x:row r="2" ht="34" customHeight="1">
      <x:c r="A2" s="7" t="str">
        <x:v>Reproducible rules used to construct the distinct QS/THE sample and retain linked AASHE, UN PRME, OpenAlex, and official program evidence.</x:v>
      </x:c>
      <x:c r="B2" s="7"/>
      <x:c r="C2" s="7"/>
      <x:c r="D2" s="7"/>
      <x:c r="E2" s="7"/>
      <x:c r="F2" s="7"/>
    </x:row>
    <x:row r="4">
      <x:c r="A4" s="12" t="str">
        <x:v>Step</x:v>
      </x:c>
      <x:c r="B4" s="12" t="str">
        <x:v>Dataset</x:v>
      </x:c>
      <x:c r="C4" s="12" t="str">
        <x:v>Rule</x:v>
      </x:c>
      <x:c r="D4" s="12" t="str">
        <x:v>Key Scope Decision</x:v>
      </x:c>
      <x:c r="E4" s="12" t="str">
        <x:v>Official Source</x:v>
      </x:c>
      <x:c r="F4" s="12" t="str">
        <x:v>Retrieved</x:v>
      </x:c>
    </x:row>
    <x:row r="5" ht="42" customHeight="1">
      <x:c r="A5" s="50" t="n">
        <x:v>1</x:v>
      </x:c>
      <x:c r="B5" s="50" t="str">
        <x:v>QS Sustainability Rankings 2026</x:v>
      </x:c>
      <x:c r="C5" s="50" t="str">
        <x:v>Build the validated source pool from published numeric rank &lt;= 50.</x:v>
      </x:c>
      <x:c r="D5" s="50" t="str">
        <x:v>Tied rank 50 produced 51 source rows.</x:v>
      </x:c>
      <x:c r="E5" s="50" t="str">
        <x:v>https://www.topuniversities.com/sustainability-rankings</x:v>
      </x:c>
      <x:c r="F5" s="50" t="str">
        <x:v>2026-07-18</x:v>
      </x:c>
    </x:row>
    <x:row r="6" ht="42" customHeight="1">
      <x:c r="A6" s="21" t="n">
        <x:v>2</x:v>
      </x:c>
      <x:c r="B6" s="21" t="str">
        <x:v>THE Sustainability Impact Ratings 2026</x:v>
      </x:c>
      <x:c r="C6" s="21" t="str">
        <x:v>Build the validated source pool from published numeric rank &lt;= 50.</x:v>
      </x:c>
      <x:c r="D6" s="21" t="str">
        <x:v>Tied rank 49 produced 51 source rows.</x:v>
      </x:c>
      <x:c r="E6" s="21" t="str">
        <x:v>https://www.timeshighereducation.com/impactrankings</x:v>
      </x:c>
      <x:c r="F6" s="21" t="str">
        <x:v>2026-07-18</x:v>
      </x:c>
    </x:row>
    <x:row r="7" ht="42" customHeight="1">
      <x:c r="A7" s="51" t="n">
        <x:v>3</x:v>
      </x:c>
      <x:c r="B7" s="51" t="str">
        <x:v>Candidate union</x:v>
      </x:c>
      <x:c r="C7" s="51" t="str">
        <x:v>Normalize punctuation, parentheticals, and verified aliases; merge only the same institution.</x:v>
      </x:c>
      <x:c r="D7" s="51" t="str">
        <x:v>Five overlaps produced 97 source candidates.</x:v>
      </x:c>
      <x:c r="E7" s="51" t="str">
        <x:v>Candidate Universities sheet</x:v>
      </x:c>
      <x:c r="F7" s="51" t="str">
        <x:v>2026-07-18</x:v>
      </x:c>
    </x:row>
    <x:row r="8" ht="42" customHeight="1">
      <x:c r="A8" s="21" t="n">
        <x:v>4</x:v>
      </x:c>
      <x:c r="B8" s="21" t="str">
        <x:v>Manual exclusion</x:v>
      </x:c>
      <x:c r="C8" s="21" t="str">
        <x:v>Remove a candidate only after program-level manual review.</x:v>
      </x:c>
      <x:c r="D8" s="21" t="str">
        <x:v>ID 75 was excluded; 96 validated institutions remained.</x:v>
      </x:c>
      <x:c r="E8" s="21" t="str">
        <x:v>Verification Issues sheet</x:v>
      </x:c>
      <x:c r="F8" s="21" t="str">
        <x:v>2026-07-18</x:v>
      </x:c>
    </x:row>
    <x:row r="9" ht="42" customHeight="1">
      <x:c r="A9" s="51" t="n">
        <x:v>5</x:v>
      </x:c>
      <x:c r="B9" s="51" t="str">
        <x:v>60-program selection</x:v>
      </x:c>
      <x:c r="C9" s="51" t="str">
        <x:v>Select the first 30 QS records, then the 30 highest-ranked THE records not already selected.</x:v>
      </x:c>
      <x:c r="D9" s="51" t="str">
        <x:v>Exactly 60 distinct programs; QS source order resolves the rank-30 tie; THE additions extend through rank 33.</x:v>
      </x:c>
      <x:c r="E9" s="51" t="str">
        <x:v>Selection Audit sheet</x:v>
      </x:c>
      <x:c r="F9" s="51" t="str">
        <x:v>2026-07-19</x:v>
      </x:c>
    </x:row>
    <x:row r="10" ht="42" customHeight="1">
      <x:c r="A10" s="21" t="n">
        <x:v>6</x:v>
      </x:c>
      <x:c r="B10" s="21" t="str">
        <x:v>Program verification</x:v>
      </x:c>
      <x:c r="C10" s="21" t="str">
        <x:v>Select a current master's-level sustainability/environment program from an official university source.</x:v>
      </x:c>
      <x:c r="D10" s="21" t="str">
        <x:v>Match types remain explicit; unresolved programs are not imputed.</x:v>
      </x:c>
      <x:c r="E10" s="21" t="str">
        <x:v>Program Verification sheet</x:v>
      </x:c>
      <x:c r="F10" s="21" t="str">
        <x:v>2026-07-18</x:v>
      </x:c>
    </x:row>
    <x:row r="11" ht="42" customHeight="1">
      <x:c r="A11" s="51" t="n">
        <x:v>7</x:v>
      </x:c>
      <x:c r="B11" s="51" t="str">
        <x:v>Program URL audit</x:v>
      </x:c>
      <x:c r="C11" s="51" t="str">
        <x:v>Follow redirects and record HTTP response.</x:v>
      </x:c>
      <x:c r="D11" s="51" t="str">
        <x:v>403/timeouts are not treated as missing when official-domain evidence confirms the page.</x:v>
      </x:c>
      <x:c r="E11" s="51" t="str">
        <x:v>URL Audit sheet</x:v>
      </x:c>
      <x:c r="F11" s="51" t="str">
        <x:v>2026-07-18</x:v>
      </x:c>
    </x:row>
    <x:row r="12" ht="42" customHeight="1">
      <x:c r="A12" s="21" t="n">
        <x:v>8</x:v>
      </x:c>
      <x:c r="B12" s="21" t="str">
        <x:v>AASHE STARS</x:v>
      </x:c>
      <x:c r="C12" s="21" t="str">
        <x:v>Match exact institution identity against the current participants and reports table.</x:v>
      </x:c>
      <x:c r="D12" s="21" t="str">
        <x:v>No parent/system/campus inheritance.</x:v>
      </x:c>
      <x:c r="E12" s="21" t="str">
        <x:v>https://reports.aashe.org/institutions/participants-and-reports/</x:v>
      </x:c>
      <x:c r="F12" s="21" t="str">
        <x:v>2026-07-18</x:v>
      </x:c>
    </x:row>
    <x:row r="13" ht="42" customHeight="1">
      <x:c r="A13" s="51" t="n">
        <x:v>9</x:v>
      </x:c>
      <x:c r="B13" s="51" t="str">
        <x:v>AASHE rating score</x:v>
      </x:c>
      <x:c r="C13" s="51" t="str">
        <x:v>Reporter=40, Bronze=55, Silver=70, Gold=85, Platinum=100.</x:v>
      </x:c>
      <x:c r="D13" s="51" t="str">
        <x:v>Analysis coding of the published rating, not an AASHE raw numeric score.</x:v>
      </x:c>
      <x:c r="E13" s="51" t="str">
        <x:v>AASHE STARS sheet</x:v>
      </x:c>
      <x:c r="F13" s="51" t="str">
        <x:v>2026-07-18</x:v>
      </x:c>
    </x:row>
    <x:row r="14" ht="42" customHeight="1">
      <x:c r="A14" s="21" t="n">
        <x:v>10</x:v>
      </x:c>
      <x:c r="B14" s="21" t="str">
        <x:v>UN PRME</x:v>
      </x:c>
      <x:c r="C14" s="21" t="str">
        <x:v>Accept only exact or verified-alias current signatory matches.</x:v>
      </x:c>
      <x:c r="D14" s="21" t="str">
        <x:v>Business-school signatories remain school scoped.</x:v>
      </x:c>
      <x:c r="E14" s="21" t="str">
        <x:v>https://www.unprme.org/search/</x:v>
      </x:c>
      <x:c r="F14" s="21" t="str">
        <x:v>2026-07-19</x:v>
      </x:c>
    </x:row>
    <x:row r="15" ht="42" customHeight="1">
      <x:c r="A15" s="51" t="n">
        <x:v>11</x:v>
      </x:c>
      <x:c r="B15" s="51" t="str">
        <x:v>UN PRME SIP</x:v>
      </x:c>
      <x:c r="C15" s="51" t="str">
        <x:v>Count reports with report year 2022-2026; parse title/file year before upload date.</x:v>
      </x:c>
      <x:c r="D15" s="51" t="str">
        <x:v>Migration upload dates do not make old reports recent.</x:v>
      </x:c>
      <x:c r="E15" s="51" t="str">
        <x:v>https://www.unprme.org/sip-2/</x:v>
      </x:c>
      <x:c r="F15" s="51" t="str">
        <x:v>2026-07-19</x:v>
      </x:c>
    </x:row>
    <x:row r="16" ht="42" customHeight="1">
      <x:c r="A16" s="21" t="n">
        <x:v>12</x:v>
      </x:c>
      <x:c r="B16" s="21" t="str">
        <x:v>OpenAlex</x:v>
      </x:c>
      <x:c r="C16" s="21" t="str">
        <x:v>Match the institution, then count 2021-2025 works for the documented keyword query.</x:v>
      </x:c>
      <x:c r="D16" s="21" t="str">
        <x:v>Missing rows are blank, not zero; Top-25 citations are not total citations.</x:v>
      </x:c>
      <x:c r="E16" s="21" t="str">
        <x:v>https://developers.openalex.org/api-reference/works</x:v>
      </x:c>
      <x:c r="F16" s="21" t="str">
        <x:v>2026-07-19</x:v>
      </x:c>
    </x:row>
    <x:row r="17" ht="42" customHeight="1">
      <x:c r="A17" s="51" t="n">
        <x:v>13</x:v>
      </x:c>
      <x:c r="B17" s="51" t="str">
        <x:v>Program details</x:v>
      </x:c>
      <x:c r="C17" s="51" t="str">
        <x:v>Extract requested fields from official program and selected same-domain evidence pages.</x:v>
      </x:c>
      <x:c r="D17" s="51" t="str">
        <x:v>NA is reserved for no internship/fieldwork identified.</x:v>
      </x:c>
      <x:c r="E17" s="51" t="str">
        <x:v>Program Details sheet</x:v>
      </x:c>
      <x:c r="F17" s="51" t="str">
        <x:v>2026-07-18</x:v>
      </x:c>
    </x:row>
    <x:row r="18" ht="42" customHeight="1">
      <x:c r="A18" s="22" t="n">
        <x:v>14</x:v>
      </x:c>
      <x:c r="B18" s="22" t="str">
        <x:v>Manual validation</x:v>
      </x:c>
      <x:c r="C18" s="22" t="str">
        <x:v>Review unresolved programs, source blocks, scope flags, and year-specific fees before statistical analysis.</x:v>
      </x:c>
      <x:c r="D18" s="22" t="str">
        <x:v>Do not impute unresolved program, campus, API, or cost fields.</x:v>
      </x:c>
      <x:c r="E18" s="22" t="str">
        <x:v>Verification Issues sheet</x:v>
      </x:c>
      <x:c r="F18" s="22" t="str">
        <x:v>2026-07-19</x:v>
      </x:c>
    </x:row>
    <x:row r="19" ht="42" customHeight="1"/>
    <x:row r="20" ht="42" customHeight="1">
      <x:c r="A20" s="12" t="str">
        <x:v>Limitation</x:v>
      </x:c>
      <x:c r="B20" s="12" t="str">
        <x:v>Effect</x:v>
      </x:c>
      <x:c r="C20" s="12" t="str">
        <x:v>Workbook Treatment</x:v>
      </x:c>
      <x:c r="D20" s="12" t="str">
        <x:v>Next Manual Action</x:v>
      </x:c>
      <x:c r="E20" s="12" t="str">
        <x:v>Affected Rows</x:v>
      </x:c>
      <x:c r="F20" s="12" t="str">
        <x:v>Priority</x:v>
      </x:c>
    </x:row>
    <x:row r="21" ht="42" customHeight="1">
      <x:c r="A21" s="50" t="str">
        <x:v>Rankings measure institutions, not individual master's programs.</x:v>
      </x:c>
      <x:c r="B21" s="50" t="str">
        <x:v>Rank values cannot be interpreted as direct program ranks.</x:v>
      </x:c>
      <x:c r="C21" s="50" t="str">
        <x:v>University ranking and program verification are separate sheets.</x:v>
      </x:c>
      <x:c r="D21" s="50" t="str">
        <x:v>Use program-specific outcomes from university sites if needed.</x:v>
      </x:c>
      <x:c r="E21" s="50" t="str">
        <x:v>All 60</x:v>
      </x:c>
      <x:c r="F21" s="50" t="str">
        <x:v>High</x:v>
      </x:c>
    </x:row>
    <x:row r="22" ht="42" customHeight="1">
      <x:c r="A22" s="21" t="str">
        <x:v>Exactly 30 QS records requires a deterministic tie rule.</x:v>
      </x:c>
      <x:c r="B22" s="21" t="str">
        <x:v>University of Pennsylvania and University of Reading share rank 30 and score 95.3.</x:v>
      </x:c>
      <x:c r="C22" s="21" t="str">
        <x:v>Official source order retains Pennsylvania as the 30th QS record.</x:v>
      </x:c>
      <x:c r="D22" s="21" t="str">
        <x:v>Run sensitivity analysis if the boundary choice matters.</x:v>
      </x:c>
      <x:c r="E22" s="21" t="str">
        <x:v>QS boundary</x:v>
      </x:c>
      <x:c r="F22" s="21" t="str">
        <x:v>Medium</x:v>
      </x:c>
    </x:row>
    <x:row r="23" ht="42" customHeight="1">
      <x:c r="A23" s="51" t="str">
        <x:v>Removing QS overlaps shifts the THE addition boundary.</x:v>
      </x:c>
      <x:c r="B23" s="51" t="str">
        <x:v>The 30th distinct THE addition is at published rank 33.</x:v>
      </x:c>
      <x:c r="C23" s="51" t="str">
        <x:v>The THE cohort excludes IDs already selected by QS.</x:v>
      </x:c>
      <x:c r="D23" s="51" t="str">
        <x:v>Use Selection Audit rather than rank &lt;= 30 as the cohort definition.</x:v>
      </x:c>
      <x:c r="E23" s="51" t="str">
        <x:v>THE boundary</x:v>
      </x:c>
      <x:c r="F23" s="51" t="str">
        <x:v>High</x:v>
      </x:c>
    </x:row>
    <x:row r="24" ht="42" customHeight="1">
      <x:c r="A24" s="21" t="str">
        <x:v>Some institutions publish only a department or research route.</x:v>
      </x:c>
      <x:c r="B24" s="21" t="str">
        <x:v>Program comparability varies.</x:v>
      </x:c>
      <x:c r="C24" s="21" t="str">
        <x:v>Match Type distinguishes direct from best-fit/research routes.</x:v>
      </x:c>
      <x:c r="D24" s="21" t="str">
        <x:v>Filter Match Type before modelling.</x:v>
      </x:c>
      <x:c r="E24" s="21" t="str">
        <x:v>See Program Verification</x:v>
      </x:c>
      <x:c r="F24" s="21" t="str">
        <x:v>High</x:v>
      </x:c>
    </x:row>
    <x:row r="25" ht="42" customHeight="1">
      <x:c r="A25" s="51" t="str">
        <x:v>Official sites change URLs and may block bots.</x:v>
      </x:c>
      <x:c r="B25" s="51" t="str">
        <x:v>Automated audit can understate availability.</x:v>
      </x:c>
      <x:c r="C25" s="51" t="str">
        <x:v>HTTP status and manual-search verification are separate.</x:v>
      </x:c>
      <x:c r="D25" s="51" t="str">
        <x:v>Open blocked URLs during final review.</x:v>
      </x:c>
      <x:c r="E25" s="51" t="n">
        <x:v>7</x:v>
      </x:c>
      <x:c r="F25" s="51" t="str">
        <x:v>Medium</x:v>
      </x:c>
    </x:row>
    <x:row r="26" ht="42" customHeight="1">
      <x:c r="A26" s="21" t="str">
        <x:v>AASHE is institution/campus scoped.</x:v>
      </x:c>
      <x:c r="B26" s="21" t="str">
        <x:v>A related campus rating may not apply to the ranked institution.</x:v>
      </x:c>
      <x:c r="C26" s="21" t="str">
        <x:v>Strict match status and notes are included.</x:v>
      </x:c>
      <x:c r="D26" s="21" t="str">
        <x:v>Read report boundaries for scope-review cases.</x:v>
      </x:c>
      <x:c r="E26" s="21" t="str">
        <x:v>Toronto; ASU</x:v>
      </x:c>
      <x:c r="F26" s="21" t="str">
        <x:v>High</x:v>
      </x:c>
    </x:row>
    <x:row r="27" ht="42" customHeight="1">
      <x:c r="A27" s="51" t="str">
        <x:v>UN PRME membership is often business-school scoped.</x:v>
      </x:c>
      <x:c r="B27" s="51" t="str">
        <x:v>A school match does not prove whole-university participation.</x:v>
      </x:c>
      <x:c r="C27" s="51" t="str">
        <x:v>Matched signatory name and scope are retained.</x:v>
      </x:c>
      <x:c r="D27" s="51" t="str">
        <x:v>Use the signatory entity in PRME analysis.</x:v>
      </x:c>
      <x:c r="E27" s="51" t="n">
        <x:v>31</x:v>
      </x:c>
      <x:c r="F27" s="51" t="str">
        <x:v>High</x:v>
      </x:c>
    </x:row>
    <x:row r="28" ht="42" customHeight="1">
      <x:c r="A28" s="21" t="str">
        <x:v>OpenAlex collection is incomplete because the anonymous API quota was exhausted.</x:v>
      </x:c>
      <x:c r="B28" s="21" t="str">
        <x:v>Missing institutions cannot be compared fairly with collected institutions.</x:v>
      </x:c>
      <x:c r="C28" s="21" t="str">
        <x:v>Uncollected metrics are blank and collection status is explicit.</x:v>
      </x:c>
      <x:c r="D28" s="21" t="str">
        <x:v>Rerun with an OpenAlex API key before modelling.</x:v>
      </x:c>
      <x:c r="E28" s="21" t="n">
        <x:v>32</x:v>
      </x:c>
      <x:c r="F28" s="21" t="str">
        <x:v>High</x:v>
      </x:c>
    </x:row>
    <x:row r="29" ht="42" customHeight="1">
      <x:c r="A29" s="63" t="str">
        <x:v>Data are point-in-time.</x:v>
      </x:c>
      <x:c r="B29" s="63" t="str">
        <x:v>Rankings, programs, and ratings can change.</x:v>
      </x:c>
      <x:c r="C29" s="63" t="str">
        <x:v>Retrieval and verification dates are stored.</x:v>
      </x:c>
      <x:c r="D29" s="63" t="str">
        <x:v>Refresh before publication or final submission.</x:v>
      </x:c>
      <x:c r="E29" s="63" t="str">
        <x:v>All 60</x:v>
      </x:c>
      <x:c r="F29" s="63" t="str">
        <x:v>Medium</x:v>
      </x:c>
    </x:row>
  </x:sheetData>
  <x:mergeCells>
    <x:mergeCell ref="A1:F1"/>
    <x:mergeCell ref="A2:F2"/>
  </x:mergeCells>
  <x:pageMargins left="0.7" right="0.7" top="0.75" bottom="0.75" header="0.3" footer="0.3"/>
</x:worksheet>
</file>