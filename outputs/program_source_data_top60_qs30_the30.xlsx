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gzh_l\Desktop\大学学习资料\BUSA649\Codex_Generated_Files\outputs\"/>
    </mc:Choice>
  </mc:AlternateContent>
  <xr:revisionPtr revIDLastSave="0" documentId="13_ncr:1_{3C5786E2-6C4B-4691-9DBC-482AE2F174AF}" xr6:coauthVersionLast="47" xr6:coauthVersionMax="47" xr10:uidLastSave="{00000000-0000-0000-0000-000000000000}"/>
  <bookViews>
    <workbookView xWindow="-98" yWindow="-98" windowWidth="23236" windowHeight="13875" firstSheet="6" activeTab="10" xr2:uid="{00000000-000D-0000-FFFF-FFFF00000000}"/>
  </bookViews>
  <sheets>
    <sheet name="Summary" sheetId="1" r:id="rId1"/>
    <sheet name="Selection Audit" sheetId="2" r:id="rId2"/>
    <sheet name="Candidate Universities" sheetId="3" r:id="rId3"/>
    <sheet name="Program Verification" sheetId="4" r:id="rId4"/>
    <sheet name="QS Sustainability Top 30" sheetId="5" r:id="rId5"/>
    <sheet name="THE Impact 30 Additions" sheetId="6" r:id="rId6"/>
    <sheet name="Overlap Analysis" sheetId="7" r:id="rId7"/>
    <sheet name="AASHE STARS" sheetId="8" r:id="rId8"/>
    <sheet name="UN PRME" sheetId="9" r:id="rId9"/>
    <sheet name="OpenAlex 2021-2025" sheetId="10" r:id="rId10"/>
    <sheet name="Program Details" sheetId="11" r:id="rId11"/>
    <sheet name="Verification Issues" sheetId="12" r:id="rId12"/>
    <sheet name="URL Audit" sheetId="13" r:id="rId13"/>
    <sheet name="Data Dictionary" sheetId="14" r:id="rId14"/>
    <sheet name="Method &amp; Sources"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 l="1"/>
  <c r="B18" i="1"/>
  <c r="B17" i="1"/>
  <c r="B16" i="1"/>
  <c r="B15" i="1"/>
  <c r="B14" i="1"/>
  <c r="B13" i="1"/>
  <c r="B12" i="1"/>
  <c r="B11" i="1"/>
  <c r="B10" i="1"/>
  <c r="B9" i="1"/>
  <c r="B8" i="1"/>
  <c r="B7" i="1"/>
  <c r="B6" i="1"/>
  <c r="B5" i="1"/>
</calcChain>
</file>

<file path=xl/sharedStrings.xml><?xml version="1.0" encoding="utf-8"?>
<sst xmlns="http://schemas.openxmlformats.org/spreadsheetml/2006/main" count="4840" uniqueCount="1619">
  <si>
    <t>Sustainability Program Dataset - 60 Selected Programs</t>
  </si>
  <si>
    <t>Thirty programs selected from QS Sustainability ranking order and thirty nonduplicate additions from THE Sustainability Impact ranking order. Validated source data retained from 18-19 July 2026.</t>
  </si>
  <si>
    <t>Metric</t>
  </si>
  <si>
    <t>Value</t>
  </si>
  <si>
    <t>Interpretation</t>
  </si>
  <si>
    <t>Audit Rule</t>
  </si>
  <si>
    <t>Selected programs</t>
  </si>
  <si>
    <t>Exactly 60 distinct institutions and programs</t>
  </si>
  <si>
    <t>30 QS cohort + 30 nonduplicate THE cohort</t>
  </si>
  <si>
    <t>QS selection cohort</t>
  </si>
  <si>
    <t>First 30 QS records in official ranking order</t>
  </si>
  <si>
    <t>Rank, overall score, then official source order</t>
  </si>
  <si>
    <t>THE selection cohort</t>
  </si>
  <si>
    <t>30 highest-ranked THE records not already selected by QS</t>
  </si>
  <si>
    <t>Extends through published rank 33</t>
  </si>
  <si>
    <t>Selected institutions in both source rankings</t>
  </si>
  <si>
    <t>Five institutions have both source ranks</t>
  </si>
  <si>
    <t>Each program appears once in the 60-row sample</t>
  </si>
  <si>
    <t>QS-only source institutions</t>
  </si>
  <si>
    <t>Selected institutions appearing only in the QS source cutoff</t>
  </si>
  <si>
    <t>Candidate Source field</t>
  </si>
  <si>
    <t>THE-only source institutions</t>
  </si>
  <si>
    <t>Selected institutions appearing only in the THE source cutoff</t>
  </si>
  <si>
    <t>Programs confirmed</t>
  </si>
  <si>
    <t>Current master's-level program or explicitly labeled best-fit path</t>
  </si>
  <si>
    <t>Official university source</t>
  </si>
  <si>
    <t>Programs requiring manual review</t>
  </si>
  <si>
    <t>McMaster University</t>
  </si>
  <si>
    <t>Manual follow-up before analysis</t>
  </si>
  <si>
    <t>AASHE records with ratings shown</t>
  </si>
  <si>
    <t>11 selected records have a published rating</t>
  </si>
  <si>
    <t>Strict institution/campus scope</t>
  </si>
  <si>
    <t>Verified UN PRME signatories</t>
  </si>
  <si>
    <t>Current school-level or institution-level signatory matches</t>
  </si>
  <si>
    <t>Verified exact/alias match only</t>
  </si>
  <si>
    <t>Communicating UN PRME signatories</t>
  </si>
  <si>
    <t>Current status published by UN PRME</t>
  </si>
  <si>
    <t>UN PRME status text</t>
  </si>
  <si>
    <t>Recent SIP reports (2022-2026)</t>
  </si>
  <si>
    <t>Sum of reports across the selected sample</t>
  </si>
  <si>
    <t>Report year, not migration upload date</t>
  </si>
  <si>
    <t>OpenAlex institution matches collected</t>
  </si>
  <si>
    <t>2021-2025 keyword works collected before anonymous quota was reached</t>
  </si>
  <si>
    <t>Missing API rows remain blank, not zero</t>
  </si>
  <si>
    <t>Program detail rows</t>
  </si>
  <si>
    <t>One official-source detail row per selected program</t>
  </si>
  <si>
    <t>Missing fields remain explicit</t>
  </si>
  <si>
    <t>Program URLs passing automated fetch</t>
  </si>
  <si>
    <t>53 selected URLs passed; 7 require manual opening</t>
  </si>
  <si>
    <t>HTTP 2xx/3xx follow-through</t>
  </si>
  <si>
    <t>Correction</t>
  </si>
  <si>
    <t>Previous Issue</t>
  </si>
  <si>
    <t>Correct Treatment</t>
  </si>
  <si>
    <t>Status</t>
  </si>
  <si>
    <t>Ranking family</t>
  </si>
  <si>
    <t>General QS/THE world rankings were used</t>
  </si>
  <si>
    <t>Use QS Sustainability and THE Sustainability Impact Ratings</t>
  </si>
  <si>
    <t>Corrected</t>
  </si>
  <si>
    <t>Validated source universe</t>
  </si>
  <si>
    <t>62 institutions</t>
  </si>
  <si>
    <t>96 retained institutions after excluding ID 75</t>
  </si>
  <si>
    <t>Analytical sample</t>
  </si>
  <si>
    <t>No fixed nonduplicate 60-program rule</t>
  </si>
  <si>
    <t>30 QS records plus 30 highest-ranked nonduplicate THE additions</t>
  </si>
  <si>
    <t>QS cohort</t>
  </si>
  <si>
    <t>Ties could increase the sample above 30</t>
  </si>
  <si>
    <t>Exactly 30 records; source order resolves the final rank-30 tie</t>
  </si>
  <si>
    <t>Documented</t>
  </si>
  <si>
    <t>THE cohort</t>
  </si>
  <si>
    <t>Overlap could reduce the sample below 60</t>
  </si>
  <si>
    <t>Exclude QS cohort IDs, then select 30 THE additions through rank 33</t>
  </si>
  <si>
    <t>Manual exclusion</t>
  </si>
  <si>
    <t>Al-Ahliyya Amman University was retained</t>
  </si>
  <si>
    <t>ID 75 remains excluded after manual validation</t>
  </si>
  <si>
    <t>McGill program</t>
  </si>
  <si>
    <t>Undergraduate Sustainability, Science &amp; Society labeled as MSc</t>
  </si>
  <si>
    <t>MSc Geography with sustainability/environment research theme</t>
  </si>
  <si>
    <t>UBC program</t>
  </si>
  <si>
    <t>Paused Sustainable Process Engineering MEL</t>
  </si>
  <si>
    <t>Current Clean Energy Engineering MEL</t>
  </si>
  <si>
    <t>Toronto AASHE</t>
  </si>
  <si>
    <t>Mississauga campus Gold inherited by parent</t>
  </si>
  <si>
    <t>Campus-only evidence retained; parent receives no rating</t>
  </si>
  <si>
    <t>60-Program Selection Audit</t>
  </si>
  <si>
    <t>Exactly 30 QS programs plus 30 highest-ranked nonduplicate THE additions. Program IDs remain unchanged for reproducibility.</t>
  </si>
  <si>
    <t>Selection Cohort</t>
  </si>
  <si>
    <t>Cohort Position</t>
  </si>
  <si>
    <t>ID</t>
  </si>
  <si>
    <t>Institution</t>
  </si>
  <si>
    <t>Country</t>
  </si>
  <si>
    <t>QS Rank</t>
  </si>
  <si>
    <t>THE Rank</t>
  </si>
  <si>
    <t>Program</t>
  </si>
  <si>
    <t>Selection Rule</t>
  </si>
  <si>
    <t>QS Profile URL</t>
  </si>
  <si>
    <t>THE Profile URL</t>
  </si>
  <si>
    <t>QS</t>
  </si>
  <si>
    <t>Lund University</t>
  </si>
  <si>
    <t>Sweden</t>
  </si>
  <si>
    <t>1</t>
  </si>
  <si>
    <t>MSc Environmental Studies and Sustainability Science (LUMES)</t>
  </si>
  <si>
    <t>Selected among the first 30 QS records; official list order resolves the rank-30 tie.</t>
  </si>
  <si>
    <t>https://www.topuniversities.com/universities/lund-university</t>
  </si>
  <si>
    <t>University of Toronto</t>
  </si>
  <si>
    <t>Canada</t>
  </si>
  <si>
    <t>2</t>
  </si>
  <si>
    <t>Master of Environment &amp; Sustainability</t>
  </si>
  <si>
    <t>https://www.topuniversities.com/universities/university-toronto</t>
  </si>
  <si>
    <t>UCL</t>
  </si>
  <si>
    <t>United Kingdom</t>
  </si>
  <si>
    <t>3</t>
  </si>
  <si>
    <t>Sustainable Resources: Economics, Policy and Transitions MSc</t>
  </si>
  <si>
    <t>https://www.topuniversities.com/universities/ucl</t>
  </si>
  <si>
    <t>The University of Edinburgh</t>
  </si>
  <si>
    <t>4</t>
  </si>
  <si>
    <t>MSc Global Strategy and Sustainability</t>
  </si>
  <si>
    <t>https://www.topuniversities.com/universities/university-edinburgh</t>
  </si>
  <si>
    <t>University of British Columbia</t>
  </si>
  <si>
    <t>5</t>
  </si>
  <si>
    <t>Master of Engineering Leadership in Clean Energy Engineering</t>
  </si>
  <si>
    <t>https://www.topuniversities.com/universities/university-british-columbia</t>
  </si>
  <si>
    <t>The London School of Economics and Political Science (LSE)</t>
  </si>
  <si>
    <t>6</t>
  </si>
  <si>
    <t>MSc Environmental Policy and Regulation</t>
  </si>
  <si>
    <t>https://www.topuniversities.com/universities/london-school-economics-political-science-lse</t>
  </si>
  <si>
    <t>Imperial College London</t>
  </si>
  <si>
    <t>MSc Climate Change, Management &amp; Finance</t>
  </si>
  <si>
    <t>https://www.topuniversities.com/universities/imperial-college-london</t>
  </si>
  <si>
    <t>The University of New South Wales (UNSW Sydney)</t>
  </si>
  <si>
    <t>Australia</t>
  </si>
  <si>
    <t>Master of Environmental Management</t>
  </si>
  <si>
    <t>https://www.topuniversities.com/universities/university-new-south-wales-unsw-sydney</t>
  </si>
  <si>
    <t>https://www.timeshighereducation.com/world-university-rankings/unsw-sydney</t>
  </si>
  <si>
    <t>McGill University</t>
  </si>
  <si>
    <t>9</t>
  </si>
  <si>
    <t>MSc Geography - Sustainability Science and Environmental Management research theme</t>
  </si>
  <si>
    <t>https://www.topuniversities.com/universities/mcgill-university</t>
  </si>
  <si>
    <t>The University of Manchester</t>
  </si>
  <si>
    <t>10</t>
  </si>
  <si>
    <t>MSc Environmental Governance</t>
  </si>
  <si>
    <t>https://www.topuniversities.com/universities/university-manchester</t>
  </si>
  <si>
    <t>https://www.timeshighereducation.com/world-university-rankings/university-manchester</t>
  </si>
  <si>
    <t>ETH Zurich</t>
  </si>
  <si>
    <t>Switzerland</t>
  </si>
  <si>
    <t>MSc Environmental Sciences</t>
  </si>
  <si>
    <t>https://www.topuniversities.com/universities/eth-zurich</t>
  </si>
  <si>
    <t>The University of Melbourne</t>
  </si>
  <si>
    <t>Master of Environment</t>
  </si>
  <si>
    <t>https://www.topuniversities.com/universities/university-melbourne</t>
  </si>
  <si>
    <t>University of California, Berkeley (UCB)</t>
  </si>
  <si>
    <t>United States</t>
  </si>
  <si>
    <t>Master of Climate Solutions</t>
  </si>
  <si>
    <t>https://www.topuniversities.com/universities/university-california-berkeley-ucb</t>
  </si>
  <si>
    <t>Stanford University</t>
  </si>
  <si>
    <t>13</t>
  </si>
  <si>
    <t>MS Sustainability Science and Practice</t>
  </si>
  <si>
    <t>https://www.topuniversities.com/universities/stanford-university</t>
  </si>
  <si>
    <t>University of Oxford</t>
  </si>
  <si>
    <t>14</t>
  </si>
  <si>
    <t>MSc in Sustainability, Enterprise and the Environment</t>
  </si>
  <si>
    <t>https://www.topuniversities.com/universities/university-oxford</t>
  </si>
  <si>
    <t>The University of Sydney</t>
  </si>
  <si>
    <t>15</t>
  </si>
  <si>
    <t>Master of Sustainability</t>
  </si>
  <si>
    <t>https://www.topuniversities.com/universities/university-sydney</t>
  </si>
  <si>
    <t>Australian National University (ANU)</t>
  </si>
  <si>
    <t>Master of Climate Change</t>
  </si>
  <si>
    <t>https://www.topuniversities.com/universities/australian-national-university-anu</t>
  </si>
  <si>
    <t>King's College London</t>
  </si>
  <si>
    <t>Environment, Politics and Development MSc</t>
  </si>
  <si>
    <t>https://www.topuniversities.com/universities/kings-college-london</t>
  </si>
  <si>
    <t>University of Bristol</t>
  </si>
  <si>
    <t>19</t>
  </si>
  <si>
    <t>MSc Environmental Policy and Management</t>
  </si>
  <si>
    <t>https://www.topuniversities.com/universities/university-bristol</t>
  </si>
  <si>
    <t>New York University (NYU)</t>
  </si>
  <si>
    <t>20</t>
  </si>
  <si>
    <t>MS in Environmental Policy and Sustainability Management</t>
  </si>
  <si>
    <t>https://www.topuniversities.com/universities/new-york-university-nyu</t>
  </si>
  <si>
    <t>Pennsylvania State University</t>
  </si>
  <si>
    <t>21</t>
  </si>
  <si>
    <t>Master of Professional Studies in Renewable Energy and Sustainability Systems</t>
  </si>
  <si>
    <t>https://www.topuniversities.com/universities/pennsylvania-state-university</t>
  </si>
  <si>
    <t>KU Leuven</t>
  </si>
  <si>
    <t>Belgium</t>
  </si>
  <si>
    <t>Master of Sustainable Development</t>
  </si>
  <si>
    <t>https://www.topuniversities.com/universities/ku-leuven</t>
  </si>
  <si>
    <t>University of Helsinki</t>
  </si>
  <si>
    <t>Finland</t>
  </si>
  <si>
    <t>Master's Programme in Environmental Change and Global Sustainability</t>
  </si>
  <si>
    <t>https://www.topuniversities.com/universities/university-helsinki</t>
  </si>
  <si>
    <t>Durham University</t>
  </si>
  <si>
    <t>MSc Climate Change, Environmental Processes and Sustainable Futures</t>
  </si>
  <si>
    <t>https://www.topuniversities.com/universities/durham-university</t>
  </si>
  <si>
    <t>University of Leeds</t>
  </si>
  <si>
    <t>MSc Sustainability, Environment and Development</t>
  </si>
  <si>
    <t>https://www.topuniversities.com/universities/university-leeds</t>
  </si>
  <si>
    <t>Western University</t>
  </si>
  <si>
    <t>Master of Environment and Sustainability</t>
  </si>
  <si>
    <t>https://www.topuniversities.com/universities/western-university</t>
  </si>
  <si>
    <t>https://www.timeshighereducation.com/world-university-rankings/western-university</t>
  </si>
  <si>
    <t>University of Glasgow</t>
  </si>
  <si>
    <t>27</t>
  </si>
  <si>
    <t>MSc Environment &amp; Sustainable Development</t>
  </si>
  <si>
    <t>https://www.topuniversities.com/universities/university-glasgow</t>
  </si>
  <si>
    <t>https://www.timeshighereducation.com/world-university-rankings/university-glasgow</t>
  </si>
  <si>
    <t>The University of Auckland</t>
  </si>
  <si>
    <t>New Zealand</t>
  </si>
  <si>
    <t>28</t>
  </si>
  <si>
    <t>Master of Environmental Science</t>
  </si>
  <si>
    <t>https://www.topuniversities.com/universities/university-auckland</t>
  </si>
  <si>
    <t>Trinity College Dublin, The University of Dublin</t>
  </si>
  <si>
    <t>Ireland</t>
  </si>
  <si>
    <t>29</t>
  </si>
  <si>
    <t>https://www.topuniversities.com/universities/trinity-college-dublin-university-dublin</t>
  </si>
  <si>
    <t>University of Pennsylvania</t>
  </si>
  <si>
    <t>Master of Environmental Studies</t>
  </si>
  <si>
    <t>https://www.topuniversities.com/universities/university-pennsylvania</t>
  </si>
  <si>
    <t>THE</t>
  </si>
  <si>
    <t>Griffith University</t>
  </si>
  <si>
    <t>Master of Global Development - Sustainable Development major</t>
  </si>
  <si>
    <t>Highest-ranked THE record not already selected in the QS cohort; 30 distinct additions retained.</t>
  </si>
  <si>
    <t>https://www.timeshighereducation.com/world-university-rankings/griffith-university</t>
  </si>
  <si>
    <t>Western Sydney University</t>
  </si>
  <si>
    <t>Master of Sustainable Tourism, Hospitality and Event Management</t>
  </si>
  <si>
    <t>https://www.timeshighereducation.com/world-university-rankings/western-sydney-university</t>
  </si>
  <si>
    <t>Queen's University</t>
  </si>
  <si>
    <t>https://www.timeshighereducation.com/world-university-rankings/queens-university</t>
  </si>
  <si>
    <t>Universiti Sains Malaysia</t>
  </si>
  <si>
    <t>Malaysia</t>
  </si>
  <si>
    <t>Master in Sustainable Development Practice</t>
  </si>
  <si>
    <t>https://www.timeshighereducation.com/world-university-rankings/universiti-sains-malaysia</t>
  </si>
  <si>
    <t>Hanyang University</t>
  </si>
  <si>
    <t>South Korea</t>
  </si>
  <si>
    <t>Master's majors in Global Climate and Environmental Studies</t>
  </si>
  <si>
    <t>https://www.timeshighereducation.com/world-university-rankings/hanyang-university</t>
  </si>
  <si>
    <t>Hokkaido University</t>
  </si>
  <si>
    <t>Japan</t>
  </si>
  <si>
    <t>Master's Program, Graduate School of Environmental Science</t>
  </si>
  <si>
    <t>https://www.timeshighereducation.com/world-university-rankings/hokkaido-university</t>
  </si>
  <si>
    <t>Universiti Kebangsaan Malaysia</t>
  </si>
  <si>
    <t>Master of Science / Master of Arts in Environment and Development</t>
  </si>
  <si>
    <t>https://www.timeshighereducation.com/world-university-rankings/universiti-kebangsaan-malaysia</t>
  </si>
  <si>
    <t>Institut Agro</t>
  </si>
  <si>
    <t>France</t>
  </si>
  <si>
    <t>Master's pathway: Transitions in Environmental and Agrifood Systems Management</t>
  </si>
  <si>
    <t>https://www.timeshighereducation.com/world-university-rankings/institut-agro</t>
  </si>
  <si>
    <t>National Taiwan University (NTU)</t>
  </si>
  <si>
    <t>Taiwan</t>
  </si>
  <si>
    <t>Master's Program in Biodiversity</t>
  </si>
  <si>
    <t>https://www.timeshighereducation.com/world-university-rankings/national-taiwan-university-ntu</t>
  </si>
  <si>
    <t>University of Alberta</t>
  </si>
  <si>
    <t>https://www.timeshighereducation.com/world-university-rankings/university-alberta</t>
  </si>
  <si>
    <t>Korea University</t>
  </si>
  <si>
    <t>Master's in Climatic Environment</t>
  </si>
  <si>
    <t>https://www.timeshighereducation.com/world-university-rankings/korea-university</t>
  </si>
  <si>
    <t>Universitas Airlangga</t>
  </si>
  <si>
    <t>Indonesia</t>
  </si>
  <si>
    <t>Master of Environmental Health</t>
  </si>
  <si>
    <t>https://www.timeshighereducation.com/world-university-rankings/universitas-airlangga</t>
  </si>
  <si>
    <t>Pusan National University</t>
  </si>
  <si>
    <t>Master's programs, Graduate School of Environment</t>
  </si>
  <si>
    <t>https://www.timeshighereducation.com/world-university-rankings/pusan-national-university</t>
  </si>
  <si>
    <t>University of Tasmania</t>
  </si>
  <si>
    <t>Master of Environmental Geospatial Science</t>
  </si>
  <si>
    <t>https://www.timeshighereducation.com/world-university-rankings/university-tasmania</t>
  </si>
  <si>
    <t>18</t>
  </si>
  <si>
    <t>No directly qualifying sustainability/environment master's confirmed</t>
  </si>
  <si>
    <t>https://www.timeshighereducation.com/world-university-rankings/mcmaster-university</t>
  </si>
  <si>
    <t>Chulalongkorn University</t>
  </si>
  <si>
    <t>Thailand</t>
  </si>
  <si>
    <t>MA Environment, Development and Sustainability</t>
  </si>
  <si>
    <t>https://www.timeshighereducation.com/world-university-rankings/chulalongkorn-university</t>
  </si>
  <si>
    <t>University of Exeter</t>
  </si>
  <si>
    <t>MSc Global Sustainability Solutions</t>
  </si>
  <si>
    <t>https://www.topuniversities.com/universities/university-exeter</t>
  </si>
  <si>
    <t>https://www.timeshighereducation.com/world-university-rankings/university-exeter</t>
  </si>
  <si>
    <t>Kyungpook National University (KNU)</t>
  </si>
  <si>
    <t>Graduate major in Environmental and Energy Engineering</t>
  </si>
  <si>
    <t>https://www.timeshighereducation.com/world-university-rankings/kyungpook-national-university-knu</t>
  </si>
  <si>
    <t>The Hong Kong University of Science and Technology</t>
  </si>
  <si>
    <t>Hong Kong</t>
  </si>
  <si>
    <t>MSc in Environmental Engineering and Management</t>
  </si>
  <si>
    <t>https://www.timeshighereducation.com/world-university-rankings/hong-kong-university-science-and-technology</t>
  </si>
  <si>
    <t>Lovely Professional University</t>
  </si>
  <si>
    <t>India</t>
  </si>
  <si>
    <t>23</t>
  </si>
  <si>
    <t>https://www.timeshighereducation.com/world-university-rankings/lovely-professional-university</t>
  </si>
  <si>
    <t>University of Malaya</t>
  </si>
  <si>
    <t>24</t>
  </si>
  <si>
    <t>Master of Sustainability Science</t>
  </si>
  <si>
    <t>https://www.timeshighereducation.com/world-university-rankings/university-malaya</t>
  </si>
  <si>
    <t>Aalborg University</t>
  </si>
  <si>
    <t>Denmark</t>
  </si>
  <si>
    <t>25</t>
  </si>
  <si>
    <t>MSc Engineering in Sustainable Cities</t>
  </si>
  <si>
    <t>https://www.timeshighereducation.com/world-university-rankings/aalborg-university</t>
  </si>
  <si>
    <t>Kyung Hee University</t>
  </si>
  <si>
    <t>26</t>
  </si>
  <si>
    <t>Graduate pathway in Environmental Science and Engineering</t>
  </si>
  <si>
    <t>https://www.timeshighereducation.com/world-university-rankings/kyung-hee-university</t>
  </si>
  <si>
    <t>University of Victoria</t>
  </si>
  <si>
    <t>MA/MSc Environmental Studies</t>
  </si>
  <si>
    <t>https://www.timeshighereducation.com/world-university-rankings/university-victoria</t>
  </si>
  <si>
    <t>Central Queensland University</t>
  </si>
  <si>
    <t>https://www.timeshighereducation.com/world-university-rankings/central-queensland-university</t>
  </si>
  <si>
    <t>University of Newcastle</t>
  </si>
  <si>
    <t>30</t>
  </si>
  <si>
    <t>Master of Environmental Management and Sustainability</t>
  </si>
  <si>
    <t>https://www.timeshighereducation.com/world-university-rankings/university-newcastle</t>
  </si>
  <si>
    <t>Northumbria University</t>
  </si>
  <si>
    <t>MSc Disaster Management and Sustainable Development</t>
  </si>
  <si>
    <t>https://www.timeshighereducation.com/world-university-rankings/northumbria-university</t>
  </si>
  <si>
    <t>University of Indonesia</t>
  </si>
  <si>
    <t>https://www.timeshighereducation.com/world-university-rankings/university-indonesia</t>
  </si>
  <si>
    <t>An-Najah National University</t>
  </si>
  <si>
    <t>Palestine</t>
  </si>
  <si>
    <t>https://www.timeshighereducation.com/world-university-rankings/najah-national-university</t>
  </si>
  <si>
    <t>Arizona State University (Tempe)</t>
  </si>
  <si>
    <t>Master of Sustainability Solutions</t>
  </si>
  <si>
    <t>https://www.timeshighereducation.com/world-university-rankings/arizona-state-university-tempe</t>
  </si>
  <si>
    <t>Candidate Universities - 60 Selected Programs</t>
  </si>
  <si>
    <t>Analytical sample: 30 QS records plus 30 highest-ranked THE records not already selected by QS. Candidate Source retains original top-50 source membership.</t>
  </si>
  <si>
    <t>Candidate Source</t>
  </si>
  <si>
    <t>QS Score</t>
  </si>
  <si>
    <t>THE Overall Score</t>
  </si>
  <si>
    <t>QS Sustainability</t>
  </si>
  <si>
    <t>Both</t>
  </si>
  <si>
    <t>THE Impact</t>
  </si>
  <si>
    <t>Program Verification - 60 Selected Programs</t>
  </si>
  <si>
    <t>One current sustainability/environment-related master's program or explicitly labeled best-fit path per selected institution. Official university URLs are retained.</t>
  </si>
  <si>
    <t>Program Name</t>
  </si>
  <si>
    <t>Match Type</t>
  </si>
  <si>
    <t>Verification Status</t>
  </si>
  <si>
    <t>Official Program URL</t>
  </si>
  <si>
    <t>Verification Date</t>
  </si>
  <si>
    <t>URL Audit</t>
  </si>
  <si>
    <t>HTTP Status</t>
  </si>
  <si>
    <t>Verification Note</t>
  </si>
  <si>
    <t>Direct</t>
  </si>
  <si>
    <t>Confirmed</t>
  </si>
  <si>
    <t>https://www.lunduniversity.lu.se/study/environmental-studies-and-sustainability-science-master-of-science-programme-SAESS</t>
  </si>
  <si>
    <t>2026-07-18</t>
  </si>
  <si>
    <t>OK</t>
  </si>
  <si>
    <t>Current official degree page.</t>
  </si>
  <si>
    <t>https://www.environment.utoronto.ca/graduate/mes</t>
  </si>
  <si>
    <t>Carried forward and included for URL recheck.</t>
  </si>
  <si>
    <t>https://www.ucl.ac.uk/prospective-students/graduate/taught-degrees/sustainable-resources-economics-policy-and-transitions-msc</t>
  </si>
  <si>
    <t>https://www.business-school.ed.ac.uk/msc/global-strategy-sustainability</t>
  </si>
  <si>
    <t>https://apscpp.ubc.ca/programs/mel/clean-energy-engineering</t>
  </si>
  <si>
    <t>Replaced the paused Sustainable Process Engineering MEL with the current Clean Energy Engineering MEL.</t>
  </si>
  <si>
    <t>https://www.lse.ac.uk/study-at-lse/graduate/msc-environmental-policy-and-regulation</t>
  </si>
  <si>
    <t>https://www.imperial.ac.uk/business-school/masters/climate-change-management-finance/</t>
  </si>
  <si>
    <t>https://www.unsw.edu.au/study/postgraduate/master-of-environmental-management</t>
  </si>
  <si>
    <t>Research</t>
  </si>
  <si>
    <t>https://www.mcgill.ca/gradapplicants/program/geography-msc</t>
  </si>
  <si>
    <t>The previous Sustainability, Science &amp; Society entry was an undergraduate program. The current Geography MSc includes Sustainability Science and Environmental Management as a thematic area.</t>
  </si>
  <si>
    <t>https://www.manchester.ac.uk/study/masters/courses/list/06967/msc-environmental-governance/</t>
  </si>
  <si>
    <t>Updated to the current 2026 course identifier and URL.</t>
  </si>
  <si>
    <t>https://ethz.ch/en/studies/master/degree-programmes/system-oriented-natural-sciences/environmental-sciences.html</t>
  </si>
  <si>
    <t>Updated to the current ETH degree-program URL.</t>
  </si>
  <si>
    <t>https://study.unimelb.edu.au/find/courses/graduate/master-of-environment/</t>
  </si>
  <si>
    <t>Blocked by site (403)</t>
  </si>
  <si>
    <t>https://climatesolutions.berkeley.edu/</t>
  </si>
  <si>
    <t>Restricted</t>
  </si>
  <si>
    <t>https://bulletin.stanford.edu/programs/SUSTSCI-MS/general-aoYks</t>
  </si>
  <si>
    <t>Current interdisciplinary sustainability master's, but it is a coterminal program for Stanford students.</t>
  </si>
  <si>
    <t>https://www.smithschool.ox.ac.uk/course/msc-sustainability-enterprise-and-environment</t>
  </si>
  <si>
    <t>https://www.sydney.edu.au/courses/courses/pc/master-of-sustainability.html</t>
  </si>
  <si>
    <t>https://programsandcourses.anu.edu.au/program/MCLCH</t>
  </si>
  <si>
    <t>https://www.kcl.ac.uk/study/postgraduate-taught/courses/environment-politics-and-development-msc</t>
  </si>
  <si>
    <t>https://www.bristol.ac.uk/study/postgraduate/taught/msc-environmental-policy-and-management/</t>
  </si>
  <si>
    <t>https://www.sps.nyu.edu/homepage/academics/masters-degrees/ms-in-environmental-policy-and-sustainability-management.html</t>
  </si>
  <si>
    <t>https://www.ems.psu.edu/academics/find-program-study/renewable-energy-and-sustainability-systems-mps</t>
  </si>
  <si>
    <t>https://www.kuleuven.be/programmes/master-sustainable-development</t>
  </si>
  <si>
    <t>https://www.helsinki.fi/en/degree-programmes/environmental-change-and-global-sustainability-masters-programme</t>
  </si>
  <si>
    <t>https://www.durham.ac.uk/departments/academic/geography/postgraduate-study/taught-masters/</t>
  </si>
  <si>
    <t>Official taught-master's listing; the program is new for 2026.</t>
  </si>
  <si>
    <t>https://courses.leeds.ac.uk/j985/sustainability-environment-and-development-msc</t>
  </si>
  <si>
    <t>Official 2026 entry page.</t>
  </si>
  <si>
    <t>https://www.uwo.ca/mes/</t>
  </si>
  <si>
    <t>https://www.gla.ac.uk/postgraduate/taught/environmentsustainabledevelopment/</t>
  </si>
  <si>
    <t>https://www.auckland.ac.nz/en/study/study-options/find-a-study-option/master-of-environmental-science-menvsci.html</t>
  </si>
  <si>
    <t>https://www.tcd.ie/courses/postgraduate/courses/environmental-sciences-msc--pgraddip/</t>
  </si>
  <si>
    <t>https://www.lps.upenn.edu/degree-programs/mes</t>
  </si>
  <si>
    <t>https://www.exeter.ac.uk/masters-degrees/msc-global-sustainability-solutions/</t>
  </si>
  <si>
    <t>Current official 2026 entry page.</t>
  </si>
  <si>
    <t>Major</t>
  </si>
  <si>
    <t>https://www.griffith.edu.au/study/degrees/master-of-global-development-5724</t>
  </si>
  <si>
    <t>Sustainability is a named major within the degree.</t>
  </si>
  <si>
    <t>https://www.westernsydney.edu.au/future/study/courses/postgraduate/master-of-sustainable-tourism-hospitality-and-event-management</t>
  </si>
  <si>
    <t>Current official degree page; domain-specific sustainability program.</t>
  </si>
  <si>
    <t>https://www.queensu.ca/ensc/graduate/programs-overview</t>
  </si>
  <si>
    <t>Official graduate-program overview.</t>
  </si>
  <si>
    <t>https://cgss.usm.my/programmes/postgraduate/coursework/masters-in-sustainable-development-practice-msdp</t>
  </si>
  <si>
    <t>Best-fit</t>
  </si>
  <si>
    <t>https://hygce.hanyang.ac.kr/-eng-1</t>
  </si>
  <si>
    <t>Official graduate-school page; several environment/climate majors rather than one generic degree.</t>
  </si>
  <si>
    <t>https://www.ees.hokudai.ac.jp/?lang=en</t>
  </si>
  <si>
    <t>Official graduate school page; select a division before analysis.</t>
  </si>
  <si>
    <t>https://www.ukm.my/lestari/program-siswazah/</t>
  </si>
  <si>
    <t>Official LESTARI research-master's page.</t>
  </si>
  <si>
    <t>https://www.institut-agro.fr/fr/nos-formations</t>
  </si>
  <si>
    <t>Official program catalogue; pathway is delivered within the national master's structure.</t>
  </si>
  <si>
    <t>https://mpb.ntu.edu.tw/about/overview</t>
  </si>
  <si>
    <t>English-taught program with a Biodiversity Conservation and Sustainability theme.</t>
  </si>
  <si>
    <t>https://apps.ualberta.ca/catalogue/course/sust</t>
  </si>
  <si>
    <t>Official catalogue confirms the course-based Master of Sustainability and capstone.</t>
  </si>
  <si>
    <t>https://gsles.korea.edu/gsles_en/master/subject07.do</t>
  </si>
  <si>
    <t>Official graduate-school major page.</t>
  </si>
  <si>
    <t>https://s2kesling.fkm.unair.ac.id/</t>
  </si>
  <si>
    <t>Automated fetch failed</t>
  </si>
  <si>
    <t>Official program site.</t>
  </si>
  <si>
    <t>https://www.pusan.ac.kr/eng/CMS/OrganizationMgr/SpecialGraduateInfo.do?gc_code=280000&amp;gc_parent_code=NONE-009&amp;mCode=MN021</t>
  </si>
  <si>
    <t>Official graduate-school page; choose the relevant environmental major.</t>
  </si>
  <si>
    <t>https://www.utas.edu.au/courses/cse/courses/p7b-master-of-environmental-geospatial-science</t>
  </si>
  <si>
    <t>Unresolved</t>
  </si>
  <si>
    <t>Manual review required</t>
  </si>
  <si>
    <t>https://continuing.mcmaster.ca/programs/business/sustainability/</t>
  </si>
  <si>
    <t>The official page found is a continuing-education sustainability certificate/diploma, not a master's degree.</t>
  </si>
  <si>
    <t>https://www.eds.grad.chula.ac.th/academics/degree-program/</t>
  </si>
  <si>
    <t>https://en.knu.ac.kr/admission/foreign02_inc.htm</t>
  </si>
  <si>
    <t>Official graduate admissions listing; dedicated English program page was not located.</t>
  </si>
  <si>
    <t>https://cee.hkust.edu.hk/msc-environmental-engineering-and-management</t>
  </si>
  <si>
    <t>https://www.lpu.in/international/programmes/msc-environmental-sciences</t>
  </si>
  <si>
    <t>Current official international-program page.</t>
  </si>
  <si>
    <t>https://sts.um.edu.my/master-of-sustainability-science.html</t>
  </si>
  <si>
    <t>https://www.en.aau.dk/education/master/sustainable-cities</t>
  </si>
  <si>
    <t>https://eng.khu.ac.kr/eng_eng/user/contents/view.do?menuNo=17200012</t>
  </si>
  <si>
    <t>Official department page; not a standalone sustainability master's page.</t>
  </si>
  <si>
    <t>https://www.uvic.ca/socialsciences/environmental/programs/graduate/index.php</t>
  </si>
  <si>
    <t>Official research-master's page.</t>
  </si>
  <si>
    <t>https://handbook.cqu.edu.au/he/courses/view/CM82/HT1/2025</t>
  </si>
  <si>
    <t>Official handbook page; the page shows current course information and 2026 fees.</t>
  </si>
  <si>
    <t>https://www.newcastle.edu.au/degrees/master-environmental-management-sustainability</t>
  </si>
  <si>
    <t>https://www.northumbria.ac.uk/study-at-northumbria/courses/disaster-management-and-sustainable-development-with-advanced-practice-msc-ft-dtsdds6/</t>
  </si>
  <si>
    <t>Current official 2026 program page.</t>
  </si>
  <si>
    <t>https://sil.ui.ac.id/en/master-of-environmental-science/</t>
  </si>
  <si>
    <t>https://www.najah.edu/en/academic/postgraduate-programs/program/environmental-sciences/info-card/</t>
  </si>
  <si>
    <t>https://degrees.apps.asu.edu/masters-phd/major/ASU00/SUSUSOMSUS/sustainability-solutions-msus?init=false&amp;nopassive=true</t>
  </si>
  <si>
    <t>Official degree-search page for the Tempe program.</t>
  </si>
  <si>
    <t>QS Sustainability Rankings 2026 - 30 Selected Programs</t>
  </si>
  <si>
    <t>Exactly 30 records in official ranking order. Rank 30 and score 95.3 are tied; official source order is the final deterministic tiebreaker.</t>
  </si>
  <si>
    <t>Rank</t>
  </si>
  <si>
    <t>Rank Number</t>
  </si>
  <si>
    <t>University</t>
  </si>
  <si>
    <t>Location</t>
  </si>
  <si>
    <t>Overall Score</t>
  </si>
  <si>
    <t>Environmental Sustainability</t>
  </si>
  <si>
    <t>Environmental Education</t>
  </si>
  <si>
    <t>Environmental Research</t>
  </si>
  <si>
    <t>Equality</t>
  </si>
  <si>
    <t>Knowledge Exchange</t>
  </si>
  <si>
    <t>Impact of Education</t>
  </si>
  <si>
    <t>Employability &amp; Opportunities</t>
  </si>
  <si>
    <t>Good Governance</t>
  </si>
  <si>
    <t>Lund, Sweden</t>
  </si>
  <si>
    <t>Toronto, Canada</t>
  </si>
  <si>
    <t>London, United Kingdom</t>
  </si>
  <si>
    <t>Edinburgh, United Kingdom</t>
  </si>
  <si>
    <t>Vancouver, Canada</t>
  </si>
  <si>
    <t>Sydney, Australia</t>
  </si>
  <si>
    <t>Montreal, Canada</t>
  </si>
  <si>
    <t>Manchester, United Kingdom</t>
  </si>
  <si>
    <t>Zürich, Switzerland</t>
  </si>
  <si>
    <t>Melbourne, Australia</t>
  </si>
  <si>
    <t>Berkeley, United States</t>
  </si>
  <si>
    <t>Stanford, United States</t>
  </si>
  <si>
    <t>Oxford, United Kingdom</t>
  </si>
  <si>
    <t>Canberra, Australia</t>
  </si>
  <si>
    <t>Bristol, United Kingdom</t>
  </si>
  <si>
    <t>New York City, United States</t>
  </si>
  <si>
    <t>University Park, United States</t>
  </si>
  <si>
    <t>Leuven, Belgium</t>
  </si>
  <si>
    <t>Helsinki, Finland</t>
  </si>
  <si>
    <t>Durham, United Kingdom</t>
  </si>
  <si>
    <t>Leeds, United Kingdom</t>
  </si>
  <si>
    <t>London, Canada</t>
  </si>
  <si>
    <t>Glasgow, United Kingdom</t>
  </si>
  <si>
    <t>Auckland, New Zealand</t>
  </si>
  <si>
    <t>Dublin, Ireland</t>
  </si>
  <si>
    <t>Philadelphia, United States</t>
  </si>
  <si>
    <t>THE Sustainability Impact Ratings 2026 - 30 Additional Programs</t>
  </si>
  <si>
    <t>The 30 highest-ranked THE records not already selected in the QS cohort. Removing overlap keeps 60 distinct programs and extends this cohort through rank 33.</t>
  </si>
  <si>
    <t>SDG 17 Score</t>
  </si>
  <si>
    <t>Top SDG Scores (published text)</t>
  </si>
  <si>
    <t>14 LIFE BELOW WATER 95.6 6 CLEAN WATER AND SANITATION 92.4 15 LIFE ON LAND 94.7</t>
  </si>
  <si>
    <t>15 LIFE ON LAND 95.9 12 RESPONSIBLE CONSUMPTION AND PRODUCTION 92.0 10 REDUCING INEQUALITIES 92.3</t>
  </si>
  <si>
    <t>Queen’s University</t>
  </si>
  <si>
    <t>2 ZERO HUNGER 92.2 11 SUSTAINABLE CITIES AND COMMUNITIES 93.6 16 PEACE, JUSTICE AND STRONG INSTITUTIONS 87.5</t>
  </si>
  <si>
    <t>1 NO POVERTY 92.5 14 LIFE BELOW WATER 91.1 15 LIFE ON LAND 91.7</t>
  </si>
  <si>
    <t>9 INDUSTRY, INNOVATION, AND INFRASTRUCTURE 99.9 14 LIFE BELOW WATER 91.6 8 DECENT WORK AND ECONOMIC GROWTH 85.8</t>
  </si>
  <si>
    <t>2 ZERO HUNGER 91.4 9 INDUSTRY, INNOVATION, AND INFRASTRUCTURE 98.0 15 LIFE ON LAND 92.3</t>
  </si>
  <si>
    <t>16 PEACE, JUSTICE AND STRONG INSTITUTIONS 90.8 11 SUSTAINABLE CITIES AND COMMUNITIES 92.8 1 NO POVERTY 90.6</t>
  </si>
  <si>
    <t>15 LIFE ON LAND 95.2 2 ZERO HUNGER 89.8 14 LIFE BELOW WATER 90.7</t>
  </si>
  <si>
    <t>9 INDUSTRY, INNOVATION, AND INFRASTRUCTURE 99.9 2 ZERO HUNGER 91.1 3 GOOD HEALTH AND WELL-BEING 91.8</t>
  </si>
  <si>
    <t>9 INDUSTRY, INNOVATION, AND INFRASTRUCTURE 100.0 14 LIFE BELOW WATER 93.0 2 ZERO HUNGER 86.7</t>
  </si>
  <si>
    <t>8 DECENT WORK AND ECONOMIC GROWTH 91.8 9 INDUSTRY, INNOVATION, AND INFRASTRUCTURE 99.7 12 RESPONSIBLE CONSUMPTION AND PRODUCTION 92.4</t>
  </si>
  <si>
    <t>1 NO POVERTY 89.7 6 CLEAN WATER AND SANITATION 89.5 3 GOOD HEALTH AND WELL-BEING 88.5</t>
  </si>
  <si>
    <t>9 INDUSTRY, INNOVATION, AND INFRASTRUCTURE 97.5 8 DECENT WORK AND ECONOMIC GROWTH 89.2 12 RESPONSIBLE CONSUMPTION AND PRODUCTION 86.2</t>
  </si>
  <si>
    <t>13 CLIMATE ACTION 91.6 14 LIFE BELOW WATER 88.1 6 CLEAN WATER AND SANITATION 86.0</t>
  </si>
  <si>
    <t>9 INDUSTRY, INNOVATION, AND INFRASTRUCTURE 97.7 3 GOOD HEALTH AND WELL-BEING 90.5 6 CLEAN WATER AND SANITATION 88.2</t>
  </si>
  <si>
    <t>9 INDUSTRY, INNOVATION, AND INFRASTRUCTURE 99.8 3 GOOD HEALTH AND WELL-BEING 90.0 14 LIFE BELOW WATER 90.6</t>
  </si>
  <si>
    <t>8 DECENT WORK AND ECONOMIC GROWTH 91.4 9 INDUSTRY, INNOVATION, AND INFRASTRUCTURE 99.5 15 LIFE ON LAND 90.5</t>
  </si>
  <si>
    <t>9 INDUSTRY, INNOVATION, AND INFRASTRUCTURE 99.9 15 LIFE ON LAND 92.3 11 SUSTAINABLE CITIES AND COMMUNITIES 89.2</t>
  </si>
  <si>
    <t>12 RESPONSIBLE CONSUMPTION AND PRODUCTION 92.6 14 LIFE BELOW WATER 94.6 15 LIFE ON LAND 95.3</t>
  </si>
  <si>
    <t>7 AFFORDABLE AND CLEAN ENERGY 86.0 6 CLEAN WATER AND SANITATION 92.5 2 ZERO HUNGER 90.1</t>
  </si>
  <si>
    <t>16 PEACE, JUSTICE AND STRONG INSTITUTIONS 86.5 1 NO POVERTY 88.2 6 CLEAN WATER AND SANITATION 84.6</t>
  </si>
  <si>
    <t>9 INDUSTRY, INNOVATION, AND INFRASTRUCTURE 95.8 12 RESPONSIBLE CONSUMPTION AND PRODUCTION 88.5 4 QUALITY EDUCATION 88.5</t>
  </si>
  <si>
    <t>9 INDUSTRY, INNOVATION, AND INFRASTRUCTURE 99.7 16 PEACE, JUSTICE AND STRONG INSTITUTIONS 89.5 2 ZERO HUNGER 90.7</t>
  </si>
  <si>
    <t>15 LIFE ON LAND 94.7 11 SUSTAINABLE CITIES AND COMMUNITIES 89.0 14 LIFE BELOW WATER 88.1</t>
  </si>
  <si>
    <t>14 LIFE BELOW WATER 88.9 3 GOOD HEALTH AND WELL-BEING 85.4 6 CLEAN WATER AND SANITATION 85.2</t>
  </si>
  <si>
    <t>14 LIFE BELOW WATER 95.2 13 CLIMATE ACTION 88.3 15 LIFE ON LAND 92.4</t>
  </si>
  <si>
    <t>12 RESPONSIBLE CONSUMPTION AND PRODUCTION 92.4 15 LIFE ON LAND 95.3 16 PEACE, JUSTICE AND STRONG INSTITUTIONS 84.8</t>
  </si>
  <si>
    <t>9 INDUSTRY, INNOVATION, AND INFRASTRUCTURE 98.5 1 NO POVERTY 88.3 3 GOOD HEALTH AND WELL-BEING 84.8</t>
  </si>
  <si>
    <t>7 AFFORDABLE AND CLEAN ENERGY 84.1 12 RESPONSIBLE CONSUMPTION AND PRODUCTION 88.5 16 PEACE, JUSTICE AND STRONG INSTITUTIONS 85.3</t>
  </si>
  <si>
    <t>13 CLIMATE ACTION 86.9 12 RESPONSIBLE CONSUMPTION AND PRODUCTION 86.2 15 LIFE ON LAND 89.0</t>
  </si>
  <si>
    <t>QS-THE Overlap Analysis - Selected Sample</t>
  </si>
  <si>
    <t>Five selected institutions appear in both source top-50 rankings. Selection Audit assigns each program to one mutually exclusive cohort.</t>
  </si>
  <si>
    <t>Canonical Institution</t>
  </si>
  <si>
    <t>THE Score</t>
  </si>
  <si>
    <t>QS Name</t>
  </si>
  <si>
    <t>THE Name / Alias</t>
  </si>
  <si>
    <t>Identity Note</t>
  </si>
  <si>
    <t>UNSW Sydney</t>
  </si>
  <si>
    <t>Same institution; merged once in the candidate universe.</t>
  </si>
  <si>
    <t>University of Manchester</t>
  </si>
  <si>
    <t>AASHE STARS - 60 Selected Programs</t>
  </si>
  <si>
    <t>Matched against current official participants and reports records. Ratings are not inherited across parent institutions, systems, or campuses.</t>
  </si>
  <si>
    <t>Candidate Institution</t>
  </si>
  <si>
    <t>AASHE Match Status</t>
  </si>
  <si>
    <t>Matched AASHE Institution</t>
  </si>
  <si>
    <t>Rating</t>
  </si>
  <si>
    <t>Score</t>
  </si>
  <si>
    <t>Valid Through</t>
  </si>
  <si>
    <t>AASHE Profile URL</t>
  </si>
  <si>
    <t>Latest Report URL</t>
  </si>
  <si>
    <t>Source URL</t>
  </si>
  <si>
    <t>Scope Note</t>
  </si>
  <si>
    <t>No current exact record</t>
  </si>
  <si>
    <t>https://reports.aashe.org/institutions/participants-and-reports/</t>
  </si>
  <si>
    <t>No exact institution-level match was found in the current AASHE participants and reports table.</t>
  </si>
  <si>
    <t>Campus-only record found</t>
  </si>
  <si>
    <t>University of Toronto Mississauga</t>
  </si>
  <si>
    <t>https://reports.aashe.org/institutions/university-of-toronto-at-mississauga-on/report/</t>
  </si>
  <si>
    <t>https://reports.aashe.org/institutions/university-of-toronto-at-mississauga-on/report/2024-03-01/</t>
  </si>
  <si>
    <t>University of Toronto Mississauga has a current Gold rating, but it is a separate campus record and is not inherited by University of Toronto.</t>
  </si>
  <si>
    <t>Exact name</t>
  </si>
  <si>
    <t>Platinum</t>
  </si>
  <si>
    <t>March 13, 2027</t>
  </si>
  <si>
    <t>https://reports.aashe.org/institutions/mcgill-university-qc/report/</t>
  </si>
  <si>
    <t>https://reports.aashe.org/institutions/mcgill-university-qc/report/2024-01-17/</t>
  </si>
  <si>
    <t>Exact normalized institutional name match.</t>
  </si>
  <si>
    <t>Verified alias</t>
  </si>
  <si>
    <t>University of California, Berkeley</t>
  </si>
  <si>
    <t>April 20, 2028</t>
  </si>
  <si>
    <t>https://reports.aashe.org/institutions/university-of-california-berkeley-ca/report/</t>
  </si>
  <si>
    <t>https://reports.aashe.org/institutions/university-of-california-berkeley-ca/report/2025-02-19/</t>
  </si>
  <si>
    <t>Alias checked as the same institution.</t>
  </si>
  <si>
    <t>Feb. 16, 2029</t>
  </si>
  <si>
    <t>https://reports.aashe.org/institutions/stanford-university-ca/report/</t>
  </si>
  <si>
    <t>https://reports.aashe.org/institutions/stanford-university-ca/report/2025-12-11/</t>
  </si>
  <si>
    <t>New York University</t>
  </si>
  <si>
    <t>Gold</t>
  </si>
  <si>
    <t>March 17, 2028</t>
  </si>
  <si>
    <t>https://reports.aashe.org/institutions/new-york-university-ny/report/</t>
  </si>
  <si>
    <t>https://reports.aashe.org/institutions/new-york-university-ny/report/2025-02-14/</t>
  </si>
  <si>
    <t>Jan. 10, 2027</t>
  </si>
  <si>
    <t>https://reports.aashe.org/institutions/pennsylvania-state-university-pa/report/</t>
  </si>
  <si>
    <t>https://reports.aashe.org/institutions/pennsylvania-state-university-pa/report/2023-12-12/</t>
  </si>
  <si>
    <t>Feb. 28, 2028</t>
  </si>
  <si>
    <t>https://reports.aashe.org/institutions/university-of-western-ontario-on/report/</t>
  </si>
  <si>
    <t>https://reports.aashe.org/institutions/university-of-western-ontario-on/report/2025-01-16/</t>
  </si>
  <si>
    <t>March 6, 2028</t>
  </si>
  <si>
    <t>https://reports.aashe.org/institutions/university-of-pennsylvania-pa/report/</t>
  </si>
  <si>
    <t>https://reports.aashe.org/institutions/university-of-pennsylvania-pa/report/2025-02-18/</t>
  </si>
  <si>
    <t>March 11, 2029</t>
  </si>
  <si>
    <t>https://reports.aashe.org/institutions/university-of-alberta-ab/report/</t>
  </si>
  <si>
    <t>https://reports.aashe.org/institutions/university-of-alberta-ab/report/2025-11-06/</t>
  </si>
  <si>
    <t>June 17, 2028</t>
  </si>
  <si>
    <t>https://reports.aashe.org/institutions/mcmaster-university-on/report/</t>
  </si>
  <si>
    <t>https://reports.aashe.org/institutions/mcmaster-university-on/report/2025-03-14/</t>
  </si>
  <si>
    <t>March 11, 2027</t>
  </si>
  <si>
    <t>https://reports.aashe.org/institutions/university-of-victoria-bc/report/</t>
  </si>
  <si>
    <t>https://reports.aashe.org/institutions/university-of-victoria-bc/report/2023-12-13/</t>
  </si>
  <si>
    <t>Scope review required</t>
  </si>
  <si>
    <t>Arizona State University</t>
  </si>
  <si>
    <t>July 14, 2029</t>
  </si>
  <si>
    <t>https://reports.aashe.org/institutions/arizona-state-university-az/report/</t>
  </si>
  <si>
    <t>https://reports.aashe.org/institutions/arizona-state-university-az/report/2026-04-30/</t>
  </si>
  <si>
    <t>THE identifies the Tempe campus, while the AASHE record is labeled Arizona State University without an explicit campus boundary. Do not assume identical scope without checking the report boundary.</t>
  </si>
  <si>
    <t>UN PRME Signatories and SIP Reports - 60 Selected Programs</t>
  </si>
  <si>
    <t>Verified institution- or school-level signatories and SIP reports dated 2022-2026. School-level scope remains explicit.</t>
  </si>
  <si>
    <t>PRME Match Status</t>
  </si>
  <si>
    <t>Matched Signatory</t>
  </si>
  <si>
    <t>PRME Status</t>
  </si>
  <si>
    <t>Joined Date</t>
  </si>
  <si>
    <t>Recent SIP Count (2022-2026)</t>
  </si>
  <si>
    <t>Latest SIP Report Year</t>
  </si>
  <si>
    <t>Latest SIP Upload Date</t>
  </si>
  <si>
    <t>Latest SIP Title</t>
  </si>
  <si>
    <t>Latest SIP URL</t>
  </si>
  <si>
    <t>Signatory URL</t>
  </si>
  <si>
    <t>Match Score</t>
  </si>
  <si>
    <t>Matched Alias</t>
  </si>
  <si>
    <t>Scope / Match Note</t>
  </si>
  <si>
    <t>Verified - Verified alias</t>
  </si>
  <si>
    <t>Lund University School of Economics and Management (LUSEM)</t>
  </si>
  <si>
    <t>Communicating Signatory</t>
  </si>
  <si>
    <t>Mar 28 2012</t>
  </si>
  <si>
    <t>2025-10-30</t>
  </si>
  <si>
    <t>Lund University School of Economics and Management (LUSEM) - SIP 2025</t>
  </si>
  <si>
    <t>https://commons-static.s3.amazonaws.com/reports/3af0af21718ad75722b7f7dc2428e7f3f9c10432/Lund+University+School+of+Economics+and+Management+(LUSEM)+-+SIP+2025.pdf</t>
  </si>
  <si>
    <t>https://www.unprme.org/lund-university-school-of-economics-and-management-lusem/</t>
  </si>
  <si>
    <t>https://www.unprme.org/search/</t>
  </si>
  <si>
    <t>Lund University School of Economics and Management</t>
  </si>
  <si>
    <t>Verified against the current UN PRME signatory directory; school-level scope is not promoted to the entire university.</t>
  </si>
  <si>
    <t>Rotman School of Management, University of Toronto</t>
  </si>
  <si>
    <t>May 07 2021</t>
  </si>
  <si>
    <t>https://www.unprme.org/rotman-school-of-management-university-of-toronto/</t>
  </si>
  <si>
    <t>No verified match</t>
  </si>
  <si>
    <t>No reliable signatory match</t>
  </si>
  <si>
    <t>University of Edinburgh Business School</t>
  </si>
  <si>
    <t>Nov 18 2015</t>
  </si>
  <si>
    <t>2025-09-23</t>
  </si>
  <si>
    <t>University of Edinburgh Business School - 2025 - SIP Report</t>
  </si>
  <si>
    <t>https://commons-static.s3.amazonaws.com/reports/2dc292b22ff8108e482f774eb6872f3e6a7be786/University+of+Edinburgh+Business+School+-+SIP+2025.pdf</t>
  </si>
  <si>
    <t>https://www.unprme.org/university-of-edinburgh-business-school/</t>
  </si>
  <si>
    <t>Manual review candidate only: University of Northern British Columbia</t>
  </si>
  <si>
    <t>UNSW Business School</t>
  </si>
  <si>
    <t>Non Communicating Signatory</t>
  </si>
  <si>
    <t>Aug 24 2009</t>
  </si>
  <si>
    <t>2024-10-29</t>
  </si>
  <si>
    <t>UNSW Business School - 2024 - SIP Report</t>
  </si>
  <si>
    <t>https://commons-static.s3.amazonaws.com/reports/8d6f9131366dac0c298ee725e6577d6e0a54e832/UNSW+Business+School+-+SIP+2024.pdf</t>
  </si>
  <si>
    <t>https://www.unprme.org/unsw-business-school/</t>
  </si>
  <si>
    <t>Desautels Faculty of Management, McGill University</t>
  </si>
  <si>
    <t>Jul 10 2017</t>
  </si>
  <si>
    <t>https://www.unprme.org/desautels-faculty-of-management-mc-gill-university/</t>
  </si>
  <si>
    <t>Alliance Manchester Business School</t>
  </si>
  <si>
    <t>Jul 25 2019</t>
  </si>
  <si>
    <t>2025-12-10</t>
  </si>
  <si>
    <t>Alliance Manchester Business School - SIP 2025</t>
  </si>
  <si>
    <t>https://commons-static.s3.amazonaws.com/reports/2817850c98d05a2bfe8023ee026d996ef515a85d/Alliance+Manchester+Business+School+-+SIP+2025.pdf</t>
  </si>
  <si>
    <t>https://www.unprme.org/alliance-manchester-business-school/</t>
  </si>
  <si>
    <t>Faculty of Business &amp; Economics and Melbourne Business School</t>
  </si>
  <si>
    <t>Nov 14 2019</t>
  </si>
  <si>
    <t>2025-07-22</t>
  </si>
  <si>
    <t>Faculty of Business &amp; Economics and Melbourne Business School - 2025 - SIP Report</t>
  </si>
  <si>
    <t>https://commons-static.s3.amazonaws.com/reports/732c0a1fc174dbd3f549df2e96a5dae45900b9d0/Faculty+of+Business+&amp;+Economics+and+Melbourne+Business+School+-+SIP+2025.pdf</t>
  </si>
  <si>
    <t>https://www.unprme.org/faculty-of-business-economics-and-melbourne-business-school/</t>
  </si>
  <si>
    <t>Melbourne Business School</t>
  </si>
  <si>
    <t>Haas School of Business</t>
  </si>
  <si>
    <t>Jun 04 2012</t>
  </si>
  <si>
    <t>2025-09-26</t>
  </si>
  <si>
    <t>Haas School of Business - 2025 - SIP Report</t>
  </si>
  <si>
    <t>https://commons-static.s3.amazonaws.com/reports/5a73b747ec74bdd97d5f05bf1ea48d0707e87e50/Haas+School+of+Business+-+SIP+2025.pdf</t>
  </si>
  <si>
    <t>https://www.unprme.org/haas-school-of-business/</t>
  </si>
  <si>
    <t>Manual review candidate only: University of Salford</t>
  </si>
  <si>
    <t>The University of Sydney Business School</t>
  </si>
  <si>
    <t>Feb 08 2016</t>
  </si>
  <si>
    <t>The University of Sydney Business School - 2025 - Sip Report</t>
  </si>
  <si>
    <t>https://commons-static.s3.amazonaws.com/reports/3bb18d9ab531def40a51e637a236689460f8d373/The+University+of+Sydney+Business+School+-+SIP+2025.pdf</t>
  </si>
  <si>
    <t>https://www.unprme.org/the-university-of-sydney-business-school/</t>
  </si>
  <si>
    <t>King's Business School</t>
  </si>
  <si>
    <t>Nov 03 2021</t>
  </si>
  <si>
    <t>2025-09-30</t>
  </si>
  <si>
    <t>King's Business School - 2025 - SIP Report</t>
  </si>
  <si>
    <t>https://commons-static.s3.amazonaws.com/reports/7320828c9153b2a9848d6bc45d3544236b22fc48/King's+Business+School+-+SIP+2025.pdf</t>
  </si>
  <si>
    <t>https://www.unprme.org/kings-business-school/</t>
  </si>
  <si>
    <t>University of Bristol Business School</t>
  </si>
  <si>
    <t>Jul 02 2025</t>
  </si>
  <si>
    <t>https://www.unprme.org/university-of-bristol-business-school/</t>
  </si>
  <si>
    <t>KU Leuven Faculty of Economics and Business</t>
  </si>
  <si>
    <t>Sep 07 2011</t>
  </si>
  <si>
    <t>2025-12-19</t>
  </si>
  <si>
    <t>KU Leuven Faculty of Economics and Business - SIP 2025</t>
  </si>
  <si>
    <t>https://commons-static.s3.amazonaws.com/reports/6c0ac76ca9fe1af889558d11fd9a75e1fb9a0b86/KU+Leuven+Faculty+of+Economics+and+Business+-+SIP+2025.pdf</t>
  </si>
  <si>
    <t>https://www.unprme.org/ku-leuven-faculty-of-economics-and-business/</t>
  </si>
  <si>
    <t>Durham Business School</t>
  </si>
  <si>
    <t>Apr 30 2012</t>
  </si>
  <si>
    <t>Durham Business School - 2025 - SIP Report</t>
  </si>
  <si>
    <t>https://commons-static.s3.amazonaws.com/reports/d36550fc4422fde2c3bb4169c939e24e583e79f0/Durham+University+Business+School+-+SIP+2025.pdf</t>
  </si>
  <si>
    <t>https://www.unprme.org/durham-business-school/</t>
  </si>
  <si>
    <t>Leeds University Business School</t>
  </si>
  <si>
    <t>Jan 11 2010</t>
  </si>
  <si>
    <t>2025-09-29</t>
  </si>
  <si>
    <t>Leeds University Business School - 2025 - SIP Report</t>
  </si>
  <si>
    <t>https://commons-static.s3.amazonaws.com/reports/3554dce55f341edd431fc711f6816673f081452d/Leeds+University+Business+School+-+SIP+2025.pdf</t>
  </si>
  <si>
    <t>https://www.unprme.org/leeds-university-business-school/</t>
  </si>
  <si>
    <t>Ivey Business School</t>
  </si>
  <si>
    <t>Apr 01 2008</t>
  </si>
  <si>
    <t>Ivey Business School - 2025 - SIP Report</t>
  </si>
  <si>
    <t>https://commons-static.s3.amazonaws.com/reports/d5f0d9102728577dfc9eec0a84867f75afbdfe46/Ivey+Business+School+-+SIP+2025.pdf</t>
  </si>
  <si>
    <t>https://www.unprme.org/ivey-business-school/</t>
  </si>
  <si>
    <t>Adam Smith Business School</t>
  </si>
  <si>
    <t>Feb 14 2020</t>
  </si>
  <si>
    <t>Adam Smith Business School - 2025 - SIP Report</t>
  </si>
  <si>
    <t>https://commons-static.s3.amazonaws.com/reports/a1496d4ad0a359b6fe93d819e4a2141bd9d9ac35/Adam+Smith+Business+School+-+SIP+2025.pdf</t>
  </si>
  <si>
    <t>https://www.unprme.org/adam-smith-business-school/</t>
  </si>
  <si>
    <t>University of Auckland Business School</t>
  </si>
  <si>
    <t>Oct 23 2013</t>
  </si>
  <si>
    <t>2025-09-28</t>
  </si>
  <si>
    <t>University of Auckland Business School - 2025 - SIP Report</t>
  </si>
  <si>
    <t>https://commons-static.s3.amazonaws.com/reports/ce09b127d48f83868a45645e246d3b52f4bdecbe/University+of+Auckland+Business+School+-+SIP+2025.pdf</t>
  </si>
  <si>
    <t>https://www.unprme.org/university-of-auckland-business-school/</t>
  </si>
  <si>
    <t>Trinity Business School</t>
  </si>
  <si>
    <t>Oct 11 2017</t>
  </si>
  <si>
    <t>Trinity Business School - 2025 - SIP Report</t>
  </si>
  <si>
    <t>https://commons-static.s3.amazonaws.com/reports/34c66477519b949b09b45e131347c17b5822a30a/Trinity+Business+School+-+SIP+2025.pdf</t>
  </si>
  <si>
    <t>https://www.unprme.org/trinity-business-school/</t>
  </si>
  <si>
    <t>Verified - Exact/contained institution</t>
  </si>
  <si>
    <t>Slippery Rock University of Pennsylvania</t>
  </si>
  <si>
    <t>Apr 03 2014</t>
  </si>
  <si>
    <t>2025-12-31</t>
  </si>
  <si>
    <t>Slippery Rock SIP 2025</t>
  </si>
  <si>
    <t>https://d30mzt1bxg5llt.cloudfront.net/public/uploads/sip-reports/SRU-PRME-Report-2025-12-31-final.pdf</t>
  </si>
  <si>
    <t>https://www.unprme.org/slippery-rock-university-of-pennsylvania/</t>
  </si>
  <si>
    <t>University of Exeter Business School</t>
  </si>
  <si>
    <t>May 20 2010</t>
  </si>
  <si>
    <t>University of Exeter Business School - 2025 - SIP Report</t>
  </si>
  <si>
    <t>https://commons-static.s3.amazonaws.com/reports/855679730970f8a0fca717e82e76cc93053c09c1/University+of+Exeter+Business+School+-+SIP+2025.pdf</t>
  </si>
  <si>
    <t>https://www.unprme.org/university-of-exeter-business-school/</t>
  </si>
  <si>
    <t>Griffith Business School</t>
  </si>
  <si>
    <t>2025-09-02</t>
  </si>
  <si>
    <t>Griffith Business School - 2025 - SIP Report</t>
  </si>
  <si>
    <t>https://commons-static.s3.amazonaws.com/reports/b4ef7df17d3dc74720cd2a8fe98a173f9576d007/Griffith+Business+School+-+SIP+2025.pdf</t>
  </si>
  <si>
    <t>https://www.unprme.org/griffith-business-school/</t>
  </si>
  <si>
    <t>Manual review candidate only: The University of Sydney Business School</t>
  </si>
  <si>
    <t>Smith School of Business</t>
  </si>
  <si>
    <t>2022-03-25</t>
  </si>
  <si>
    <t>Smith School of Business - 2022 - Sip Report</t>
  </si>
  <si>
    <t>https://d30mzt1bxg5llt.cloudfront.net/public/uploads/sip-reports/PRME_Report_2022.pdf</t>
  </si>
  <si>
    <t>https://www.unprme.org/smith-school-of-business/</t>
  </si>
  <si>
    <t>Graduate School of Business, Universiti Sains Malaysia</t>
  </si>
  <si>
    <t>Apr 22 2014</t>
  </si>
  <si>
    <t>https://www.unprme.org/graduate-school-of-business/</t>
  </si>
  <si>
    <t>No country-compatible signatory</t>
  </si>
  <si>
    <t>Manual review candidate only: Graduate School of Business, Universiti Sains Malaysia</t>
  </si>
  <si>
    <t>Feb 06 2025</t>
  </si>
  <si>
    <t>https://www.unprme.org/universitas-airlangga/</t>
  </si>
  <si>
    <t>The Tasmanian School of Business and Economics</t>
  </si>
  <si>
    <t>Nov 18 2021</t>
  </si>
  <si>
    <t>2026-03-18</t>
  </si>
  <si>
    <t>The Tasmanian School of Business and Economics - SIP 2026</t>
  </si>
  <si>
    <t>https://commons-static.s3.amazonaws.com/reports/c9ca442765657fc90e9e779c34d0d2259d2c3c5b/The+Tasmanian+School+of+Business+and+Economics+-+SIP+2026.pdf</t>
  </si>
  <si>
    <t>https://www.unprme.org/university-of-tasmania/</t>
  </si>
  <si>
    <t>Tasmanian School of Business and Economics</t>
  </si>
  <si>
    <t>Chulalongkorn Business School</t>
  </si>
  <si>
    <t>Nov 24 2025</t>
  </si>
  <si>
    <t>https://www.unprme.org/chulalongkorn-business-school/</t>
  </si>
  <si>
    <t>HKUST Business School</t>
  </si>
  <si>
    <t>Oct 23 2009</t>
  </si>
  <si>
    <t>2015-09-10</t>
  </si>
  <si>
    <t>HKUST Business School - 2015 - SIP Report</t>
  </si>
  <si>
    <t>https://d30mzt1bxg5llt.cloudfront.net/public/uploads/sip-reports/PRMEReportfromHKUSTJune2013toJune2015.doc</t>
  </si>
  <si>
    <t>https://www.unprme.org/hkust-business-school/</t>
  </si>
  <si>
    <t>Manual review candidate only: Amrita School of Business</t>
  </si>
  <si>
    <t>Gustavson School of Business</t>
  </si>
  <si>
    <t>Jan 15 2009</t>
  </si>
  <si>
    <t>Gustavson School of Business - 2025 - SIP Report</t>
  </si>
  <si>
    <t>https://commons-static.s3.amazonaws.com/reports/d0226f9e35dab55020fca272f6d56ff5812633fd/Gustavson+School+of+Business+-+SIP+2025.pdf</t>
  </si>
  <si>
    <t>https://www.unprme.org/university-of-victoria-gustavson-school-of-business/</t>
  </si>
  <si>
    <t>School of Business and Law - Central Queensland University</t>
  </si>
  <si>
    <t>Jul 23 2015</t>
  </si>
  <si>
    <t>School of Business and Law - Central Queensland University - 2025 - Sip Report</t>
  </si>
  <si>
    <t>https://commons-static.s3.amazonaws.com/reports/9f682df245668969bbcd5395bdc2882591eeecde/School+of+Business+and+Law+-+Central+Queensland+University+-+SIP+2025.pdf</t>
  </si>
  <si>
    <t>https://www.unprme.org/school-of-business-and-law-central-queensland-university/</t>
  </si>
  <si>
    <t>Newcastle Business School, University of Newcastle</t>
  </si>
  <si>
    <t>Feb 23 2015</t>
  </si>
  <si>
    <t>https://www.unprme.org/newcastle-business-school/</t>
  </si>
  <si>
    <t>Newcastle Business School, University of Northumbria</t>
  </si>
  <si>
    <t>Oct 31 2014</t>
  </si>
  <si>
    <t>https://www.unprme.org/newcastle-business-school-northumbria/</t>
  </si>
  <si>
    <t>Manual review candidate only: Faculty of Economics and Business, Universitas Andalas</t>
  </si>
  <si>
    <t>OpenAlex Research Signals (2021-2025) - 60 Selected Programs</t>
  </si>
  <si>
    <t>Institution matches and keyword-based research signals from the prior collection. Uncollected rows remain blank and must not be interpreted as zero.</t>
  </si>
  <si>
    <t>Collection Status</t>
  </si>
  <si>
    <t>Matched OpenAlex Institution</t>
  </si>
  <si>
    <t>Match Status</t>
  </si>
  <si>
    <t>Country Code</t>
  </si>
  <si>
    <t>Institution Type</t>
  </si>
  <si>
    <t>ROR</t>
  </si>
  <si>
    <t>OpenAlex ID</t>
  </si>
  <si>
    <t>All-time Works</t>
  </si>
  <si>
    <t>All-time Citations</t>
  </si>
  <si>
    <t>All-time H-index</t>
  </si>
  <si>
    <t>Two-year Mean Citedness</t>
  </si>
  <si>
    <t>Keyword Works 2021-2025</t>
  </si>
  <si>
    <t>Top-25 Citations</t>
  </si>
  <si>
    <t>Top Matching Work</t>
  </si>
  <si>
    <t>Works Query URL</t>
  </si>
  <si>
    <t>Institution Search URL</t>
  </si>
  <si>
    <t>Collection Note / Error</t>
  </si>
  <si>
    <t>Collected</t>
  </si>
  <si>
    <t>Verified</t>
  </si>
  <si>
    <t>SE</t>
  </si>
  <si>
    <t>education</t>
  </si>
  <si>
    <t>https://ror.org/012a77v79</t>
  </si>
  <si>
    <t>https://openalex.org/I187531555</t>
  </si>
  <si>
    <t>The Astropy Project: Sustaining and Growing a Community-oriented Open-source Project and the Latest Major Release (v5.0) of the Core Package (2022; 4749 citations)</t>
  </si>
  <si>
    <t>https://api.openalex.org/works?filter=authorships.institutions.id%3AI187531555%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</si>
  <si>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https://api.openalex.org/institutions?search=Lund+University&amp;per_page=5&amp;select=id%2Cror%2Cdisplay_name%2Ccountry_code%2Ctype%2Chomepage_url%2Cworks_count%2Ccited_by_count%2Csummary_stats%2Cdisplay_name_alternatives&amp;mailto=busa649%40example.com</t>
  </si>
  <si>
    <t>CA</t>
  </si>
  <si>
    <t>https://ror.org/03dbr7087</t>
  </si>
  <si>
    <t>https://openalex.org/I185261750</t>
  </si>
  <si>
    <t>PRISMA 2020 explanation and elaboration: updated guidance and exemplars for reporting systematic reviews (2021; 11186 citations)</t>
  </si>
  <si>
    <t>https://api.openalex.org/works?filter=authorships.institutions.id%3AI185261750%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</si>
  <si>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https://api.openalex.org/institutions?search=University+of+Toronto&amp;per_page=5&amp;select=id%2Cror%2Cdisplay_name%2Ccountry_code%2Ctype%2Chomepage_url%2Cworks_count%2Ccited_by_count%2Csummary_stats%2Cdisplay_name_alternatives&amp;mailto=busa649%40example.com</t>
  </si>
  <si>
    <t>University College London</t>
  </si>
  <si>
    <t>GB</t>
  </si>
  <si>
    <t>https://ror.org/02jx3x895</t>
  </si>
  <si>
    <t>https://openalex.org/I45129253</t>
  </si>
  <si>
    <t>https://api.openalex.org/works?filter=authorships.institutions.id%3AI45129253%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</si>
  <si>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https://api.openalex.org/institutions?search=University+College+London&amp;per_page=5&amp;select=id%2Cror%2Cdisplay_name%2Ccountry_code%2Ctype%2Chomepage_url%2Cworks_count%2Ccited_by_count%2Csummary_stats%2Cdisplay_name_alternatives&amp;mailto=busa649%40example.com</t>
  </si>
  <si>
    <t>No reliable match</t>
  </si>
  <si>
    <t>https://api.openalex.org/institutions?search=The+University+of+Edinburgh&amp;per_page=5&amp;select=id%2Cror%2Cdisplay_name%2Ccountry_code%2Ctype%2Chomepage_url%2Cworks_count%2Ccited_by_count%2Csummary_stats%2Cdisplay_name_alternatives&amp;mailto=busa649%40example.com</t>
  </si>
  <si>
    <t>No OpenAlex search result</t>
  </si>
  <si>
    <t>https://ror.org/03rmrcq20</t>
  </si>
  <si>
    <t>https://openalex.org/I141945490</t>
  </si>
  <si>
    <t>A clinical case definition of post-COVID-19 condition by a Delphi consensus (2021; 2600 citations)</t>
  </si>
  <si>
    <t>https://api.openalex.org/works?filter=authorships.institutions.id%3AI141945490%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</si>
  <si>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https://api.openalex.org/institutions?search=University+of+British+Columbia&amp;per_page=5&amp;select=id%2Cror%2Cdisplay_name%2Ccountry_code%2Ctype%2Chomepage_url%2Cworks_count%2Ccited_by_count%2Csummary_stats%2Cdisplay_name_alternatives&amp;mailto=busa649%40example.com</t>
  </si>
  <si>
    <t>London School of Economics and Political Science</t>
  </si>
  <si>
    <t>https://ror.org/0090zs177</t>
  </si>
  <si>
    <t>https://openalex.org/I909854389</t>
  </si>
  <si>
    <t>The 2022 report of the Lancet Countdown on health and climate change: health at the mercy of fossil fuels (2022; 1627 citations)</t>
  </si>
  <si>
    <t>https://api.openalex.org/works?filter=authorships.institutions.id%3AI909854389%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</si>
  <si>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London+School+of+Economics+and+Political+Science&amp;per_page=5&amp;select=id%2Cror%2Cdisplay_name%2Ccountry_code%2Ctype%2Chomepage_url%2Cworks_count%2Ccited_by_count%2Csummary_stats%2Cdisplay_name_alternatives&amp;mailto=busa649%40example.com</t>
  </si>
  <si>
    <t>https://ror.org/041kmwe10</t>
  </si>
  <si>
    <t>https://openalex.org/I47508984</t>
  </si>
  <si>
    <t>The 5th edition of the World Health Organization Classification of Haematolymphoid Tumours: Myeloid and Histiocytic/Dendritic Neoplasms (2022; 3974 citations)</t>
  </si>
  <si>
    <t>https://api.openalex.org/works?filter=authorships.institutions.id%3AI47508984%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</si>
  <si>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https://api.openalex.org/institutions?search=Imperial+College+London&amp;per_page=5&amp;select=id%2Cror%2Cdisplay_name%2Ccountry_code%2Ctype%2Chomepage_url%2Cworks_count%2Ccited_by_count%2Csummary_stats%2Cdisplay_name_alternatives&amp;mailto=busa649%40example.com</t>
  </si>
  <si>
    <t>AU</t>
  </si>
  <si>
    <t>https://ror.org/03r8z3t63</t>
  </si>
  <si>
    <t>https://openalex.org/I31746571</t>
  </si>
  <si>
    <t>Natural products in drug discovery: advances and opportunities (2021; 5097 citations)</t>
  </si>
  <si>
    <t>https://api.openalex.org/works?filter=authorships.institutions.id%3AI31746571%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</si>
  <si>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https://api.openalex.org/institutions?search=University+of+New+South+Wales&amp;per_page=5&amp;select=id%2Cror%2Cdisplay_name%2Ccountry_code%2Ctype%2Chomepage_url%2Cworks_count%2Ccited_by_count%2Csummary_stats%2Cdisplay_name_alternatives&amp;mailto=busa649%40example.com</t>
  </si>
  <si>
    <t>https://ror.org/01pxwe438</t>
  </si>
  <si>
    <t>https://openalex.org/I5023651</t>
  </si>
  <si>
    <t>Strengthening the Reporting of Observational Studies in Epidemiology Using Mendelian Randomization (2021; 4065 citations)</t>
  </si>
  <si>
    <t>https://api.openalex.org/works?filter=authorships.institutions.id%3AI5023651%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</si>
  <si>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https://api.openalex.org/institutions?search=McGill+University&amp;per_page=5&amp;select=id%2Cror%2Cdisplay_name%2Ccountry_code%2Ctype%2Chomepage_url%2Cworks_count%2Ccited_by_count%2Csummary_stats%2Cdisplay_name_alternatives&amp;mailto=busa649%40example.com</t>
  </si>
  <si>
    <t>https://api.openalex.org/institutions?search=The+University+of+Manchester&amp;per_page=5&amp;select=id%2Cror%2Cdisplay_name%2Ccountry_code%2Ctype%2Chomepage_url%2Cworks_count%2Ccited_by_count%2Csummary_stats%2Cdisplay_name_alternatives&amp;mailto=busa649%40example.com</t>
  </si>
  <si>
    <t>CH</t>
  </si>
  <si>
    <t>https://ror.org/05a28rw58</t>
  </si>
  <si>
    <t>https://openalex.org/I35440088</t>
  </si>
  <si>
    <t>https://api.openalex.org/works?filter=authorships.institutions.id%3AI35440088%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</si>
  <si>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https://api.openalex.org/institutions?search=ETH+Zurich&amp;per_page=5&amp;select=id%2Cror%2Cdisplay_name%2Ccountry_code%2Ctype%2Chomepage_url%2Cworks_count%2Ccited_by_count%2Csummary_stats%2Cdisplay_name_alternatives&amp;mailto=busa649%40example.com</t>
  </si>
  <si>
    <t>https://ror.org/01ej9dk98</t>
  </si>
  <si>
    <t>https://openalex.org/I165779595</t>
  </si>
  <si>
    <t>Large-scale cis- and trans-eQTL analyses identify thousands of genetic loci and polygenic scores that regulate blood gene expression (2021; 2221 citations)</t>
  </si>
  <si>
    <t>https://api.openalex.org/works?filter=authorships.institutions.id%3AI165779595%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</si>
  <si>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https://api.openalex.org/institutions?search=The+University+of+Melbourne&amp;per_page=5&amp;select=id%2Cror%2Cdisplay_name%2Ccountry_code%2Ctype%2Chomepage_url%2Cworks_count%2Ccited_by_count%2Csummary_stats%2Cdisplay_name_alternatives&amp;mailto=busa649%40example.com</t>
  </si>
  <si>
    <t>US</t>
  </si>
  <si>
    <t>https://ror.org/01an7q238</t>
  </si>
  <si>
    <t>https://openalex.org/I95457486</t>
  </si>
  <si>
    <t>Informer: Beyond Efficient Transformer for Long Sequence Time-Series Forecasting (2021; 6303 citations)</t>
  </si>
  <si>
    <t>https://api.openalex.org/works?filter=authorships.institutions.id%3AI95457486%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</si>
  <si>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https://api.openalex.org/institutions?search=University+of+California+Berkeley&amp;per_page=5&amp;select=id%2Cror%2Cdisplay_name%2Ccountry_code%2Ctype%2Chomepage_url%2Cworks_count%2Ccited_by_count%2Csummary_stats%2Cdisplay_name_alternatives&amp;mailto=busa649%40example.com</t>
  </si>
  <si>
    <t>https://ror.org/00f54p054</t>
  </si>
  <si>
    <t>https://openalex.org/I97018004</t>
  </si>
  <si>
    <t>https://api.openalex.org/works?filter=authorships.institutions.id%3AI97018004%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</si>
  <si>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https://api.openalex.org/institutions?search=Stanford+University&amp;per_page=5&amp;select=id%2Cror%2Cdisplay_name%2Ccountry_code%2Ctype%2Chomepage_url%2Cworks_count%2Ccited_by_count%2Csummary_stats%2Cdisplay_name_alternatives&amp;mailto=busa649%40example.com</t>
  </si>
  <si>
    <t>https://ror.org/052gg0110</t>
  </si>
  <si>
    <t>https://openalex.org/I40120149</t>
  </si>
  <si>
    <t>Cancer statistics for the year 2020: An overview (2021; 5720 citations)</t>
  </si>
  <si>
    <t>https://api.openalex.org/works?filter=authorships.institutions.id%3AI40120149%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</si>
  <si>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https://api.openalex.org/institutions?search=University+of+Oxford&amp;per_page=5&amp;select=id%2Cror%2Cdisplay_name%2Ccountry_code%2Ctype%2Chomepage_url%2Cworks_count%2Ccited_by_count%2Csummary_stats%2Cdisplay_name_alternatives&amp;mailto=busa649%40example.com</t>
  </si>
  <si>
    <t>https://ror.org/0384j8v12</t>
  </si>
  <si>
    <t>https://openalex.org/I129604602</t>
  </si>
  <si>
    <t>A Consensus-Based Checklist for Reporting of Survey Studies (CROSS) (2021; 2161 citations)</t>
  </si>
  <si>
    <t>https://api.openalex.org/works?filter=authorships.institutions.id%3AI129604602%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</si>
  <si>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https://api.openalex.org/institutions?search=The+University+of+Sydney&amp;per_page=5&amp;select=id%2Cror%2Cdisplay_name%2Ccountry_code%2Ctype%2Chomepage_url%2Cworks_count%2Ccited_by_count%2Csummary_stats%2Cdisplay_name_alternatives&amp;mailto=busa649%40example.com</t>
  </si>
  <si>
    <t>Australian National University</t>
  </si>
  <si>
    <t>https://ror.org/019wvm592</t>
  </si>
  <si>
    <t>https://openalex.org/I118347636</t>
  </si>
  <si>
    <t>https://api.openalex.org/works?filter=authorships.institutions.id%3AI118347636%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</si>
  <si>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https://api.openalex.org/institutions?search=Australian+National+University&amp;per_page=5&amp;select=id%2Cror%2Cdisplay_name%2Ccountry_code%2Ctype%2Chomepage_url%2Cworks_count%2Ccited_by_count%2Csummary_stats%2Cdisplay_name_alternatives&amp;mailto=busa649%40example.com</t>
  </si>
  <si>
    <t>https://ror.org/0220mzb33</t>
  </si>
  <si>
    <t>https://openalex.org/I183935753</t>
  </si>
  <si>
    <t>https://api.openalex.org/works?filter=authorships.institutions.id%3AI183935753%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</si>
  <si>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https://api.openalex.org/institutions?search=King%27s+College+London&amp;per_page=5&amp;select=id%2Cror%2Cdisplay_name%2Ccountry_code%2Ctype%2Chomepage_url%2Cworks_count%2Ccited_by_count%2Csummary_stats%2Cdisplay_name_alternatives&amp;mailto=busa649%40example.com</t>
  </si>
  <si>
    <t>https://ror.org/0524sp257</t>
  </si>
  <si>
    <t>https://openalex.org/I36234482</t>
  </si>
  <si>
    <t>https://api.openalex.org/works?filter=authorships.institutions.id%3AI36234482%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</si>
  <si>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https://api.openalex.org/institutions?search=University+of+Bristol&amp;per_page=5&amp;select=id%2Cror%2Cdisplay_name%2Ccountry_code%2Ctype%2Chomepage_url%2Cworks_count%2Ccited_by_count%2Csummary_stats%2Cdisplay_name_alternatives&amp;mailto=busa649%40example.com</t>
  </si>
  <si>
    <t>https://ror.org/0190ak572</t>
  </si>
  <si>
    <t>https://openalex.org/I57206974</t>
  </si>
  <si>
    <t>Surviving sepsis campaign: international guidelines for management of sepsis and septic shock 2021 (2021; 5104 citations)</t>
  </si>
  <si>
    <t>https://api.openalex.org/works?filter=authorships.institutions.id%3AI57206974%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</si>
  <si>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https://api.openalex.org/institutions?search=New+York+University&amp;per_page=5&amp;select=id%2Cror%2Cdisplay_name%2Ccountry_code%2Ctype%2Chomepage_url%2Cworks_count%2Ccited_by_count%2Csummary_stats%2Cdisplay_name_alternatives&amp;mailto=busa649%40example.com</t>
  </si>
  <si>
    <t>https://ror.org/04p491231</t>
  </si>
  <si>
    <t>https://openalex.org/I130769515</t>
  </si>
  <si>
    <t>Towards complete and error-free genome assemblies of all vertebrate species (2021; 3155 citations)</t>
  </si>
  <si>
    <t>https://api.openalex.org/works?filter=authorships.institutions.id%3AI130769515%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</si>
  <si>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https://api.openalex.org/institutions?search=Pennsylvania+State+University&amp;per_page=5&amp;select=id%2Cror%2Cdisplay_name%2Ccountry_code%2Ctype%2Chomepage_url%2Cworks_count%2Ccited_by_count%2Csummary_stats%2Cdisplay_name_alternatives&amp;mailto=busa649%40example.com</t>
  </si>
  <si>
    <t>BE</t>
  </si>
  <si>
    <t>https://ror.org/05f950310</t>
  </si>
  <si>
    <t>https://openalex.org/I99464096</t>
  </si>
  <si>
    <t>2022 ESC/ERS Guidelines for the diagnosis and treatment of pulmonary hypertension (2022; 2110 citations)</t>
  </si>
  <si>
    <t>https://api.openalex.org/works?filter=authorships.institutions.id%3AI99464096%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</si>
  <si>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https://api.openalex.org/institutions?search=KU+Leuven&amp;per_page=5&amp;select=id%2Cror%2Cdisplay_name%2Ccountry_code%2Ctype%2Chomepage_url%2Cworks_count%2Ccited_by_count%2Csummary_stats%2Cdisplay_name_alternatives&amp;mailto=busa649%40example.com</t>
  </si>
  <si>
    <t>FI</t>
  </si>
  <si>
    <t>https://ror.org/040af2s02</t>
  </si>
  <si>
    <t>https://openalex.org/I133731052</t>
  </si>
  <si>
    <t>Dementia prevention, intervention, and care: 2024 report of the Lancet standing Commission (2024; 3130 citations)</t>
  </si>
  <si>
    <t>https://api.openalex.org/works?filter=authorships.institutions.id%3AI133731052%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</si>
  <si>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https://api.openalex.org/institutions?search=University+of+Helsinki&amp;per_page=5&amp;select=id%2Cror%2Cdisplay_name%2Ccountry_code%2Ctype%2Chomepage_url%2Cworks_count%2Ccited_by_count%2Csummary_stats%2Cdisplay_name_alternatives&amp;mailto=busa649%40example.com</t>
  </si>
  <si>
    <t>https://ror.org/01v29qb04</t>
  </si>
  <si>
    <t>https://openalex.org/I190082696</t>
  </si>
  <si>
    <t>A Multi-Modal Distributed Real-Time IoT System for Urban Traffic Control (Invited Paper) (2024; 14340 citations)</t>
  </si>
  <si>
    <t>https://api.openalex.org/works?filter=authorships.institutions.id%3AI190082696%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</si>
  <si>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https://api.openalex.org/institutions?search=Durham+University&amp;per_page=5&amp;select=id%2Cror%2Cdisplay_name%2Ccountry_code%2Ctype%2Chomepage_url%2Cworks_count%2Ccited_by_count%2Csummary_stats%2Cdisplay_name_alternatives&amp;mailto=busa649%40example.com</t>
  </si>
  <si>
    <t>https://ror.org/024mrxd33</t>
  </si>
  <si>
    <t>https://openalex.org/I130828816</t>
  </si>
  <si>
    <t>https://api.openalex.org/works?filter=authorships.institutions.id%3AI130828816%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</si>
  <si>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https://api.openalex.org/institutions?search=University+of+Leeds&amp;per_page=5&amp;select=id%2Cror%2Cdisplay_name%2Ccountry_code%2Ctype%2Chomepage_url%2Cworks_count%2Ccited_by_count%2Csummary_stats%2Cdisplay_name_alternatives&amp;mailto=busa649%40example.com</t>
  </si>
  <si>
    <t>https://ror.org/02grkyz14</t>
  </si>
  <si>
    <t>https://openalex.org/I125749732</t>
  </si>
  <si>
    <t>Global burden of liver disease: 2023 update (2023; 2046 citations)</t>
  </si>
  <si>
    <t>https://api.openalex.org/works?filter=authorships.institutions.id%3AI125749732%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</si>
  <si>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https://api.openalex.org/institutions?search=Western+University&amp;per_page=5&amp;select=id%2Cror%2Cdisplay_name%2Ccountry_code%2Ctype%2Chomepage_url%2Cworks_count%2Ccited_by_count%2Csummary_stats%2Cdisplay_name_alternatives&amp;mailto=busa649%40example.com</t>
  </si>
  <si>
    <t>https://ror.org/00vtgdb53</t>
  </si>
  <si>
    <t>https://openalex.org/I7882870</t>
  </si>
  <si>
    <t>Twelve years of SAMtools and BCFtools (2021; 16205 citations)</t>
  </si>
  <si>
    <t>https://api.openalex.org/works?filter=authorships.institutions.id%3AI7882870%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</si>
  <si>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https://api.openalex.org/institutions?search=University+of+Glasgow&amp;per_page=5&amp;select=id%2Cror%2Cdisplay_name%2Ccountry_code%2Ctype%2Chomepage_url%2Cworks_count%2Ccited_by_count%2Csummary_stats%2Cdisplay_name_alternatives&amp;mailto=busa649%40example.com</t>
  </si>
  <si>
    <t>https://api.openalex.org/institutions?search=The+University+of+Auckland&amp;per_page=5&amp;select=id%2Cror%2Cdisplay_name%2Ccountry_code%2Ctype%2Chomepage_url%2Cworks_count%2Ccited_by_count%2Csummary_stats%2Cdisplay_name_alternatives&amp;mailto=busa649%40example.com</t>
  </si>
  <si>
    <t>Trinity College Dublin</t>
  </si>
  <si>
    <t>IE</t>
  </si>
  <si>
    <t>https://ror.org/02tyrky19</t>
  </si>
  <si>
    <t>https://openalex.org/I205274468</t>
  </si>
  <si>
    <t>https://api.openalex.org/works?filter=authorships.institutions.id%3AI205274468%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</si>
  <si>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Trinity+College+Dublin%2C+The+University+of+Dublin&amp;per_page=5&amp;select=id%2Cror%2Cdisplay_name%2Ccountry_code%2Ctype%2Chomepage_url%2Cworks_count%2Ccited_by_count%2Csummary_stats%2Cdisplay_name_alternatives&amp;mailto=busa649%40example.com</t>
  </si>
  <si>
    <t>https://ror.org/00b30xv10</t>
  </si>
  <si>
    <t>https://openalex.org/I79576946</t>
  </si>
  <si>
    <t>Physics-informed machine learning (2021; 6919 citations)</t>
  </si>
  <si>
    <t>https://api.openalex.org/works?filter=authorships.institutions.id%3AI79576946%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</si>
  <si>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https://api.openalex.org/institutions?search=University+of+Pennsylvania&amp;per_page=5&amp;select=id%2Cror%2Cdisplay_name%2Ccountry_code%2Ctype%2Chomepage_url%2Cworks_count%2Ccited_by_count%2Csummary_stats%2Cdisplay_name_alternatives&amp;mailto=busa649%40example.com</t>
  </si>
  <si>
    <t>https://ror.org/03yghzc09</t>
  </si>
  <si>
    <t>https://openalex.org/I23923803</t>
  </si>
  <si>
    <t>https://api.openalex.org/works?filter=authorships.institutions.id%3AI23923803%2Cfrom_publication_date%3A2021-01-01%2Cto_publication_date%3A2025-12-31&amp;search=%28sustainability+OR+%22sustainable+development%22+OR+%22climate+change%22+OR+environmental+OR+ESG%29&amp;sort=cited_by_count%3Adesc&amp;per_page=25&amp;select=id%2Cdisplay_name%2Cpublication_year%2Ccited_by_count%2Cprimary_topic%2Cdoi&amp;mailto=busa649%40example.com</t>
  </si>
  <si>
    <t>https://api.openalex.org/institutions?search=University+of+Exeter&amp;per_page=5&amp;select=id%2Cror%2Cdisplay_name%2Ccountry_code%2Ctype%2Chomepage_url%2Cworks_count%2Ccited_by_count%2Csummary_stats%2Cdisplay_name_alternatives&amp;mailto=busa649%40example.com</t>
  </si>
  <si>
    <t>API quota reached</t>
  </si>
  <si>
    <t>Collection error | HTTPError: HTTP Error 429: Too Many Requests</t>
  </si>
  <si>
    <t>Program Details from Official University Sources - 60 Selected Programs</t>
  </si>
  <si>
    <t>English-language evidence for cost, duration, delivery, entry requirements, curriculum, experiential learning, culminating work, thesis, and outcomes. NA retains its original meaning.</t>
  </si>
  <si>
    <t>Tuition / Fees</t>
  </si>
  <si>
    <t>Duration</t>
  </si>
  <si>
    <t>Study Mode / Delivery</t>
  </si>
  <si>
    <t>Entry Requirements</t>
  </si>
  <si>
    <t>Curriculum Focus</t>
  </si>
  <si>
    <t>Internship / Fieldwork</t>
  </si>
  <si>
    <t>Capstone / Project</t>
  </si>
  <si>
    <t>Thesis Option</t>
  </si>
  <si>
    <t>Placement Outcomes (if available)</t>
  </si>
  <si>
    <t>Additional Official Sources</t>
  </si>
  <si>
    <t>Extraction Status</t>
  </si>
  <si>
    <t>Review Notes</t>
  </si>
  <si>
    <t>Tuition fees, payments and exemptions | Full programme/course tuition fee: SEK 300,000 | First payment: SEK 75,000</t>
  </si>
  <si>
    <t>In-person</t>
  </si>
  <si>
    <t>Overall, you will develop the ability to integrate knowledge across disciplines and critically evaluate assumptions underlying various processes and policies. The programme also trains you to work in cross-cultural and interdisciplinary teams. You develop interpersonal and academic skills through group work, presentations, academic writing, and interactions with society. | Programme structure | Career prospects || Programme structure | The programme spans two years and is divided into four semesters.</t>
  </si>
  <si>
    <t>Not stated on reviewed official page</t>
  </si>
  <si>
    <t>Yes</t>
  </si>
  <si>
    <t>https://www.lunduniversity.lu.se/study/environmental-studies-and-sustainability-science-master-of-science-programme-SAESS/programme-structure</t>
  </si>
  <si>
    <t>Official program page retrieved; 2 official page(s) reviewed; 6/10 requested evidence groups found.</t>
  </si>
  <si>
    <t>Automated evidence extraction from official pages. Manually confirm year-specific tuition, language score applicability, and optional-versus-required curriculum elements before analysis.</t>
  </si>
  <si>
    <t>In the 2025-2026 academic year, these were set at $8,448.48 for domestic students, and $34,900.48 for international students.</t>
  </si>
  <si>
    <t>https://www.environment.utoronto.ca/graduate/mes/tuition-funding; https://www.environment.utoronto.ca/graduate/mes/mes-admission-requirements; https://www.environment.utoronto.ca/undergraduate/curriculum-courses</t>
  </si>
  <si>
    <t>Official program page retrieved; 4 official page(s) reviewed; 4/10 requested evidence groups found.</t>
  </si>
  <si>
    <t>Full-time Part-time Flexible | UK tuition fees (2026/27) | £21,500 || Programme also available on a modular (flexible) basis . | Overseas tuition fees (2026/27) | £39,200 || Part-time | Tuition fees (2026/27) | £21,500</t>
  </si>
  <si>
    <t>A minimum of an upper second-class Bachelor's degree from a UK university or an overseas qualification of an equivalent standard in an appropriate subject (earth science, economics, political sciences, geography, physical sciences, law, engineering or related subject). These requirements may be relaxed for students who can demonstrate considerable and relevant aptitude and experience, for example, in business or government. Please clearly state in your personal statement how your educational or  || English language requirements | The English language level for this course is: Level 2 | UCL Pre-Master's and Pre-sessional English courses are for international students who are aiming to study for a postgraduate degree at UCL. The courses will develop your academic English and academic skills required to succeed at postgraduate level. || UCL Pre-Master's and Pre-sessional English courses are for international students who are aiming to study for a postgraduate degree at UCL. The courses wi</t>
  </si>
  <si>
    <t>Networking | We provide numerous networking opportunities to foster invaluable connections for our students. Many modules in this master’s degree feature guest speakers, industry leaders, and experts, offering students the chance to build professional relationships. During the dissertation module, students collaborate with UCL Institute for Sustainable Resources academic team and benefit from their extensive industry contacts. Our Institute's strong industry ties ensure that you will gain real-w || The course is delivered using a diverse array of teaching techniques. Lectures provide foundational knowledge and expert insights, often featuring presentations from visiting speakers. Seminars and tutorials foster active participation and critical discussion amongst you and your peers, enhancing your analytical skills and deepening understanding. Collaborative group projects promote teamwork</t>
  </si>
  <si>
    <t>https://www.ucl.ac.uk/study/prospective-students/graduate/how-apply/english-language-requirements</t>
  </si>
  <si>
    <t>Official program page retrieved; 4 official page(s) reviewed; 8/10 requested evidence groups found.</t>
  </si>
  <si>
    <t>Our MSc Global Strategy and Sustainability programme provides a critical understanding of the theories, processes, and behaviours influencing environmental and social responsibility. It focuses on the role of organisations and institutions across public, private, and third sectors in driving lasting positive impact.
With topics ranging from corporate responsibilty, carbon accounting, and digital innovation, this MSc programme highlights the impact of strategy in affecting local and global outcomes that support a sustainable future.</t>
  </si>
  <si>
    <t>Develop Your Talent | Dissertation executive summaries | Contact || Through the selection of various option courses, you can tailor your studies towards your career interests. | Finally, your MSc dissertation brings all of the year’s learning together in a piece of work unique to you. | To give you an idea of what the programme structure and courses might consist of, the below information details the structure and courses for this programme in 2026/27.* || May–August | Dissertation | Dissertation (Global Strategy and Sustainability)</t>
  </si>
  <si>
    <t>Graduates from our MSc Global Strategy and Sustainability programme have gone on to work for a variety of companies.
85%Jobs achieved within 6 months of graduation</t>
  </si>
  <si>
    <t>https://www.business-school.ed.ac.uk/msc/global-strategy-sustainability/entry-requirements; https://www.business-school.ed.ac.uk/msc/global-strategy-sustainability/overview/programme-structure</t>
  </si>
  <si>
    <t>Official program page retrieved; 3 official page(s) reviewed; 5/10 requested evidence groups found.</t>
  </si>
  <si>
    <t>https://apscpp.ubc.ca/tuition-finance; https://apscpp.ubc.ca/eligibility/english-language-proficiency</t>
  </si>
  <si>
    <t>Official program page retrieved; 3 official page(s) reviewed; 4/10 requested evidence groups found.</t>
  </si>
  <si>
    <t>Other Professional, Scientific and Technical Activities | This data is drawn from the 2022/23 Graduate Outcomes Survey, conducted by the Higher Education Statistics Agency (HESA). Where included, median salaries are based on respondents in full-time employment who were paid in UK pounds sterling. Graduates from 2022/23 were the sixth and final cohort to take part in the Graduate Outcomes Survey. For data aggregated across the past five years, please visit the LSE Careers website . | Career suppo</t>
  </si>
  <si>
    <t>Official program page retrieved; 3 official page(s) reviewed; 8/10 requested evidence groups found.</t>
  </si>
  <si>
    <t>https://www.imperial.ac.uk/business-school/undergraduate/bpes/</t>
  </si>
  <si>
    <t>Accelerate your career | Join the university recognised for producing Australia’s most employable graduates seven years in a row (AFR Top100 Future Leaders &amp; Graduate Employers Awards, 2020–2026) and ranked #1 in Australia for #46 globally for employment outcomes (QS World University Rankings, 2027). Graduate with the skills and experience to lead in the sustainability sector. | Build your professional network || Winner of the AFR Most Employable University Award seven years in a row | AFR Top100 Future Leaders &amp; Graduate Employers Awards, 2020–2026 | Australia's #1 for Innovation</t>
  </si>
  <si>
    <t>Official program page retrieved; 1 official page(s) reviewed; 7/10 requested evidence groups found.</t>
  </si>
  <si>
    <t>Official program page retrieved; 1 official page(s) reviewed; 1/10 requested evidence groups found.</t>
  </si>
  <si>
    <t>Coursework is designed to allow you to pursue your particular areas of interest. | In the summer semester, you work independently to undertake dissertation work based on primary and/or secondary data, or else a more philosophical/theoretical dissertation. | We encourage you develop research in collaboration with members of the Society and Environment Research Group (SERG) and external organisations. || Mandatory | Dissertation (Environmental Governance) | GEOG70930</t>
  </si>
  <si>
    <t>https://www.manchester.ac.uk/study/masters/fees-and-funding/international-student-fees/tuition-fee-deposits/</t>
  </si>
  <si>
    <t>Official program page retrieved; 3 official page(s) reviewed; 7/10 requested evidence groups found.</t>
  </si>
  <si>
    <t>Credits | duration | 120 ECTS | 2 years | Academic title</t>
  </si>
  <si>
    <t>2 years full-time / 4 years part-time.</t>
  </si>
  <si>
    <t>On campus (Parkville); full-time or part-time.</t>
  </si>
  <si>
    <t>Two core subjects followed by a specialisation or tailored study plan. Options include climate change, waste management, and conservation and restoration.</t>
  </si>
  <si>
    <t>Manually completed from current official indexed content after the automated page request was blocked or incomplete.</t>
  </si>
  <si>
    <t>Official source content was manually reviewed. Reconfirm year-specific tuition and linked university-wide requirements before final statistical analysis.</t>
  </si>
  <si>
    <t>https://climatesolutions.berkeley.edu/mcs/mcs-admissions-overview/</t>
  </si>
  <si>
    <t>Official program page retrieved; 2 official page(s) reviewed; 5/10 requested evidence groups found.</t>
  </si>
  <si>
    <t>Elective courses for the master’s program must be selected from the program’s pre-approved list. | Blended Arts and Sciences Elective Courses (50% / 50%) | These course units are designated 50% in the arts and 50% in the sciences.</t>
  </si>
  <si>
    <t>https://studentservices.stanford.edu/my-finances/tuition-fees</t>
  </si>
  <si>
    <t>Official program page retrieved; 2 official page(s) reviewed; 4/10 requested evidence groups found.</t>
  </si>
  <si>
    <t>Duration | 12 months | Time commitment || Teaching is delivered by academic staff from the Smith School and School of Geography and the Environment as well as other departments across the University. In addition, guest lectures from enterprise, such as the Smith School’s Business Fellows, add to the breadth of teaching expertise. | The course is structured across three terms, progressing from broad-based concepts and skills to increased application and engagement: | Michaelmas Term || Module Four takes place in Michaelmas Term, where the focus is on understanding the nature of the net-zero sustainable development (NZSD) conundrum. This module considers the macro forces and drivers that are shaping, disrupting and re-shaping economic, social and environmental relationships, and the implications of ‘glocalization’ for NZSD. The module analy</t>
  </si>
  <si>
    <t>The MSEE comprises: | 10 core modules | Two electives || During Michaelmas and Hilary terms (weeks 1 to 8), a typical study week includes an average of 16 contact hours: | 2 hours of lectures for each of the five core modules. | 2 hours per elective. || This module takes place in Hilary Term, where the focus is on how to tackle the Net-Zero, Sustainable Development challenge. This is done by integrated assessment of potential solutions and pathways. It provides students with foundational knowledge in the emerging theories and practice of sustainable finance and investment. | Learning Outcomes: | 1. To develop sufficient understanding to navigate and critically analyse the key aspects and developments in sustainable finance and investment. || Participation in this course will equip students with a foundational understanding of some of the key normative frameworks regarding the natural world and their influence on different actors, enabling critical evaluation of social and policy decisions. Students will also deepen their understanding of transdisciplinarity as a method for addressing</t>
  </si>
  <si>
    <t>Two electives | A 15,000-word dissertation. | Our approach combines directed teaching, self-regulated learning, structured engagement with enterprise and formal assessment. || Field trip costs are included in the course fee, and any specific accessibility issues will be taken into account when planning the visits. | Assessments will consist of either written examination and/or coursework which may include written and/or oral tasks. You will also be assessed on your individual dissertation, which will have been produced independently and contain original work. | An independent and original dissertation is an integral component of the course. We offer a suite of trainin || Assessments will consist of either written examination and/or coursework which may include written and/or oral tasks. You will also be assessed on your individual dissertation, which will have been produced independently</t>
  </si>
  <si>
    <t>Official program page retrieved; 2 official page(s) reviewed; 7/10 requested evidence groups found.</t>
  </si>
  <si>
    <t>Official program page retrieved; 1 official page(s) reviewed; 0/10 requested evidence groups found.</t>
  </si>
  <si>
    <t>2026 annual indicative fee for international students: AUD 56,120. Domestic Tuition Fees (DTF) vary; Services and Amenities Fee also applies.</t>
  </si>
  <si>
    <t>1.5 years full-time; minimum 72 units.</t>
  </si>
  <si>
    <t>In person (MCLIM); a separate online plan (MCLIMO) is also published by ANU.</t>
  </si>
  <si>
    <t>Applicants must meet ANU English language admission requirements; a program-specific score was not stated on the reviewed page.</t>
  </si>
  <si>
    <t>Climate impacts, adaptation, mitigation, climate economics, law, policy, governance, research methods, and practical application; 72 units with at least 30 units of climate-change courses.</t>
  </si>
  <si>
    <t>https://programsandcourses.anu.edu.au/2026/program/MCLIM</t>
  </si>
  <si>
    <t>Climate Change: Environment, Science and Policy MSc | One year full-time, two years part-time, September to September | Multiple study modes available || Environmental Science for Sustainability MSc | Full-time: one year; part-time: two years | Multiple study modes available || Geopolitics, Resources and Territory MA | One year full-time, September to September, two years part-time | Multiple study modes available</t>
  </si>
  <si>
    <t>Develop interdisciplinary understanding of the ways in which the human and physical world is revealed through representations of space, place and landscape. | Access opportunities to carry out original fieldwork either in the UK or overseas for your dissertation. | An optional internship module helps students take their first steps towards employment in a relevant vocational field. || thesis/report; | • Undertaking effective fieldwork as part of dissertation, if suitable; | • Employing a variety of social survey and interpretative methods for analysing information from the human world.</t>
  </si>
  <si>
    <t>Official program page retrieved; 1 official page(s) reviewed; 4/10 requested evidence groups found.</t>
  </si>
  <si>
    <t>The programme is closely affiliated with the University's Cabot Institute , which promotes multidisciplinary research around global environmental change and benefits from our location in the city of Bristol, the UK's first ever European Green Capital and a vibrant hub of environmental activism and technological innovation. | Through a demanding academic curriculum and practice-based learning opportunities, you will develop the skills and knowledge needed for employment in the public, private and || Find out more | Programme structure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 develop practical experience through the completion of an extended || We will also consider your application if your final overall achieved grade is slightly lowe</t>
  </si>
  <si>
    <t>Programme structure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 develop practical experience through the completion of an extended team-based proj || The programme consists of six taught units and a dissertation research project. Some units are taught by natural scientists, covering subjects like climate science and the analysis of remotely sensed data. Others are delivered by social scientists, focusing on areas like environmental governance, policy analysis and research methods and design. A policy-focused unit provides an opportunity to</t>
  </si>
  <si>
    <t>https://www.bristol.ac.uk/students/support/finances/</t>
  </si>
  <si>
    <t>Official program page retrieved; 3 official page(s) reviewed; 6/10 requested evidence groups found.</t>
  </si>
  <si>
    <t>Federal Pell Grants provide assistance to undergraduate students who demonstrate financial need according to requirements established by the federal government. To be eligible, you must enroll in a degree program and must be matriculated for your first bachelor's degree. You are automatically considered for the Pell Grant upon filing the FAFSA . Amounts can change yearly. The maximum Pell Grant award is $7,395 for the 2025–2026 award year. | The Tuition Assistance Program is a grant awarded to r</t>
  </si>
  <si>
    <t>$19,400 | full-time bachelor’s (12 credits) per semester | $15,734 || $15,734 | part-time bachelor’s (6-10 credits) per semester | $765 || The Tuition Assistance Program is a grant awarded to residents of the state of New York who are enrolled in a full-time degree program. An annual TAP award can be up to $5,665. TAP is based on financial need, and you must file a FAFSA and a separate TAP application . If you qualify for TAP, the TAP application instructions will be included in your FAFSA results. | Aid for Part-Time Study (APTS) is a grant program that offers New York state residents pursuing part-time undergraduate degree study</t>
  </si>
  <si>
    <t>$19,400 | full-time bachelor’s (12 credits) per semester | $15,734 || $15,734 | part-time bachelor’s (6-10 credits) per semester | $765 || Federal Pell Grants provide assistance to undergraduate students who demonstrate financial need according to requirements established by the federal government. To be eligible, you must enroll in a degree program and must be matriculated for your first bachelor's degree. You are automatically considered for the Pell Grant upon filing the FAFSA . Amounts can change yearly. The maximum Pell Grant award is $7,395 for the 2025–2026 award year. | The Tuition Assistance Program is a grant awarded to r</t>
  </si>
  <si>
    <t>https://www.sps.nyu.edu/join/undergraduate-admissions/tuition-and-financial-aid.html</t>
  </si>
  <si>
    <t>Official program page retrieved; 2 official page(s) reviewed; 3/10 requested evidence groups found.</t>
  </si>
  <si>
    <t>EMS Museum &amp; Art Gallery | The John A. Dutton Institute of Teaching and Learning Experience has helped faculty develop more than 185 fully online courses. | Undergraduate || Renewable Energy and Sustainability Systems M.P.S. | Prepare yourself to serve as a leader of the emerging green economy through the Renewable Energy and Sustainability Systems (RESS) master's degree program. This online program provides you with the technical depth in areas related to renewable energy. You can also gain a comprehensive understanding of the applications of technology in society, the energy economics, and the project development process. | Careers</t>
  </si>
  <si>
    <t>Working Teams | Curriculum and Education | Environmental Justice || Sustainability in EMS Curriculum and Education | Penn State College of Earth and Mineral Sciences | Skip to main content || Sustainability | Sustainability In EMS Curriculum and Education | Sustainability in EMS Curriculum and Education || Sustainability In EMS Curriculum and Education | Sustainability in EMS Curriculum and Education | With courses and programs in diverse areas like energy resources, earth systems, human-environment interactions, weather and climate, and materials, our students are well-positioned to solve the challenges of creating a more sustainable future. Across the college, at both the graduate and undergraduate levels, we’re exploring a wide range of topics through a sustainability lens to provide students w</t>
  </si>
  <si>
    <t>https://www.ems.psu.edu/about/strategic-initiatives/sustainability/sustainability-ems-curriculum-and-education</t>
  </si>
  <si>
    <t>Additional requirements | In your motivation letter, please motivate you specialisation choice (‘Ecology’ or ‘Space and Society’) and indicate your research interests/possible topics for your dissertation (with maximum 500 words). So please make sure you select your track correctly. More information can be found here and here . | Final version: 30/09/2026 || Additional requirements | In your motivation letter, please motivate you specialisation choice (‘Ecology’ or ‘Space and Society’) and indicate your research interests/possible topics for your dissertation (with maximum 500 words). So please make sure you select your track correctly. More information can be found here and here . | PDF/print</t>
  </si>
  <si>
    <t>https://onderwijsaanbod.kuleuven.be/opleidingen/e/SC_53903372/diploma_omschrijving; https://onderwijsaanbod.kuleuven.be/opleidingen/e/SC_53903372; https://onderwijsaanbod.kuleuven.be/opleidingen/e/SC_53903372/toelatingsvoorwaarden</t>
  </si>
  <si>
    <t>Finnish, English, Swedish | Tuition fee per year (only non-EU/EEA citizens) | 13 000 EUR</t>
  </si>
  <si>
    <t>Scope of studies and length | 120 ECTS credits, 2 years | Degree level</t>
  </si>
  <si>
    <t>You can choose from two study tracks: the Environmental Change study track in natural sciences and the Global Sustainability study track in social sciences. Within your study track, you will have the opportunity to deepen your knowledge and develop expertise in a chosen field of interest. | Find out more about the programme structure, content and courses from the link below. | Basic information</t>
  </si>
  <si>
    <t>Official program page retrieved; 1 official page(s) reviewed; 3/10 requested evidence groups found.</t>
  </si>
  <si>
    <t>Research Masters | Available Research Projects | Doctoral Study || Read more about scholarships here | Student Dissertation | See an example of the world class outputs from our postgraduate students: || Social Sciences International Brochure | The stories presented in our International Brochure demonstrate sustained and positive engagement with international partners, particularly around work with social justice in society and the UN s Sustainable Development Goals. Our 8 departments have funded research projects on every continent. | Find out more in our International Brochure</t>
  </si>
  <si>
    <t>GBP 14,000 (Total) | International fees | GBP 31,000 (Total)</t>
  </si>
  <si>
    <t>Duration | 12 Months (Full time) | Entry requirements || Compulsory modules | Global Development and Public Governance – 30 credits | This module aims to equip you to analyse competing ideas and practices of global and local development. It enables you to apply this approach to a range of sectoral issues such as (but not limited to) poverty and inequality, access to services, natural resources allocations and management, economic transformation and livelihoods. It also enables you to explore multi-sectoral and multi-level governance challenges of prod || This module aims to equip you to analyse competing ideas and practices of global and local development. It enables you to apply this approach to a range of sectoral issues such as (but not limited to) poverty and inequality, access to services, natural resources allocations and management</t>
  </si>
  <si>
    <t>You'll then apply your learning to your own individual research project where you’ll work with a dissertation supervisor, producing an original piece of cutting-edge research on a topic of your choice. | Course structure | The list shown below represents typical modules/components studied and may change from time to time. Read more in our terms and conditions.</t>
  </si>
  <si>
    <t>Build your skills in systems thinking, critical analysis, leadership, problem solving, communication and interdisciplinarity. | Conduct your own significant individual research project, taking advantage of our collaborative links with sustainability, environment and development organisations across the UK and internationally. | Experience expert practical and theoretical teaching delivered by a programme team made up of researchers covering the social sciences, economics, development studies, en || Throughout, you'll be taught through lectures, seminars, and workshops and will approach topics from different angles thanks to the interdisciplinary nature of academics from both the School of Earth and Environment and the School of Politics and International Studies. You'll also be able to apply what you have learned thus far to real-world scenarios through case study work in class and the f</t>
  </si>
  <si>
    <t>What it Costs | Expenses usually include tuition, fees, housing, food and other necessities. | Learn more about MES tuition and fees, as well as the fee schedule. || Expenses usually include tuition, fees, housing, food and other necessities. | Learn more about MES tuition and fees, as well as the fee schedule. | Tuition and Fees || Learn more about MES tuition and fees, as well as the fee schedule. | Tuition and Fees | Financial Support</t>
  </si>
  <si>
    <t>Master of Environment and Sustainability | In one year, you'll gain the knowledge, skills and professional experience needed for today’s rapidly evolving environment and sustainability sector. | Top 15 || Apply Now | Graduate in 12 Months | With 8 months of coursework and 4 months of industry co-op experience, you'll be ready to launch a high-impact environment and sustainability career in just one year. || Graduate in 12 Months | With 8 months of coursework and 4 months of industry co-op experience, you'll be ready to launch a high-impact environment and sustainability career in just one year. | Explore Program Format</t>
  </si>
  <si>
    <t>Who is exempt from submitted an English Language Proficiency test score? | Applicants are automatically exempted from our English language proficiency requirement if their first language is English or they have completed at least two full-time years of post-secondary education in a degree program in an English-speaking institution located in a country whose primary language is English . | The list of eligible countries is as follows: Australia, Barbados, Botswana, Canada, Ghana, Guyana, Ireland, || Does the university provide financial assistance? | MES is a one-year, course-based professional science master's program with a co-operative education term component. Students do not complete a research thesis and therefore, do not receive Teaching Assistantships or Research Assistantships. Students may apply for on-campus work study positions</t>
  </si>
  <si>
    <t>Employment and/or volunteer list (maximum 6 entries) | English Language Proficiency (ELP) Test Score, if required** | Application fee payment ($170 CAD) || Sign Up | English Language Proficiency | Strong English proficiency is essential for success in the MES program. You'll use communication skills daily through class participation, written work, group projects and presentations. Group work and in-class participation also require advanced listening skills and a high level of language comprehension. || ELP Documentation Requirements (if English is not your first language) | All applicants whose first language is not English must provide formal documentation demonstrating that they meet or exceed the MES program's English Language Proficiency requirements. | Specific documentation, test options and performance requirements are as follows: || Completed two or more years of high school plus a four-year undergraduate degree in Canada or the USA: Exempt from ELP requirement - not required t</t>
  </si>
  <si>
    <t>https://www.uwo.ca/mes/admissions/index.html</t>
  </si>
  <si>
    <t>The Adam Smith Business School seeks curious, creative and globally minded individuals ready to drive innovation and make a positive impact in their communities and beyond. | This award offers a £15,000 tuition fee discount to support the next generation of purpose-driven leaders. | ASBS Entrepreneurial Leaders Award || The Adam Smith Business School Indian Achievers Award recognises outstanding students from India who demonstrate academic excellence, leadership potential and a commitment to creating positive change. | Open to Indian applicants for all eligible ASBS PGT programmes, this award offers a £15,000 tuition fee discount to support future business leaders in achieving their ambitions. | ASBS India Achievers Award || The Adam Smith Business School Chinese Pathway to Purpose Award recognises exceptional students from China who demo</t>
  </si>
  <si>
    <t>MSc: | 12 months full-time | Register your interest for more information || cause significant delays or prevent payment altogether. | We will aim to issue the deposit refund within 8 weeks of receipt of | information per point 2 above. At peak times this may be longer. || Beit-Glasgow Scholarship | One year Scholarship for an MSc in developmental subjects only. The Beit-UoG Scholarship does not cover MBA, PG Diploma, PG Certificate or CPD Online distance learning programmes. | Please see Beit Trust Postgraduate Scholarships for more details.</t>
  </si>
  <si>
    <t>MSc: | 12 months full-time | Register your interest for more information || Recent graduates have been employed as development practitioners and environmental policy analysts for organisations such as BP, Royal Society for the Protection of Birds and public sector bodies. | We have a dedicated careers and employability team who provide 1-2-1 support and advice, group workshops, employer events on campus and networking opportunities throughout the year to help you with your career prospects. | See our alumni success stories || Home &amp; RUK | Full-time fee: GBP 11,943 | International &amp; EU</t>
  </si>
  <si>
    <t>After the second deferral standard conditions will apply. | There is still time to meet the English language test requirement before | the final upload date. Please see section a) 4. || in partnership with Qualification | Check to check academic qualifications. English language qualifications | are verified with the provider. || International College , who offer a range of pre-Masters courses. | English language requirements | For applicants from non-English speaking countries, as defined by the UK Government , the University sets a minimum English Language proficiency level. || English language requirements | For applicants from non-English speaking countries, as defined by the UK Government , the University sets a minimum English Language proficiency level. | International English Language Testing System (IELTS) Academic and Academic Online (not General Training)</t>
  </si>
  <si>
    <t>Adam Smith Business School is triple accredited | Programme structure | You will take four core and two optional courses, and complete a dissertation. || You will take four core and two optional courses, and complete a dissertation. | Core courses | Environmental Economics || The MBA-MSc Euro-Asian programme is an exciting partnership designed in collaboration with Universiti Sains Malaysia (USM) and Universiti Malaya (UM), Malaysia. | The 2-year programme aims to provide you with a rigorous and comprehensive general management curriculum from the perspectives of Southeast Asian and European academics and practitioners, including a minimum of one-month work placement with our industry partners in Malaysia. | Find out more: MBA-MSc Euro-Asian programme</t>
  </si>
  <si>
    <t>Experience practical learning with real business challenges. Network, collaborate, and make a real-world impact through competitive, merit-based industry projects . * | * Industry Projects are not guaranteed. All applications are subject to availability and review processes. We will support candidates with their applications before the deadline but if unsuccessful, they can opt for a research proposal for their dissertation. Students can also secure their own projects with approval from academic || Programme structure | You will take four core and two optional courses, and complete a dissertation. | Core courses || The Economics of Migration | Research project | Dissertation GCDS or Economics PGT External Partner Project</t>
  </si>
  <si>
    <t>NZ$55,484 * | Fees are set in advance of each calendar year and will be updated on this website. Fees are inclusive of 15% GST, but do not include the Student Services Fee, course books, travel and health insurance, or living costs. Amounts shown are indicative only. In addition to the tuition fees, there is a Student Services Fee of $9.44 per point, estimated at $1,132.80 for full-time study (120 points). Fees will be confirmed upon completion of enrolment into courses. | *Please note: amounts</t>
  </si>
  <si>
    <t>Duration | Full-time: 18 months | Part-time: Varies || Next start date | 2026 Semester Two – 20 July | 2027 Semester One – 1 March || 2026 Semester Two – 20 July | 2027 Semester One – 1 March | Available locations</t>
  </si>
  <si>
    <t>Duration | Full-time: 18 months | Part-time: Varies || Full-time: 18 months | Part-time: Varies | Next start date || NZ$55,484 * | Fees are set in advance of each calendar year and will be updated on this website. Fees are inclusive of 15% GST, but do not include the Student Services Fee, course books, travel and health insurance, or living costs. Amounts shown are indicative only. In addition to the tuition fees, there is a Student Services Fee of $9.44 per point, estimated at $1,132.80 for full-time study (120 points). Fees will be confirmed upon completion of enrolment into courses. | *Please note: amounts</t>
  </si>
  <si>
    <t>Qualification | IELTS Academic | International English Language Testing System || IELTS Academic | International English Language Testing System | Score required || No bands less than 6.0 | See alternative English language requirements | Calculate your Grade Point Equivalent (GPE) || Find out more | English language requirements | Learn more about the University's English language requirements.</t>
  </si>
  <si>
    <t>Graduates of the MEnvSci will have developed the crucial conceptual and practical skills required of professional environmental scientists in research and industry. | Programme structure | Entry requirements || Key dates | Programme structure | All students are initially enrolled in the taught masters. Transfer to the research masters is possible after the first semester. || All students are initially enrolled in the taught masters. Transfer to the research masters is possible after the first semester. | Explore the courses you can take in the Master of Environmental Science in the Curriculum Catalogue. | Master of Environmental Science (MEnvSci) || You'll also need to meet other requirements, including time limits and total points limits. See Postgraduate enrolment . | For detailed information about a specific programme, including its courses and regulations, visit the Curriculum Catalogue . For the general university requirements for admission, enrolment and fees, visit the University Calendar . | 2026 entry requirements</t>
  </si>
  <si>
    <t>https://www.auckland.ac.nz/en/study/applications-and-admissions/entry-requirements.html</t>
  </si>
  <si>
    <t>Official program page retrieved; 4 official page(s) reviewed; 5/10 requested evidence groups found.</t>
  </si>
  <si>
    <t>All applicants to Trinity are required to provide official evidence of proficiency in the English language. Applicants to this course are required to meet Band B (Standard Entry) English language requirements. For more details of qualifications that meet Band B, see the English Language Requirements page here. | Course Fees | For a full list of postgraduate fees, click here . || • Up to date CV required. | Course Fees | Click Here for a full list of postgraduate fees.</t>
  </si>
  <si>
    <t>NFQ Level 9 | 1 year full-time | 30 Places || Course Structure | The Environmental Sciences programme is delivered full-time over one year and carries 90 ECTS (60 ECTS of teaching component, plus 30 ECTS in a written dissertation). The taught component of this course comprises formal lectures, seminars, laboratory and desk-based practical work, fieldwork and independent study. | Most taught modules in this course are in two to three week blocks. This provides a concentrated period of uninterrupted study, during which time students can immer || The Environmental Sciences programme is delivered full-time over one year and carries 90 ECTS (60 ECTS of teaching component, plus 30 ECTS in a written dissertation). The taught component of this course comprises formal lectures, seminars, laboratory and desk-based practical work, fieldwork and inde</t>
  </si>
  <si>
    <t>NFQ Level 9 | 1 year full-time | 30 Places || Is This Course For Me? | This full-time, intensive course is intended for administrative and scientific workers and new graduates with an appropriate environmental science related background, although applications from graduates with different backgrounds are also welcomed. Our students have an excellent success rate in finding career paths in the field of environmental science following our program. We have had students from many different backgrounds that have successfully completed this progr || Course Structure | The Environmental Sciences programme is delivered full-time over one year and carries 90 ECTS (60 ECTS of teaching component, plus 30 ECTS in a written dissertation). The taught component of this course comprises formal lectures, seminars, laboratory and desk-based practical work,</t>
  </si>
  <si>
    <t>Two academic references, or reference letters from industry for candidates who left academia several years ago. | English Language Requirements | All applicants to Trinity are required to provide official evidence of proficiency in the English language. Applicants to this course are required to meet Band B (Standard Entry) English language requirements. For more details of qualifications that meet Band B, see the English Language Requirements page here. || English Language Requirements | All applicants to Trinity are required to provide official evidence of proficiency in the English language. Applicants to this course are required to meet Band B (Standard Entry) English language requirements. For more details of qualifications that meet Band B, see the English Language Requirements page here. | Course Fees || Applicants should be currently working with older adults in any setting or managing a service. | Applicants need to have a fluent command of the English language. | What will I l</t>
  </si>
  <si>
    <t>Many graduates have gone on to do further research in a range of environmentally related disciplines. Graduates from the course have pursued their interests in environmental sciences throughout the world. | Course Structure | The Environmental Sciences programme is delivered full-time over one year and carries 90 ECTS (60 ECTS of teaching component, plus 30 ECTS in a written dissertation). The taught component of this course comprises formal lectures, seminars, laboratory and desk-based practica || Most taught modules in this course are in two to three week blocks. This provides a concentrated period of uninterrupted study, during which time students can immerse themselves in the subject matter and ensure they have addressed any gaps in their knowledge. Assessment for each module will usually take place during these blocks unless otherwise stated in the module outline. To complete the programme a candidate must design and execute an individual research project. | Course Content | Students</t>
  </si>
  <si>
    <t>Course Overview | The degree in Environmental Sciences, the first of its kind in Ireland, has an established pedigree, attracting students with diverse academic backgrounds from Ireland and abroad. It comprises a series of taught modules encompassing a variety of current environmental themes, followed by a five-month research project. There is also the possibility to opt for a Postgraduate Diploma in Environmental Sciences, consisting of the taught modules only. | The aims of this course are to  || The aims of this course are to promote an understanding of environmental science, and the capability to apply that knowledge to current environmental issues and sound environmental management; to develop the necessary intellectual skills and practical expertise to design and execute independent research; and to cultivate skilled communicators able to organise ideas and disseminate them through</t>
  </si>
  <si>
    <t>https://www.tcd.ie/courses/microcredentials/by-school/micro-credentials---medicine/assessment-amp-management-of-frailty-in-ageing-adults---mc-module/</t>
  </si>
  <si>
    <t>Application Deadlines and Requirements | Tuition and Fees | Financial Aid || Courses and Curriculum | Tuition and Fees | Financial Aid || Academic Calendar | Tuition and Fees | Faculty, Staff, and Affiliates</t>
  </si>
  <si>
    <t>Program duration: | 2 years full-time | 3-4 years part-time || 2 years full-time | 3-4 years part-time | Required credits:</t>
  </si>
  <si>
    <t>Undergraduate courses | Penn LPS Online courses | Penn Summer Sessions courses || Penn Summer Sessions courses | Massive open online courses (MOOCs) | Professional Programming || Program duration: | 2 years full-time | 3-4 years part-time</t>
  </si>
  <si>
    <t>Request Information | English Language Programs | International Guest Student Program || English Language Programs (ELP) at The University of Pennsylvania | Skip to main content || How to Apply | Welcome to the University of Pennsylvania’s English Language Programs (ELP) | The ELP offers unparalleled opportunities to immerse yourself in the language and culture of the US in Philadelphia, Pennsylvania || The ELP offers unparalleled opportunities to immerse yourself in the language and culture of the US in Philadelphia, Pennsylvania | The University of Pennsylvania's English Language Programs (ELP) | Welcome to the University of Pennsylvania’s English Language Programs (ELP)</t>
  </si>
  <si>
    <t>Bachelor of Fine Arts | Courses and Curriculum | Tuition and Fees || Application Overview | Courses and Curriculum | Program Features || Application Deadlines and Requirements | Courses and Curriculum | Tuition and Fees || Submatriculation | Courses and Curriculum | Faculty Bios</t>
  </si>
  <si>
    <t>Program Format &amp; Schedule | Capstones | Capstones - 2024 || Capstones | Capstones - 2024 | Capstones - 2023 || Capstones - 2024 | Capstones - 2023 | Capstones - 2022</t>
  </si>
  <si>
    <t>https://www.elp.upenn.edu/</t>
  </si>
  <si>
    <t>GBP 14,300 full-time; GBP 7,150 part-time | International fees per year: | GBP 30,100 full-time; GBP 15,050 part-time || University of Exeter Alumni Scholarship | We are pleased to offer the University of Exeter Alumni Scholarship , a scholarship for University of Exeter alumni beginning a standalone postgraduate programme in 2026/27 with us a scholarship worth 20% of the cost of your first year tuition fees. | Terms and conditions, including deadlines, apply. || Terms and conditions, including deadlines, apply. | Find out more about tuition fees and funding | I love that the course has an interdisciplinary approach and together across a range of subjects we can work to create sustainability solutions. Each of our lecturers are the best in their field.</t>
  </si>
  <si>
    <t>Duration | 1 year full time | 2 years part time || 1 year full time | 2 years part time | Entry year || I ve really enjoyed meeting new people from all over the world and being able to come together to brainstorm and learn about subjects that we re all really motivated about. I ve also enjoyed working on real-world challenges as well as having a dissertation project that has the potential to encourage positive change. | I m a mature student who, after completing my first degree 11 years ago, decided to return to part-time study with the aim of learning about and helping to create solutions for som</t>
  </si>
  <si>
    <t>Duration | 1 year full time | 2 years part time || 1 year full time | 2 years part time | Entry year || Select programme | Full time | Part time</t>
  </si>
  <si>
    <t>Entry requirements for international students | English language requirements | International students need to show they have the required level of English language to study this course. || English language requirements | International students need to show they have the required level of English language to study this course. | The required IELTS test scores for this course fall under Profile B1 . || International students need to show they have the required level of English language to study this course. | The required IELTS test scores for this course fall under Profile B1 . | Please visit our English language requirements page to view the required test scores and equivalencies from your country. || The required IELTS test scores for this course fall under Profile B1 . | Please visit our English language requirements page to view the required test scores and equivalencies from your country. | The knowledge that I have gained from the MSc Global Sustainability Solutions has been inva</t>
  </si>
  <si>
    <t>Entry requirements | Course content | Fees || The knowledge that I have gained from the MSc Global Sustainability Solutions has been invaluable to inform the research that I now do into climate science and policy research in my role as Sustainability Analyst at ITV. | In terms of course content, I really enjoyed learning about the policy landscape within the Innovation and the Science-Policy Interface module, particularly the group work aspect of creating a report on a new policy proposal. But candidly, one of the most enjoyable parts of th || MSc Global Sustainability Solutions | Course content | Our impacts on the Earth system are at such a scale that we have become a geological force. If we are to not just survive but to flourish, we urgently need to create robust and practical solutions to a set of interacting and complex global challenges.</t>
  </si>
  <si>
    <t>We offer immersive learning experiences which provide an opportunity for interactive learning of fundamental skills and approaches to understanding and solving challenges. | You have the opportunity to undertake a work placement as part of a module, and a research project within an organisation as an alternative to a traditional academic dissertation. | Your learning is underpinned by the latest research undertaken by world-leading scholars and the Global Systems Institute community. || MSc Global Sustainability Solutions graduate | I ve really enjoyed meeting new people from all over the world and being able to come together to brainstorm and learn about subjects that we re all really motivated about. I ve also enjoyed working on real-world challenges as well as having a dissertation project that has the potential to encourage positive change. | I m a mature student who, after completin</t>
  </si>
  <si>
    <t>Official program page retrieved; 4 official page(s) reviewed; 7/10 requested evidence groups found.</t>
  </si>
  <si>
    <t>Manual review required: official program page retrieval failed (403).</t>
  </si>
  <si>
    <t>"}}' id="text-e58d65c472" class="cmp-text"&gt; | Study and save: Discounted student fees are available through Commonwealth Supported Places (CSPs) when undertaking this course in 2026. | The Master of Sustainable Tourism, Hospitality and Event Management provides students with the specialist knowledge and skills required to shape the future of the tourism, hospitality, and event management sectors in Australia and overseas. || UAC 950855 | Domestic Student Fees | Indicative annual fee from $11,885 || Not a permanent resident of Australia. | Admission to Western Sydney University is on the basis of meeting minimum academic and English language requirements . For more information about tuition fees and other costs, visit the Fees and Costs page . | Apply Now</t>
  </si>
  <si>
    <t>Duration | Full Time: 1-2 Years (Available Part Time)* | Next Start Date || The program provides many opportunities for applied learning to ensure students develop the practical skills and networks required to secure a job. Throughout the program students engage with industry and government experts and complete fieldtrips | Celebrating 30 years of Tourism at Western | Western Sydney University has been training tourism, hospitality, event and visitor economy practitioners for over 30 years. Our graduates are making exciting contributions to these sectors across the glob || Celebrating 30 years of Tourism at Western | Western Sydney University has been training tourism, hospitality, event and visitor economy practitioners for over 30 years. Our graduates are making exciting contributions to these sectors across the globe. | As a Bachelor o</t>
  </si>
  <si>
    <t>Duration | Full Time: 1-2 Years (Available Part Time)* | Next Start Date || Entry requirements for international students | **Please note, if this course lists a part-time option, this is not available to International Students on a Student Visa. | Please consult the handbook for more information regarding entry requirements for this course. || *Fee Disclaimer | The fee estimates provided are indicative only and subject to change. These estimates are based on the current fee structures for a normal full time study load. However, the final fees may vary depending on several factors, including the specific subjects chosen, the duration and timing of study, and annual fee adjustments (subject to Commonwealth student contribution band rates). Please note that these estimates do not include the Student Services and Amenities Fee. We encoura</t>
  </si>
  <si>
    <t>Pathway Programs | English Language Programs | Workplace Skilling || Not a permanent resident of Australia. | Admission to Western Sydney University is on the basis of meeting minimum academic and English language requirements . For more information about tuition fees and other costs, visit the Fees and Costs page . | Apply Now || English Language Programs | The College | Western Sydney University || Contact Us | English Language Programs | The College offers internationally-acclaimed English Language Programs that are designed to give you every chance of success. Whether you want to improve your general communication skills, work in Australia or study at Western Sydney University, our teachers are dedicated to you.</t>
  </si>
  <si>
    <t>What you can expect to study | The program structure is outlined in | our handbook . Here you can view all of the subjects</t>
  </si>
  <si>
    <t>https://www.westernsydney.edu.au/future/study/application-pathways/the-college/english-programs</t>
  </si>
  <si>
    <t>PhD in Environmental Studies | Mandate: to provide outstanding graduate training at the doctoral level in sustainability &amp; sustainable practices, facilitating interdisciplinarity across Queen’s faculties. Degree Level Expectations and Learning Outcomes (PDF, 98KB) . The objectives of this program will be achieved by a combination of courses, independent research, seminars, readings, a comprehensive examination and a thesis. (48 months) | Master's of Environmental Studies (MES) || Research-based Master's | This program follows the traditional sequence of graduate training. Four half-credit courses, the challenge of original research culminating in a thesis, and a formal defense are required (24 months). | Course-based Master's || Course-based Master's | This program emphasizes the development of conceptual thinking and analytical and inter</t>
  </si>
  <si>
    <t>PhD in Environmental Studies | Mandate: to provide outstanding graduate training at the doctoral level in sustainability &amp; sustainable practices, facilitating interdisciplinarity across Queen’s faculties. Degree Level Expectations and Learning Outcomes (PDF, 98KB) . The objectives of this program will be achieved by a combination of courses, independent research, seminars, readings, a comprehensive examination and a thesis. (48 months) | Master's of Environmental Studies (MES) || Master's of Environmental Studies (MES) | The MES program at Queen's University provides graduate level training in the field of Environmental Sustainability by practicing an interdisciplinary approach to the study of the long-term nature and impacts of environmental change, the connections between today's decisions and tomorrow's welfare, and the strong dependence of human well-being on environmental quality. Degree Level Expectations and Learning Outcomes (PDF, 98KB) | The MES program meets a</t>
  </si>
  <si>
    <t>Official program page retrieved; 1 official page(s) reviewed; 2/10 requested evidence groups found.</t>
  </si>
  <si>
    <t>INTRODUCTION | Masters in Sustainable Development Practice (MSDP) is a global multi and interdisciplinary graduate degree program that prepares students to better identify and address the challenges of sustainable development. This programme consists of two years of coursework in four intersecting disciplines-health, natural, social, and management sciences-combined with cross-sectoral field training. The multi and interdisciplinary nature of this MSDP programme equips development practitioners  || The duration of studies shown below, | Full-time students: Minimum 4 semesters / Maximum 8 semesters | Part-time students: Minimum 6 semesters / Maximum 10 semester || Full-time students: Minimum 4 semesters / Maximum 8 semesters | Part-time students: Minimum 6 semesters / Maximum 10 semester | Classes are held in person (physical classes) duri</t>
  </si>
  <si>
    <t>The duration of studies shown below, | Full-time students: Minimum 4 semesters / Maximum 8 semesters | Part-time students: Minimum 6 semesters / Maximum 10 semester || Full-time students: Minimum 4 semesters / Maximum 8 semesters | Part-time students: Minimum 6 semesters / Maximum 10 semester | Classes are held in person (physical classes) during the weekend for both full-time and part-time students, possibly every fortnightly in Kuala Lumpur (sains@KL). || Part-time students: Minimum 6 semesters / Maximum 10 semester | Classes are held in person (physical classes) during the weekend for both full-time and part-time students, possibly every fortnightly in Kuala Lumpur (sains@KL). | Class venue:</t>
  </si>
  <si>
    <t>CGPA below 2.75/4.00 for Bachelor degree with additional requirements | LANGUAGE REQUIREMENTS | (Applicable for International Applicants Only) || (Applicable for International Applicants Only) | A minimum score of 35 in Internet-based TOEFL (Test of English as a Foreign Language); or | A minimum of Band 5 in IELTS (International English Language Testing System); or || A minimum score of 35 in Internet-based TOEFL (Test of English as a Foreign Language); or | A minimum of Band 5 in IELTS (International English Language Testing System); or | A minimum score of 154 in Cambridge English Advance (CAE); or</t>
  </si>
  <si>
    <t>The MSDP Programme Educational Objectives are: | Programme Learning Outcomes (PLO) | At the end of the MSDP programme, the students will be able to: || At the end of the MSDP programme, the students will be able to: | PROGRAMME STRUCTURE | Students have to complete a total of 44 units of core courses and electives courses to graduate. The core courses consist of 38 units, while the elective courses consist of 6 units. Both the core and the electives courses are divided into these clusters – General Cluster, Global and Health Cluster, Science and Engineering Clusters, Management Cluster, Social Science Cluster. || PROGRAMME STRUCTURE | Students have to complete a total of 44 units of core courses and electives courses to graduate. The core courses consist of 38 units, while the elective courses consist of 6 units. Both the core and the electives courses are divided into these clusters – General Cluster, Global and Health Cluster, Science and Engineering Clusters, Management Cluster, Social Science Cluster. | The duration of studies shown below, || COURSES | Core courses (38 units) | S</t>
  </si>
  <si>
    <t>Master’s | (27 Credits) | Major || Major | (22 Credits) | Elective Core General || Research | (5 Credits) | Compulsory Research</t>
  </si>
  <si>
    <t>Note: Subsitution is possible with an official language proficiency certificate | - English (TOEIC, TOEFL, G-TELP, IELTS, GRE, GMAT) | - Korean (TOPIK) || Individuals who meet all of the below criteria: | - Satisfied foreign language requirement | - Completed all prerequisite courses</t>
  </si>
  <si>
    <t>학사일정 Academic Calendar | 교육과정 (교과목) Curriculum (Courses) | 학위취득로드맵 Road Map || 학사일정 Academic Calendar | 교육과정 (교과목) Curriculum (Courses) | 국문(KOR) || 학사안내 Academics | 교육과정 (교과목) Curriculum (Courses) | 국문(KOR)</t>
  </si>
  <si>
    <t>https://hygce.hanyang.ac.kr/-kor-</t>
  </si>
  <si>
    <t>Syllabus | Curriculum Map | Annual Report || Curriculum Map | Master’s Course (Japanese version only)</t>
  </si>
  <si>
    <t>https://www.ees.hokudai.ac.jp/?page_id=2891&amp;lang=en</t>
  </si>
  <si>
    <t>Official program page retrieved; 2 official page(s) reviewed; 1/10 requested evidence groups found.</t>
  </si>
  <si>
    <t>Semester 2 Session 20XX/20XX (March) | Yuran Pengajian/ Tuition Fees | Pelajar Tempatan/ Local Students (Malaysian)</t>
  </si>
  <si>
    <t>Ijazah Sarjana Muda dengan kepujian dalam bidang yang berkaitan dari Universiti Kebangsaan Malaysia dengan PNGK atau dari universiti lain yang diiktiraf oleh Senat dengan SEKURANG-KURANGNYA SATU TAHUN PENGALAMAN dalam bidang yang berkaitan. | Bachelor degree with honours in areas of relevance from Universiti Kebangsaan Malaysia with CGPA 2.75 or other universities accredited by the Senate with AT LEAST ONE YEAR EXPERIENCE IN AREAS of relevance. | Tempoh Pengajian / Duration of Study || Sepenuh Masa /Full Time | 4-6 semesters | GOT = 5 semesters || 4-6 semesters | GOT = 5 semesters | Separuh Masa /Part Time*</t>
  </si>
  <si>
    <t>Tempoh Pengajian / Duration of Study | Sepenuh Masa /Full Time | 4-6 semesters || GOT = 5 semesters | Separuh Masa /Part Time* | *hanya untuk pelajar warganegara sahaja/ only applicable to Malaysian citizen only || Pelajar Tempatan/ Local Students (Malaysian) | Sepenuh Masa/ Full Time | Separuh Masa / Part Time</t>
  </si>
  <si>
    <t>4 – 8 semesters | Syarat Bahasa / Language Requirement | Syarat Keperluan Bahasa (Bagi pelajar Antarabangsa) || PASS Bahasa Melayu courses | Bahasa Inggeris English Language | TOEFL (Paper-Based) 550 || Bahasa Inggeris English Language | TOEFL (Paper-Based) 550 | TOEFL (Internet-Based) 95 || TOEFL (Paper-Based) 550 | TOEFL (Internet-Based) 95 | IELTS 6.0</t>
  </si>
  <si>
    <t>Dates and Deadlines | Tuition and Scholarships | Ready to Apply?</t>
  </si>
  <si>
    <t>Photograph(+) | In color and less than 6 months old, showing a close-up shot of the head and shoulders, and without wearing a hat. | English Proficiency Certificate (see above)</t>
  </si>
  <si>
    <t>The Master's Program in Biodiversity has the minimum admission requirements as follow: | English Proficiency Certificate at CEFR B2 (Vantage) or above | (please refer to English Proficiency Test Comparison Chart )</t>
  </si>
  <si>
    <t>The program emphasizes biodiversity theories as a foundation before moving onto more in-depth discussions on the scientific knowledge of biodiversity, sustainable resource utilization and planning, and benefit estimation and sharing. | Therefore, the curriculum covers the methodology and technology required for conducting research. It revolves around two main themes: | 1) Biodiversity Science</t>
  </si>
  <si>
    <t>https://mpb.ntu.edu.tw/prospective/admission/Requirements</t>
  </si>
  <si>
    <t>Effective: 2026-09-01 | SUST 900 - Sustainability Capstone | 6 units (fi 12)(EITHER, 0-6S-0) || 6 units (fi 12)(EITHER, 0-6S-0) | Course-based Master of Sustainability students complete a group capstone project on a sustainability focused project. | University of Alberta logo</t>
  </si>
  <si>
    <t>Two study interests: Environmental Health Risk Analysis (49 credits) and Environmental Health Management (48 credits). Graduate profiles include manager, leader, communicator, advocate, decision maker, negotiator, and researcher.</t>
  </si>
  <si>
    <t>https://fkm.unair.ac.id/en/department-of-environmental-health/; https://ppmb.unair.ac.id/en/page1/syarat-khusus-magister</t>
  </si>
  <si>
    <t>2026 domestic CSP indicative annual fee: AUD 9,312. International fee: AUD 42,950 per year; indicative total international tuition: AUD 88,048.</t>
  </si>
  <si>
    <t>Minimum 2 years; maximum 5 years. Course structure may be completed in 3 or 4 semesters depending on entry qualifications.</t>
  </si>
  <si>
    <t>Full-time or part-time; Hobart. Individual units may be on campus or online/off campus.</t>
  </si>
  <si>
    <t>IELTS Academic 6.5 overall, with no band below 6.0, unless the English requirement is met through an approved alternative.</t>
  </si>
  <si>
    <t>Environmental and geospatial science, GIS, remote sensing, environmental planning, field skills, and applied decision support; 200 credit points in the four-semester route.</t>
  </si>
  <si>
    <t>Second year includes either an independent Research Thesis Pathway or a Professional Research Pathway.</t>
  </si>
  <si>
    <t>https://www.utas.edu.au/courses/sci-eng/courses/p7b-master-of-environmental-geospatial-science</t>
  </si>
  <si>
    <t>Time Zone: Courses run in the Eastern Time (ET) Zone. | Course Fees: A McMaster Part Time Student fee is included in the cost of academic credit courses. There is no tax on courses unless indicated at the bottom of the schedule chart. | Additional Fees: New students pay a one-time, non-refundable $39 activation fee for their first academic-credit course. Not every program or course requires textbooks. Learn more about textbooks . || Google Pay is available for faster checkout | Payments can be made from a Canadian Financial Institution and can take 2 to 4 business days to arrive in your McMaster student account. Once payment has arrived, you can register for your course. Please note that if the amount of the course fees owing is more than what was transferred to your student account, you will be dropped from the course. | Problem processi</t>
  </si>
  <si>
    <t>Overview | Complete the Sustainability program with our flexible online courses | Whether you want to launch a career in Sustainability or expand your knowledge of sustainable environment, economic and societal best practices, our online program can help. Gain in-demand skills for this rewarding profession. || Complete the Sustainability program with our flexible online courses | Whether you want to launch a career in Sustainability or expand your knowledge of sustainable environment, economic and societal best practices, our online program can help. Gain in-demand skills for this rewarding profession. | Designed with reference to several ISSP-SA (International Society of Sustainability Professionals) core competencies || Gain sustainability skills and knowledge of the best practices | Successfully complete any three out of the four onlin</t>
  </si>
  <si>
    <t>To ensure you are successful in your online courses, you are required to have knowledge and skills with general computer applications, such as keyboarding, file management, video conferencing and word processing. | Language Requirements | If English is not your native language, you must meet McMaster University’s English proficiency requirements by either qualifying for an exemption or passing a McMaster-approved English test. You will not need to provide proof of meeting this English requiremen</t>
  </si>
  <si>
    <t>Manual review required: official program page retrieval failed (0).</t>
  </si>
  <si>
    <t>Overseas residents: International Post with address written on application. | Applicants residing in Korea: Pick up by visiting the Office of International Affairs at Kyungpook National University after the tuition payment. | Registration || Number of Selected Applicants | New international students: up to 70 applicants based on 100% tuition payment | Enrolled students: up to 210 applicants based on 100% tuition payment || New international students: up to 70 applicants based on 100% tuition payment | Enrolled students: up to 210 applicants based on 100% tuition payment | Procedure</t>
  </si>
  <si>
    <t>Combined Master’s &amp; Doctoral Program(*Applicants should first check with the appropriate department to confirm they are recruiting international students.) | ※ The Graduate School of International Studies has evening classes and has 5 semesters. | SangJu Campus</t>
  </si>
  <si>
    <t>All required documents should be submitted to the Office of International Affairs using one of the following methods: | In person | By Post (either express or regular registered post-mail)</t>
  </si>
  <si>
    <t>Korean Language &amp; Literature | English Language &amp; Literature | Korean Language &amp; Literature || Korean Language &amp; Literature | English Language &amp; Literature | History || Ethics Education | English Language Education | Social Studies Education || Korean proficiency: A "TOPIK" certificate for level 3 or higher | English proficiency: A score report from a recognized English proficiency test such as - TOEFL 530(CBT 197, iBT 71), IELTS 5.5, CEFR B2, TEPS 600점, TOEIC 700 or higher | Be a native English speaker</t>
  </si>
  <si>
    <t>2026/27 MSc program fee: HKD 210,000 full-time; HKD 180,000 part-time. Additional fees apply beyond the normative period or for extra/repeated courses.</t>
  </si>
  <si>
    <t>MSc: 1-1.5 years full-time; 2-2.5 years part-time.</t>
  </si>
  <si>
    <t>Full-time or part-time.</t>
  </si>
  <si>
    <t>IELTS Academic 6.5 overall with all sub-scores at least 5.5; TOEFL alternatives are listed in the official catalog. Exemptions apply for English first language or an English-medium bachelor's degree.</t>
  </si>
  <si>
    <t>30-credit MSc: at least 18 foundation-course credits, electives, and at least three management-related courses; focus on advanced environmental engineering and management of facilities and infrastructure systems.</t>
  </si>
  <si>
    <t>An elective list includes JEVE 6980; a mandatory capstone/project is not stated on the reviewed catalog page.</t>
  </si>
  <si>
    <t>https://prog-crs.hkust.edu.hk/pgprog/2026-27/pgd-msc-evem</t>
  </si>
  <si>
    <t>Fiji, Papua New Guinea, Samoa, Tonga, Vanuatu and Solomon Islands | Programme Fee (per semester): | Details || (i.e. 60% of | Programme Fee) | (i.e. 50% of || (i.e. 50% of | Programme Fee) | (i.e. 40% of</t>
  </si>
  <si>
    <t>Kazhakstan | Certificate of General Secondary Education + 1 Year foundation or vocational | Course || Joint Exam. For the School certificate &amp; GCE | (11 Year Course) | International Baccalaurate || Research Proposal (Minimum 8 to 10 Pages). | Proof of Minimum 2 years of teaching/ industry experience. | Proof of Proficiency in English Language.</t>
  </si>
  <si>
    <t>Inclusivity | On Campus Jobs | Career Enhancement Initiatives || Skill-based Continuous Assessment (CA) is integrated into our curriculum to enhance practical knowledge application and develop essential skills for modern success. This approach fosters an engaging learning environment, preparing students for future careers while enhancing their entrepreneurial competencies and personal growth. | Blended Learning: The Best of Both Worlds | At LPU, blended learning combines in-person engagement and online flexibility, enabling discussions, resource access, and h || Blended Learning: The Best of Both Worlds | At LPU, blended learning combines in-person engagement and online flexibility, enabling discussions, resource access, and hands-on workshops. This approach develops digital literacy and collaboration skills while connecting students with</t>
  </si>
  <si>
    <t>Scholarship | English Language Requirement | How to Pay || Short Term Programme | English Language Programmes | Study India Programmes || Copyrights © 2026 All Rights Reserved by Lovely Professional University | English Language requirement for International Students: | All International Applicants are required to satisfy one of the following || as compulsory course in the Eligibility condition; even then he/she has to satisfy one | of the following English Language requirements. | Applicant must have passed English course in 10th or higher examination.</t>
  </si>
  <si>
    <t>Interdisciplinary Minors | Curriculum innovations | Guest lectures / Workshops || Programme Details | Curriculum | Fee || Related Programmes | Curriculum | Click on a course name below for viewing || Year | Electives Offered In Curriculum | Note: The Curriculum is subject to changes</t>
  </si>
  <si>
    <t>https://www.lpu.in/academics/curriculum-innovations.php</t>
  </si>
  <si>
    <t>Bioethics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special semester during the semester break), while the maximum duration is 8 normal semesters. | Core Courses (30 credits)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t>
  </si>
  <si>
    <t>Is a government servants | English Language Requirement: | Fulfil any one of the following: || B4.0 | IELTS | 6.0 || 6.0 | TOEFL iBT (Centre-based) | TOEFL Essentials (Online) || TOEFL iBT (Centre-based) | TOEFL Essentials (Online) | 8.5</t>
  </si>
  <si>
    <t>Bioethics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special semester during the semester break), while the maximum duration is 8 normal semesters. | Core Courses (30 credits) || Students need to complete a total of 42 credit hours of courses. This includes 30 credits of core courses; and 12 credits of elective courses from one of the following modules - Module 1: Policy and Governance of Science; and Module 2: Sociology and Enculturation of Science. The minimum duration of study is 3 semesters (e.g. 2 regular semesters and 1 special semester during the semester break), while the maximum duration is 8 normal semesters. | Core Courses (30 credits) | SQE7015 Research Metho</t>
  </si>
  <si>
    <t>Master's Programme (Coursework) | Dissertation - PhD and Master | Industrial Training || SQE7015 Research Methodology (3 credits) | SQE7028 Research Project (Pre-requisite: SQE7015) (12 credit) | SQE7016 Sociology of Science (3 credits)</t>
  </si>
  <si>
    <t>It is a priority for us that you have the opportunity to work with external partners, for instance in your semester projects, which can be carried out in cooperation with authorities, companies, NGOs, etc. This way you get to work on real life problems, preparing you for your professional career. | The Sustainable Cities programme is focusing on the developed cities where the programme’s first two semesters are focused on four infrastructure sectors as well as synergies across these sectors. We  || Courses at the 1st semester: | Transitioning from wasteful to sustainable cities (5 ECTS) | The aim of the course is to introduce how the energy and material flows of cities (urban metabolism) can be analysed and to provide students with both an overview of the waste management strategies, technologies and tools applied as well as the necessary</t>
  </si>
  <si>
    <t>New Master’s options | We expect that as of 2028 you will be able to take this Master's degree programme as a 2-year programme (full-time study, 120 ECTS credits) and as a 3-year Master's for working professionals (first year full-time and then two years of part-time study in combination with relevant employment) | Learn more about your new master’s options at AAU || What you can offer an employer | How to go about job search in Denmark – both student job, internship and full-time job | Read more about AAU Career here</t>
  </si>
  <si>
    <t>Learn more about your new master’s options at AAU | Programme structure | Academic content and semester descriptions || The bachelor's degree programme which precedes these three Master's programmes is Urban, Energy and Environmental Planning ( By- Energi og Miljøplanlægning ). Unlike the Master's programmes, the bachelor's programme is carried out in Danish. | Curriculum | Find the curriculum for the programme here. || Curriculum | Find the curriculum for the programme here. | Meet Ida and Jule from the programme</t>
  </si>
  <si>
    <t>To receive the degree of B. Sc. in Environmental Science, a student must | 1) complete a minimum of 136 credit units | 2) satisfy the General Requirements of the School for professional degrees, || To receive the degree of B. Eng. in Environmental Engineering, a student must | 1) complete a minimum of 136 credit units | 2) satisfy the General Requirements of the School for professional degrees,</t>
  </si>
  <si>
    <t>What is Environmental Science and Engineering? | Environmental Science &amp;Engineering is an area of highly applied science to solve the environmental problems such as destruction of eco-system, water contamination, air pollution, soil contamination and municipal waste treatment. The department curriculum offers environmental management, eco-business, environmental education and toxicology in addition to the general environmental areas. In particular, process designs are the essential courses in th || 2) satisfy the General Requirements of the School for professional degrees, | 3) complete the 12 units of Core Courses for Environmental Science, | 4) complete at least more than 37 units of Elective Courses for Environmental Science. || 2) satisfy the General Requirements of the School for professional degrees, | 3) complete 18 units of Core Courses for Environmental Engineering, | 4) complete 42 units of Elective Courses for Environmental Engineering,</t>
  </si>
  <si>
    <t>ES 690 Directed Studies | PhD students must register for ES 693 (PhD Candidacy Exam), or ES 699 (PhD Dissertation) if you have already completed ES 693. You must continue to register for these courses every term until you complete them unless you are doing other coursework. You will have full-time student status when registered for either course. If you choose to be a part-time student, you may register for 1.5 units of credit. In this case, you will have part time status. This will reduce your  || How much will the program cost? | Students in graduate programs pay tuition on a program basis, broken into fee instalments. Learn about tuition and costs . | Do I need a study permit? || Finances | Tuition &amp; costs | Estimate your tuition fees</t>
  </si>
  <si>
    <t>September: ES 500 (MA/MSc) or 600 (PhD) and | There is no formal residency requirement. However, in practice all students must be living in or near Greater Victoria during their first two terms of study and residency during the first year is encouraged. | Graduate course summary: || Master's program | The master's program is a research degree concluding with the presentation and defense of a thesis. It normally lasts for 24 months, but typically takes from 30-36 months to complete. The maximum time allowed is 60 months. | An MA/MSc student must successfully complete 18 units of course study. Of these 18 units, 7.5 units are required core courses (listed below). Three units are taken as electives, and 7.5 units are taken as thesis. || Key components of graduate program timeline: | formation of a supervisory committee: within 8 months of en</t>
  </si>
  <si>
    <t>At least 3.0 elective units must be taken from within, or outside, the School with the permission of the student's supervisor. Up to 1.5 units may be taken at the 400 level. A student's advisory committee may also stipulate additional courses to be taken. Elective courses should be chosen to fill specific gaps in your knowledge or skills or extend your interests into a new domain. We suggest that only one of the two elective courses is a pro forma or Directed Studies (i.e., individual one-on-one || ES 690 Directed Studies | PhD students must register for ES 693 (PhD Candidacy Exam), or ES 699 (PhD Dissertation) if you have already completed ES 693. You must continue to register for these courses every term until you complete them unless you are doing other coursework. You will have full-time student status when registered for either cours</t>
  </si>
  <si>
    <t>What language competency is required? | Students must demonstrate English language proficiency to attend UVic. Please visit the Faculty of Graduate Studies page for more information. | How much will the program cost?</t>
  </si>
  <si>
    <t>The master's program is a research degree concluding with the presentation and defense of a thesis. It normally lasts for 24 months, but typically takes from 30-36 months to complete. The maximum time allowed is 60 months. | An MA/MSc student must successfully complete 18 units of course study. Of these 18 units, 7.5 units are required core courses (listed below). Three units are taken as electives, and 7.5 units are taken as thesis. | Core Courses (required): || An MA/MSc student must successfully complete 18 units of course study. Of these 18 units, 7.5 units are required core courses (listed below). Three units are taken as electives, and 7.5 units are taken as thesis. | Core Courses (required): | ES 500 (1.5) Perspectives on Environmental Theories, Methods and Skills I || A typical PhD program lasts 4-5 years and focuses mainly on research, concluding with the presentation and defense of a dissertation. The PhD program is normally a 48-month research program. The current average time to completion is closer to 60 months. The maximum time allowed is 84 months. | The University of</t>
  </si>
  <si>
    <t>PhD program | A typical PhD program lasts 4-5 years and focuses mainly on research, concluding with the presentation and defense of a dissertation. The PhD program is normally a 48-month research program. The current average time to completion is closer to 60 months. The maximum time allowed is 84 months. | The University of Victoria requires a minimum of 30 units to obtain a PhD degree (if the student has a master's degree). Core courses contribute 9.0 units toward the 30-unit minimum degree re || ES 693 (3.0) Candidacy Examination - No class time required | ES 699 (21) PhD Dissertation - No class time required | Elective courses: || ES 690 Directed Studies | PhD students must register for ES 693 (PhD Candidacy Exam), or ES 699 (PhD Dissertation) if you have already completed ES 693. You must continue to register for these courses every term until you complete them unless you are doing</t>
  </si>
  <si>
    <t>https://www.uvic.ca/graduate/finances/tuition-costs/index.php</t>
  </si>
  <si>
    <t>Official program page retrieved; 2 official page(s) reviewed; 8/10 requested evidence groups found.</t>
  </si>
  <si>
    <t>Level 9: Masters Degree (Coursework) | Course Fees | Indicative Year - 2026 || Domestic Fees | International Fees | Course Features</t>
  </si>
  <si>
    <t>Duration | 2 years full-time or 4 years part-time | Credit Points that Must be Earned || a completed Australian Qualifications Framework (AQF) Certificate IV or Diploma level qualification, or | a Bachelor level qualification study for a period of at least 2 years fulltime with a minimum overall GPA 4.0. | These qualifications must be completed within Australia, Canada, New Zealand, United Kingdom, South Africa, Ireland, or the United States of America to meet the English language proficiency requirements. || an Occupational English Test with a minimum result of 'B' in each of the four components (listening, reading, writing and speaking). | English test results remain valid for no more than two years between final examination date and the date of commencement of study, and must appear on a single result certificate. | If you are an inter</t>
  </si>
  <si>
    <t>Duration | 2 years full-time or 4 years part-time | Credit Points that Must be Earned || Where and when can I start? | Units offered internally at the below campuses may be delivered using a combination of face-to-face and video conferencing style teaching. | Units offered via MIX mode are delivered online and require compulsory attendance of site-specific learning activities such as on-campus residential schools, placements and/or work integrated learning. || Units offered internally at the below campuses may be delivered using a combination of face-to-face and video conferencing style teaching. | Units offered via MIX mode are delivered online and require compulsory attendance of site-specific learning activities such as on-campus residential schools, placements and/or work integrated learning. | See Course Features tab for further info</t>
  </si>
  <si>
    <t>a completed Australian Qualifications Framework (AQF) equivalent Bachelor degree, or higher equivalent qualification. | English Language Proficiency Requirements | If you were not born in Australia, Canada, New Zealand, United Kingdom, Ireland, South Africa or the United States of America, you are required to meet the English language proficiency requirements set by the University. || English Language Proficiency Requirements | If you were not born in Australia, Canada, New Zealand, United Kingdom, Ireland, South Africa or the United States of America, you are required to meet the English language proficiency requirements set by the University. | You are required to provide documentation confirming completion of: || a Bachelor level qualification study for a period of at least 2 years fulltime with a minimum overall GPA 4.0. | These qualifications must be completed within Australia, Canada, New Zealand, United Kingdom, South Africa, Ireland, or the United States of America to meet the</t>
  </si>
  <si>
    <t>Inherent Requirements | Course Learning Outcomes | Core Structure || Core Structure | Course Structure | Core Structure || The Master of Sustainable Development is designed for professionals seeking to become leaders in the field of sustainability. This comprehensive course offers a holistic approach to sustainability, encompassing environmental, social and economic dimensions. You will delve into advanced topics including sustainable resource management, policy analysis and corporate sustainability strategies. | A distinctive feature of this course is the practical residential school, where you will gain hands-on s || Inherent Requirements | There are Inherent Requirements (IRs) that you need to be aware of, and fulfil, to achieve the core learning outcomes of the units and course. IRs are the essential capabilities, knowledge, behaviours and skills that are needed to complete a unit or course. | Please note that in some instances there may be similarities between course, entry and inherent requirements.</t>
  </si>
  <si>
    <t>9. APPLICATION OF KNOWLEDGE &amp; SKILLS Be able to use high level personal autonomy and accountability | 10 APPLICATION OF KNOWLEDGE &amp; SKILLS Be able to plan and execute a substantial research-based project, capstone experience and/or piece of scholarship. | APPLICATION OF KNOWLEDGE &amp; SKILLS Communicate, interact and collaborate with others effectively in culturally or linguistically diverse contexts in a culturally respectful manner</t>
  </si>
  <si>
    <t>Indicative annual fee: AUD 49,640 for the indexed international/full-time study option; annual fees are based on an 80-unit full-time load.</t>
  </si>
  <si>
    <t>2 years full-time; up to 6 years part-time.</t>
  </si>
  <si>
    <t>Online option is published; other location/attendance options depend on the selections made on the official program page.</t>
  </si>
  <si>
    <t>Applicants must meet University of Newcastle English Language Proficiency requirements; the program page did not expose the numeric score in the reviewed view.</t>
  </si>
  <si>
    <t>Environmental management, sustainability, climate change, policy development and implementation, impact assessment, with specialisation in business management, natural resource management, and/or spatial science.</t>
  </si>
  <si>
    <t>98.2% employed within four months of graduating (Graduate Outcomes Survey 2022-2024, Postgraduate Agriculture and Environmental Studies).</t>
  </si>
  <si>
    <t>Full UK Fee: GBP 12,950 | Tuition fees in the academic year 2027/28* will be GBP 10,050. Fees are set in line with the UK Government's tuition fee cap. The University may increase fees in subsequent years in line with any changes to the tuition fee cap. Increases will be linked to inflation. For example, increases may be linked to RPIX (Retail Price Index excluding mortgage interest payments) Students will be notified of any increase ahead of it taking effect. Student fee loans rise in line with || *if your course is longer than one year | Full International Fee: GBP 22,850 | This is the tuition fee for your first year of study. You should expect to pay tuition fees for every year of study. The University may increase fees in the second and subsequent years of your course at our discretion in line with any inflationary or other uplift. St</t>
  </si>
  <si>
    <t>Disaster Management and Sustainable Development MSc | 2 Years Full-Time (with Advanced Practice in Second Year) | September Start | APPLY NOW || Mode of Study | 2 years Full Time (with Advanced Practice in the second year) | 1 other options available || Tuition fees in the academic year 2027/28* will be GBP 10,050. Fees are set in line with the UK Government's tuition fee cap. The University may increase fees in subsequent years in line with any changes to the tuition fee cap. Increases will be linked to inflation. For example, increases may be linked to RPIX (Retail Price Index excluding mortgage interest payments) Students will be notified of any increase ahead of it taking effect. Student fee loans rise in line with the tuition fees cap. | *</t>
  </si>
  <si>
    <t>Disaster Management and Sustainable Development MSc | 2 Years Full-Time (with Advanced Practice in Second Year) | September Start | APPLY NOW || Postgraduate | Mode of Study | 2 years Full Time (with Advanced Practice in the second year) || Mode of Study | 2 years Full Time (with Advanced Practice in the second year) | 1 other options available</t>
  </si>
  <si>
    <t>More about the UK Government Loan. | In this rapidly expanding field, you will learn through real scenarios and case studies and live research projects, developing your personal and professional responses to disaster and development challenges. | Guided through lectures, seminars and workshops by staff with vast experience in applying expertise to current world issues, you will develop the knowledge and practical skills needed to prepare for, take action within, and recover from a crisis. You wi || In this rapidly expanding field, you will learn through real scenarios and case studies and live research projects, developing your personal and professional responses to disaster and development challenges. | Guided through lectures, seminars and workshops by staff with vast experience in applying expertise to current world issues, you will develop the knowledge and practical skills needed to</t>
  </si>
  <si>
    <t>Learning Outcomes | In accordance with Decree 1311 concerning the 2020 Higher Education Curriculum for the Environmental Science Study Program of the SIL UI Masters Program, the structure of the Masters education curriculum at SIL is in the form of lectures and research with a load of 40 credits taken within a study period of 4-6 semesters. The curriculum consists of 28 credits of compulsory courses and 12 credits of elective courses. The Environmental Science Study Program currently has 3 (thre</t>
  </si>
  <si>
    <t>SDGs | Gallery/Life on Campus | ALUMNI</t>
  </si>
  <si>
    <t>Masters who are able to develop knowledge in the field of Environmental Science and are able to conduct (manage) research and are able to identify and solve problems in the field of environmental science through interdisciplinary and multidisciplinary approaches, and are able to write and disseminate research results to the public. | Learning Outcomes | In accordance with Decree 1311 concerning the 2020 Higher Education Curriculum for the Environmental Science Study Program of the SIL UI Masters || Learning Outcomes | In accordance with Decree 1311 concerning the 2020 Higher Education Curriculum for the Environmental Science Study Program of the SIL UI Masters Program, the structure of the Masters education curriculum at SIL is in the form of lectures and research with a load of 40 credits taken within a study period of 4-6 semesters. The curriculum consists of 28 credits of compulsory courses and 12 credits of elective courses. The Environmental Science Study Program currently has 3 (thre</t>
  </si>
  <si>
    <t>Environmental Sciences | Duration: 24 Months (2 Years) | Degree Awarded: MSc || The Masters of Science in Environmental Science at An-Najah National University is a foundation to leadership for environmental professionals. The program was designed by academic leaders in the Water and Environmental Studies Institute at An-Najah National University and benefiting from experts and programs in applied science at regional institutes and universities. The focus of the program is on studying the environmental effects and impacts of current human activities and development on the p || 2003-1 | Student must complete 36 credit hours | Speciality Requirements</t>
  </si>
  <si>
    <t>Deanship of Student Affairs | Life on Campus | Student Training and Development || Faculties | Life on Campus | Nablus City || Discover Palestine | Open Online Courses | Nablus, Palestine</t>
  </si>
  <si>
    <t>The Masters of Science in Environmental Science at An-Najah National University is a foundation to leadership for environmental professionals. The program was designed by academic leaders in the Water and Environmental Studies Institute at An-Najah National University and benefiting from experts and programs in applied science at regional institutes and universities. The focus of the program is on studying the environmental effects and impacts of current human activities and development on the p</t>
  </si>
  <si>
    <t>https://www.najah.edu/en/academic/postgraduate-programs/program/environmental-sciences/study-plan/</t>
  </si>
  <si>
    <t>Admission requirements | Tuition information | Application deadlines || In order to promote access, students may submit a GPA petition if they don't meet the 3.00 GPA requirement for admission. More information can be found on the School of Sustainability graduate admission website . | Tuition information ▲ | When it comes to paying for higher education, || everyone’s situation is different. Students can | learn about ASU tuition and financial aid | options to find out which will work best for them.</t>
  </si>
  <si>
    <t>a bachelor's and a master's degree in as little | as five years. Accelerated bachelor's plus | master's degree programs are designed for || Degree requirements ▲ | 30 credit hours including the required applied project course (SOS 593) | Required Core (6 credit hours) || 30 credit hours including the required applied project course (SOS 593) | Required Core (6 credit hours) | SOS 508 Pathways to Sustainability (3) or SOS 510 Perspectives on Sustainability (3)</t>
  </si>
  <si>
    <t>Session A/C | In Person | 03/01 || and look for the "New Programs" option. | What are online programs? | ASU Online</t>
  </si>
  <si>
    <t>concurrent combinations are not possible due to | high levels of overlap in curriculum; students | should speak with their academic advisor for || master's degree. These programs feature the same | high quality curriculum taught by ASU's | world-renowned faculty. || SOS 593 Applied Project (3) | Additional Curriculum Information | MSUS students specialize in a focus area and take six credit hours of elective coursework related to that area with approval by their academic advisor. || three letters of recommendation | resume or curriculum vitae | proof of English proficiency</t>
  </si>
  <si>
    <t>A distinguishing element of the program is its applied approach. You begin the program with a foundation in sustainability frameworks and methods, then you take electives in an area of interest and ultimately use this knowledge to develop solutions to actual sustainability challenges in real time. | Final courses include learning how to manage and carry-out sustainability projects. In the capstone experience, you collaborate with a company, a government agency, a community or a nongovernmental o</t>
  </si>
  <si>
    <t>Verification Issues and Manual Follow-up - Selected Sample</t>
  </si>
  <si>
    <t>Critical corrections are complete. The rows below still require interpretation or manual confirmation before modelling the 60-program sample.</t>
  </si>
  <si>
    <t>Priority</t>
  </si>
  <si>
    <t>Category</t>
  </si>
  <si>
    <t>Issue</t>
  </si>
  <si>
    <t>Treatment in Workbook</t>
  </si>
  <si>
    <t>Recommended Follow-up</t>
  </si>
  <si>
    <t>Evidence URL</t>
  </si>
  <si>
    <t>Critical</t>
  </si>
  <si>
    <t>Ranking source</t>
  </si>
  <si>
    <t>All</t>
  </si>
  <si>
    <t>Previous workbook used general QS/THE world rankings.</t>
  </si>
  <si>
    <t>Uses sustainability-specific rankings.</t>
  </si>
  <si>
    <t>Use this workbook for sustainability analysis.</t>
  </si>
  <si>
    <t>https://www.topuniversities.com/sustainability-rankings</t>
  </si>
  <si>
    <t>Sample construction</t>
  </si>
  <si>
    <t>Ranking overlap can produce fewer than 60 distinct institutions.</t>
  </si>
  <si>
    <t>30 QS records are selected first; 30 nonduplicate THE records are then added.</t>
  </si>
  <si>
    <t>Use Selection Audit for cohort assignment.</t>
  </si>
  <si>
    <t>https://www.timeshighereducation.com/impactrankings</t>
  </si>
  <si>
    <t>Al-Ahliyya Amman University (ID 75)</t>
  </si>
  <si>
    <t>Manual validation found no relevant sustainability/environment master's program.</t>
  </si>
  <si>
    <t>Excluded before sample selection.</t>
  </si>
  <si>
    <t>Preserve the exclusion unless new official evidence is found.</t>
  </si>
  <si>
    <t>https://www.ammanu.edu.jo/sdo/sdg-focused-courses-1742/</t>
  </si>
  <si>
    <t>High</t>
  </si>
  <si>
    <t>Program type</t>
  </si>
  <si>
    <t>Sustainability, Science &amp; Society is undergraduate, not MSc.</t>
  </si>
  <si>
    <t>Replaced with MSc Geography and marked as research/best-fit.</t>
  </si>
  <si>
    <t>Confirm desired research supervisor/theme.</t>
  </si>
  <si>
    <t>Program availability</t>
  </si>
  <si>
    <t>Sustainable Process Engineering MEL is paused and not accepting applications.</t>
  </si>
  <si>
    <t>Replaced with current Clean Energy Engineering MEL.</t>
  </si>
  <si>
    <t>Confirm that energy-focused scope fits the proposal.</t>
  </si>
  <si>
    <t>Campus scope</t>
  </si>
  <si>
    <t>AASHE current record is University of Toronto Mississauga, not the parent institution.</t>
  </si>
  <si>
    <t>No rating assigned to University of Toronto.</t>
  </si>
  <si>
    <t>Keep campus and parent analyses separate.</t>
  </si>
  <si>
    <t>Medium</t>
  </si>
  <si>
    <t>AASHE scope</t>
  </si>
  <si>
    <t>AASHE label does not state a campus boundary.</t>
  </si>
  <si>
    <t>Rating shown with Scope review required.</t>
  </si>
  <si>
    <t>Read the report boundary before using the score.</t>
  </si>
  <si>
    <t>OpenAlex API coverage</t>
  </si>
  <si>
    <t>Selected sample</t>
  </si>
  <si>
    <t>Collection status: Collected=28; No reliable match=3; API quota reached=29.</t>
  </si>
  <si>
    <t>Uncollected values remain blank and are not coded as zero.</t>
  </si>
  <si>
    <t>Rerun with an OpenAlex API key before modelling.</t>
  </si>
  <si>
    <t>https://developers.openalex.org/guides/authentication</t>
  </si>
  <si>
    <t>Program confirmation</t>
  </si>
  <si>
    <t>No directly qualifying sustainability/environment master's confirmed.</t>
  </si>
  <si>
    <t>Retained in the sample and flagged unresolved.</t>
  </si>
  <si>
    <t>Check the university site manually or contact graduate admissions.</t>
  </si>
  <si>
    <t>URL access</t>
  </si>
  <si>
    <t>7 selected institutions</t>
  </si>
  <si>
    <t>Official program pages blocked automated fetches or timed out.</t>
  </si>
  <si>
    <t>Blocked access is separated from missing pages; no 404s remain.</t>
  </si>
  <si>
    <t>Open the URLs manually during final validation.</t>
  </si>
  <si>
    <t>See URL Audit sheet</t>
  </si>
  <si>
    <t>Official Program URL Audit - 60 Selected Programs</t>
  </si>
  <si>
    <t>Automated GET requests followed redirects. Site-level anti-bot blocks are separated from missing pages; all former 404s were corrected.</t>
  </si>
  <si>
    <t>Audit Result</t>
  </si>
  <si>
    <t>Requested URL</t>
  </si>
  <si>
    <t>Final URL</t>
  </si>
  <si>
    <t>Page Title</t>
  </si>
  <si>
    <t>Audit Note</t>
  </si>
  <si>
    <t>Environmental Studies and Sustainability Science - Master of Science programme | Lund University</t>
  </si>
  <si>
    <t>Official page responded successfully.</t>
  </si>
  <si>
    <t>Master of Environment &amp; Sustainability (MES) | School of the Environment</t>
  </si>
  <si>
    <t>Sustainable Resources: Economics, Policy and Transitions MSc | Prospective Students Graduate - UCL – University College London</t>
  </si>
  <si>
    <t>MSc Global Strategy and Sustainability - University of Edinburgh Business School</t>
  </si>
  <si>
    <t>Clean Energy Engineering | UBC MEL MHLP Professional Leadership Master Degrees</t>
  </si>
  <si>
    <t>MSc Environmental Policy and Regulation - LSE</t>
  </si>
  <si>
    <t>MSc Climate Change, Management &amp;amp; Finance - Business School</t>
  </si>
  <si>
    <t>Geography (M.Sc.) | Future Graduate Students - McGill University</t>
  </si>
  <si>
    <t>MSc Environmental Governance (2026 entry) | The University of Manchester</t>
  </si>
  <si>
    <t>Master Environmental Sciences | ETH Zurich</t>
  </si>
  <si>
    <t>Just a moment...</t>
  </si>
  <si>
    <t>Official page blocks automated requests; verified through official-domain web search.</t>
  </si>
  <si>
    <t>UC Berkeley Rausser Master of Climate Solutions</t>
  </si>
  <si>
    <t>SUSTSCI-MS Program | Stanford University Bulletin</t>
  </si>
  <si>
    <t>MSc in Sustainability, Enterprise and the Environment | Smith School of Enterprise and the Environment</t>
  </si>
  <si>
    <t>Master of Sustainability - The University of Sydney</t>
  </si>
  <si>
    <t>https://programsandcourses.anu.edu.au/Error/Index/404?aspxerrorpath=/program/MCLCH</t>
  </si>
  <si>
    <t>Page not found</t>
  </si>
  <si>
    <t>Environment, Politics and Development MSc | King&amp;#x27;s College London</t>
  </si>
  <si>
    <t>MSc Environmental Policy and Management | Study at Bristol | University of Bristol</t>
  </si>
  <si>
    <t>Page Not Found | NYU SPS</t>
  </si>
  <si>
    <t>Renewable Energy and Sustainability Systems M.P.S. | Penn State College of Earth and Mineral Sciences</t>
  </si>
  <si>
    <t>https://onderwijsaanbod.kuleuven.be/opleidingen/e/SC_53903372/diploma_omschrijving</t>
  </si>
  <si>
    <t>ICP Master of Science in Sustainable Development (Leuven) | KU Leuven</t>
  </si>
  <si>
    <t>Environmental Change and Global Sustainability | Master&amp;#039;s programme | University of Helsinki</t>
  </si>
  <si>
    <t>Taught Masters - Durham University</t>
  </si>
  <si>
    <t>Sustainability, Environment and Development MSc | University of Leeds</t>
  </si>
  <si>
    <t>Master of Environment and Sustainability - Western University</t>
  </si>
  <si>
    <t>University of Glasgow - Postgraduate study - Taught degree programmes A&amp;#8209;Z - Environment &amp;amp; Sustainable Development</t>
  </si>
  <si>
    <t>Master of Environmental Science – University of Auckland</t>
  </si>
  <si>
    <t>Environmental Sciences (M.Sc. / P.Grad.Dip.) - Courses | Trinity College Dublin</t>
  </si>
  <si>
    <t>Master of Environmental Studies | Penn LPS</t>
  </si>
  <si>
    <t>MSc Global Sustainability Solutions | Sustainability Masters | University of Exeter</t>
  </si>
  <si>
    <t>Master of Sustainable Tourism, Hospitality and Event Management | Western Sydney University</t>
  </si>
  <si>
    <t>Programs Overview | School of Environmental Studies</t>
  </si>
  <si>
    <t>Masters in Sustainable Development Practice (MSDP)</t>
  </si>
  <si>
    <t>영문(ENG) - 글로벌기후환경학과 HYGCE - 한양대학교</t>
  </si>
  <si>
    <t>Graduate School of Environmental Science</t>
  </si>
  <si>
    <t>Program &amp;#8211; LESTARI UKM</t>
  </si>
  <si>
    <t>Nos formations | L&amp;#039;Institut Agro</t>
  </si>
  <si>
    <t>Overview - Master&amp;#x27;s Program in Biodiversity, NTU 臺大生物多樣性國際碩士學位學程</t>
  </si>
  <si>
    <t>SUST - Sustainability - Catalogue@UAlberta.ca</t>
  </si>
  <si>
    <t>Korea University Graduate School of Life and Environmental Science | Master ’ s Program | Department</t>
  </si>
  <si>
    <t>Automated fetch failed or timed out; verified through official-domain web search.</t>
  </si>
  <si>
    <t>Professional &amp; Special Graduate &gt; Academics | Pusan National University</t>
  </si>
  <si>
    <t>Sustainability Program - McMaster McMaster Continuing Education</t>
  </si>
  <si>
    <t>Kyungpook National University</t>
  </si>
  <si>
    <t>Programmes Search - LPU</t>
  </si>
  <si>
    <t>STS - Universiti Malaya</t>
  </si>
  <si>
    <t>Sustainable Cities - Master degree - Aalborg University</t>
  </si>
  <si>
    <t>경희대학교</t>
  </si>
  <si>
    <t>Master's and PhD programs - ENVI - UVic</t>
  </si>
  <si>
    <t>CQUni Handbook</t>
  </si>
  <si>
    <t>Disaster Management Masters | MSc Sustainable Development | Northumbria</t>
  </si>
  <si>
    <t>Master of Environmental Science &amp;#8211; SIL UI | Sekolah Ilmu Lingkungan Universitas Indonesia</t>
  </si>
  <si>
    <t>An-Najah National University : Graduate Programs - Environmental Sciences - Info Card</t>
  </si>
  <si>
    <t>Sustainability Solutions, MSUS - MSUS | Degree Details | ASU Degree Search</t>
  </si>
  <si>
    <t>Data Dictionary - 60-Program Workbook</t>
  </si>
  <si>
    <t>Definitions for selection, ranking, program, and external-source fields. Selection Cohort and Candidate Source are intentionally distinct.</t>
  </si>
  <si>
    <t>Sheet</t>
  </si>
  <si>
    <t>Field</t>
  </si>
  <si>
    <t>Allowed Values / Example</t>
  </si>
  <si>
    <t>Definition</t>
  </si>
  <si>
    <t>Type</t>
  </si>
  <si>
    <t>Analysis Note</t>
  </si>
  <si>
    <t>Selection Audit</t>
  </si>
  <si>
    <t>QS / THE</t>
  </si>
  <si>
    <t>The mutually exclusive cohort used to construct the 60-program sample.</t>
  </si>
  <si>
    <t>Controlled text</t>
  </si>
  <si>
    <t>Each cohort contains exactly 30 programs.</t>
  </si>
  <si>
    <t>1-30</t>
  </si>
  <si>
    <t>Position after applying the documented cohort rule.</t>
  </si>
  <si>
    <t>Number</t>
  </si>
  <si>
    <t>This is not a new published rank.</t>
  </si>
  <si>
    <t>Candidate Universities</t>
  </si>
  <si>
    <t>QS Sustainability / THE Impact / Both</t>
  </si>
  <si>
    <t>Which source top-50 cutoff originally contained the institution.</t>
  </si>
  <si>
    <t>Text</t>
  </si>
  <si>
    <t>Do not confuse source membership with Selection Cohort.</t>
  </si>
  <si>
    <t>1, =7, etc.</t>
  </si>
  <si>
    <t>Published QS Sustainability rank string.</t>
  </si>
  <si>
    <t>Rank Number on QS sheet is numeric for cutoff checks.</t>
  </si>
  <si>
    <t>1, =17, etc.</t>
  </si>
  <si>
    <t>Published THE Sustainability Impact rank string.</t>
  </si>
  <si>
    <t>Rank Number on THE sheet is numeric for cutoff checks.</t>
  </si>
  <si>
    <t>Program Verification</t>
  </si>
  <si>
    <t>Direct / Major / Concentration / Research / Best-fit / Restricted / Joint degree / Specialization / Unresolved</t>
  </si>
  <si>
    <t>How directly the selected program matches a standalone sustainability/environment master's.</t>
  </si>
  <si>
    <t>Filter before comparative analysis.</t>
  </si>
  <si>
    <t>Confirmed / Manual review required</t>
  </si>
  <si>
    <t>Whether an official source confirms a qualifying path.</t>
  </si>
  <si>
    <t>Manual-review rows should not be imputed.</t>
  </si>
  <si>
    <t>OK / Blocked by site / Automated fetch failed</t>
  </si>
  <si>
    <t>Result of automated page retrieval.</t>
  </si>
  <si>
    <t>Blocked does not mean invalid.</t>
  </si>
  <si>
    <t>AASHE STARS</t>
  </si>
  <si>
    <t>Exact name / Verified alias / Scope review required / Campus-only record found / No current exact record</t>
  </si>
  <si>
    <t>Institutional identity and scope result.</t>
  </si>
  <si>
    <t>Only exact/alias matches are fully clean.</t>
  </si>
  <si>
    <t>Reporter / Bronze / Silver / Gold / Platinum</t>
  </si>
  <si>
    <t>Published current STARS rating.</t>
  </si>
  <si>
    <t>Blank when no exact applicable rating.</t>
  </si>
  <si>
    <t>40 / 55 / 70 / 85 / 100</t>
  </si>
  <si>
    <t>Project coding of the categorical STARS rating.</t>
  </si>
  <si>
    <t>Not an AASHE raw score.</t>
  </si>
  <si>
    <t>UN PRME</t>
  </si>
  <si>
    <t>Verified - Exact / Verified - Verified alias / No verified match</t>
  </si>
  <si>
    <t>Strict current signatory match result.</t>
  </si>
  <si>
    <t>School-level scope is retained explicitly.</t>
  </si>
  <si>
    <t>Recent SIP Count</t>
  </si>
  <si>
    <t>0, 1, 2, ...</t>
  </si>
  <si>
    <t>Number of SIP reports whose report year is 2022-2026.</t>
  </si>
  <si>
    <t>A blank or unmatched institution must not be inferred as zero.</t>
  </si>
  <si>
    <t>OpenAlex 2021-2025</t>
  </si>
  <si>
    <t>Collected / API quota reached / No reliable match / Collection error</t>
  </si>
  <si>
    <t>Whether comparable institution and work metrics were collected.</t>
  </si>
  <si>
    <t>Use only Collected rows in analysis until the quota run is completed.</t>
  </si>
  <si>
    <t>Non-negative integer</t>
  </si>
  <si>
    <t>Works returned by the documented OpenAlex institution/date/keyword query.</t>
  </si>
  <si>
    <t>Broad keyword signal; not a program-specific publication count.</t>
  </si>
  <si>
    <t>Citation sum for the 25 most-cited matching works returned by the query.</t>
  </si>
  <si>
    <t>Not total citations for all matching works.</t>
  </si>
  <si>
    <t>Program Details</t>
  </si>
  <si>
    <t>Published amount and fee context, or Not stated</t>
  </si>
  <si>
    <t>Current official cost evidence where available.</t>
  </si>
  <si>
    <t>Validate cohort/year and domestic/international applicability before comparison.</t>
  </si>
  <si>
    <t>Official evidence text / NA</t>
  </si>
  <si>
    <t>Experiential learning identified on reviewed official pages.</t>
  </si>
  <si>
    <t>NA means none was identified; it does not prove the program never offers it.</t>
  </si>
  <si>
    <t>Yes / No / Not stated</t>
  </si>
  <si>
    <t>Whether a thesis route or requirement was identified.</t>
  </si>
  <si>
    <t>Read Thesis Evidence for required versus optional status.</t>
  </si>
  <si>
    <t>Missing-value label</t>
  </si>
  <si>
    <t>Requested evidence was not found on reviewed official sources.</t>
  </si>
  <si>
    <t>Do not convert this label to zero.</t>
  </si>
  <si>
    <t>Verification Date / Retrieved</t>
  </si>
  <si>
    <t>YYYY-MM-DD</t>
  </si>
  <si>
    <t>Point-in-time date of verification or source collection.</t>
  </si>
  <si>
    <t>Date-like text</t>
  </si>
  <si>
    <t>Refresh before final publication.</t>
  </si>
  <si>
    <t>Method and Official Sources - 60-Program Selection</t>
  </si>
  <si>
    <t>Reproducible rules used to construct the distinct QS/THE sample and retain linked AASHE, UN PRME, OpenAlex, and official program evidence.</t>
  </si>
  <si>
    <t>Step</t>
  </si>
  <si>
    <t>Dataset</t>
  </si>
  <si>
    <t>Rule</t>
  </si>
  <si>
    <t>Key Scope Decision</t>
  </si>
  <si>
    <t>Official Source</t>
  </si>
  <si>
    <t>Retrieved</t>
  </si>
  <si>
    <t>QS Sustainability Rankings 2026</t>
  </si>
  <si>
    <t>Build the validated source pool from published numeric rank &lt;= 50.</t>
  </si>
  <si>
    <t>Tied rank 50 produced 51 source rows.</t>
  </si>
  <si>
    <t>THE Sustainability Impact Ratings 2026</t>
  </si>
  <si>
    <t>Tied rank 49 produced 51 source rows.</t>
  </si>
  <si>
    <t>Candidate union</t>
  </si>
  <si>
    <t>Normalize punctuation, parentheticals, and verified aliases; merge only the same institution.</t>
  </si>
  <si>
    <t>Five overlaps produced 97 source candidates.</t>
  </si>
  <si>
    <t>Candidate Universities sheet</t>
  </si>
  <si>
    <t>Remove a candidate only after program-level manual review.</t>
  </si>
  <si>
    <t>ID 75 was excluded; 96 validated institutions remained.</t>
  </si>
  <si>
    <t>Verification Issues sheet</t>
  </si>
  <si>
    <t>60-program selection</t>
  </si>
  <si>
    <t>Select the first 30 QS records, then the 30 highest-ranked THE records not already selected.</t>
  </si>
  <si>
    <t>Exactly 60 distinct programs; QS source order resolves the rank-30 tie; THE additions extend through rank 33.</t>
  </si>
  <si>
    <t>Selection Audit sheet</t>
  </si>
  <si>
    <t>2026-07-19</t>
  </si>
  <si>
    <t>Program verification</t>
  </si>
  <si>
    <t>Select a current master's-level sustainability/environment program from an official university source.</t>
  </si>
  <si>
    <t>Match types remain explicit; unresolved programs are not imputed.</t>
  </si>
  <si>
    <t>Program Verification sheet</t>
  </si>
  <si>
    <t>Program URL audit</t>
  </si>
  <si>
    <t>Follow redirects and record HTTP response.</t>
  </si>
  <si>
    <t>403/timeouts are not treated as missing when official-domain evidence confirms the page.</t>
  </si>
  <si>
    <t>URL Audit sheet</t>
  </si>
  <si>
    <t>Match exact institution identity against the current participants and reports table.</t>
  </si>
  <si>
    <t>No parent/system/campus inheritance.</t>
  </si>
  <si>
    <t>AASHE rating score</t>
  </si>
  <si>
    <t>Reporter=40, Bronze=55, Silver=70, Gold=85, Platinum=100.</t>
  </si>
  <si>
    <t>Analysis coding of the published rating, not an AASHE raw numeric score.</t>
  </si>
  <si>
    <t>AASHE STARS sheet</t>
  </si>
  <si>
    <t>Accept only exact or verified-alias current signatory matches.</t>
  </si>
  <si>
    <t>Business-school signatories remain school scoped.</t>
  </si>
  <si>
    <t>UN PRME SIP</t>
  </si>
  <si>
    <t>Count reports with report year 2022-2026; parse title/file year before upload date.</t>
  </si>
  <si>
    <t>Migration upload dates do not make old reports recent.</t>
  </si>
  <si>
    <t>https://www.unprme.org/sip-2/</t>
  </si>
  <si>
    <t>OpenAlex</t>
  </si>
  <si>
    <t>Match the institution, then count 2021-2025 works for the documented keyword query.</t>
  </si>
  <si>
    <t>Missing rows are blank, not zero; Top-25 citations are not total citations.</t>
  </si>
  <si>
    <t>https://developers.openalex.org/api-reference/works</t>
  </si>
  <si>
    <t>Program details</t>
  </si>
  <si>
    <t>Extract requested fields from official program and selected same-domain evidence pages.</t>
  </si>
  <si>
    <t>NA is reserved for no internship/fieldwork identified.</t>
  </si>
  <si>
    <t>Program Details sheet</t>
  </si>
  <si>
    <t>Manual validation</t>
  </si>
  <si>
    <t>Review unresolved programs, source blocks, scope flags, and year-specific fees before statistical analysis.</t>
  </si>
  <si>
    <t>Do not impute unresolved program, campus, API, or cost fields.</t>
  </si>
  <si>
    <t>Limitation</t>
  </si>
  <si>
    <t>Effect</t>
  </si>
  <si>
    <t>Workbook Treatment</t>
  </si>
  <si>
    <t>Next Manual Action</t>
  </si>
  <si>
    <t>Affected Rows</t>
  </si>
  <si>
    <t>Rankings measure institutions, not individual master's programs.</t>
  </si>
  <si>
    <t>Rank values cannot be interpreted as direct program ranks.</t>
  </si>
  <si>
    <t>University ranking and program verification are separate sheets.</t>
  </si>
  <si>
    <t>Use program-specific outcomes from university sites if needed.</t>
  </si>
  <si>
    <t>All 60</t>
  </si>
  <si>
    <t>Exactly 30 QS records requires a deterministic tie rule.</t>
  </si>
  <si>
    <t>University of Pennsylvania and University of Reading share rank 30 and score 95.3.</t>
  </si>
  <si>
    <t>Official source order retains Pennsylvania as the 30th QS record.</t>
  </si>
  <si>
    <t>Run sensitivity analysis if the boundary choice matters.</t>
  </si>
  <si>
    <t>QS boundary</t>
  </si>
  <si>
    <t>Removing QS overlaps shifts the THE addition boundary.</t>
  </si>
  <si>
    <t>The 30th distinct THE addition is at published rank 33.</t>
  </si>
  <si>
    <t>The THE cohort excludes IDs already selected by QS.</t>
  </si>
  <si>
    <t>Use Selection Audit rather than rank &lt;= 30 as the cohort definition.</t>
  </si>
  <si>
    <t>THE boundary</t>
  </si>
  <si>
    <t>Some institutions publish only a department or research route.</t>
  </si>
  <si>
    <t>Program comparability varies.</t>
  </si>
  <si>
    <t>Match Type distinguishes direct from best-fit/research routes.</t>
  </si>
  <si>
    <t>Filter Match Type before modelling.</t>
  </si>
  <si>
    <t>See Program Verification</t>
  </si>
  <si>
    <t>Official sites change URLs and may block bots.</t>
  </si>
  <si>
    <t>Automated audit can understate availability.</t>
  </si>
  <si>
    <t>HTTP status and manual-search verification are separate.</t>
  </si>
  <si>
    <t>Open blocked URLs during final review.</t>
  </si>
  <si>
    <t>AASHE is institution/campus scoped.</t>
  </si>
  <si>
    <t>A related campus rating may not apply to the ranked institution.</t>
  </si>
  <si>
    <t>Strict match status and notes are included.</t>
  </si>
  <si>
    <t>Read report boundaries for scope-review cases.</t>
  </si>
  <si>
    <t>Toronto; ASU</t>
  </si>
  <si>
    <t>UN PRME membership is often business-school scoped.</t>
  </si>
  <si>
    <t>A school match does not prove whole-university participation.</t>
  </si>
  <si>
    <t>Matched signatory name and scope are retained.</t>
  </si>
  <si>
    <t>Use the signatory entity in PRME analysis.</t>
  </si>
  <si>
    <t>OpenAlex collection is incomplete because the anonymous API quota was exhausted.</t>
  </si>
  <si>
    <t>Missing institutions cannot be compared fairly with collected institutions.</t>
  </si>
  <si>
    <t>Uncollected metrics are blank and collection status is explicit.</t>
  </si>
  <si>
    <t>Data are point-in-time.</t>
  </si>
  <si>
    <t>Rankings, programs, and ratings can change.</t>
  </si>
  <si>
    <t>Retrieval and verification dates are stored.</t>
  </si>
  <si>
    <t>Refresh before publication or final submission.</t>
  </si>
  <si>
    <t>https://www.lunduniversity.lu.se/study/environmental-studies-and-sustainability-science-master-of-science-programme-SAESS</t>
    <phoneticPr fontId="8" type="noConversion"/>
  </si>
  <si>
    <t>https://www.environment.utoronto.ca/graduate/mes</t>
    <phoneticPr fontId="8" type="noConversion"/>
  </si>
  <si>
    <t>https://www.ucl.ac.uk/prospective-students/graduate/taught-degrees/sustainable-resources-economics-policy-and-transitions-msc</t>
    <phoneticPr fontId="8" type="noConversion"/>
  </si>
  <si>
    <t>https://www.business-school.ed.ac.uk/msc/global-strategy-sustainability</t>
    <phoneticPr fontId="8" type="noConversion"/>
  </si>
  <si>
    <t>https://apscpp.ubc.ca/programs/mel/clean-energy-engineering</t>
    <phoneticPr fontId="8" type="noConversion"/>
  </si>
  <si>
    <t>2 years</t>
    <phoneticPr fontId="8" type="noConversion"/>
  </si>
  <si>
    <t>Language</t>
    <phoneticPr fontId="8" type="noConversion"/>
  </si>
  <si>
    <t>Language Requirement</t>
    <phoneticPr fontId="8" type="noConversion"/>
  </si>
  <si>
    <t>2 years, Full time</t>
    <phoneticPr fontId="8" type="noConversion"/>
  </si>
  <si>
    <t>Entry requirements
A Bachelor’s degree corresponding to at least 180 ECTS. English course 6 (advanced proficiency)
Selection criteria
Selection is based on academic grades, relevant work experience, statement of purpose and recommendations.</t>
    <phoneticPr fontId="8" type="noConversion"/>
  </si>
  <si>
    <t>English</t>
  </si>
  <si>
    <t>English</t>
    <phoneticPr fontId="8" type="noConversion"/>
  </si>
  <si>
    <t>NA</t>
    <phoneticPr fontId="8" type="noConversion"/>
  </si>
  <si>
    <t>As society increasingly recognises the importance of addressing complex social, environmental, and economic challenges, the need for qualified sustainability experts is growing.
The LUMES programme opens doors to a wide range of exciting and meaningful career opportunities in the private and public sectors as well as in non-governmental organisations. Your career path will be shaped by the knowledge and skills you acquire during the programme, along with your previous background and interests.
Many graduates have gone on to successful careers as consultants, coordinators, entrepreneurs, managers, advisors, analysts, policy officers, and specialists. Others have pursued doctoral studies, working as researchers and lecturers at universities and research institutions around the world.</t>
    <phoneticPr fontId="8" type="noConversion"/>
  </si>
  <si>
    <t>An appropriate honours bachelor’s degree (typically a 4-year HBSc, HBA, or equivalent) that includes at least a minor in environment, sustainability, or a closely related field, from a recognized university with a minimum standing equivalent to a University of Toronto B+ in each of the final two years of study. Meeting this requirement does not guarantee admission into the program.
Applicants should have completed a combination of majors and minors spanning more than one discipline or have equivalent interdisciplinary experience.
International students should consult the School of Graduate Studies degree equivalency tool to confirm that they fulfill requirements to apply to the Master of Environment and Sustainability.</t>
    <phoneticPr fontId="8" type="noConversion"/>
  </si>
  <si>
    <t>The MES is an intensive, 12-month research-stream program that responds to the growing need of society to understand and develop solutions to the environmental and human well-being challenges facing us in the 21st century. Upon graduation, MES graduates will have acquired a transdisciplinary perspective on environmental issues, learned to use methodologies and tools relevant to environmental protection and sustainability solutions, and will be well prepared for a variety of careers in the private and public sectors, or for further studies at the doctoral level.
The hands-on supervision of students guarantees the quality of student learning overall. By working closely with their individual thesis advisor and advisory committees on an extended project, students can anticipate a strong and effective learning environment. To encourage transdisciplinary perspectives, each MES student will have an advisory committee comprised of a primary supervisor and two other faculty members from at least two disciplines or departments.</t>
    <phoneticPr fontId="8" type="noConversion"/>
  </si>
  <si>
    <t>1 year, Full time</t>
    <phoneticPr fontId="8" type="noConversion"/>
  </si>
  <si>
    <t>TOEFL: Overall score of 96 with 24/30 in reading and writing and 22/30 in speaking and listening
IELTS:  Overall score of 7.0 and a minimum of 6.5 in each component</t>
    <phoneticPr fontId="8" type="noConversion"/>
  </si>
  <si>
    <t xml:space="preserve">Globally we are unsustainably using our natural resources, causing major environmental, social and political challenges. This master’s degree in sustainability equips you with the skills and knowledge for a career driving change across business and policy, promoting efficient, circular, equitable and sustainable resource use. Our interdisciplinary curriculum focuses on the environmental, social, and economic aspects of managing resources from public policy and business perspectives.  </t>
    <phoneticPr fontId="8" type="noConversion"/>
  </si>
  <si>
    <t xml:space="preserve">TOEFL: Overall Score: 93 Writing / Speaking: 22 Overall Score: 4.5 Writing: 4.5 Speaking: 4.0
IELTS: 7.0 (Academic) with at least 6.5 for each component
Cambridge English – C1: Advanced or C2: Proficiency Required score: 185 overall with at least 176 for each component. 
Exemptions
Normally, if applicants meet any one of the following conditions, they are not required to submit proof of proficiency in English (please consult the graduate unit to determine whether proof of English-language proficiency will still be required):
Native language is English (language first learned and still used on a daily basis)
A Canadian citizen who studied at a Canadian university where the language of instruction is French
Has obtained their admitting degree from an institution recognized by the University of Toronto and where the language of instruction and examination is uniformly English
Completed their admitting degree in one of the following countries / regions: Australia, the Bahamas, Barbados, Botswana, Ghana, Guyana, Hong Kong, Ireland, Jamaica, Kenya, Lesotho, Liberia, Malawi, Malta, Namibia, New Zealand, Nigeria, Papua New Guinea, Sierra Leone, Singapore, South Africa, Swaziland, Tanzania, Trinidad and Tobago, Uganda, United Kingdom, United States of America, Zambia, and Zimbabwe </t>
    <phoneticPr fontId="8" type="noConversion"/>
  </si>
  <si>
    <t>1 year, Full time or Part time</t>
    <phoneticPr fontId="8" type="noConversion"/>
  </si>
  <si>
    <t xml:space="preserve">The foundation of your career | 95.6% of Sustainable Resources: Economics, Policy and Transitions MSc students were in work or further study within 15 months of graduating ( HESA Graduate Outcomes Survey 2017-2023 ). | Our alumni work in a broad range of sustainability-related career roles. Some examples include Environmental, Social and Governance Consultant, Strategy Consultant, Research Analyst, Innovation Officer, Environmental Economist, Environmental Scientist, Specialist in Environmental  || Our alumni work in a broad range of sustainability-related career roles. Some examples include Environmental, Social and Governance Consultant, Strategy Consultant, Research Analyst, Innovation Officer, Environmental Economist, Environmental Scientist, Specialist in Environmental Law, Business Development Lead, and Policy &amp; Public Affairs Officer. </t>
    <phoneticPr fontId="8" type="noConversion"/>
  </si>
  <si>
    <t>In-person</t>
    <phoneticPr fontId="8" type="noConversion"/>
  </si>
  <si>
    <t>Home	£20,100
International (including EU)	£32,000</t>
    <phoneticPr fontId="8" type="noConversion"/>
  </si>
  <si>
    <t>You will need a UK first-class or 2:1 honours degree in one of the subjects below, or an equivalent international qualification.
In business and commerce, management, finance, accounting, economics, history, international politics, international relations, science, engineering, or law.
We may also consider applicants with a degree in a different subject area but who have relevant work experience or can demonstrate a high level of interest and engagement in environmental/social sustainability through work or voluntary activities. These are not required but may increase your chances of acceptance.
Canada: B+; 3.25+ (4 point scale); 7+ (9 point scale)
China: 85%+; Band A from the Priority list of Chinese universities
Germany: 2.2+ (reverse 5 point scale); Sehr Gut/Gut
India: 1st Class degree (60%+); 3.2 on a 4 point scale; 8.0 on a 10 point scale
Nigeria: 2:1
South Africa: 2:1/1st
USA: GPA 3.25+ (4 point scale)</t>
    <phoneticPr fontId="8" type="noConversion"/>
  </si>
  <si>
    <t>IELTS Academic: total 7.0 with at least 6.0 in each component. We do not accept IELTS One Skill Retake to meet our English language requirements.
TOEFL iBT (including Home Edition) before 21 January 2026: total 100 with at least 20 in each component. We do not accept TOEFL MyBest Score to meet our English language requirements.
TOEFL iBT (including Home Edition) from 21 January 2026: total 5.0 with at least 4.0 in each component. We do not accept TOEFL MyBest Score to meet our English language requirements.</t>
    <phoneticPr fontId="8" type="noConversion"/>
  </si>
  <si>
    <t xml:space="preserve">Governments and industries around the world are pushing to reduce greenhouse gas emissions, find alternative ways to generate energy and reduce energy use. Doing so in ways that enable energy security, affordability and access is complex and requires leaders who are as comfortable talking technical details as they are developing strategic business plans, advocating for better policies and communicating with external stakeholders.  </t>
    <phoneticPr fontId="8" type="noConversion"/>
  </si>
  <si>
    <t>Prepare for leadership roles where you’ll make bold, impactful decisions with confidence. 71% of our graduates receive promotions, and 78% transition to new career paths. The MEL is not just about gaining knowledge—it’s about transforming into a leader who drives the future of your industry.</t>
    <phoneticPr fontId="8" type="noConversion"/>
  </si>
  <si>
    <t>Letter of intent
Resume
Transcripts
Degree certificates (if applicable)
Three references
Proof of English Language Proficiency (if applicable)
Proof of residency
A video interview</t>
    <phoneticPr fontId="8" type="noConversion"/>
  </si>
  <si>
    <t xml:space="preserve">TOEFL iBT (Test Centre or Home Edition)	
For tests taken prior to January 21, 2026: Minimum score of 90 with minimum component scores of 22 in reading and listening, and minimum component scores of 21 in writing and speaking. 
For tests taken as of January 21, 2026: Minimum overall score of 4.5 with a minimum component score of 5 in listening, 4.5 in reading and writing, and 4 in speaking.
Academic IELTS (International English Language Testing Service)	
A minimum overall band score of 6.5 with no single component score less than 6.0.Please note that we cannot accept general IELTS test scores. </t>
    <phoneticPr fontId="8" type="noConversion"/>
  </si>
  <si>
    <t>C$32,912.73 for the 12-month full-time program or C$10,970.91 per installment for Canadian citizens and permanent residents of Canada
C$68,072.25 for the 12-month full-time program or C$22,690.75 per installment for international students</t>
    <phoneticPr fontId="8" type="noConversion"/>
  </si>
  <si>
    <t>https://www.lse.ac.uk/study-at-lse/graduate/msc-environmental-policy-and-regulation</t>
    <phoneticPr fontId="8" type="noConversion"/>
  </si>
  <si>
    <t>https://www.imperial.ac.uk/business-school/masters/climate-change-management-finance/</t>
    <phoneticPr fontId="8" type="noConversion"/>
  </si>
  <si>
    <t>https://www.unsw.edu.au/study/postgraduate/master-of-environmental-management</t>
    <phoneticPr fontId="8" type="noConversion"/>
  </si>
  <si>
    <t>https://www.mcgill.ca/gradapplicants/program/geography-msc</t>
    <phoneticPr fontId="8" type="noConversion"/>
  </si>
  <si>
    <t>https://www.manchester.ac.uk/study/masters/courses/list/06967/msc-environmental-governance/</t>
    <phoneticPr fontId="8" type="noConversion"/>
  </si>
  <si>
    <t>1 year, Full time or 2 years, Part time</t>
    <phoneticPr fontId="8" type="noConversion"/>
  </si>
  <si>
    <t>Upper second class honours degree (2:1) or equivalent in any discipline but preferably in social science. We will consider appropriate work experience in addition to a sound academic background.</t>
    <phoneticPr fontId="8" type="noConversion"/>
  </si>
  <si>
    <t>Requirement
Overall
Reading
Listening
Writing
Speaking
A. Standard (including MPhil/PhD Statistics)
IELTS (Academic) (including IELTS online and IELTS for UKVI)**
7.0
6.5
6.5
6.5
6.5
LSE Language Centre Presessional programme
70
65
65
65
65
Pearson Test of English (Academic) (PTEA) (in-person only)
70
62
62
62
62
Cambridge English Scale*
185
176
176
176
176
TOEFL iBT (including Home and Paper Editions)
100
23
22
24
22
TOEFL iBT (updated scale)
5.5
5
5
5
4.5</t>
    <phoneticPr fontId="8" type="noConversion"/>
  </si>
  <si>
    <t>Home	£22,000
International (including EU)	£34,700</t>
    <phoneticPr fontId="8" type="noConversion"/>
  </si>
  <si>
    <t>The programme is designed to enable you to gain a deeper understanding of the tools available for environmental policy and regulation, and the diverse contexts within which they operate, and evaluate the impact of policies for the economy, society and the natural environment.</t>
    <phoneticPr fontId="8" type="noConversion"/>
  </si>
  <si>
    <t xml:space="preserve">You'll take one compulsory course, a dissertation, and two and a half units of optional courses.
If you're planning to apply for a PhD within the department, please be advised that you need to take some methods training as part of the MSc. Contact your MSc programme director and the Director of Graduate studies to discuss this requirement.
</t>
    <phoneticPr fontId="8" type="noConversion"/>
  </si>
  <si>
    <t>Climate change is one of the greatest challenges of our time. It is vital that businesses take responsibility and adopt more sustainable practices. To do this they need people who can lead the way, and that's where you come in.
Our joint MSc Climate Change, Management &amp; Finance programme is run with the Grantham Institute - Climate Change and the Environment. This unique collaboration with the Grantham Institute offers connections to industry, policymakers, and cutting-edge research. The Master’s also balances business with climate science and policy. This will equip you to lead the transition to a green economy.</t>
    <phoneticPr fontId="8" type="noConversion"/>
  </si>
  <si>
    <t>In the summer term, you can choose between a group-based consulting project, individual work placement or individual research project.</t>
    <phoneticPr fontId="8" type="noConversion"/>
  </si>
  <si>
    <t>95%employed within six months
59%employed in the UK
45% employed in finance</t>
    <phoneticPr fontId="8" type="noConversion"/>
  </si>
  <si>
    <t>Current CV (view CV template for guidance) 
Personal Statement Questions (see blog for tips on how to write a personal statement) 
Complete degree transcripts with English translation if necessary (view international entry requirements) 
Contact details of two academic referees or one academic and one professional referee including their company/business email address. We recommend that one should be your current line manager 
Career planning question, a quantitative experience statement and programming/computer software experience (if applicable) 
GMAT/GRE is not mandatory requirement, however, it can enhance the strength of your application 
English language scores (if required i.e. TOEFL, IELTS. View English language requirements)</t>
    <phoneticPr fontId="8" type="noConversion"/>
  </si>
  <si>
    <t xml:space="preserve">£45,500International students
£27,300Home students
</t>
    <phoneticPr fontId="8" type="noConversion"/>
  </si>
  <si>
    <t>1 - 2 Year(s)</t>
    <phoneticPr fontId="8" type="noConversion"/>
  </si>
  <si>
    <t>Distance (online with some face-to-face), Face-to-face (includes blended)</t>
    <phoneticPr fontId="8" type="noConversion"/>
  </si>
  <si>
    <t>Lead with a sociocultural perspective
You don’t need a technical or science background to succeed in a Master of Environmental Management. Explore the social, cultural and structural dimensions of today’s environmental challenges, and gain the insight and tools to lead change across industries and communities.
Tailor your study to your lifestyle
Choose from a flexible mix of in-person seminars, evening classes, field-based learning, creative exploration and online access. Shape your study with electives that match your background, passions and career goals, while connecting with a diverse, supportive community of changemakers.
Fast-track your degree 
This two-year full-time (or part-time equivalent) degree can be completed in less time if you’re eligible for Recognition of Prior Learning (RPL). Previous professional or academic experience may reduce your study load and help you gain your qualification sooner.</t>
    <phoneticPr fontId="8" type="noConversion"/>
  </si>
  <si>
    <t>For the 1 year stream (A)
Honours degree or Graduate Diploma (or equivalent qualification) in a relevant discipline with a record of academic achievement equivalent to a UNSW credit average (65%)
Bachelor degree (or equivalent qualification) in a relevant discipline with a record of academic achievement equivalent to a UNSW credit average (65%), plus one year relevant professional experience
For the 1.7 year stream (B)
Bachelor degree (or equivalent qualification) in any discipline with a record of academic achievement equivalent to a UNSW credit average (65%), plus one year relevant professional experience
Honours degree or Graduate Diploma (or equivalent qualification) in any discipline with a record of academic achievement equivalent to a UNSW credit average (65%)For the 2 year stream (C)
Bachelor degree (or equivalent qualification) in any discipline with a record of academic achievement equivalent to a UNSW credit average of 65%
For the 2 year stream (C)
Bachelor degree (or equivalent qualification) in any discipline with a record of academic achievement equivalent to a UNSW credit average of 65%.</t>
    <phoneticPr fontId="8" type="noConversion"/>
  </si>
  <si>
    <t>IELTS (academic): A minimum score of 7.0 with minimum scores of 6.5 in all elements 
TOEFL iBT:
Tests taken before 21 January 2026: A minimum score of 100 overall with minimum scores of 22 in all elements.
Tests taken after 21 January 2026: We accept an overall score of 5.0 with minimum scores of 5.0 in all elements.</t>
    <phoneticPr fontId="8" type="noConversion"/>
  </si>
  <si>
    <t>IETLS: 7.0 overall (min 6.0 in each subtest)
TOEFL: 94 overall (min. 25 in writing, 23 in reading, listening and speaking)</t>
    <phoneticPr fontId="8" type="noConversion"/>
  </si>
  <si>
    <t>2026 Indicative First Year Full Fee
$34,000*
2026 Indicative Full Fee to Complete Degree
$70,000*</t>
    <phoneticPr fontId="8" type="noConversion"/>
  </si>
  <si>
    <t>Yes</t>
    <phoneticPr fontId="8" type="noConversion"/>
  </si>
  <si>
    <t>An eligible Bachelor's degree with a minimum 3.0 GPA out of a possible 4.0 GPA
English-language proficiency
Each program has specific admission requirements including required application documents. Please visit the program website for more details.</t>
    <phoneticPr fontId="8" type="noConversion"/>
  </si>
  <si>
    <t>TOEFL (Internet-Based Test):
6-point scale (as of January 2026)
Minimum overall score of 4.5
Minimum component scores:
Reading 4.5
Listening 4.5
Writing 4.5
Speaking 4.0
120-point scale
Minimum overall score of 86
Minimum component scores of 20
IETLS: A band score of 6.5 or greater (Academic module)</t>
    <phoneticPr fontId="8" type="noConversion"/>
  </si>
  <si>
    <t>Students are typically only admitted to the Geography graduate program if they have confirmed funding from their prospective supervisor and/or an external funding agency;
Being both a natural and a social science, geography provides a unique opportunity to obtain a broad interdisciplinary exposure to analytical methods to investigate the environmental and situational problems of contemporary society;
Students benefit from the opportunity to conduct field-based studies in both the natural (i.e., biophysical) and the social sciences. Typically, the Department offers funding, fellowships and awards that help support students' field-work/research;
The Department's thematic areas of study include: Political, Urban, Economic, and Health Geography; Environment and Development; Geographic Information Systems and Remote Sensing; Land Surface Processes, Ecosystem Biogeochemistry, and Ecohydrology; Earth System Science and Global Change; Sustainability Science and Environmental Management;
Faculty and students conduct research in fields such as climate change impacts, periglacial geomorphology, and forest resource history in regions ranging from the Arctic to Africa, Southeast Asia, and Latin America.</t>
    <phoneticPr fontId="8" type="noConversion"/>
  </si>
  <si>
    <t>1 year</t>
    <phoneticPr fontId="8" type="noConversion"/>
  </si>
  <si>
    <t>We require a UK Honours degree with a First or Upper Second (2.1) classification or the overseas equivalent.</t>
    <phoneticPr fontId="8" type="noConversion"/>
  </si>
  <si>
    <t>IELTS Academic or UKVI - 6.0 Overall with 6.0 in Writing, no more than one sub-skill at 5.5 and no other sub-skill below 5.5
TOEFL iBT - 80 Overall with 20 in Writing, 20 in Speaking and no other sub-skill below 18</t>
    <phoneticPr fontId="8" type="noConversion"/>
  </si>
  <si>
    <t>We place social responsibility at the heart of your learning which means you can take advantage of unique ways to make a difference while studying with us, through your course or through extra-curricular activities.
Complete our Ethical Grand Challenges to learn how you can create a better world and become more socially responsible.
Work with an external organisation to tackle real-world sustainability problems through our University Living Lab.
Discover subjects that broaden your horizon with our interdisciplinary learning opportunities.</t>
    <phoneticPr fontId="8" type="noConversion"/>
  </si>
  <si>
    <t>UK students (per annum): £15,200
International, including EU, students (per annum): £31,500</t>
    <phoneticPr fontId="8" type="noConversion"/>
  </si>
  <si>
    <t>https://ethz.ch/en/studies/master/degree-programmes/system-oriented-natural-sciences/environmental-sciences.html</t>
    <phoneticPr fontId="8" type="noConversion"/>
  </si>
  <si>
    <t>https://study.unimelb.edu.au/find/courses/graduate/master-of-environment/</t>
    <phoneticPr fontId="8" type="noConversion"/>
  </si>
  <si>
    <t>https://climatesolutions.berkeley.edu/</t>
    <phoneticPr fontId="8" type="noConversion"/>
  </si>
  <si>
    <t>https://bulletin.stanford.edu/programs/SUSTSCI-MS/general-aoYks</t>
    <phoneticPr fontId="8" type="noConversion"/>
  </si>
  <si>
    <t>https://www.smithschool.ox.ac.uk/course/msc-sustainability-enterprise-and-environment</t>
    <phoneticPr fontId="8" type="noConversion"/>
  </si>
  <si>
    <t>https://ethz.ch/content/dam/ethz/common/docs/master-profile/englisch/systemorientierte-wissenschaften/MSc-Environmental-Sciences-Appendix.pdf</t>
  </si>
  <si>
    <t>Domestic: Indicative first year fee AUD$48,992
International: AUD $56,992 (2026 indicative first year fee)</t>
    <phoneticPr fontId="8" type="noConversion"/>
  </si>
  <si>
    <t>Built for students with a wide range of educational and technical backgrounds | Hands-on learning built into the curriculum to help you connect with real-world climate solutions | Designed for professionals with a minimum of 3 years of work experience, our program can be completed in just one year. || Become a Climate Leader | Critical leadership skills are integrated within a compact curriculum, preparing you to be a proficient, conscientious leader in addressing climate challenges. A central change making course, Organizational, Political, and Societal Change for Climate Solutions , equips you with a framework for enacting change within organizations and across society. The year-long capstone program includes training in key management skills. All courses reinforce lessons in communication.</t>
    <phoneticPr fontId="8" type="noConversion"/>
  </si>
  <si>
    <t>Have completed a bachelor degree (AQF7) in any discipline with a weighted average mark (WAM) of 65%, or equivalent.</t>
    <phoneticPr fontId="8" type="noConversion"/>
  </si>
  <si>
    <t>Become an environmental consultant. Work with businesses, governments, and NGOs to develop sustainable solutions and address environmental challenges.
Influence policy and governance. Shape environmental policies through roles in government agencies, international organisations, and advocacy groups.
Lead sustainability initiatives. Drive corporate and community sustainability programs to improve environmental outcomes globally.</t>
    <phoneticPr fontId="8" type="noConversion"/>
  </si>
  <si>
    <t>Students must complete at least 12.5 points from the following compulsory capstone subjects - please note that if you select either a 25 or 50 point research project that spreads across two semesters you must enrol into the Part 1 and Part 2 subjects over consecutive semesters. Students completing the 100 point pathway will normally be exempt from this requirement.</t>
    <phoneticPr fontId="8" type="noConversion"/>
  </si>
  <si>
    <t>IELTS
6.5
with writing 6.0; speaking 6.0; reading 6.0; listening 6.0
TOEFL
81
with writing 19; speaking 19; reading 16; listening 16</t>
    <phoneticPr fontId="8" type="noConversion"/>
  </si>
  <si>
    <t>Expect to or hold a bachelor’s degree or recognized equivalent from an accredited institution.
A satisfactory scholastic average, usually a minimum grade-point average (GPA) of 3.0 (B) on a 4.0 scale.
A minimum of three years of professional work experience prior to the start of the program</t>
    <phoneticPr fontId="8" type="noConversion"/>
  </si>
  <si>
    <t>A two-semester capstone experience affords you an opportunity to apply your knowledge and skills to a real-world project. To choose your project and find a partner organization, you’ll work closely with our Climate Solutions Accelerator—a platform that connects MCS students, faculty, and partner organizations across business, government, and non-profit sectors.
Examples of capstone projects include:
Evaluate carbon offset claims by service providers and recommend the best option to a partner company
Work with a coalition of environmental groups and clean energy companies to develop a policy proposal for scaling energy storage in California’s power grid
Work with a company to develop a cost-effective process to measure and reduce Scope 3 emissions
Develop policy and political strategies for local and state governments and other stakeholders to incentivize soil management practices that promote carbon sequestration</t>
    <phoneticPr fontId="8" type="noConversion"/>
  </si>
  <si>
    <t xml:space="preserve">	$ 32,743.25</t>
    <phoneticPr fontId="8" type="noConversion"/>
  </si>
  <si>
    <t>Not stated on reviewed official page</t>
    <phoneticPr fontId="8" type="noConversion"/>
  </si>
  <si>
    <t>The Sustainability Science and Practice program (SUST for short) is an interdisciplinary coterminal master’s program hosted by the Stanford Doerr School of Sustainability. The program prepares leaders to radically accelerate the transition to a sustainable and just society. As the global human population climbs toward 10 billion, consumption demands increase, and disparities in wealth and opportunity persist, humanity must learn to equitably meet existing needs in ways that do not forgo possibilities for future generations. Sustainability challenges are marked by extreme complexity, urgency, conflicting demands, and often a lack of resources or political will to address them. Transforming these challenges into powerful opportunities requires a new type of leader who can envision a prosperous future for all and design practices and cultivate partnerships essential to building that future. The SUST program equips students with the theoretical and conceptual knowledge, mindsets, and practical skills needed to advance sustainability, securing human well-being worldwide and across generations.</t>
    <phoneticPr fontId="8" type="noConversion"/>
  </si>
  <si>
    <t>Home	£31,280
Overseas	£48,820</t>
    <phoneticPr fontId="8" type="noConversion"/>
  </si>
  <si>
    <t>Degree-level qualifications
As a minimum, you should hold or be predicted to achieve the equivalent of a UK first-class or strong upper second-class undergraduate degree with honours, in any discipline.
If your degree is from the USA, the minimum GPA sought is 3.6 out of 4.0.
If your degree is not from the UK or the USA, visit our International Qualifications page for guidance on the qualifications and grades that would usually be considered to meet the University’s minimum entry requirements.</t>
    <phoneticPr fontId="8" type="noConversion"/>
  </si>
  <si>
    <t>Only IELTS</t>
    <phoneticPr fontId="8" type="noConversion"/>
  </si>
  <si>
    <t>TOEFL: 90
IELTS: 7.0</t>
    <phoneticPr fontId="8" type="noConversion"/>
  </si>
  <si>
    <t>https://www.sydney.edu.au/courses/courses/pc/master-of-sustainability.html</t>
    <phoneticPr fontId="8" type="noConversion"/>
  </si>
  <si>
    <t>https://programsandcourses.anu.edu.au/program/MCLCH</t>
    <phoneticPr fontId="8" type="noConversion"/>
  </si>
  <si>
    <t>https://www.kcl.ac.uk/study/postgraduate-taught/courses/environment-politics-and-development-msc</t>
    <phoneticPr fontId="8" type="noConversion"/>
  </si>
  <si>
    <t>https://www.bristol.ac.uk/study/postgraduate/taught/msc-environmental-policy-and-management/</t>
    <phoneticPr fontId="8" type="noConversion"/>
  </si>
  <si>
    <t>https://www.sps.nyu.edu/homepage/academics/masters-degrees/ms-in-environmental-policy-and-sustainability-management.html</t>
    <phoneticPr fontId="8" type="noConversion"/>
  </si>
  <si>
    <t>1.5 year, part-time available</t>
    <phoneticPr fontId="8" type="noConversion"/>
  </si>
  <si>
    <t xml:space="preserve">Diversify your career in areas like environmental science, finance, law, urban planning, sustainable building design and public health. Gain expertise in conservation, population health, food security, sustainability policy, and analysis tools through coursework and an industry placement.
If you are interested in increasing your understanding of complex sustainability challenges and discovering tools to measure, report on and identify solutions to these challenges, you'll gain these skills with the Master of Sustainability. </t>
    <phoneticPr fontId="8" type="noConversion"/>
  </si>
  <si>
    <t>IELTS score	A minimum result of 6.5 overall and a minimum result of 6.0 in each band
TOEFL - IBT score	A minimum result of 85 overall including a minimum result of 17 in Reading, Listening and Speaking and 19 in Writing</t>
    <phoneticPr fontId="8" type="noConversion"/>
  </si>
  <si>
    <t>For qualifications awarded outside Australia, equivalencies and entry requirements are determined based on the country, institution, and qualification.</t>
    <phoneticPr fontId="8" type="noConversion"/>
  </si>
  <si>
    <t>Domestic: AUD$40,700
International: A$61,700</t>
    <phoneticPr fontId="8" type="noConversion"/>
  </si>
  <si>
    <t>This course has a professional practice component that is usually undertaken over 13 weeks. This provides you with an opportunity to gain industry exposure within a related workplace environment.</t>
    <phoneticPr fontId="8" type="noConversion"/>
  </si>
  <si>
    <t>page not found</t>
    <phoneticPr fontId="8" type="noConversion"/>
  </si>
  <si>
    <t>Full time tuition fees UK
£15,550 per year (2026/27)
Part time tuition fees UK
£7,750 per year (2026/27)
Full time tuition fees international
£33,850 per year (2026/27)
Part time tuition fees International
£16,925 per year (2026/27)</t>
    <phoneticPr fontId="8" type="noConversion"/>
  </si>
  <si>
    <t>A minimum 2:1 undergraduate Bachelor’s (honours) degree
If you have a lower degree classification, or a degree in an unrelated subject, your application may be considered if you can demonstrate significant relevant work experience, or offer a related graduate qualification (such as a Masters or PGDip).</t>
    <phoneticPr fontId="8" type="noConversion"/>
  </si>
  <si>
    <t>IELTS (Academic)
7.0 overall with a minimum of 6.5 in each skill 
TOEFL iBT or TOEFL iBT Home Editions
Tests taken before 21 January 2026: 100 overall with a minimum of 25 in writing and 23 in each of the other skills
Tests taken from 21 January 2026: 5 overall with a minimum of 4.5 in each skill</t>
    <phoneticPr fontId="8" type="noConversion"/>
  </si>
  <si>
    <t>Our Environment, Politics and Development MSc programme provides an advanced theoretical understanding of the relationship between development problems and environmental issues. You will explore these relationships from the perspectives of political ecology, development geography and environmental governance. To illustrate these relationships, we use relevant case studies drawn from across the globe.</t>
    <phoneticPr fontId="8" type="noConversion"/>
  </si>
  <si>
    <t>Note</t>
    <phoneticPr fontId="8" type="noConversion"/>
  </si>
  <si>
    <t>You will typically need an upper second-class honours degree or international equivalent in Anthropology, History, Literature, Philosophy, Biology/Natural Sciences, Chemistry, Ecology, Engineering (any type), Environmental Science, Mathematics, Physics, Zoology, Business Studies, Economics, Environmental Studies, Geography, Human Geography, Politics/Political Science or Sociology. 
We will also consider applicants with other degree subjects on a case-by-case basis if they have at least one year's work experience in a policy facing role, a government department or agency (especially working in roles focused on environment, climate change or energy), environmental consultancy, corporate social responsibility or sustainability, environmental, social and governance roles in the private sector, or in an NGO in a high-level position. 
Applicants with a degree in a Physical Science or a non-standard degree subject must also demonstrate competency in essay writing skills, with at least 60% or international equivalent achieved in one essay-based module, this can include final research project/dissertation.</t>
    <phoneticPr fontId="8" type="noConversion"/>
  </si>
  <si>
    <t xml:space="preserve">One year full-time; | Two years part-time. || One year full-time; | Two years part-time. </t>
    <phoneticPr fontId="8" type="noConversion"/>
  </si>
  <si>
    <t>Home: full-time
£14,800 per year
Home: part-time
£7,400 per year
Overseas: full-time
£32,600 per year</t>
    <phoneticPr fontId="8" type="noConversion"/>
  </si>
  <si>
    <t>IELTS Academic (at a test centre or online):
6.5 overall with no score below 6.0
TOEFL iBT and TOEFL at Home:
For tests taken up to 20 January 2026: 88 overall with R20 L19 S22 W22
For tests taken from 21 January 2026 onwards: 4.5 overall with 4.5 in all skills</t>
    <phoneticPr fontId="8" type="noConversion"/>
  </si>
  <si>
    <t xml:space="preserve">Our graduates go on to work for a range of employers in the UK and around the world, in government and in the charitable and corporate sectors. They find that their degree from Bristol gives them an advantage in the job market, and they move to a diverse range of jobs after they graduate, including environmental consulting, national government departments, multilateral agencies, environmental management, conservation, marketing and communications, and a range of private companies in areas such as sustainable housing, transport and energy. Some also go on to undertake further study on a PhD. </t>
    <phoneticPr fontId="8" type="noConversion"/>
  </si>
  <si>
    <t>https://www.ems.psu.edu/academics/find-program-study/renewable-energy-and-sustainability-systems-mps</t>
    <phoneticPr fontId="8" type="noConversion"/>
  </si>
  <si>
    <t>https://www.kuleuven.be/programmes/master-sustainable-development</t>
    <phoneticPr fontId="8" type="noConversion"/>
  </si>
  <si>
    <t>https://www.helsinki.fi/en/degree-programmes/environmental-change-and-global-sustainability-masters-programme</t>
    <phoneticPr fontId="8" type="noConversion"/>
  </si>
  <si>
    <t>https://www.durham.ac.uk/departments/academic/geography/postgraduate-study/taught-masters/</t>
    <phoneticPr fontId="8" type="noConversion"/>
  </si>
  <si>
    <t>https://courses.leeds.ac.uk/j985/sustainability-environment-and-development-msc</t>
    <phoneticPr fontId="8" type="noConversion"/>
  </si>
  <si>
    <t>This program can benefit you if you are already in the renewable energy and sustainability field and looking to advance in your current position or if you want to move into another segment of this rapidly evolving energy industry.</t>
    <phoneticPr fontId="8" type="noConversion"/>
  </si>
  <si>
    <t>Main page not found</t>
    <phoneticPr fontId="8" type="noConversion"/>
  </si>
  <si>
    <t>The Master of Sustainable Development at KU Leuven prepares you to become a sustainability leader and agent of change. The programme is research-driven, ethically grounded, and strongly committed to gender equality and diversity.
Its key strength lies in its interdisciplinary approach, bridging societal and ecological sustainability challenges. You follow a common core in sustainable development and specialise in either Space &amp; Society or Ecology, while continuously integrating both perspectives through real-world, community-based practice.
You gain solid theoretical, methodological, and practical expertise through courses, an individual research portfolio, an internship, a thesis, and a field trip in the Global South. A unique feature of the programme is the Sustainable Development Living Lab, where students collaborate with international partners, policymakers, NGOs, and local communities in Africa, Asia, and Latin America to address real sustainability challenges.</t>
    <phoneticPr fontId="8" type="noConversion"/>
  </si>
  <si>
    <t>TOEFL iBT: minimum overall score of 94, with minimum subscores of 19 for Reading, 18 for Listening, 19 for Speaking and 21 for Writing. New TOEFL score scale: minimum overall score of 4.5, with minimum subscores of 4 for Reading, 4 for Listening, 3.5 for Speaking, 4,5 for Writing.
-  IELTS Academic test: minimum overall score of 7.0, with minimum subscores of 6.5 for Reading, 6.0 for Listening, 6.0 for Speaking and 6.0 for Writing</t>
    <phoneticPr fontId="8" type="noConversion"/>
  </si>
  <si>
    <t>This Master’s programme is intended for students who are prepared to integrate ecological, spatial and societal perspectives on sustainability challenges, and who have the disciplinary background required for one of its two tracks.
For the Ecology track, applicants are expected to have solid bachelor-level knowledge of biodiversity, ecology, and statistical data analysis.
For the Space and Society track, applicants are expected to have a background in (social) geography, environmental sciences, development economics, spatial or urban planning, or political or human ecology. Applicants from broader political or social science backgrounds may also be considered, provided they can demonstrate prior engagement with sustainability issues through their previous studies.
We expect successful applicants to have achieved excellent academic results in their previous studies.</t>
    <phoneticPr fontId="8" type="noConversion"/>
  </si>
  <si>
    <r>
      <t>You have completed a first- or second-cycle (bachelor’s or master’s) degree or a postgraduate degree at a higher education institution in Finland or abroad, or will do so by</t>
    </r>
    <r>
      <rPr>
        <sz val="9"/>
        <color rgb="FF25364A"/>
        <rFont val="Calibri"/>
        <family val="2"/>
      </rPr>
      <t> 3</t>
    </r>
    <r>
      <rPr>
        <sz val="9"/>
        <color rgb="FF25364A"/>
        <rFont val="Carlito"/>
      </rPr>
      <t>1 August 2026.
You have sufficient skills in Finnish, Swedish or English.
You have completed a sufficient amount of studies applicable to the master’s programme.</t>
    </r>
    <phoneticPr fontId="8" type="noConversion"/>
  </si>
  <si>
    <t>The programmes are grouped into two suites, those concerned with Sustainable Futures and those concerned with Risk.
The courses on the Sustainable Futures route respond to the profound challenge of developing ‘sustainable futures’ in the midst of climate change, by understanding relations between climate change and society, and on exploring and evaluating emergent sustainable solutions at different scales.​
​The courses on the Risk route provide a thorough grounding in theoretical and practical approaches to identifying, understanding, framing, assessing and managing different aspects of risk.
​</t>
    <phoneticPr fontId="8" type="noConversion"/>
  </si>
  <si>
    <t>1 year full-time, 2 years part-time</t>
    <phoneticPr fontId="8" type="noConversion"/>
  </si>
  <si>
    <t>Home (full-time): £15,000 per year
International (full-time): £30,000 per year
Home (part-time): £8,300 per year
International (part-time): £16,500 per year</t>
    <phoneticPr fontId="8" type="noConversion"/>
  </si>
  <si>
    <t>We typically require a 2:1 Bachelor (Honours) degree (or overseas equivalent) in any degree subject.
A personal statement should include an outline of your interest and understanding of your chosen programme.</t>
    <phoneticPr fontId="8" type="noConversion"/>
  </si>
  <si>
    <t>UKVI/SELT IELTS 
6.5 with no component under 6.0
Non UKVI/SELT IELTS 
6.5 with no component under 6.0
TOEFL iBT and TOEFL iBT Home edition 
TOEFL test changes from 21 Jan 2026
Tests taken before 21 Jan 2026
80 with no component under 20 
Tests taken from 21 Jan 2026
4.5 with no component under 4</t>
    <phoneticPr fontId="8" type="noConversion"/>
  </si>
  <si>
    <t>A bachelor degree with a 2:1 (hons) in any subject where a clear motivation towards the study of sustainabiilty or environmental development is evident (this will be assessed via either your undergraduate degree or the personal statement submitted with your application).
Applicants with a 2:2 (hons) will be considered on a case-by-case basis where they can demonstrate relevant work experience or competence in a relevant specialist field.</t>
    <phoneticPr fontId="8" type="noConversion"/>
  </si>
  <si>
    <t>IELTS 6.5 overall, with no less than 6.0 in any component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</si>
</sst>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80" formatCode="[$€-2]\ #,##0.00;[Red]\-[$€-2]\ #,##0.00"/>
  </numFmts>
  <fonts count="11">
    <font>
      <sz val="11"/>
      <name val="Carlito"/>
    </font>
    <font>
      <b/>
      <sz val="15"/>
      <color rgb="FFFFFFFF"/>
      <name val="Carlito"/>
    </font>
    <font>
      <i/>
      <sz val="10"/>
      <color rgb="FF34495E"/>
      <name val="Carlito"/>
    </font>
    <font>
      <b/>
      <sz val="10"/>
      <color rgb="FFFFFFFF"/>
      <name val="Carlito"/>
    </font>
    <font>
      <sz val="9"/>
      <color rgb="FF25364A"/>
      <name val="Carlito"/>
    </font>
    <font>
      <b/>
      <sz val="12"/>
      <color rgb="FF137C78"/>
      <name val="Carlito"/>
    </font>
    <font>
      <b/>
      <sz val="9"/>
      <color rgb="FF16713A"/>
      <name val="Carlito"/>
    </font>
    <font>
      <sz val="9"/>
      <color rgb="FF0563C1"/>
      <name val="Carlito"/>
    </font>
    <font>
      <sz val="9"/>
      <name val="宋体"/>
      <family val="3"/>
      <charset val="134"/>
    </font>
    <font>
      <u/>
      <sz val="11"/>
      <color theme="10"/>
      <name val="Carlito"/>
    </font>
    <font>
      <sz val="9"/>
      <color rgb="FF25364A"/>
      <name val="Calibri"/>
      <family val="2"/>
    </font>
  </fonts>
  <fills count="9">
    <fill>
      <patternFill patternType="none"/>
    </fill>
    <fill>
      <patternFill patternType="gray125"/>
    </fill>
    <fill>
      <patternFill patternType="solid">
        <fgColor rgb="FF17365D"/>
      </patternFill>
    </fill>
    <fill>
      <patternFill patternType="solid">
        <fgColor rgb="FFDCEAF6"/>
      </patternFill>
    </fill>
    <fill>
      <patternFill patternType="solid">
        <fgColor rgb="FF137C78"/>
      </patternFill>
    </fill>
    <fill>
      <patternFill patternType="solid">
        <fgColor rgb="FFD9F2E1"/>
      </patternFill>
    </fill>
    <fill>
      <patternFill patternType="solid">
        <fgColor rgb="FFEEF9F1"/>
      </patternFill>
    </fill>
    <fill>
      <patternFill patternType="solid">
        <fgColor rgb="FFE9E2F4"/>
      </patternFill>
    </fill>
    <fill>
      <patternFill patternType="solid">
        <fgColor theme="0"/>
        <bgColor indexed="64"/>
      </patternFill>
    </fill>
  </fills>
  <borders count="7">
    <border>
      <left/>
      <right/>
      <top/>
      <bottom/>
      <diagonal/>
    </border>
    <border>
      <left/>
      <right/>
      <top/>
      <bottom style="thin">
        <color rgb="FFE4EAF0"/>
      </bottom>
      <diagonal/>
    </border>
    <border>
      <left/>
      <right/>
      <top style="thin">
        <color rgb="FFE4EAF0"/>
      </top>
      <bottom style="thin">
        <color rgb="FFE4EAF0"/>
      </bottom>
      <diagonal/>
    </border>
    <border>
      <left/>
      <right/>
      <top style="thin">
        <color rgb="FFE4EAF0"/>
      </top>
      <bottom/>
      <diagonal/>
    </border>
    <border>
      <left style="thin">
        <color rgb="FFCAD6E2"/>
      </left>
      <right/>
      <top style="thin">
        <color rgb="FFCAD6E2"/>
      </top>
      <bottom style="thin">
        <color rgb="FFCAD6E2"/>
      </bottom>
      <diagonal/>
    </border>
    <border>
      <left/>
      <right/>
      <top style="thin">
        <color rgb="FFCAD6E2"/>
      </top>
      <bottom style="thin">
        <color rgb="FFCAD6E2"/>
      </bottom>
      <diagonal/>
    </border>
    <border>
      <left/>
      <right style="thin">
        <color rgb="FFCAD6E2"/>
      </right>
      <top style="thin">
        <color rgb="FFCAD6E2"/>
      </top>
      <bottom style="thin">
        <color rgb="FFCAD6E2"/>
      </bottom>
      <diagonal/>
    </border>
  </borders>
  <cellStyleXfs count="2">
    <xf numFmtId="0" fontId="0" fillId="0" borderId="0"/>
    <xf numFmtId="0" fontId="9" fillId="0" borderId="0" applyNumberFormat="0" applyFill="0" applyBorder="0" applyAlignment="0" applyProtection="0"/>
  </cellStyleXfs>
  <cellXfs count="38">
    <xf numFmtId="0" fontId="0" fillId="0" borderId="0" xfId="0"/>
    <xf numFmtId="0" fontId="3" fillId="4" borderId="0" xfId="0" applyFont="1" applyFill="1" applyAlignment="1">
      <alignment horizontal="center" vertical="center" wrapText="1"/>
    </xf>
    <xf numFmtId="0" fontId="4" fillId="0" borderId="1" xfId="0" applyFont="1" applyBorder="1" applyAlignment="1">
      <alignment vertical="top" wrapText="1"/>
    </xf>
    <xf numFmtId="0" fontId="4" fillId="0" borderId="2" xfId="0" applyFont="1" applyBorder="1" applyAlignment="1">
      <alignment vertical="top" wrapText="1"/>
    </xf>
    <xf numFmtId="0" fontId="4" fillId="0" borderId="3" xfId="0" applyFont="1" applyBorder="1" applyAlignment="1">
      <alignment vertical="top" wrapText="1"/>
    </xf>
    <xf numFmtId="0" fontId="4" fillId="5" borderId="1" xfId="0" applyFont="1" applyFill="1" applyBorder="1" applyAlignment="1">
      <alignment vertical="top" wrapText="1"/>
    </xf>
    <xf numFmtId="0" fontId="4" fillId="5" borderId="2" xfId="0" applyFont="1" applyFill="1" applyBorder="1" applyAlignment="1">
      <alignment vertical="top" wrapText="1"/>
    </xf>
    <xf numFmtId="0" fontId="5" fillId="5" borderId="1" xfId="0" applyFont="1" applyFill="1" applyBorder="1" applyAlignment="1">
      <alignment horizontal="center" vertical="center" wrapText="1"/>
    </xf>
    <xf numFmtId="0" fontId="5" fillId="5" borderId="2" xfId="0" applyFont="1" applyFill="1" applyBorder="1" applyAlignment="1">
      <alignment horizontal="center" vertical="center" wrapText="1"/>
    </xf>
    <xf numFmtId="0" fontId="5" fillId="5" borderId="3" xfId="0" applyFont="1" applyFill="1" applyBorder="1" applyAlignment="1">
      <alignment horizontal="center" vertical="center" wrapText="1"/>
    </xf>
    <xf numFmtId="0" fontId="6" fillId="5" borderId="1" xfId="0" applyFont="1" applyFill="1" applyBorder="1" applyAlignment="1">
      <alignment vertical="top" wrapText="1"/>
    </xf>
    <xf numFmtId="0" fontId="6" fillId="5" borderId="2" xfId="0" applyFont="1" applyFill="1" applyBorder="1" applyAlignment="1">
      <alignment vertical="top" wrapText="1"/>
    </xf>
    <xf numFmtId="0" fontId="6" fillId="5" borderId="3" xfId="0" applyFont="1" applyFill="1" applyBorder="1" applyAlignment="1">
      <alignment vertical="top" wrapText="1"/>
    </xf>
    <xf numFmtId="0" fontId="3" fillId="4"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6" borderId="1" xfId="0" applyFont="1" applyFill="1" applyBorder="1" applyAlignment="1">
      <alignment vertical="top" wrapText="1"/>
    </xf>
    <xf numFmtId="0" fontId="4" fillId="6" borderId="2" xfId="0" applyFont="1" applyFill="1" applyBorder="1" applyAlignment="1">
      <alignment vertical="top" wrapText="1"/>
    </xf>
    <xf numFmtId="0" fontId="7" fillId="6" borderId="1" xfId="0" applyFont="1" applyFill="1" applyBorder="1" applyAlignment="1">
      <alignment vertical="top" wrapText="1"/>
    </xf>
    <xf numFmtId="0" fontId="7" fillId="0" borderId="2" xfId="0" applyFont="1" applyBorder="1" applyAlignment="1">
      <alignment vertical="top" wrapText="1"/>
    </xf>
    <xf numFmtId="0" fontId="7" fillId="6" borderId="2" xfId="0" applyFont="1" applyFill="1" applyBorder="1" applyAlignment="1">
      <alignment vertical="top" wrapText="1"/>
    </xf>
    <xf numFmtId="0" fontId="7" fillId="0" borderId="3" xfId="0" applyFont="1" applyBorder="1" applyAlignment="1">
      <alignment vertical="top" wrapText="1"/>
    </xf>
    <xf numFmtId="0" fontId="4" fillId="6" borderId="1" xfId="0" applyFont="1" applyFill="1" applyBorder="1" applyAlignment="1">
      <alignment horizontal="center" vertical="top" wrapText="1"/>
    </xf>
    <xf numFmtId="0" fontId="4" fillId="0" borderId="2" xfId="0" applyFont="1" applyBorder="1" applyAlignment="1">
      <alignment horizontal="center" vertical="top" wrapText="1"/>
    </xf>
    <xf numFmtId="0" fontId="4" fillId="6" borderId="2" xfId="0" applyFont="1" applyFill="1" applyBorder="1" applyAlignment="1">
      <alignment horizontal="center" vertical="top" wrapText="1"/>
    </xf>
    <xf numFmtId="0" fontId="4" fillId="0" borderId="3" xfId="0" applyFont="1" applyBorder="1" applyAlignment="1">
      <alignment horizontal="center" vertical="top" wrapText="1"/>
    </xf>
    <xf numFmtId="0" fontId="4" fillId="3" borderId="2" xfId="0" applyFont="1" applyFill="1" applyBorder="1" applyAlignment="1">
      <alignment vertical="top" wrapText="1"/>
    </xf>
    <xf numFmtId="0" fontId="4" fillId="3" borderId="3" xfId="0" applyFont="1" applyFill="1" applyBorder="1" applyAlignment="1">
      <alignment vertical="top" wrapText="1"/>
    </xf>
    <xf numFmtId="0" fontId="7" fillId="7" borderId="2" xfId="0" applyFont="1" applyFill="1" applyBorder="1" applyAlignment="1">
      <alignment vertical="top" wrapText="1"/>
    </xf>
    <xf numFmtId="0" fontId="4" fillId="6" borderId="3" xfId="0" applyFont="1" applyFill="1" applyBorder="1" applyAlignment="1">
      <alignment vertical="top" wrapText="1"/>
    </xf>
    <xf numFmtId="0" fontId="4" fillId="6" borderId="3" xfId="0" applyFont="1" applyFill="1" applyBorder="1" applyAlignment="1">
      <alignment horizontal="center" vertical="top" wrapText="1"/>
    </xf>
    <xf numFmtId="0" fontId="1" fillId="2" borderId="0" xfId="0" applyFont="1" applyFill="1" applyAlignment="1">
      <alignment vertical="center"/>
    </xf>
    <xf numFmtId="0" fontId="2" fillId="3" borderId="0" xfId="0" applyFont="1" applyFill="1" applyAlignment="1">
      <alignment vertical="center" wrapText="1"/>
    </xf>
    <xf numFmtId="0" fontId="9" fillId="6" borderId="1" xfId="1" applyFill="1" applyBorder="1" applyAlignment="1">
      <alignment vertical="top" wrapText="1"/>
    </xf>
    <xf numFmtId="0" fontId="9" fillId="0" borderId="2" xfId="1" applyBorder="1" applyAlignment="1">
      <alignment vertical="top" wrapText="1"/>
    </xf>
    <xf numFmtId="0" fontId="9" fillId="6" borderId="2" xfId="1" applyFill="1" applyBorder="1" applyAlignment="1">
      <alignment vertical="top" wrapText="1"/>
    </xf>
    <xf numFmtId="0" fontId="4" fillId="8" borderId="1" xfId="0" applyFont="1" applyFill="1" applyBorder="1" applyAlignment="1">
      <alignment vertical="top" wrapText="1"/>
    </xf>
    <xf numFmtId="180" fontId="4" fillId="0" borderId="2" xfId="0" applyNumberFormat="1" applyFont="1" applyBorder="1" applyAlignment="1">
      <alignment vertical="top" wrapText="1"/>
    </xf>
  </cellXfs>
  <cellStyles count="2">
    <cellStyle name="Hyperlink" xfId="1" builtinId="8"/>
    <cellStyle name="Normal" xfId="0" builtinId="0"/>
  </cellStyles>
  <dxfs count="2">
    <dxf>
      <font>
        <b val="0"/>
        <i val="0"/>
        <strike val="0"/>
        <condense val="0"/>
        <extend val="0"/>
        <outline val="0"/>
        <shadow val="0"/>
        <u val="none"/>
        <vertAlign val="baseline"/>
        <sz val="9"/>
        <color rgb="FF25364A"/>
        <name val="Carlito"/>
        <scheme val="none"/>
      </font>
      <alignment horizontal="general" vertical="top" textRotation="0" wrapText="1" indent="0" justifyLastLine="0" shrinkToFit="0" readingOrder="0"/>
      <border diagonalUp="0" diagonalDown="0">
        <left/>
        <right/>
        <top style="thin">
          <color rgb="FFE4EAF0"/>
        </top>
        <bottom style="thin">
          <color rgb="FFE4EAF0"/>
        </bottom>
        <vertical/>
        <horizontal/>
      </border>
    </dxf>
    <dxf>
      <font>
        <b val="0"/>
        <i val="0"/>
        <strike val="0"/>
        <condense val="0"/>
        <extend val="0"/>
        <outline val="0"/>
        <shadow val="0"/>
        <u val="none"/>
        <vertAlign val="baseline"/>
        <sz val="9"/>
        <color rgb="FF25364A"/>
        <name val="Carlito"/>
        <scheme val="none"/>
      </font>
      <alignment horizontal="general" vertical="top" textRotation="0" wrapText="1" indent="0" justifyLastLine="0" shrinkToFit="0" readingOrder="0"/>
      <border diagonalUp="0" diagonalDown="0">
        <left/>
        <right/>
        <top style="thin">
          <color rgb="FFE4EAF0"/>
        </top>
        <bottom style="thin">
          <color rgb="FFE4EAF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lectionAuditTable" displayName="SelectionAuditTable" ref="A4:K64" totalsRowShown="0">
  <tableColumns count="11">
    <tableColumn id="1" xr3:uid="{00000000-0010-0000-0000-000001000000}" name="Selection Cohort"/>
    <tableColumn id="2" xr3:uid="{00000000-0010-0000-0000-000002000000}" name="Cohort Position"/>
    <tableColumn id="3" xr3:uid="{00000000-0010-0000-0000-000003000000}" name="ID"/>
    <tableColumn id="4" xr3:uid="{00000000-0010-0000-0000-000004000000}" name="Institution"/>
    <tableColumn id="5" xr3:uid="{00000000-0010-0000-0000-000005000000}" name="Country"/>
    <tableColumn id="6" xr3:uid="{00000000-0010-0000-0000-000006000000}" name="QS Rank"/>
    <tableColumn id="7" xr3:uid="{00000000-0010-0000-0000-000007000000}" name="THE Rank"/>
    <tableColumn id="8" xr3:uid="{00000000-0010-0000-0000-000008000000}" name="Program"/>
    <tableColumn id="9" xr3:uid="{00000000-0010-0000-0000-000009000000}" name="Selection Rule"/>
    <tableColumn id="10" xr3:uid="{00000000-0010-0000-0000-00000A000000}" name="QS Profile URL"/>
    <tableColumn id="11" xr3:uid="{00000000-0010-0000-0000-00000B000000}" name="THE Profile URL"/>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ndidateUniversitiesTable" displayName="CandidateUniversitiesTable" ref="A4:J64" totalsRowShown="0">
  <tableColumns count="10">
    <tableColumn id="1" xr3:uid="{00000000-0010-0000-0100-000001000000}" name="ID"/>
    <tableColumn id="2" xr3:uid="{00000000-0010-0000-0100-000002000000}" name="Institution"/>
    <tableColumn id="3" xr3:uid="{00000000-0010-0000-0100-000003000000}" name="Country"/>
    <tableColumn id="4" xr3:uid="{00000000-0010-0000-0100-000004000000}" name="Candidate Source"/>
    <tableColumn id="5" xr3:uid="{00000000-0010-0000-0100-000005000000}" name="QS Rank"/>
    <tableColumn id="6" xr3:uid="{00000000-0010-0000-0100-000006000000}" name="QS Score"/>
    <tableColumn id="7" xr3:uid="{00000000-0010-0000-0100-000007000000}" name="THE Rank"/>
    <tableColumn id="8" xr3:uid="{00000000-0010-0000-0100-000008000000}" name="THE Overall Score"/>
    <tableColumn id="9" xr3:uid="{00000000-0010-0000-0100-000009000000}" name="QS Profile URL"/>
    <tableColumn id="10" xr3:uid="{00000000-0010-0000-0100-00000A000000}" name="THE Profile URL"/>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gramVerificationTable" displayName="ProgramVerificationTable" ref="A4:L64" totalsRowShown="0">
  <tableColumns count="12">
    <tableColumn id="1" xr3:uid="{00000000-0010-0000-0200-000001000000}" name="ID"/>
    <tableColumn id="2" xr3:uid="{00000000-0010-0000-0200-000002000000}" name="Institution"/>
    <tableColumn id="3" xr3:uid="{00000000-0010-0000-0200-000003000000}" name="Country"/>
    <tableColumn id="4" xr3:uid="{00000000-0010-0000-0200-000004000000}" name="Candidate Source"/>
    <tableColumn id="5" xr3:uid="{00000000-0010-0000-0200-000005000000}" name="Program Name"/>
    <tableColumn id="6" xr3:uid="{00000000-0010-0000-0200-000006000000}" name="Match Type"/>
    <tableColumn id="7" xr3:uid="{00000000-0010-0000-0200-000007000000}" name="Verification Status"/>
    <tableColumn id="8" xr3:uid="{00000000-0010-0000-0200-000008000000}" name="Official Program URL"/>
    <tableColumn id="9" xr3:uid="{00000000-0010-0000-0200-000009000000}" name="Verification Date"/>
    <tableColumn id="10" xr3:uid="{00000000-0010-0000-0200-00000A000000}" name="URL Audit"/>
    <tableColumn id="11" xr3:uid="{00000000-0010-0000-0200-00000B000000}" name="HTTP Status"/>
    <tableColumn id="12" xr3:uid="{00000000-0010-0000-0200-00000C000000}" name="Verification Note"/>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SSustainabilityTop30Table" displayName="QSSustainabilityTop30Table" ref="A4:O34" totalsRowShown="0">
  <tableColumns count="15">
    <tableColumn id="1" xr3:uid="{00000000-0010-0000-0300-000001000000}" name="Rank"/>
    <tableColumn id="2" xr3:uid="{00000000-0010-0000-0300-000002000000}" name="Rank Number"/>
    <tableColumn id="3" xr3:uid="{00000000-0010-0000-0300-000003000000}" name="University"/>
    <tableColumn id="4" xr3:uid="{00000000-0010-0000-0300-000004000000}" name="Location"/>
    <tableColumn id="5" xr3:uid="{00000000-0010-0000-0300-000005000000}" name="Country"/>
    <tableColumn id="6" xr3:uid="{00000000-0010-0000-0300-000006000000}" name="Overall Score"/>
    <tableColumn id="7" xr3:uid="{00000000-0010-0000-0300-000007000000}" name="Environmental Sustainability"/>
    <tableColumn id="8" xr3:uid="{00000000-0010-0000-0300-000008000000}" name="Environmental Education"/>
    <tableColumn id="9" xr3:uid="{00000000-0010-0000-0300-000009000000}" name="Environmental Research"/>
    <tableColumn id="10" xr3:uid="{00000000-0010-0000-0300-00000A000000}" name="Equality"/>
    <tableColumn id="11" xr3:uid="{00000000-0010-0000-0300-00000B000000}" name="Knowledge Exchange"/>
    <tableColumn id="12" xr3:uid="{00000000-0010-0000-0300-00000C000000}" name="Impact of Education"/>
    <tableColumn id="13" xr3:uid="{00000000-0010-0000-0300-00000D000000}" name="Employability &amp; Opportunities"/>
    <tableColumn id="14" xr3:uid="{00000000-0010-0000-0300-00000E000000}" name="Good Governance"/>
    <tableColumn id="15" xr3:uid="{00000000-0010-0000-0300-00000F000000}" name="QS Profile URL"/>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HEImpact30AdditionsTable" displayName="THEImpact30AdditionsTable" ref="A4:H34" totalsRowShown="0">
  <tableColumns count="8">
    <tableColumn id="1" xr3:uid="{00000000-0010-0000-0400-000001000000}" name="Rank"/>
    <tableColumn id="2" xr3:uid="{00000000-0010-0000-0400-000002000000}" name="Rank Number"/>
    <tableColumn id="3" xr3:uid="{00000000-0010-0000-0400-000003000000}" name="University"/>
    <tableColumn id="4" xr3:uid="{00000000-0010-0000-0400-000004000000}" name="Country"/>
    <tableColumn id="5" xr3:uid="{00000000-0010-0000-0400-000005000000}" name="Overall Score"/>
    <tableColumn id="6" xr3:uid="{00000000-0010-0000-0400-000006000000}" name="SDG 17 Score"/>
    <tableColumn id="7" xr3:uid="{00000000-0010-0000-0400-000007000000}" name="Top SDG Scores (published text)"/>
    <tableColumn id="8" xr3:uid="{00000000-0010-0000-0400-000008000000}" name="THE Profile URL"/>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verlapAnalysisTable" displayName="OverlapAnalysisTable" ref="A4:J9" totalsRowShown="0">
  <tableColumns count="10">
    <tableColumn id="1" xr3:uid="{00000000-0010-0000-0500-000001000000}" name="ID"/>
    <tableColumn id="2" xr3:uid="{00000000-0010-0000-0500-000002000000}" name="Canonical Institution"/>
    <tableColumn id="3" xr3:uid="{00000000-0010-0000-0500-000003000000}" name="Country"/>
    <tableColumn id="4" xr3:uid="{00000000-0010-0000-0500-000004000000}" name="QS Rank"/>
    <tableColumn id="5" xr3:uid="{00000000-0010-0000-0500-000005000000}" name="QS Score"/>
    <tableColumn id="6" xr3:uid="{00000000-0010-0000-0500-000006000000}" name="THE Rank"/>
    <tableColumn id="7" xr3:uid="{00000000-0010-0000-0500-000007000000}" name="THE Score"/>
    <tableColumn id="8" xr3:uid="{00000000-0010-0000-0500-000008000000}" name="QS Name"/>
    <tableColumn id="9" xr3:uid="{00000000-0010-0000-0500-000009000000}" name="THE Name / Alias"/>
    <tableColumn id="10" xr3:uid="{00000000-0010-0000-0500-00000A000000}" name="Identity Note"/>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AASHESTARSTable" displayName="AASHESTARSTable" ref="A4:K64" totalsRowShown="0">
  <tableColumns count="11">
    <tableColumn id="1" xr3:uid="{00000000-0010-0000-0600-000001000000}" name="ID"/>
    <tableColumn id="2" xr3:uid="{00000000-0010-0000-0600-000002000000}" name="Candidate Institution"/>
    <tableColumn id="3" xr3:uid="{00000000-0010-0000-0600-000003000000}" name="AASHE Match Status"/>
    <tableColumn id="4" xr3:uid="{00000000-0010-0000-0600-000004000000}" name="Matched AASHE Institution"/>
    <tableColumn id="5" xr3:uid="{00000000-0010-0000-0600-000005000000}" name="Rating"/>
    <tableColumn id="6" xr3:uid="{00000000-0010-0000-0600-000006000000}" name="Score"/>
    <tableColumn id="7" xr3:uid="{00000000-0010-0000-0600-000007000000}" name="Valid Through"/>
    <tableColumn id="8" xr3:uid="{00000000-0010-0000-0600-000008000000}" name="AASHE Profile URL"/>
    <tableColumn id="9" xr3:uid="{00000000-0010-0000-0600-000009000000}" name="Latest Report URL"/>
    <tableColumn id="10" xr3:uid="{00000000-0010-0000-0600-00000A000000}" name="Source URL"/>
    <tableColumn id="11" xr3:uid="{00000000-0010-0000-0600-00000B000000}" name="Scope Note"/>
  </tableColumns>
  <tableStyleInfo name="TableStyleMedium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UNPRMETable" displayName="UNPRMETable" ref="A4:Q64" totalsRowShown="0">
  <tableColumns count="17">
    <tableColumn id="1" xr3:uid="{00000000-0010-0000-0700-000001000000}" name="ID"/>
    <tableColumn id="2" xr3:uid="{00000000-0010-0000-0700-000002000000}" name="Candidate Institution"/>
    <tableColumn id="3" xr3:uid="{00000000-0010-0000-0700-000003000000}" name="Country"/>
    <tableColumn id="4" xr3:uid="{00000000-0010-0000-0700-000004000000}" name="PRME Match Status"/>
    <tableColumn id="5" xr3:uid="{00000000-0010-0000-0700-000005000000}" name="Matched Signatory"/>
    <tableColumn id="6" xr3:uid="{00000000-0010-0000-0700-000006000000}" name="PRME Status"/>
    <tableColumn id="7" xr3:uid="{00000000-0010-0000-0700-000007000000}" name="Joined Date"/>
    <tableColumn id="8" xr3:uid="{00000000-0010-0000-0700-000008000000}" name="Recent SIP Count (2022-2026)"/>
    <tableColumn id="9" xr3:uid="{00000000-0010-0000-0700-000009000000}" name="Latest SIP Report Year"/>
    <tableColumn id="10" xr3:uid="{00000000-0010-0000-0700-00000A000000}" name="Latest SIP Upload Date"/>
    <tableColumn id="11" xr3:uid="{00000000-0010-0000-0700-00000B000000}" name="Latest SIP Title"/>
    <tableColumn id="12" xr3:uid="{00000000-0010-0000-0700-00000C000000}" name="Latest SIP URL"/>
    <tableColumn id="13" xr3:uid="{00000000-0010-0000-0700-00000D000000}" name="Signatory URL"/>
    <tableColumn id="14" xr3:uid="{00000000-0010-0000-0700-00000E000000}" name="Source URL"/>
    <tableColumn id="15" xr3:uid="{00000000-0010-0000-0700-00000F000000}" name="Match Score"/>
    <tableColumn id="16" xr3:uid="{00000000-0010-0000-0700-000010000000}" name="Matched Alias"/>
    <tableColumn id="17" xr3:uid="{00000000-0010-0000-0700-000011000000}" name="Scope / Match Note"/>
  </tableColumns>
  <tableStyleInfo name="TableStyleMedium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penAlex20212025Table" displayName="OpenAlex20212025Table" ref="A4:U64" totalsRowShown="0">
  <tableColumns count="21">
    <tableColumn id="1" xr3:uid="{00000000-0010-0000-0800-000001000000}" name="ID"/>
    <tableColumn id="2" xr3:uid="{00000000-0010-0000-0800-000002000000}" name="Candidate Institution"/>
    <tableColumn id="3" xr3:uid="{00000000-0010-0000-0800-000003000000}" name="Country"/>
    <tableColumn id="4" xr3:uid="{00000000-0010-0000-0800-000004000000}" name="Collection Status"/>
    <tableColumn id="5" xr3:uid="{00000000-0010-0000-0800-000005000000}" name="Matched OpenAlex Institution"/>
    <tableColumn id="6" xr3:uid="{00000000-0010-0000-0800-000006000000}" name="Match Status"/>
    <tableColumn id="7" xr3:uid="{00000000-0010-0000-0800-000007000000}" name="Match Score"/>
    <tableColumn id="8" xr3:uid="{00000000-0010-0000-0800-000008000000}" name="Country Code"/>
    <tableColumn id="9" xr3:uid="{00000000-0010-0000-0800-000009000000}" name="Institution Type"/>
    <tableColumn id="10" xr3:uid="{00000000-0010-0000-0800-00000A000000}" name="ROR"/>
    <tableColumn id="11" xr3:uid="{00000000-0010-0000-0800-00000B000000}" name="OpenAlex ID"/>
    <tableColumn id="12" xr3:uid="{00000000-0010-0000-0800-00000C000000}" name="All-time Works"/>
    <tableColumn id="13" xr3:uid="{00000000-0010-0000-0800-00000D000000}" name="All-time Citations"/>
    <tableColumn id="14" xr3:uid="{00000000-0010-0000-0800-00000E000000}" name="All-time H-index"/>
    <tableColumn id="15" xr3:uid="{00000000-0010-0000-0800-00000F000000}" name="Two-year Mean Citedness"/>
    <tableColumn id="16" xr3:uid="{00000000-0010-0000-0800-000010000000}" name="Keyword Works 2021-2025"/>
    <tableColumn id="17" xr3:uid="{00000000-0010-0000-0800-000011000000}" name="Top-25 Citations"/>
    <tableColumn id="18" xr3:uid="{00000000-0010-0000-0800-000012000000}" name="Top Matching Work"/>
    <tableColumn id="19" xr3:uid="{00000000-0010-0000-0800-000013000000}" name="Works Query URL"/>
    <tableColumn id="20" xr3:uid="{00000000-0010-0000-0800-000014000000}" name="Institution Search URL"/>
    <tableColumn id="21" xr3:uid="{00000000-0010-0000-0800-000015000000}" name="Collection Note / Error"/>
  </tableColumns>
  <tableStyleInfo name="TableStyleMedium4"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ProgramDetailsTable" displayName="ProgramDetailsTable" ref="A4:S64" totalsRowShown="0">
  <tableColumns count="19">
    <tableColumn id="1" xr3:uid="{00000000-0010-0000-0900-000001000000}" name="ID"/>
    <tableColumn id="2" xr3:uid="{00000000-0010-0000-0900-000002000000}" name="Institution"/>
    <tableColumn id="3" xr3:uid="{00000000-0010-0000-0900-000003000000}" name="Country"/>
    <tableColumn id="4" xr3:uid="{00000000-0010-0000-0900-000004000000}" name="Program"/>
    <tableColumn id="5" xr3:uid="{00000000-0010-0000-0900-000005000000}" name="Tuition / Fees"/>
    <tableColumn id="6" xr3:uid="{00000000-0010-0000-0900-000006000000}" name="Duration"/>
    <tableColumn id="7" xr3:uid="{00000000-0010-0000-0900-000007000000}" name="Study Mode / Delivery"/>
    <tableColumn id="8" xr3:uid="{00000000-0010-0000-0900-000008000000}" name="Entry Requirements"/>
    <tableColumn id="19" xr3:uid="{9FBF3313-C8D5-465E-B7C2-758DF2B785F4}" name="Language" dataDxfId="1"/>
    <tableColumn id="20" xr3:uid="{4D77EAC3-39D3-4079-AA46-F68861D08F87}" name="Language Requirement" dataDxfId="0"/>
    <tableColumn id="9" xr3:uid="{00000000-0010-0000-0900-000009000000}" name="Curriculum Focus"/>
    <tableColumn id="11" xr3:uid="{00000000-0010-0000-0900-00000B000000}" name="Capstone / Project"/>
    <tableColumn id="12" xr3:uid="{00000000-0010-0000-0900-00000C000000}" name="Thesis Option"/>
    <tableColumn id="14" xr3:uid="{00000000-0010-0000-0900-00000E000000}" name="Placement Outcomes (if available)"/>
    <tableColumn id="15" xr3:uid="{00000000-0010-0000-0900-00000F000000}" name="Official Program URL"/>
    <tableColumn id="16" xr3:uid="{00000000-0010-0000-0900-000010000000}" name="Additional Official Sources"/>
    <tableColumn id="17" xr3:uid="{00000000-0010-0000-0900-000011000000}" name="Extraction Status"/>
    <tableColumn id="18" xr3:uid="{00000000-0010-0000-0900-000012000000}" name="Review Notes"/>
    <tableColumn id="21" xr3:uid="{516F0856-1F5E-4167-8B21-B633E6F1731D}" name="Note"/>
  </tableColumns>
  <tableStyleInfo name="TableStyleMedium4"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VerificationIssuesTable" displayName="VerificationIssuesTable" ref="A4:G14" totalsRowShown="0">
  <tableColumns count="7">
    <tableColumn id="1" xr3:uid="{00000000-0010-0000-0A00-000001000000}" name="Priority"/>
    <tableColumn id="2" xr3:uid="{00000000-0010-0000-0A00-000002000000}" name="Category"/>
    <tableColumn id="3" xr3:uid="{00000000-0010-0000-0A00-000003000000}" name="Institution"/>
    <tableColumn id="4" xr3:uid="{00000000-0010-0000-0A00-000004000000}" name="Issue"/>
    <tableColumn id="5" xr3:uid="{00000000-0010-0000-0A00-000005000000}" name="Treatment in Workbook"/>
    <tableColumn id="6" xr3:uid="{00000000-0010-0000-0A00-000006000000}" name="Recommended Follow-up"/>
    <tableColumn id="7" xr3:uid="{00000000-0010-0000-0A00-000007000000}" name="Evidence URL"/>
  </tableColumns>
  <tableStyleInfo name="TableStyleMedium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URLAuditTable" displayName="URLAuditTable" ref="A4:I64" totalsRowShown="0">
  <tableColumns count="9">
    <tableColumn id="1" xr3:uid="{00000000-0010-0000-0B00-000001000000}" name="ID"/>
    <tableColumn id="2" xr3:uid="{00000000-0010-0000-0B00-000002000000}" name="Institution"/>
    <tableColumn id="3" xr3:uid="{00000000-0010-0000-0B00-000003000000}" name="Program"/>
    <tableColumn id="4" xr3:uid="{00000000-0010-0000-0B00-000004000000}" name="Audit Result"/>
    <tableColumn id="5" xr3:uid="{00000000-0010-0000-0B00-000005000000}" name="HTTP Status"/>
    <tableColumn id="6" xr3:uid="{00000000-0010-0000-0B00-000006000000}" name="Requested URL"/>
    <tableColumn id="7" xr3:uid="{00000000-0010-0000-0B00-000007000000}" name="Final URL"/>
    <tableColumn id="8" xr3:uid="{00000000-0010-0000-0B00-000008000000}" name="Page Title"/>
    <tableColumn id="9" xr3:uid="{00000000-0010-0000-0B00-000009000000}" name="Audit Note"/>
  </tableColumns>
  <tableStyleInfo name="TableStyleMedium4"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DataDictionaryTable" displayName="DataDictionaryTable" ref="A4:F25" totalsRowShown="0">
  <tableColumns count="6">
    <tableColumn id="1" xr3:uid="{00000000-0010-0000-0C00-000001000000}" name="Sheet"/>
    <tableColumn id="2" xr3:uid="{00000000-0010-0000-0C00-000002000000}" name="Field"/>
    <tableColumn id="3" xr3:uid="{00000000-0010-0000-0C00-000003000000}" name="Allowed Values / Example"/>
    <tableColumn id="4" xr3:uid="{00000000-0010-0000-0C00-000004000000}" name="Definition"/>
    <tableColumn id="5" xr3:uid="{00000000-0010-0000-0C00-000005000000}" name="Type"/>
    <tableColumn id="6" xr3:uid="{00000000-0010-0000-0C00-000006000000}" name="Analysis Note"/>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unsw.edu.au/study/postgraduate/master-of-environmental-management" TargetMode="External"/><Relationship Id="rId13" Type="http://schemas.openxmlformats.org/officeDocument/2006/relationships/hyperlink" Target="https://climatesolutions.berkeley.edu/" TargetMode="External"/><Relationship Id="rId18" Type="http://schemas.openxmlformats.org/officeDocument/2006/relationships/hyperlink" Target="https://www.kcl.ac.uk/study/postgraduate-taught/courses/environment-politics-and-development-msc" TargetMode="External"/><Relationship Id="rId26" Type="http://schemas.openxmlformats.org/officeDocument/2006/relationships/table" Target="../tables/table10.xml"/><Relationship Id="rId3" Type="http://schemas.openxmlformats.org/officeDocument/2006/relationships/hyperlink" Target="https://www.ucl.ac.uk/prospective-students/graduate/taught-degrees/sustainable-resources-economics-policy-and-transitions-msc" TargetMode="External"/><Relationship Id="rId21" Type="http://schemas.openxmlformats.org/officeDocument/2006/relationships/hyperlink" Target="https://www.ems.psu.edu/academics/find-program-study/renewable-energy-and-sustainability-systems-mps" TargetMode="External"/><Relationship Id="rId7" Type="http://schemas.openxmlformats.org/officeDocument/2006/relationships/hyperlink" Target="https://www.imperial.ac.uk/business-school/masters/climate-change-management-finance/" TargetMode="External"/><Relationship Id="rId12" Type="http://schemas.openxmlformats.org/officeDocument/2006/relationships/hyperlink" Target="https://study.unimelb.edu.au/find/courses/graduate/master-of-environment/" TargetMode="External"/><Relationship Id="rId17" Type="http://schemas.openxmlformats.org/officeDocument/2006/relationships/hyperlink" Target="https://programsandcourses.anu.edu.au/program/MCLCH" TargetMode="External"/><Relationship Id="rId25" Type="http://schemas.openxmlformats.org/officeDocument/2006/relationships/hyperlink" Target="https://courses.leeds.ac.uk/j985/sustainability-environment-and-development-msc" TargetMode="External"/><Relationship Id="rId2" Type="http://schemas.openxmlformats.org/officeDocument/2006/relationships/hyperlink" Target="https://www.environment.utoronto.ca/graduate/mes" TargetMode="External"/><Relationship Id="rId16" Type="http://schemas.openxmlformats.org/officeDocument/2006/relationships/hyperlink" Target="https://www.sydney.edu.au/courses/courses/pc/master-of-sustainability.html" TargetMode="External"/><Relationship Id="rId20" Type="http://schemas.openxmlformats.org/officeDocument/2006/relationships/hyperlink" Target="https://www.sps.nyu.edu/homepage/academics/masters-degrees/ms-in-environmental-policy-and-sustainability-management.html" TargetMode="External"/><Relationship Id="rId1" Type="http://schemas.openxmlformats.org/officeDocument/2006/relationships/hyperlink" Target="https://www.lunduniversity.lu.se/study/environmental-studies-and-sustainability-science-master-of-science-programme-SAESS" TargetMode="External"/><Relationship Id="rId6" Type="http://schemas.openxmlformats.org/officeDocument/2006/relationships/hyperlink" Target="https://www.lse.ac.uk/study-at-lse/graduate/msc-environmental-policy-and-regulation" TargetMode="External"/><Relationship Id="rId11" Type="http://schemas.openxmlformats.org/officeDocument/2006/relationships/hyperlink" Target="https://ethz.ch/en/studies/master/degree-programmes/system-oriented-natural-sciences/environmental-sciences.html" TargetMode="External"/><Relationship Id="rId24" Type="http://schemas.openxmlformats.org/officeDocument/2006/relationships/hyperlink" Target="https://www.durham.ac.uk/departments/academic/geography/postgraduate-study/taught-masters/" TargetMode="External"/><Relationship Id="rId5" Type="http://schemas.openxmlformats.org/officeDocument/2006/relationships/hyperlink" Target="https://apscpp.ubc.ca/programs/mel/clean-energy-engineering" TargetMode="External"/><Relationship Id="rId15" Type="http://schemas.openxmlformats.org/officeDocument/2006/relationships/hyperlink" Target="https://www.smithschool.ox.ac.uk/course/msc-sustainability-enterprise-and-environment" TargetMode="External"/><Relationship Id="rId23" Type="http://schemas.openxmlformats.org/officeDocument/2006/relationships/hyperlink" Target="https://www.helsinki.fi/en/degree-programmes/environmental-change-and-global-sustainability-masters-programme" TargetMode="External"/><Relationship Id="rId10" Type="http://schemas.openxmlformats.org/officeDocument/2006/relationships/hyperlink" Target="https://www.manchester.ac.uk/study/masters/courses/list/06967/msc-environmental-governance/" TargetMode="External"/><Relationship Id="rId19" Type="http://schemas.openxmlformats.org/officeDocument/2006/relationships/hyperlink" Target="https://www.bristol.ac.uk/study/postgraduate/taught/msc-environmental-policy-and-management/" TargetMode="External"/><Relationship Id="rId4" Type="http://schemas.openxmlformats.org/officeDocument/2006/relationships/hyperlink" Target="https://www.business-school.ed.ac.uk/msc/global-strategy-sustainability" TargetMode="External"/><Relationship Id="rId9" Type="http://schemas.openxmlformats.org/officeDocument/2006/relationships/hyperlink" Target="https://www.mcgill.ca/gradapplicants/program/geography-msc" TargetMode="External"/><Relationship Id="rId14" Type="http://schemas.openxmlformats.org/officeDocument/2006/relationships/hyperlink" Target="https://bulletin.stanford.edu/programs/SUSTSCI-MS/general-aoYks" TargetMode="External"/><Relationship Id="rId22" Type="http://schemas.openxmlformats.org/officeDocument/2006/relationships/hyperlink" Target="https://www.kuleuven.be/programmes/master-sustainable-development"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1"/>
  <sheetViews>
    <sheetView showGridLines="0" topLeftCell="A25" workbookViewId="0">
      <selection sqref="A1:D1"/>
    </sheetView>
  </sheetViews>
  <sheetFormatPr defaultRowHeight="13.5"/>
  <cols>
    <col min="1" max="1" width="31" customWidth="1"/>
    <col min="2" max="2" width="20" customWidth="1"/>
    <col min="3" max="3" width="55" customWidth="1"/>
    <col min="4" max="4" width="40" customWidth="1"/>
  </cols>
  <sheetData>
    <row r="1" spans="1:4" ht="28.05" customHeight="1">
      <c r="A1" s="31" t="s">
        <v>0</v>
      </c>
      <c r="B1" s="31"/>
      <c r="C1" s="31"/>
      <c r="D1" s="31"/>
    </row>
    <row r="2" spans="1:4" ht="34.049999999999997" customHeight="1">
      <c r="A2" s="32" t="s">
        <v>1</v>
      </c>
      <c r="B2" s="32"/>
      <c r="C2" s="32"/>
      <c r="D2" s="32"/>
    </row>
    <row r="4" spans="1:4">
      <c r="A4" s="1" t="s">
        <v>2</v>
      </c>
      <c r="B4" s="1" t="s">
        <v>3</v>
      </c>
      <c r="C4" s="1" t="s">
        <v>4</v>
      </c>
      <c r="D4" s="1" t="s">
        <v>5</v>
      </c>
    </row>
    <row r="5" spans="1:4" ht="28.05" customHeight="1">
      <c r="A5" s="2" t="s">
        <v>6</v>
      </c>
      <c r="B5" s="7">
        <f>COUNTA('Candidate Universities'!A5:A64)</f>
        <v>60</v>
      </c>
      <c r="C5" s="2" t="s">
        <v>7</v>
      </c>
      <c r="D5" s="2" t="s">
        <v>8</v>
      </c>
    </row>
    <row r="6" spans="1:4" ht="28.05" customHeight="1">
      <c r="A6" s="3" t="s">
        <v>9</v>
      </c>
      <c r="B6" s="8">
        <f>COUNTIF('Selection Audit'!A5:A64,"QS")</f>
        <v>30</v>
      </c>
      <c r="C6" s="3" t="s">
        <v>10</v>
      </c>
      <c r="D6" s="3" t="s">
        <v>11</v>
      </c>
    </row>
    <row r="7" spans="1:4" ht="28.05" customHeight="1">
      <c r="A7" s="3" t="s">
        <v>12</v>
      </c>
      <c r="B7" s="8">
        <f>COUNTIF('Selection Audit'!A5:A64,"THE")</f>
        <v>30</v>
      </c>
      <c r="C7" s="3" t="s">
        <v>13</v>
      </c>
      <c r="D7" s="3" t="s">
        <v>14</v>
      </c>
    </row>
    <row r="8" spans="1:4" ht="28.05" customHeight="1">
      <c r="A8" s="3" t="s">
        <v>15</v>
      </c>
      <c r="B8" s="8">
        <f>COUNTIF('Candidate Universities'!D5:D64,"Both")</f>
        <v>5</v>
      </c>
      <c r="C8" s="3" t="s">
        <v>16</v>
      </c>
      <c r="D8" s="3" t="s">
        <v>17</v>
      </c>
    </row>
    <row r="9" spans="1:4" ht="28.05" customHeight="1">
      <c r="A9" s="3" t="s">
        <v>18</v>
      </c>
      <c r="B9" s="8">
        <f>COUNTIF('Candidate Universities'!D5:D64,"QS Sustainability")</f>
        <v>26</v>
      </c>
      <c r="C9" s="3" t="s">
        <v>19</v>
      </c>
      <c r="D9" s="3" t="s">
        <v>20</v>
      </c>
    </row>
    <row r="10" spans="1:4" ht="28.05" customHeight="1">
      <c r="A10" s="3" t="s">
        <v>21</v>
      </c>
      <c r="B10" s="8">
        <f>COUNTIF('Candidate Universities'!D5:D64,"THE Impact")</f>
        <v>29</v>
      </c>
      <c r="C10" s="3" t="s">
        <v>22</v>
      </c>
      <c r="D10" s="3" t="s">
        <v>20</v>
      </c>
    </row>
    <row r="11" spans="1:4" ht="28.05" customHeight="1">
      <c r="A11" s="3" t="s">
        <v>23</v>
      </c>
      <c r="B11" s="8">
        <f>COUNTIF('Program Verification'!G5:G64,"Confirmed")</f>
        <v>59</v>
      </c>
      <c r="C11" s="3" t="s">
        <v>24</v>
      </c>
      <c r="D11" s="3" t="s">
        <v>25</v>
      </c>
    </row>
    <row r="12" spans="1:4" ht="28.05" customHeight="1">
      <c r="A12" s="3" t="s">
        <v>26</v>
      </c>
      <c r="B12" s="8">
        <f>COUNTIF('Program Verification'!G5:G64,"Manual review required")</f>
        <v>1</v>
      </c>
      <c r="C12" s="3" t="s">
        <v>27</v>
      </c>
      <c r="D12" s="3" t="s">
        <v>28</v>
      </c>
    </row>
    <row r="13" spans="1:4" ht="28.05" customHeight="1">
      <c r="A13" s="3" t="s">
        <v>29</v>
      </c>
      <c r="B13" s="8">
        <f>COUNTA('AASHE STARS'!E5:E64)</f>
        <v>11</v>
      </c>
      <c r="C13" s="3" t="s">
        <v>30</v>
      </c>
      <c r="D13" s="3" t="s">
        <v>31</v>
      </c>
    </row>
    <row r="14" spans="1:4" ht="28.05" customHeight="1">
      <c r="A14" s="3" t="s">
        <v>32</v>
      </c>
      <c r="B14" s="8">
        <f>31</f>
        <v>31</v>
      </c>
      <c r="C14" s="3" t="s">
        <v>33</v>
      </c>
      <c r="D14" s="3" t="s">
        <v>34</v>
      </c>
    </row>
    <row r="15" spans="1:4" ht="28.05" customHeight="1">
      <c r="A15" s="3" t="s">
        <v>35</v>
      </c>
      <c r="B15" s="8">
        <f>28</f>
        <v>28</v>
      </c>
      <c r="C15" s="3" t="s">
        <v>36</v>
      </c>
      <c r="D15" s="3" t="s">
        <v>37</v>
      </c>
    </row>
    <row r="16" spans="1:4" ht="28.05" customHeight="1">
      <c r="A16" s="3" t="s">
        <v>38</v>
      </c>
      <c r="B16" s="8">
        <f>52</f>
        <v>52</v>
      </c>
      <c r="C16" s="3" t="s">
        <v>39</v>
      </c>
      <c r="D16" s="3" t="s">
        <v>40</v>
      </c>
    </row>
    <row r="17" spans="1:4" ht="28.05" customHeight="1">
      <c r="A17" s="3" t="s">
        <v>41</v>
      </c>
      <c r="B17" s="8">
        <f>28</f>
        <v>28</v>
      </c>
      <c r="C17" s="3" t="s">
        <v>42</v>
      </c>
      <c r="D17" s="3" t="s">
        <v>43</v>
      </c>
    </row>
    <row r="18" spans="1:4" ht="28.05" customHeight="1">
      <c r="A18" s="3" t="s">
        <v>44</v>
      </c>
      <c r="B18" s="8">
        <f>COUNTA('Program Details'!A5:A64)</f>
        <v>60</v>
      </c>
      <c r="C18" s="3" t="s">
        <v>45</v>
      </c>
      <c r="D18" s="3" t="s">
        <v>46</v>
      </c>
    </row>
    <row r="19" spans="1:4" ht="28.05" customHeight="1">
      <c r="A19" s="4" t="s">
        <v>47</v>
      </c>
      <c r="B19" s="9">
        <f>COUNTIF('URL Audit'!D5:D64,"OK")</f>
        <v>53</v>
      </c>
      <c r="C19" s="4" t="s">
        <v>48</v>
      </c>
      <c r="D19" s="4" t="s">
        <v>49</v>
      </c>
    </row>
    <row r="22" spans="1:4">
      <c r="A22" s="1" t="s">
        <v>50</v>
      </c>
      <c r="B22" s="1" t="s">
        <v>51</v>
      </c>
      <c r="C22" s="1" t="s">
        <v>52</v>
      </c>
      <c r="D22" s="1" t="s">
        <v>53</v>
      </c>
    </row>
    <row r="23" spans="1:4" ht="28.05" customHeight="1">
      <c r="A23" s="2" t="s">
        <v>54</v>
      </c>
      <c r="B23" s="2" t="s">
        <v>55</v>
      </c>
      <c r="C23" s="2" t="s">
        <v>56</v>
      </c>
      <c r="D23" s="10" t="s">
        <v>57</v>
      </c>
    </row>
    <row r="24" spans="1:4" ht="28.05" customHeight="1">
      <c r="A24" s="3" t="s">
        <v>58</v>
      </c>
      <c r="B24" s="3" t="s">
        <v>59</v>
      </c>
      <c r="C24" s="3" t="s">
        <v>60</v>
      </c>
      <c r="D24" s="11" t="s">
        <v>57</v>
      </c>
    </row>
    <row r="25" spans="1:4" ht="28.05" customHeight="1">
      <c r="A25" s="3" t="s">
        <v>61</v>
      </c>
      <c r="B25" s="3" t="s">
        <v>62</v>
      </c>
      <c r="C25" s="3" t="s">
        <v>63</v>
      </c>
      <c r="D25" s="11" t="s">
        <v>57</v>
      </c>
    </row>
    <row r="26" spans="1:4" ht="28.05" customHeight="1">
      <c r="A26" s="3" t="s">
        <v>64</v>
      </c>
      <c r="B26" s="3" t="s">
        <v>65</v>
      </c>
      <c r="C26" s="3" t="s">
        <v>66</v>
      </c>
      <c r="D26" s="11" t="s">
        <v>67</v>
      </c>
    </row>
    <row r="27" spans="1:4" ht="28.05" customHeight="1">
      <c r="A27" s="3" t="s">
        <v>68</v>
      </c>
      <c r="B27" s="3" t="s">
        <v>69</v>
      </c>
      <c r="C27" s="3" t="s">
        <v>70</v>
      </c>
      <c r="D27" s="11" t="s">
        <v>67</v>
      </c>
    </row>
    <row r="28" spans="1:4" ht="28.05" customHeight="1">
      <c r="A28" s="3" t="s">
        <v>71</v>
      </c>
      <c r="B28" s="3" t="s">
        <v>72</v>
      </c>
      <c r="C28" s="3" t="s">
        <v>73</v>
      </c>
      <c r="D28" s="11" t="s">
        <v>57</v>
      </c>
    </row>
    <row r="29" spans="1:4" ht="28.05" customHeight="1">
      <c r="A29" s="3" t="s">
        <v>74</v>
      </c>
      <c r="B29" s="3" t="s">
        <v>75</v>
      </c>
      <c r="C29" s="3" t="s">
        <v>76</v>
      </c>
      <c r="D29" s="11" t="s">
        <v>57</v>
      </c>
    </row>
    <row r="30" spans="1:4" ht="28.05" customHeight="1">
      <c r="A30" s="3" t="s">
        <v>77</v>
      </c>
      <c r="B30" s="3" t="s">
        <v>78</v>
      </c>
      <c r="C30" s="3" t="s">
        <v>79</v>
      </c>
      <c r="D30" s="11" t="s">
        <v>57</v>
      </c>
    </row>
    <row r="31" spans="1:4" ht="28.05" customHeight="1">
      <c r="A31" s="4" t="s">
        <v>80</v>
      </c>
      <c r="B31" s="4" t="s">
        <v>81</v>
      </c>
      <c r="C31" s="4" t="s">
        <v>82</v>
      </c>
      <c r="D31" s="12" t="s">
        <v>57</v>
      </c>
    </row>
  </sheetData>
  <mergeCells count="2">
    <mergeCell ref="A1:D1"/>
    <mergeCell ref="A2:D2"/>
  </mergeCells>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4"/>
  <sheetViews>
    <sheetView showGridLines="0" workbookViewId="0">
      <selection sqref="A1:K1"/>
    </sheetView>
  </sheetViews>
  <sheetFormatPr defaultRowHeight="13.5"/>
  <cols>
    <col min="1" max="1" width="16" customWidth="1"/>
    <col min="2" max="2" width="15" customWidth="1"/>
    <col min="3" max="3" width="8" customWidth="1"/>
    <col min="4" max="4" width="32" customWidth="1"/>
    <col min="5" max="5" width="18" customWidth="1"/>
    <col min="6" max="7" width="11" customWidth="1"/>
    <col min="8" max="8" width="42" customWidth="1"/>
    <col min="9" max="9" width="55" customWidth="1"/>
    <col min="10" max="11" width="44" customWidth="1"/>
  </cols>
  <sheetData>
    <row r="1" spans="1:11" ht="28.05" customHeight="1">
      <c r="A1" s="31" t="s">
        <v>83</v>
      </c>
      <c r="B1" s="31"/>
      <c r="C1" s="31"/>
      <c r="D1" s="31"/>
      <c r="E1" s="31"/>
      <c r="F1" s="31"/>
      <c r="G1" s="31"/>
      <c r="H1" s="31"/>
      <c r="I1" s="31"/>
      <c r="J1" s="31"/>
      <c r="K1" s="31"/>
    </row>
    <row r="2" spans="1:11" ht="34.049999999999997" customHeight="1">
      <c r="A2" s="32" t="s">
        <v>84</v>
      </c>
      <c r="B2" s="32"/>
      <c r="C2" s="32"/>
      <c r="D2" s="32"/>
      <c r="E2" s="32"/>
      <c r="F2" s="32"/>
      <c r="G2" s="32"/>
      <c r="H2" s="32"/>
      <c r="I2" s="32"/>
      <c r="J2" s="32"/>
      <c r="K2" s="32"/>
    </row>
    <row r="4" spans="1:11" ht="38" customHeight="1">
      <c r="A4" s="13" t="s">
        <v>85</v>
      </c>
      <c r="B4" s="14" t="s">
        <v>86</v>
      </c>
      <c r="C4" s="14" t="s">
        <v>87</v>
      </c>
      <c r="D4" s="14" t="s">
        <v>88</v>
      </c>
      <c r="E4" s="14" t="s">
        <v>89</v>
      </c>
      <c r="F4" s="14" t="s">
        <v>90</v>
      </c>
      <c r="G4" s="14" t="s">
        <v>91</v>
      </c>
      <c r="H4" s="14" t="s">
        <v>92</v>
      </c>
      <c r="I4" s="14" t="s">
        <v>93</v>
      </c>
      <c r="J4" s="14" t="s">
        <v>94</v>
      </c>
      <c r="K4" s="15" t="s">
        <v>95</v>
      </c>
    </row>
    <row r="5" spans="1:11" ht="28.05" customHeight="1">
      <c r="A5" s="5" t="s">
        <v>96</v>
      </c>
      <c r="B5" s="16">
        <v>1</v>
      </c>
      <c r="C5" s="22">
        <v>1</v>
      </c>
      <c r="D5" s="16" t="s">
        <v>97</v>
      </c>
      <c r="E5" s="16" t="s">
        <v>98</v>
      </c>
      <c r="F5" s="16" t="s">
        <v>99</v>
      </c>
      <c r="G5" s="16"/>
      <c r="H5" s="16" t="s">
        <v>100</v>
      </c>
      <c r="I5" s="16" t="s">
        <v>101</v>
      </c>
      <c r="J5" s="18" t="s">
        <v>102</v>
      </c>
      <c r="K5" s="18"/>
    </row>
    <row r="6" spans="1:11" ht="28.05" customHeight="1">
      <c r="A6" s="6" t="s">
        <v>96</v>
      </c>
      <c r="B6" s="3">
        <v>2</v>
      </c>
      <c r="C6" s="23">
        <v>2</v>
      </c>
      <c r="D6" s="3" t="s">
        <v>103</v>
      </c>
      <c r="E6" s="3" t="s">
        <v>104</v>
      </c>
      <c r="F6" s="3" t="s">
        <v>105</v>
      </c>
      <c r="G6" s="3"/>
      <c r="H6" s="3" t="s">
        <v>106</v>
      </c>
      <c r="I6" s="3" t="s">
        <v>101</v>
      </c>
      <c r="J6" s="19" t="s">
        <v>107</v>
      </c>
      <c r="K6" s="19"/>
    </row>
    <row r="7" spans="1:11" ht="28.05" customHeight="1">
      <c r="A7" s="6" t="s">
        <v>96</v>
      </c>
      <c r="B7" s="17">
        <v>3</v>
      </c>
      <c r="C7" s="24">
        <v>3</v>
      </c>
      <c r="D7" s="17" t="s">
        <v>108</v>
      </c>
      <c r="E7" s="17" t="s">
        <v>109</v>
      </c>
      <c r="F7" s="17" t="s">
        <v>110</v>
      </c>
      <c r="G7" s="17"/>
      <c r="H7" s="17" t="s">
        <v>111</v>
      </c>
      <c r="I7" s="17" t="s">
        <v>101</v>
      </c>
      <c r="J7" s="20" t="s">
        <v>112</v>
      </c>
      <c r="K7" s="20"/>
    </row>
    <row r="8" spans="1:11" ht="28.05" customHeight="1">
      <c r="A8" s="6" t="s">
        <v>96</v>
      </c>
      <c r="B8" s="3">
        <v>4</v>
      </c>
      <c r="C8" s="23">
        <v>4</v>
      </c>
      <c r="D8" s="3" t="s">
        <v>113</v>
      </c>
      <c r="E8" s="3" t="s">
        <v>109</v>
      </c>
      <c r="F8" s="3" t="s">
        <v>114</v>
      </c>
      <c r="G8" s="3"/>
      <c r="H8" s="3" t="s">
        <v>115</v>
      </c>
      <c r="I8" s="3" t="s">
        <v>101</v>
      </c>
      <c r="J8" s="19" t="s">
        <v>116</v>
      </c>
      <c r="K8" s="19"/>
    </row>
    <row r="9" spans="1:11" ht="28.05" customHeight="1">
      <c r="A9" s="6" t="s">
        <v>96</v>
      </c>
      <c r="B9" s="17">
        <v>5</v>
      </c>
      <c r="C9" s="24">
        <v>5</v>
      </c>
      <c r="D9" s="17" t="s">
        <v>117</v>
      </c>
      <c r="E9" s="17" t="s">
        <v>104</v>
      </c>
      <c r="F9" s="17" t="s">
        <v>118</v>
      </c>
      <c r="G9" s="17"/>
      <c r="H9" s="17" t="s">
        <v>119</v>
      </c>
      <c r="I9" s="17" t="s">
        <v>101</v>
      </c>
      <c r="J9" s="20" t="s">
        <v>120</v>
      </c>
      <c r="K9" s="20"/>
    </row>
    <row r="10" spans="1:11" ht="28.05" customHeight="1">
      <c r="A10" s="6" t="s">
        <v>96</v>
      </c>
      <c r="B10" s="3">
        <v>6</v>
      </c>
      <c r="C10" s="23">
        <v>6</v>
      </c>
      <c r="D10" s="3" t="s">
        <v>121</v>
      </c>
      <c r="E10" s="3" t="s">
        <v>109</v>
      </c>
      <c r="F10" s="3" t="s">
        <v>122</v>
      </c>
      <c r="G10" s="3"/>
      <c r="H10" s="3" t="s">
        <v>123</v>
      </c>
      <c r="I10" s="3" t="s">
        <v>101</v>
      </c>
      <c r="J10" s="19" t="s">
        <v>124</v>
      </c>
      <c r="K10" s="19"/>
    </row>
    <row r="11" spans="1:11" ht="28.05" customHeight="1">
      <c r="A11" s="6" t="s">
        <v>96</v>
      </c>
      <c r="B11" s="17">
        <v>7</v>
      </c>
      <c r="C11" s="24">
        <v>7</v>
      </c>
      <c r="D11" s="17" t="s">
        <v>125</v>
      </c>
      <c r="E11" s="17" t="s">
        <v>109</v>
      </c>
      <c r="F11" s="17">
        <v>7</v>
      </c>
      <c r="G11" s="17"/>
      <c r="H11" s="17" t="s">
        <v>126</v>
      </c>
      <c r="I11" s="17" t="s">
        <v>101</v>
      </c>
      <c r="J11" s="20" t="s">
        <v>127</v>
      </c>
      <c r="K11" s="20"/>
    </row>
    <row r="12" spans="1:11" ht="28.05" customHeight="1">
      <c r="A12" s="6" t="s">
        <v>96</v>
      </c>
      <c r="B12" s="3">
        <v>8</v>
      </c>
      <c r="C12" s="23">
        <v>8</v>
      </c>
      <c r="D12" s="3" t="s">
        <v>128</v>
      </c>
      <c r="E12" s="3" t="s">
        <v>129</v>
      </c>
      <c r="F12" s="3">
        <v>7</v>
      </c>
      <c r="G12" s="3">
        <v>41</v>
      </c>
      <c r="H12" s="3" t="s">
        <v>130</v>
      </c>
      <c r="I12" s="3" t="s">
        <v>101</v>
      </c>
      <c r="J12" s="19" t="s">
        <v>131</v>
      </c>
      <c r="K12" s="19" t="s">
        <v>132</v>
      </c>
    </row>
    <row r="13" spans="1:11" ht="28.05" customHeight="1">
      <c r="A13" s="6" t="s">
        <v>96</v>
      </c>
      <c r="B13" s="17">
        <v>9</v>
      </c>
      <c r="C13" s="24">
        <v>9</v>
      </c>
      <c r="D13" s="17" t="s">
        <v>133</v>
      </c>
      <c r="E13" s="17" t="s">
        <v>104</v>
      </c>
      <c r="F13" s="17" t="s">
        <v>134</v>
      </c>
      <c r="G13" s="17"/>
      <c r="H13" s="17" t="s">
        <v>135</v>
      </c>
      <c r="I13" s="17" t="s">
        <v>101</v>
      </c>
      <c r="J13" s="20" t="s">
        <v>136</v>
      </c>
      <c r="K13" s="20"/>
    </row>
    <row r="14" spans="1:11" ht="28.05" customHeight="1">
      <c r="A14" s="6" t="s">
        <v>96</v>
      </c>
      <c r="B14" s="3">
        <v>10</v>
      </c>
      <c r="C14" s="23">
        <v>10</v>
      </c>
      <c r="D14" s="3" t="s">
        <v>137</v>
      </c>
      <c r="E14" s="3" t="s">
        <v>109</v>
      </c>
      <c r="F14" s="3" t="s">
        <v>138</v>
      </c>
      <c r="G14" s="3" t="s">
        <v>99</v>
      </c>
      <c r="H14" s="3" t="s">
        <v>139</v>
      </c>
      <c r="I14" s="3" t="s">
        <v>101</v>
      </c>
      <c r="J14" s="19" t="s">
        <v>140</v>
      </c>
      <c r="K14" s="19" t="s">
        <v>141</v>
      </c>
    </row>
    <row r="15" spans="1:11" ht="28.05" customHeight="1">
      <c r="A15" s="6" t="s">
        <v>96</v>
      </c>
      <c r="B15" s="17">
        <v>11</v>
      </c>
      <c r="C15" s="24">
        <v>11</v>
      </c>
      <c r="D15" s="17" t="s">
        <v>142</v>
      </c>
      <c r="E15" s="17" t="s">
        <v>143</v>
      </c>
      <c r="F15" s="17">
        <v>11</v>
      </c>
      <c r="G15" s="17"/>
      <c r="H15" s="17" t="s">
        <v>144</v>
      </c>
      <c r="I15" s="17" t="s">
        <v>101</v>
      </c>
      <c r="J15" s="20" t="s">
        <v>145</v>
      </c>
      <c r="K15" s="20"/>
    </row>
    <row r="16" spans="1:11" ht="28.05" customHeight="1">
      <c r="A16" s="6" t="s">
        <v>96</v>
      </c>
      <c r="B16" s="3">
        <v>12</v>
      </c>
      <c r="C16" s="23">
        <v>12</v>
      </c>
      <c r="D16" s="3" t="s">
        <v>146</v>
      </c>
      <c r="E16" s="3" t="s">
        <v>129</v>
      </c>
      <c r="F16" s="3">
        <v>11</v>
      </c>
      <c r="G16" s="3"/>
      <c r="H16" s="3" t="s">
        <v>147</v>
      </c>
      <c r="I16" s="3" t="s">
        <v>101</v>
      </c>
      <c r="J16" s="19" t="s">
        <v>148</v>
      </c>
      <c r="K16" s="19"/>
    </row>
    <row r="17" spans="1:11" ht="28.05" customHeight="1">
      <c r="A17" s="6" t="s">
        <v>96</v>
      </c>
      <c r="B17" s="17">
        <v>13</v>
      </c>
      <c r="C17" s="24">
        <v>13</v>
      </c>
      <c r="D17" s="17" t="s">
        <v>149</v>
      </c>
      <c r="E17" s="17" t="s">
        <v>150</v>
      </c>
      <c r="F17" s="17">
        <v>11</v>
      </c>
      <c r="G17" s="17"/>
      <c r="H17" s="17" t="s">
        <v>151</v>
      </c>
      <c r="I17" s="17" t="s">
        <v>101</v>
      </c>
      <c r="J17" s="20" t="s">
        <v>152</v>
      </c>
      <c r="K17" s="20"/>
    </row>
    <row r="18" spans="1:11" ht="28.05" customHeight="1">
      <c r="A18" s="6" t="s">
        <v>96</v>
      </c>
      <c r="B18" s="3">
        <v>14</v>
      </c>
      <c r="C18" s="23">
        <v>14</v>
      </c>
      <c r="D18" s="3" t="s">
        <v>153</v>
      </c>
      <c r="E18" s="3" t="s">
        <v>150</v>
      </c>
      <c r="F18" s="3" t="s">
        <v>154</v>
      </c>
      <c r="G18" s="3"/>
      <c r="H18" s="3" t="s">
        <v>155</v>
      </c>
      <c r="I18" s="3" t="s">
        <v>101</v>
      </c>
      <c r="J18" s="19" t="s">
        <v>156</v>
      </c>
      <c r="K18" s="19"/>
    </row>
    <row r="19" spans="1:11" ht="28.05" customHeight="1">
      <c r="A19" s="6" t="s">
        <v>96</v>
      </c>
      <c r="B19" s="17">
        <v>15</v>
      </c>
      <c r="C19" s="24">
        <v>15</v>
      </c>
      <c r="D19" s="17" t="s">
        <v>157</v>
      </c>
      <c r="E19" s="17" t="s">
        <v>109</v>
      </c>
      <c r="F19" s="17" t="s">
        <v>158</v>
      </c>
      <c r="G19" s="17"/>
      <c r="H19" s="17" t="s">
        <v>159</v>
      </c>
      <c r="I19" s="17" t="s">
        <v>101</v>
      </c>
      <c r="J19" s="20" t="s">
        <v>160</v>
      </c>
      <c r="K19" s="20"/>
    </row>
    <row r="20" spans="1:11" ht="28.05" customHeight="1">
      <c r="A20" s="6" t="s">
        <v>96</v>
      </c>
      <c r="B20" s="3">
        <v>16</v>
      </c>
      <c r="C20" s="23">
        <v>16</v>
      </c>
      <c r="D20" s="3" t="s">
        <v>161</v>
      </c>
      <c r="E20" s="3" t="s">
        <v>129</v>
      </c>
      <c r="F20" s="3" t="s">
        <v>162</v>
      </c>
      <c r="G20" s="3"/>
      <c r="H20" s="3" t="s">
        <v>163</v>
      </c>
      <c r="I20" s="3" t="s">
        <v>101</v>
      </c>
      <c r="J20" s="19" t="s">
        <v>164</v>
      </c>
      <c r="K20" s="19"/>
    </row>
    <row r="21" spans="1:11" ht="28.05" customHeight="1">
      <c r="A21" s="6" t="s">
        <v>96</v>
      </c>
      <c r="B21" s="17">
        <v>17</v>
      </c>
      <c r="C21" s="24">
        <v>17</v>
      </c>
      <c r="D21" s="17" t="s">
        <v>165</v>
      </c>
      <c r="E21" s="17" t="s">
        <v>129</v>
      </c>
      <c r="F21" s="17">
        <v>16</v>
      </c>
      <c r="G21" s="17"/>
      <c r="H21" s="17" t="s">
        <v>166</v>
      </c>
      <c r="I21" s="17" t="s">
        <v>101</v>
      </c>
      <c r="J21" s="20" t="s">
        <v>167</v>
      </c>
      <c r="K21" s="20"/>
    </row>
    <row r="22" spans="1:11" ht="28.05" customHeight="1">
      <c r="A22" s="6" t="s">
        <v>96</v>
      </c>
      <c r="B22" s="3">
        <v>18</v>
      </c>
      <c r="C22" s="23">
        <v>18</v>
      </c>
      <c r="D22" s="3" t="s">
        <v>168</v>
      </c>
      <c r="E22" s="3" t="s">
        <v>109</v>
      </c>
      <c r="F22" s="3">
        <v>16</v>
      </c>
      <c r="G22" s="3"/>
      <c r="H22" s="3" t="s">
        <v>169</v>
      </c>
      <c r="I22" s="3" t="s">
        <v>101</v>
      </c>
      <c r="J22" s="19" t="s">
        <v>170</v>
      </c>
      <c r="K22" s="19"/>
    </row>
    <row r="23" spans="1:11" ht="28.05" customHeight="1">
      <c r="A23" s="6" t="s">
        <v>96</v>
      </c>
      <c r="B23" s="17">
        <v>19</v>
      </c>
      <c r="C23" s="24">
        <v>19</v>
      </c>
      <c r="D23" s="17" t="s">
        <v>171</v>
      </c>
      <c r="E23" s="17" t="s">
        <v>109</v>
      </c>
      <c r="F23" s="17" t="s">
        <v>172</v>
      </c>
      <c r="G23" s="17"/>
      <c r="H23" s="17" t="s">
        <v>173</v>
      </c>
      <c r="I23" s="17" t="s">
        <v>101</v>
      </c>
      <c r="J23" s="20" t="s">
        <v>174</v>
      </c>
      <c r="K23" s="20"/>
    </row>
    <row r="24" spans="1:11" ht="28.05" customHeight="1">
      <c r="A24" s="6" t="s">
        <v>96</v>
      </c>
      <c r="B24" s="3">
        <v>20</v>
      </c>
      <c r="C24" s="23">
        <v>20</v>
      </c>
      <c r="D24" s="3" t="s">
        <v>175</v>
      </c>
      <c r="E24" s="3" t="s">
        <v>150</v>
      </c>
      <c r="F24" s="3" t="s">
        <v>176</v>
      </c>
      <c r="G24" s="3"/>
      <c r="H24" s="3" t="s">
        <v>177</v>
      </c>
      <c r="I24" s="3" t="s">
        <v>101</v>
      </c>
      <c r="J24" s="19" t="s">
        <v>178</v>
      </c>
      <c r="K24" s="19"/>
    </row>
    <row r="25" spans="1:11" ht="28.05" customHeight="1">
      <c r="A25" s="6" t="s">
        <v>96</v>
      </c>
      <c r="B25" s="17">
        <v>21</v>
      </c>
      <c r="C25" s="24">
        <v>21</v>
      </c>
      <c r="D25" s="17" t="s">
        <v>179</v>
      </c>
      <c r="E25" s="17" t="s">
        <v>150</v>
      </c>
      <c r="F25" s="17" t="s">
        <v>180</v>
      </c>
      <c r="G25" s="17"/>
      <c r="H25" s="17" t="s">
        <v>181</v>
      </c>
      <c r="I25" s="17" t="s">
        <v>101</v>
      </c>
      <c r="J25" s="20" t="s">
        <v>182</v>
      </c>
      <c r="K25" s="20"/>
    </row>
    <row r="26" spans="1:11" ht="28.05" customHeight="1">
      <c r="A26" s="6" t="s">
        <v>96</v>
      </c>
      <c r="B26" s="3">
        <v>22</v>
      </c>
      <c r="C26" s="23">
        <v>22</v>
      </c>
      <c r="D26" s="3" t="s">
        <v>183</v>
      </c>
      <c r="E26" s="3" t="s">
        <v>184</v>
      </c>
      <c r="F26" s="3">
        <v>22</v>
      </c>
      <c r="G26" s="3"/>
      <c r="H26" s="3" t="s">
        <v>185</v>
      </c>
      <c r="I26" s="3" t="s">
        <v>101</v>
      </c>
      <c r="J26" s="19" t="s">
        <v>186</v>
      </c>
      <c r="K26" s="19"/>
    </row>
    <row r="27" spans="1:11" ht="28.05" customHeight="1">
      <c r="A27" s="6" t="s">
        <v>96</v>
      </c>
      <c r="B27" s="17">
        <v>23</v>
      </c>
      <c r="C27" s="24">
        <v>23</v>
      </c>
      <c r="D27" s="17" t="s">
        <v>187</v>
      </c>
      <c r="E27" s="17" t="s">
        <v>188</v>
      </c>
      <c r="F27" s="17">
        <v>22</v>
      </c>
      <c r="G27" s="17"/>
      <c r="H27" s="17" t="s">
        <v>189</v>
      </c>
      <c r="I27" s="17" t="s">
        <v>101</v>
      </c>
      <c r="J27" s="20" t="s">
        <v>190</v>
      </c>
      <c r="K27" s="20"/>
    </row>
    <row r="28" spans="1:11" ht="28.05" customHeight="1">
      <c r="A28" s="6" t="s">
        <v>96</v>
      </c>
      <c r="B28" s="3">
        <v>24</v>
      </c>
      <c r="C28" s="23">
        <v>24</v>
      </c>
      <c r="D28" s="3" t="s">
        <v>191</v>
      </c>
      <c r="E28" s="3" t="s">
        <v>109</v>
      </c>
      <c r="F28" s="3">
        <v>24</v>
      </c>
      <c r="G28" s="3"/>
      <c r="H28" s="3" t="s">
        <v>192</v>
      </c>
      <c r="I28" s="3" t="s">
        <v>101</v>
      </c>
      <c r="J28" s="19" t="s">
        <v>193</v>
      </c>
      <c r="K28" s="19"/>
    </row>
    <row r="29" spans="1:11" ht="28.05" customHeight="1">
      <c r="A29" s="6" t="s">
        <v>96</v>
      </c>
      <c r="B29" s="17">
        <v>25</v>
      </c>
      <c r="C29" s="24">
        <v>25</v>
      </c>
      <c r="D29" s="17" t="s">
        <v>194</v>
      </c>
      <c r="E29" s="17" t="s">
        <v>109</v>
      </c>
      <c r="F29" s="17">
        <v>24</v>
      </c>
      <c r="G29" s="17"/>
      <c r="H29" s="17" t="s">
        <v>195</v>
      </c>
      <c r="I29" s="17" t="s">
        <v>101</v>
      </c>
      <c r="J29" s="20" t="s">
        <v>196</v>
      </c>
      <c r="K29" s="20"/>
    </row>
    <row r="30" spans="1:11" ht="28.05" customHeight="1">
      <c r="A30" s="6" t="s">
        <v>96</v>
      </c>
      <c r="B30" s="3">
        <v>26</v>
      </c>
      <c r="C30" s="23">
        <v>26</v>
      </c>
      <c r="D30" s="3" t="s">
        <v>197</v>
      </c>
      <c r="E30" s="3" t="s">
        <v>104</v>
      </c>
      <c r="F30" s="3">
        <v>24</v>
      </c>
      <c r="G30" s="3">
        <v>12</v>
      </c>
      <c r="H30" s="3" t="s">
        <v>198</v>
      </c>
      <c r="I30" s="3" t="s">
        <v>101</v>
      </c>
      <c r="J30" s="19" t="s">
        <v>199</v>
      </c>
      <c r="K30" s="19" t="s">
        <v>200</v>
      </c>
    </row>
    <row r="31" spans="1:11" ht="28.05" customHeight="1">
      <c r="A31" s="6" t="s">
        <v>96</v>
      </c>
      <c r="B31" s="17">
        <v>27</v>
      </c>
      <c r="C31" s="24">
        <v>27</v>
      </c>
      <c r="D31" s="17" t="s">
        <v>201</v>
      </c>
      <c r="E31" s="17" t="s">
        <v>109</v>
      </c>
      <c r="F31" s="17" t="s">
        <v>202</v>
      </c>
      <c r="G31" s="17" t="s">
        <v>158</v>
      </c>
      <c r="H31" s="17" t="s">
        <v>203</v>
      </c>
      <c r="I31" s="17" t="s">
        <v>101</v>
      </c>
      <c r="J31" s="20" t="s">
        <v>204</v>
      </c>
      <c r="K31" s="20" t="s">
        <v>205</v>
      </c>
    </row>
    <row r="32" spans="1:11" ht="28.05" customHeight="1">
      <c r="A32" s="6" t="s">
        <v>96</v>
      </c>
      <c r="B32" s="3">
        <v>28</v>
      </c>
      <c r="C32" s="23">
        <v>28</v>
      </c>
      <c r="D32" s="3" t="s">
        <v>206</v>
      </c>
      <c r="E32" s="3" t="s">
        <v>207</v>
      </c>
      <c r="F32" s="3" t="s">
        <v>208</v>
      </c>
      <c r="G32" s="3"/>
      <c r="H32" s="3" t="s">
        <v>209</v>
      </c>
      <c r="I32" s="3" t="s">
        <v>101</v>
      </c>
      <c r="J32" s="19" t="s">
        <v>210</v>
      </c>
      <c r="K32" s="19"/>
    </row>
    <row r="33" spans="1:11" ht="28.05" customHeight="1">
      <c r="A33" s="6" t="s">
        <v>96</v>
      </c>
      <c r="B33" s="17">
        <v>29</v>
      </c>
      <c r="C33" s="24">
        <v>29</v>
      </c>
      <c r="D33" s="17" t="s">
        <v>211</v>
      </c>
      <c r="E33" s="17" t="s">
        <v>212</v>
      </c>
      <c r="F33" s="17" t="s">
        <v>213</v>
      </c>
      <c r="G33" s="17"/>
      <c r="H33" s="17" t="s">
        <v>144</v>
      </c>
      <c r="I33" s="17" t="s">
        <v>101</v>
      </c>
      <c r="J33" s="20" t="s">
        <v>214</v>
      </c>
      <c r="K33" s="20"/>
    </row>
    <row r="34" spans="1:11" ht="28.05" customHeight="1">
      <c r="A34" s="6" t="s">
        <v>96</v>
      </c>
      <c r="B34" s="3">
        <v>30</v>
      </c>
      <c r="C34" s="23">
        <v>30</v>
      </c>
      <c r="D34" s="3" t="s">
        <v>215</v>
      </c>
      <c r="E34" s="3" t="s">
        <v>150</v>
      </c>
      <c r="F34" s="3">
        <v>30</v>
      </c>
      <c r="G34" s="3"/>
      <c r="H34" s="3" t="s">
        <v>216</v>
      </c>
      <c r="I34" s="3" t="s">
        <v>101</v>
      </c>
      <c r="J34" s="19" t="s">
        <v>217</v>
      </c>
      <c r="K34" s="19"/>
    </row>
    <row r="35" spans="1:11" ht="28.05" customHeight="1">
      <c r="A35" s="26" t="s">
        <v>218</v>
      </c>
      <c r="B35" s="17">
        <v>1</v>
      </c>
      <c r="C35" s="24">
        <v>52</v>
      </c>
      <c r="D35" s="17" t="s">
        <v>219</v>
      </c>
      <c r="E35" s="17" t="s">
        <v>129</v>
      </c>
      <c r="F35" s="17"/>
      <c r="G35" s="17" t="s">
        <v>105</v>
      </c>
      <c r="H35" s="17" t="s">
        <v>220</v>
      </c>
      <c r="I35" s="17" t="s">
        <v>221</v>
      </c>
      <c r="J35" s="20"/>
      <c r="K35" s="20" t="s">
        <v>222</v>
      </c>
    </row>
    <row r="36" spans="1:11" ht="28.05" customHeight="1">
      <c r="A36" s="26" t="s">
        <v>218</v>
      </c>
      <c r="B36" s="3">
        <v>2</v>
      </c>
      <c r="C36" s="23">
        <v>53</v>
      </c>
      <c r="D36" s="3" t="s">
        <v>223</v>
      </c>
      <c r="E36" s="3" t="s">
        <v>129</v>
      </c>
      <c r="F36" s="3"/>
      <c r="G36" s="3" t="s">
        <v>110</v>
      </c>
      <c r="H36" s="3" t="s">
        <v>224</v>
      </c>
      <c r="I36" s="3" t="s">
        <v>221</v>
      </c>
      <c r="J36" s="19"/>
      <c r="K36" s="19" t="s">
        <v>225</v>
      </c>
    </row>
    <row r="37" spans="1:11" ht="28.05" customHeight="1">
      <c r="A37" s="26" t="s">
        <v>218</v>
      </c>
      <c r="B37" s="17">
        <v>3</v>
      </c>
      <c r="C37" s="24">
        <v>54</v>
      </c>
      <c r="D37" s="17" t="s">
        <v>226</v>
      </c>
      <c r="E37" s="17" t="s">
        <v>104</v>
      </c>
      <c r="F37" s="17"/>
      <c r="G37" s="17" t="s">
        <v>114</v>
      </c>
      <c r="H37" s="17" t="s">
        <v>216</v>
      </c>
      <c r="I37" s="17" t="s">
        <v>221</v>
      </c>
      <c r="J37" s="20"/>
      <c r="K37" s="20" t="s">
        <v>227</v>
      </c>
    </row>
    <row r="38" spans="1:11" ht="28.05" customHeight="1">
      <c r="A38" s="26" t="s">
        <v>218</v>
      </c>
      <c r="B38" s="3">
        <v>4</v>
      </c>
      <c r="C38" s="23">
        <v>55</v>
      </c>
      <c r="D38" s="3" t="s">
        <v>228</v>
      </c>
      <c r="E38" s="3" t="s">
        <v>229</v>
      </c>
      <c r="F38" s="3"/>
      <c r="G38" s="3" t="s">
        <v>118</v>
      </c>
      <c r="H38" s="3" t="s">
        <v>230</v>
      </c>
      <c r="I38" s="3" t="s">
        <v>221</v>
      </c>
      <c r="J38" s="19"/>
      <c r="K38" s="19" t="s">
        <v>231</v>
      </c>
    </row>
    <row r="39" spans="1:11" ht="28.05" customHeight="1">
      <c r="A39" s="26" t="s">
        <v>218</v>
      </c>
      <c r="B39" s="17">
        <v>5</v>
      </c>
      <c r="C39" s="24">
        <v>56</v>
      </c>
      <c r="D39" s="17" t="s">
        <v>232</v>
      </c>
      <c r="E39" s="17" t="s">
        <v>233</v>
      </c>
      <c r="F39" s="17"/>
      <c r="G39" s="17" t="s">
        <v>122</v>
      </c>
      <c r="H39" s="17" t="s">
        <v>234</v>
      </c>
      <c r="I39" s="17" t="s">
        <v>221</v>
      </c>
      <c r="J39" s="20"/>
      <c r="K39" s="20" t="s">
        <v>235</v>
      </c>
    </row>
    <row r="40" spans="1:11" ht="28.05" customHeight="1">
      <c r="A40" s="26" t="s">
        <v>218</v>
      </c>
      <c r="B40" s="3">
        <v>6</v>
      </c>
      <c r="C40" s="23">
        <v>57</v>
      </c>
      <c r="D40" s="3" t="s">
        <v>236</v>
      </c>
      <c r="E40" s="3" t="s">
        <v>237</v>
      </c>
      <c r="F40" s="3"/>
      <c r="G40" s="3">
        <v>7</v>
      </c>
      <c r="H40" s="3" t="s">
        <v>238</v>
      </c>
      <c r="I40" s="3" t="s">
        <v>221</v>
      </c>
      <c r="J40" s="19"/>
      <c r="K40" s="19" t="s">
        <v>239</v>
      </c>
    </row>
    <row r="41" spans="1:11" ht="28.05" customHeight="1">
      <c r="A41" s="26" t="s">
        <v>218</v>
      </c>
      <c r="B41" s="17">
        <v>7</v>
      </c>
      <c r="C41" s="24">
        <v>58</v>
      </c>
      <c r="D41" s="17" t="s">
        <v>240</v>
      </c>
      <c r="E41" s="17" t="s">
        <v>229</v>
      </c>
      <c r="F41" s="17"/>
      <c r="G41" s="17">
        <v>7</v>
      </c>
      <c r="H41" s="17" t="s">
        <v>241</v>
      </c>
      <c r="I41" s="17" t="s">
        <v>221</v>
      </c>
      <c r="J41" s="20"/>
      <c r="K41" s="20" t="s">
        <v>242</v>
      </c>
    </row>
    <row r="42" spans="1:11" ht="28.05" customHeight="1">
      <c r="A42" s="26" t="s">
        <v>218</v>
      </c>
      <c r="B42" s="3">
        <v>8</v>
      </c>
      <c r="C42" s="23">
        <v>59</v>
      </c>
      <c r="D42" s="3" t="s">
        <v>243</v>
      </c>
      <c r="E42" s="3" t="s">
        <v>244</v>
      </c>
      <c r="F42" s="3"/>
      <c r="G42" s="3" t="s">
        <v>134</v>
      </c>
      <c r="H42" s="3" t="s">
        <v>245</v>
      </c>
      <c r="I42" s="3" t="s">
        <v>221</v>
      </c>
      <c r="J42" s="19"/>
      <c r="K42" s="19" t="s">
        <v>246</v>
      </c>
    </row>
    <row r="43" spans="1:11" ht="28.05" customHeight="1">
      <c r="A43" s="26" t="s">
        <v>218</v>
      </c>
      <c r="B43" s="17">
        <v>9</v>
      </c>
      <c r="C43" s="24">
        <v>60</v>
      </c>
      <c r="D43" s="17" t="s">
        <v>247</v>
      </c>
      <c r="E43" s="17" t="s">
        <v>248</v>
      </c>
      <c r="F43" s="17"/>
      <c r="G43" s="17">
        <v>10</v>
      </c>
      <c r="H43" s="17" t="s">
        <v>249</v>
      </c>
      <c r="I43" s="17" t="s">
        <v>221</v>
      </c>
      <c r="J43" s="20"/>
      <c r="K43" s="20" t="s">
        <v>250</v>
      </c>
    </row>
    <row r="44" spans="1:11" ht="28.05" customHeight="1">
      <c r="A44" s="26" t="s">
        <v>218</v>
      </c>
      <c r="B44" s="3">
        <v>10</v>
      </c>
      <c r="C44" s="23">
        <v>61</v>
      </c>
      <c r="D44" s="3" t="s">
        <v>251</v>
      </c>
      <c r="E44" s="3" t="s">
        <v>104</v>
      </c>
      <c r="F44" s="3"/>
      <c r="G44" s="3">
        <v>10</v>
      </c>
      <c r="H44" s="3" t="s">
        <v>163</v>
      </c>
      <c r="I44" s="3" t="s">
        <v>221</v>
      </c>
      <c r="J44" s="19"/>
      <c r="K44" s="19" t="s">
        <v>252</v>
      </c>
    </row>
    <row r="45" spans="1:11" ht="28.05" customHeight="1">
      <c r="A45" s="26" t="s">
        <v>218</v>
      </c>
      <c r="B45" s="17">
        <v>11</v>
      </c>
      <c r="C45" s="24">
        <v>62</v>
      </c>
      <c r="D45" s="17" t="s">
        <v>253</v>
      </c>
      <c r="E45" s="17" t="s">
        <v>233</v>
      </c>
      <c r="F45" s="17"/>
      <c r="G45" s="17">
        <v>12</v>
      </c>
      <c r="H45" s="17" t="s">
        <v>254</v>
      </c>
      <c r="I45" s="17" t="s">
        <v>221</v>
      </c>
      <c r="J45" s="20"/>
      <c r="K45" s="20" t="s">
        <v>255</v>
      </c>
    </row>
    <row r="46" spans="1:11" ht="28.05" customHeight="1">
      <c r="A46" s="26" t="s">
        <v>218</v>
      </c>
      <c r="B46" s="3">
        <v>12</v>
      </c>
      <c r="C46" s="23">
        <v>63</v>
      </c>
      <c r="D46" s="3" t="s">
        <v>256</v>
      </c>
      <c r="E46" s="3" t="s">
        <v>257</v>
      </c>
      <c r="F46" s="3"/>
      <c r="G46" s="3" t="s">
        <v>162</v>
      </c>
      <c r="H46" s="3" t="s">
        <v>258</v>
      </c>
      <c r="I46" s="3" t="s">
        <v>221</v>
      </c>
      <c r="J46" s="19"/>
      <c r="K46" s="19" t="s">
        <v>259</v>
      </c>
    </row>
    <row r="47" spans="1:11" ht="28.05" customHeight="1">
      <c r="A47" s="26" t="s">
        <v>218</v>
      </c>
      <c r="B47" s="17">
        <v>13</v>
      </c>
      <c r="C47" s="24">
        <v>64</v>
      </c>
      <c r="D47" s="17" t="s">
        <v>260</v>
      </c>
      <c r="E47" s="17" t="s">
        <v>233</v>
      </c>
      <c r="F47" s="17"/>
      <c r="G47" s="17">
        <v>16</v>
      </c>
      <c r="H47" s="17" t="s">
        <v>261</v>
      </c>
      <c r="I47" s="17" t="s">
        <v>221</v>
      </c>
      <c r="J47" s="20"/>
      <c r="K47" s="20" t="s">
        <v>262</v>
      </c>
    </row>
    <row r="48" spans="1:11" ht="28.05" customHeight="1">
      <c r="A48" s="26" t="s">
        <v>218</v>
      </c>
      <c r="B48" s="3">
        <v>14</v>
      </c>
      <c r="C48" s="23">
        <v>65</v>
      </c>
      <c r="D48" s="3" t="s">
        <v>263</v>
      </c>
      <c r="E48" s="3" t="s">
        <v>129</v>
      </c>
      <c r="F48" s="3"/>
      <c r="G48" s="3">
        <v>16</v>
      </c>
      <c r="H48" s="3" t="s">
        <v>264</v>
      </c>
      <c r="I48" s="3" t="s">
        <v>221</v>
      </c>
      <c r="J48" s="19"/>
      <c r="K48" s="19" t="s">
        <v>265</v>
      </c>
    </row>
    <row r="49" spans="1:11" ht="28.05" customHeight="1">
      <c r="A49" s="26" t="s">
        <v>218</v>
      </c>
      <c r="B49" s="17">
        <v>15</v>
      </c>
      <c r="C49" s="24">
        <v>66</v>
      </c>
      <c r="D49" s="17" t="s">
        <v>27</v>
      </c>
      <c r="E49" s="17" t="s">
        <v>104</v>
      </c>
      <c r="F49" s="17"/>
      <c r="G49" s="17" t="s">
        <v>266</v>
      </c>
      <c r="H49" s="17" t="s">
        <v>267</v>
      </c>
      <c r="I49" s="17" t="s">
        <v>221</v>
      </c>
      <c r="J49" s="20"/>
      <c r="K49" s="20" t="s">
        <v>268</v>
      </c>
    </row>
    <row r="50" spans="1:11" ht="28.05" customHeight="1">
      <c r="A50" s="26" t="s">
        <v>218</v>
      </c>
      <c r="B50" s="3">
        <v>16</v>
      </c>
      <c r="C50" s="23">
        <v>67</v>
      </c>
      <c r="D50" s="3" t="s">
        <v>269</v>
      </c>
      <c r="E50" s="3" t="s">
        <v>270</v>
      </c>
      <c r="F50" s="3"/>
      <c r="G50" s="3" t="s">
        <v>172</v>
      </c>
      <c r="H50" s="3" t="s">
        <v>271</v>
      </c>
      <c r="I50" s="3" t="s">
        <v>221</v>
      </c>
      <c r="J50" s="19"/>
      <c r="K50" s="19" t="s">
        <v>272</v>
      </c>
    </row>
    <row r="51" spans="1:11" ht="28.05" customHeight="1">
      <c r="A51" s="26" t="s">
        <v>218</v>
      </c>
      <c r="B51" s="17">
        <v>17</v>
      </c>
      <c r="C51" s="24">
        <v>49</v>
      </c>
      <c r="D51" s="17" t="s">
        <v>273</v>
      </c>
      <c r="E51" s="17" t="s">
        <v>109</v>
      </c>
      <c r="F51" s="17">
        <v>48</v>
      </c>
      <c r="G51" s="17">
        <v>20</v>
      </c>
      <c r="H51" s="17" t="s">
        <v>274</v>
      </c>
      <c r="I51" s="17" t="s">
        <v>221</v>
      </c>
      <c r="J51" s="20" t="s">
        <v>275</v>
      </c>
      <c r="K51" s="20" t="s">
        <v>276</v>
      </c>
    </row>
    <row r="52" spans="1:11" ht="28.05" customHeight="1">
      <c r="A52" s="26" t="s">
        <v>218</v>
      </c>
      <c r="B52" s="3">
        <v>18</v>
      </c>
      <c r="C52" s="23">
        <v>68</v>
      </c>
      <c r="D52" s="3" t="s">
        <v>277</v>
      </c>
      <c r="E52" s="3" t="s">
        <v>233</v>
      </c>
      <c r="F52" s="3"/>
      <c r="G52" s="3">
        <v>20</v>
      </c>
      <c r="H52" s="3" t="s">
        <v>278</v>
      </c>
      <c r="I52" s="3" t="s">
        <v>221</v>
      </c>
      <c r="J52" s="19"/>
      <c r="K52" s="19" t="s">
        <v>279</v>
      </c>
    </row>
    <row r="53" spans="1:11" ht="28.05" customHeight="1">
      <c r="A53" s="26" t="s">
        <v>218</v>
      </c>
      <c r="B53" s="17">
        <v>19</v>
      </c>
      <c r="C53" s="24">
        <v>69</v>
      </c>
      <c r="D53" s="17" t="s">
        <v>280</v>
      </c>
      <c r="E53" s="17" t="s">
        <v>281</v>
      </c>
      <c r="F53" s="17"/>
      <c r="G53" s="17">
        <v>20</v>
      </c>
      <c r="H53" s="17" t="s">
        <v>282</v>
      </c>
      <c r="I53" s="17" t="s">
        <v>221</v>
      </c>
      <c r="J53" s="20"/>
      <c r="K53" s="20" t="s">
        <v>283</v>
      </c>
    </row>
    <row r="54" spans="1:11" ht="28.05" customHeight="1">
      <c r="A54" s="26" t="s">
        <v>218</v>
      </c>
      <c r="B54" s="3">
        <v>20</v>
      </c>
      <c r="C54" s="23">
        <v>70</v>
      </c>
      <c r="D54" s="3" t="s">
        <v>284</v>
      </c>
      <c r="E54" s="3" t="s">
        <v>285</v>
      </c>
      <c r="F54" s="3"/>
      <c r="G54" s="3" t="s">
        <v>286</v>
      </c>
      <c r="H54" s="3" t="s">
        <v>144</v>
      </c>
      <c r="I54" s="3" t="s">
        <v>221</v>
      </c>
      <c r="J54" s="19"/>
      <c r="K54" s="19" t="s">
        <v>287</v>
      </c>
    </row>
    <row r="55" spans="1:11" ht="28.05" customHeight="1">
      <c r="A55" s="26" t="s">
        <v>218</v>
      </c>
      <c r="B55" s="17">
        <v>21</v>
      </c>
      <c r="C55" s="24">
        <v>71</v>
      </c>
      <c r="D55" s="17" t="s">
        <v>288</v>
      </c>
      <c r="E55" s="17" t="s">
        <v>229</v>
      </c>
      <c r="F55" s="17"/>
      <c r="G55" s="17" t="s">
        <v>289</v>
      </c>
      <c r="H55" s="17" t="s">
        <v>290</v>
      </c>
      <c r="I55" s="17" t="s">
        <v>221</v>
      </c>
      <c r="J55" s="20"/>
      <c r="K55" s="20" t="s">
        <v>291</v>
      </c>
    </row>
    <row r="56" spans="1:11" ht="28.05" customHeight="1">
      <c r="A56" s="26" t="s">
        <v>218</v>
      </c>
      <c r="B56" s="3">
        <v>22</v>
      </c>
      <c r="C56" s="23">
        <v>72</v>
      </c>
      <c r="D56" s="3" t="s">
        <v>292</v>
      </c>
      <c r="E56" s="3" t="s">
        <v>293</v>
      </c>
      <c r="F56" s="3"/>
      <c r="G56" s="3" t="s">
        <v>294</v>
      </c>
      <c r="H56" s="3" t="s">
        <v>295</v>
      </c>
      <c r="I56" s="3" t="s">
        <v>221</v>
      </c>
      <c r="J56" s="19"/>
      <c r="K56" s="19" t="s">
        <v>296</v>
      </c>
    </row>
    <row r="57" spans="1:11" ht="28.05" customHeight="1">
      <c r="A57" s="26" t="s">
        <v>218</v>
      </c>
      <c r="B57" s="17">
        <v>23</v>
      </c>
      <c r="C57" s="24">
        <v>73</v>
      </c>
      <c r="D57" s="17" t="s">
        <v>297</v>
      </c>
      <c r="E57" s="17" t="s">
        <v>233</v>
      </c>
      <c r="F57" s="17"/>
      <c r="G57" s="17" t="s">
        <v>298</v>
      </c>
      <c r="H57" s="17" t="s">
        <v>299</v>
      </c>
      <c r="I57" s="17" t="s">
        <v>221</v>
      </c>
      <c r="J57" s="20"/>
      <c r="K57" s="20" t="s">
        <v>300</v>
      </c>
    </row>
    <row r="58" spans="1:11" ht="28.05" customHeight="1">
      <c r="A58" s="26" t="s">
        <v>218</v>
      </c>
      <c r="B58" s="3">
        <v>24</v>
      </c>
      <c r="C58" s="23">
        <v>74</v>
      </c>
      <c r="D58" s="3" t="s">
        <v>301</v>
      </c>
      <c r="E58" s="3" t="s">
        <v>104</v>
      </c>
      <c r="F58" s="3"/>
      <c r="G58" s="3" t="s">
        <v>202</v>
      </c>
      <c r="H58" s="3" t="s">
        <v>302</v>
      </c>
      <c r="I58" s="3" t="s">
        <v>221</v>
      </c>
      <c r="J58" s="19"/>
      <c r="K58" s="19" t="s">
        <v>303</v>
      </c>
    </row>
    <row r="59" spans="1:11" ht="28.05" customHeight="1">
      <c r="A59" s="26" t="s">
        <v>218</v>
      </c>
      <c r="B59" s="17">
        <v>25</v>
      </c>
      <c r="C59" s="24">
        <v>76</v>
      </c>
      <c r="D59" s="17" t="s">
        <v>304</v>
      </c>
      <c r="E59" s="17" t="s">
        <v>129</v>
      </c>
      <c r="F59" s="17"/>
      <c r="G59" s="17" t="s">
        <v>213</v>
      </c>
      <c r="H59" s="17" t="s">
        <v>185</v>
      </c>
      <c r="I59" s="17" t="s">
        <v>221</v>
      </c>
      <c r="J59" s="20"/>
      <c r="K59" s="20" t="s">
        <v>305</v>
      </c>
    </row>
    <row r="60" spans="1:11" ht="28.05" customHeight="1">
      <c r="A60" s="26" t="s">
        <v>218</v>
      </c>
      <c r="B60" s="3">
        <v>26</v>
      </c>
      <c r="C60" s="23">
        <v>77</v>
      </c>
      <c r="D60" s="3" t="s">
        <v>306</v>
      </c>
      <c r="E60" s="3" t="s">
        <v>129</v>
      </c>
      <c r="F60" s="3"/>
      <c r="G60" s="3" t="s">
        <v>307</v>
      </c>
      <c r="H60" s="3" t="s">
        <v>308</v>
      </c>
      <c r="I60" s="3" t="s">
        <v>221</v>
      </c>
      <c r="J60" s="19"/>
      <c r="K60" s="19" t="s">
        <v>309</v>
      </c>
    </row>
    <row r="61" spans="1:11" ht="28.05" customHeight="1">
      <c r="A61" s="26" t="s">
        <v>218</v>
      </c>
      <c r="B61" s="17">
        <v>27</v>
      </c>
      <c r="C61" s="24">
        <v>78</v>
      </c>
      <c r="D61" s="17" t="s">
        <v>310</v>
      </c>
      <c r="E61" s="17" t="s">
        <v>109</v>
      </c>
      <c r="F61" s="17"/>
      <c r="G61" s="17">
        <v>31</v>
      </c>
      <c r="H61" s="17" t="s">
        <v>311</v>
      </c>
      <c r="I61" s="17" t="s">
        <v>221</v>
      </c>
      <c r="J61" s="20"/>
      <c r="K61" s="20" t="s">
        <v>312</v>
      </c>
    </row>
    <row r="62" spans="1:11" ht="28.05" customHeight="1">
      <c r="A62" s="26" t="s">
        <v>218</v>
      </c>
      <c r="B62" s="3">
        <v>28</v>
      </c>
      <c r="C62" s="23">
        <v>79</v>
      </c>
      <c r="D62" s="3" t="s">
        <v>313</v>
      </c>
      <c r="E62" s="3" t="s">
        <v>257</v>
      </c>
      <c r="F62" s="3"/>
      <c r="G62" s="3">
        <v>31</v>
      </c>
      <c r="H62" s="3" t="s">
        <v>209</v>
      </c>
      <c r="I62" s="3" t="s">
        <v>221</v>
      </c>
      <c r="J62" s="19"/>
      <c r="K62" s="19" t="s">
        <v>314</v>
      </c>
    </row>
    <row r="63" spans="1:11" ht="28.05" customHeight="1">
      <c r="A63" s="26" t="s">
        <v>218</v>
      </c>
      <c r="B63" s="17">
        <v>29</v>
      </c>
      <c r="C63" s="24">
        <v>80</v>
      </c>
      <c r="D63" s="17" t="s">
        <v>315</v>
      </c>
      <c r="E63" s="17" t="s">
        <v>316</v>
      </c>
      <c r="F63" s="17"/>
      <c r="G63" s="17">
        <v>33</v>
      </c>
      <c r="H63" s="17" t="s">
        <v>144</v>
      </c>
      <c r="I63" s="17" t="s">
        <v>221</v>
      </c>
      <c r="J63" s="20"/>
      <c r="K63" s="20" t="s">
        <v>317</v>
      </c>
    </row>
    <row r="64" spans="1:11" ht="28.05" customHeight="1">
      <c r="A64" s="27" t="s">
        <v>218</v>
      </c>
      <c r="B64" s="4">
        <v>30</v>
      </c>
      <c r="C64" s="25">
        <v>81</v>
      </c>
      <c r="D64" s="4" t="s">
        <v>318</v>
      </c>
      <c r="E64" s="4" t="s">
        <v>150</v>
      </c>
      <c r="F64" s="4"/>
      <c r="G64" s="4">
        <v>33</v>
      </c>
      <c r="H64" s="4" t="s">
        <v>319</v>
      </c>
      <c r="I64" s="4" t="s">
        <v>221</v>
      </c>
      <c r="J64" s="21"/>
      <c r="K64" s="21" t="s">
        <v>320</v>
      </c>
    </row>
  </sheetData>
  <mergeCells count="2">
    <mergeCell ref="A1:K1"/>
    <mergeCell ref="A2:K2"/>
  </mergeCells>
  <phoneticPr fontId="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4"/>
  <sheetViews>
    <sheetView showGridLines="0" workbookViewId="0"/>
  </sheetViews>
  <sheetFormatPr defaultRowHeight="13.5"/>
  <cols>
    <col min="1" max="1" width="8" customWidth="1"/>
    <col min="2" max="2" width="32" customWidth="1"/>
    <col min="3" max="3" width="18" customWidth="1"/>
    <col min="4" max="4" width="20" customWidth="1"/>
    <col min="5" max="5" width="10" customWidth="1"/>
    <col min="6" max="6" width="12" customWidth="1"/>
    <col min="7" max="7" width="10" customWidth="1"/>
    <col min="8" max="8" width="14" customWidth="1"/>
    <col min="9" max="10" width="44" customWidth="1"/>
  </cols>
  <sheetData>
    <row r="1" spans="1:10" ht="28.05" customHeight="1">
      <c r="A1" s="31" t="s">
        <v>321</v>
      </c>
      <c r="B1" s="31"/>
      <c r="C1" s="31"/>
      <c r="D1" s="31"/>
      <c r="E1" s="31"/>
      <c r="F1" s="31"/>
      <c r="G1" s="31"/>
      <c r="H1" s="31"/>
      <c r="I1" s="31"/>
      <c r="J1" s="31"/>
    </row>
    <row r="2" spans="1:10" ht="34.049999999999997" customHeight="1">
      <c r="A2" s="32" t="s">
        <v>322</v>
      </c>
      <c r="B2" s="32"/>
      <c r="C2" s="32"/>
      <c r="D2" s="32"/>
      <c r="E2" s="32"/>
      <c r="F2" s="32"/>
      <c r="G2" s="32"/>
      <c r="H2" s="32"/>
      <c r="I2" s="32"/>
      <c r="J2" s="32"/>
    </row>
    <row r="4" spans="1:10" ht="38" customHeight="1">
      <c r="A4" s="13" t="s">
        <v>87</v>
      </c>
      <c r="B4" s="14" t="s">
        <v>88</v>
      </c>
      <c r="C4" s="14" t="s">
        <v>89</v>
      </c>
      <c r="D4" s="14" t="s">
        <v>323</v>
      </c>
      <c r="E4" s="14" t="s">
        <v>90</v>
      </c>
      <c r="F4" s="14" t="s">
        <v>324</v>
      </c>
      <c r="G4" s="14" t="s">
        <v>91</v>
      </c>
      <c r="H4" s="14" t="s">
        <v>325</v>
      </c>
      <c r="I4" s="14" t="s">
        <v>94</v>
      </c>
      <c r="J4" s="15" t="s">
        <v>95</v>
      </c>
    </row>
    <row r="5" spans="1:10" ht="28.05" customHeight="1">
      <c r="A5" s="22">
        <v>1</v>
      </c>
      <c r="B5" s="16" t="s">
        <v>97</v>
      </c>
      <c r="C5" s="16" t="s">
        <v>98</v>
      </c>
      <c r="D5" s="18" t="s">
        <v>326</v>
      </c>
      <c r="E5" s="16" t="s">
        <v>99</v>
      </c>
      <c r="F5" s="16">
        <v>100</v>
      </c>
      <c r="G5" s="16"/>
      <c r="H5" s="16"/>
      <c r="I5" s="18" t="s">
        <v>102</v>
      </c>
      <c r="J5" s="18"/>
    </row>
    <row r="6" spans="1:10" ht="28.05" customHeight="1">
      <c r="A6" s="23">
        <v>2</v>
      </c>
      <c r="B6" s="3" t="s">
        <v>103</v>
      </c>
      <c r="C6" s="3" t="s">
        <v>104</v>
      </c>
      <c r="D6" s="19" t="s">
        <v>326</v>
      </c>
      <c r="E6" s="3" t="s">
        <v>105</v>
      </c>
      <c r="F6" s="3">
        <v>99.8</v>
      </c>
      <c r="G6" s="3"/>
      <c r="H6" s="3"/>
      <c r="I6" s="19" t="s">
        <v>107</v>
      </c>
      <c r="J6" s="19"/>
    </row>
    <row r="7" spans="1:10" ht="28.05" customHeight="1">
      <c r="A7" s="24">
        <v>3</v>
      </c>
      <c r="B7" s="17" t="s">
        <v>108</v>
      </c>
      <c r="C7" s="17" t="s">
        <v>109</v>
      </c>
      <c r="D7" s="20" t="s">
        <v>326</v>
      </c>
      <c r="E7" s="17" t="s">
        <v>110</v>
      </c>
      <c r="F7" s="17">
        <v>99</v>
      </c>
      <c r="G7" s="17"/>
      <c r="H7" s="17"/>
      <c r="I7" s="20" t="s">
        <v>112</v>
      </c>
      <c r="J7" s="20"/>
    </row>
    <row r="8" spans="1:10" ht="28.05" customHeight="1">
      <c r="A8" s="23">
        <v>4</v>
      </c>
      <c r="B8" s="3" t="s">
        <v>113</v>
      </c>
      <c r="C8" s="3" t="s">
        <v>109</v>
      </c>
      <c r="D8" s="19" t="s">
        <v>326</v>
      </c>
      <c r="E8" s="3" t="s">
        <v>114</v>
      </c>
      <c r="F8" s="3">
        <v>98.7</v>
      </c>
      <c r="G8" s="3"/>
      <c r="H8" s="3"/>
      <c r="I8" s="19" t="s">
        <v>116</v>
      </c>
      <c r="J8" s="19"/>
    </row>
    <row r="9" spans="1:10" ht="28.05" customHeight="1">
      <c r="A9" s="24">
        <v>5</v>
      </c>
      <c r="B9" s="17" t="s">
        <v>117</v>
      </c>
      <c r="C9" s="17" t="s">
        <v>104</v>
      </c>
      <c r="D9" s="20" t="s">
        <v>326</v>
      </c>
      <c r="E9" s="17" t="s">
        <v>118</v>
      </c>
      <c r="F9" s="17">
        <v>98.6</v>
      </c>
      <c r="G9" s="17"/>
      <c r="H9" s="17"/>
      <c r="I9" s="20" t="s">
        <v>120</v>
      </c>
      <c r="J9" s="20"/>
    </row>
    <row r="10" spans="1:10" ht="28.05" customHeight="1">
      <c r="A10" s="23">
        <v>6</v>
      </c>
      <c r="B10" s="3" t="s">
        <v>121</v>
      </c>
      <c r="C10" s="3" t="s">
        <v>109</v>
      </c>
      <c r="D10" s="19" t="s">
        <v>326</v>
      </c>
      <c r="E10" s="3" t="s">
        <v>122</v>
      </c>
      <c r="F10" s="3">
        <v>98.5</v>
      </c>
      <c r="G10" s="3"/>
      <c r="H10" s="3"/>
      <c r="I10" s="19" t="s">
        <v>124</v>
      </c>
      <c r="J10" s="19"/>
    </row>
    <row r="11" spans="1:10" ht="28.05" customHeight="1">
      <c r="A11" s="24">
        <v>7</v>
      </c>
      <c r="B11" s="17" t="s">
        <v>125</v>
      </c>
      <c r="C11" s="17" t="s">
        <v>109</v>
      </c>
      <c r="D11" s="20" t="s">
        <v>326</v>
      </c>
      <c r="E11" s="17">
        <v>7</v>
      </c>
      <c r="F11" s="17">
        <v>98.2</v>
      </c>
      <c r="G11" s="17"/>
      <c r="H11" s="17"/>
      <c r="I11" s="20" t="s">
        <v>127</v>
      </c>
      <c r="J11" s="20"/>
    </row>
    <row r="12" spans="1:10" ht="28.05" customHeight="1">
      <c r="A12" s="23">
        <v>8</v>
      </c>
      <c r="B12" s="3" t="s">
        <v>128</v>
      </c>
      <c r="C12" s="3" t="s">
        <v>129</v>
      </c>
      <c r="D12" s="28" t="s">
        <v>327</v>
      </c>
      <c r="E12" s="3">
        <v>7</v>
      </c>
      <c r="F12" s="3">
        <v>98.2</v>
      </c>
      <c r="G12" s="3">
        <v>41</v>
      </c>
      <c r="H12" s="3">
        <v>93.2</v>
      </c>
      <c r="I12" s="19" t="s">
        <v>131</v>
      </c>
      <c r="J12" s="19" t="s">
        <v>132</v>
      </c>
    </row>
    <row r="13" spans="1:10" ht="28.05" customHeight="1">
      <c r="A13" s="24">
        <v>9</v>
      </c>
      <c r="B13" s="17" t="s">
        <v>133</v>
      </c>
      <c r="C13" s="17" t="s">
        <v>104</v>
      </c>
      <c r="D13" s="20" t="s">
        <v>326</v>
      </c>
      <c r="E13" s="17" t="s">
        <v>134</v>
      </c>
      <c r="F13" s="17">
        <v>98.1</v>
      </c>
      <c r="G13" s="17"/>
      <c r="H13" s="17"/>
      <c r="I13" s="20" t="s">
        <v>136</v>
      </c>
      <c r="J13" s="20"/>
    </row>
    <row r="14" spans="1:10" ht="28.05" customHeight="1">
      <c r="A14" s="23">
        <v>10</v>
      </c>
      <c r="B14" s="3" t="s">
        <v>137</v>
      </c>
      <c r="C14" s="3" t="s">
        <v>109</v>
      </c>
      <c r="D14" s="28" t="s">
        <v>327</v>
      </c>
      <c r="E14" s="3" t="s">
        <v>138</v>
      </c>
      <c r="F14" s="3">
        <v>98</v>
      </c>
      <c r="G14" s="3" t="s">
        <v>99</v>
      </c>
      <c r="H14" s="3">
        <v>98.5</v>
      </c>
      <c r="I14" s="19" t="s">
        <v>140</v>
      </c>
      <c r="J14" s="19" t="s">
        <v>141</v>
      </c>
    </row>
    <row r="15" spans="1:10" ht="28.05" customHeight="1">
      <c r="A15" s="24">
        <v>11</v>
      </c>
      <c r="B15" s="17" t="s">
        <v>142</v>
      </c>
      <c r="C15" s="17" t="s">
        <v>143</v>
      </c>
      <c r="D15" s="20" t="s">
        <v>326</v>
      </c>
      <c r="E15" s="17">
        <v>11</v>
      </c>
      <c r="F15" s="17">
        <v>97.9</v>
      </c>
      <c r="G15" s="17"/>
      <c r="H15" s="17"/>
      <c r="I15" s="20" t="s">
        <v>145</v>
      </c>
      <c r="J15" s="20"/>
    </row>
    <row r="16" spans="1:10" ht="28.05" customHeight="1">
      <c r="A16" s="23">
        <v>12</v>
      </c>
      <c r="B16" s="3" t="s">
        <v>146</v>
      </c>
      <c r="C16" s="3" t="s">
        <v>129</v>
      </c>
      <c r="D16" s="19" t="s">
        <v>326</v>
      </c>
      <c r="E16" s="3">
        <v>11</v>
      </c>
      <c r="F16" s="3">
        <v>97.9</v>
      </c>
      <c r="G16" s="3"/>
      <c r="H16" s="3"/>
      <c r="I16" s="19" t="s">
        <v>148</v>
      </c>
      <c r="J16" s="19"/>
    </row>
    <row r="17" spans="1:10" ht="28.05" customHeight="1">
      <c r="A17" s="24">
        <v>13</v>
      </c>
      <c r="B17" s="17" t="s">
        <v>149</v>
      </c>
      <c r="C17" s="17" t="s">
        <v>150</v>
      </c>
      <c r="D17" s="20" t="s">
        <v>326</v>
      </c>
      <c r="E17" s="17">
        <v>11</v>
      </c>
      <c r="F17" s="17">
        <v>97.9</v>
      </c>
      <c r="G17" s="17"/>
      <c r="H17" s="17"/>
      <c r="I17" s="20" t="s">
        <v>152</v>
      </c>
      <c r="J17" s="20"/>
    </row>
    <row r="18" spans="1:10" ht="28.05" customHeight="1">
      <c r="A18" s="23">
        <v>14</v>
      </c>
      <c r="B18" s="3" t="s">
        <v>153</v>
      </c>
      <c r="C18" s="3" t="s">
        <v>150</v>
      </c>
      <c r="D18" s="19" t="s">
        <v>326</v>
      </c>
      <c r="E18" s="3" t="s">
        <v>154</v>
      </c>
      <c r="F18" s="3">
        <v>97.8</v>
      </c>
      <c r="G18" s="3"/>
      <c r="H18" s="3"/>
      <c r="I18" s="19" t="s">
        <v>156</v>
      </c>
      <c r="J18" s="19"/>
    </row>
    <row r="19" spans="1:10" ht="28.05" customHeight="1">
      <c r="A19" s="24">
        <v>15</v>
      </c>
      <c r="B19" s="17" t="s">
        <v>157</v>
      </c>
      <c r="C19" s="17" t="s">
        <v>109</v>
      </c>
      <c r="D19" s="20" t="s">
        <v>326</v>
      </c>
      <c r="E19" s="17" t="s">
        <v>158</v>
      </c>
      <c r="F19" s="17">
        <v>97.7</v>
      </c>
      <c r="G19" s="17"/>
      <c r="H19" s="17"/>
      <c r="I19" s="20" t="s">
        <v>160</v>
      </c>
      <c r="J19" s="20"/>
    </row>
    <row r="20" spans="1:10" ht="28.05" customHeight="1">
      <c r="A20" s="23">
        <v>16</v>
      </c>
      <c r="B20" s="3" t="s">
        <v>161</v>
      </c>
      <c r="C20" s="3" t="s">
        <v>129</v>
      </c>
      <c r="D20" s="19" t="s">
        <v>326</v>
      </c>
      <c r="E20" s="3" t="s">
        <v>162</v>
      </c>
      <c r="F20" s="3">
        <v>97.3</v>
      </c>
      <c r="G20" s="3"/>
      <c r="H20" s="3"/>
      <c r="I20" s="19" t="s">
        <v>164</v>
      </c>
      <c r="J20" s="19"/>
    </row>
    <row r="21" spans="1:10" ht="28.05" customHeight="1">
      <c r="A21" s="24">
        <v>17</v>
      </c>
      <c r="B21" s="17" t="s">
        <v>165</v>
      </c>
      <c r="C21" s="17" t="s">
        <v>129</v>
      </c>
      <c r="D21" s="20" t="s">
        <v>326</v>
      </c>
      <c r="E21" s="17">
        <v>16</v>
      </c>
      <c r="F21" s="17">
        <v>97.2</v>
      </c>
      <c r="G21" s="17"/>
      <c r="H21" s="17"/>
      <c r="I21" s="20" t="s">
        <v>167</v>
      </c>
      <c r="J21" s="20"/>
    </row>
    <row r="22" spans="1:10" ht="28.05" customHeight="1">
      <c r="A22" s="23">
        <v>18</v>
      </c>
      <c r="B22" s="3" t="s">
        <v>168</v>
      </c>
      <c r="C22" s="3" t="s">
        <v>109</v>
      </c>
      <c r="D22" s="19" t="s">
        <v>326</v>
      </c>
      <c r="E22" s="3">
        <v>16</v>
      </c>
      <c r="F22" s="3">
        <v>97.2</v>
      </c>
      <c r="G22" s="3"/>
      <c r="H22" s="3"/>
      <c r="I22" s="19" t="s">
        <v>170</v>
      </c>
      <c r="J22" s="19"/>
    </row>
    <row r="23" spans="1:10" ht="28.05" customHeight="1">
      <c r="A23" s="24">
        <v>19</v>
      </c>
      <c r="B23" s="17" t="s">
        <v>171</v>
      </c>
      <c r="C23" s="17" t="s">
        <v>109</v>
      </c>
      <c r="D23" s="20" t="s">
        <v>326</v>
      </c>
      <c r="E23" s="17" t="s">
        <v>172</v>
      </c>
      <c r="F23" s="17">
        <v>96.9</v>
      </c>
      <c r="G23" s="17"/>
      <c r="H23" s="17"/>
      <c r="I23" s="20" t="s">
        <v>174</v>
      </c>
      <c r="J23" s="20"/>
    </row>
    <row r="24" spans="1:10" ht="28.05" customHeight="1">
      <c r="A24" s="23">
        <v>20</v>
      </c>
      <c r="B24" s="3" t="s">
        <v>175</v>
      </c>
      <c r="C24" s="3" t="s">
        <v>150</v>
      </c>
      <c r="D24" s="19" t="s">
        <v>326</v>
      </c>
      <c r="E24" s="3" t="s">
        <v>176</v>
      </c>
      <c r="F24" s="3">
        <v>96.3</v>
      </c>
      <c r="G24" s="3"/>
      <c r="H24" s="3"/>
      <c r="I24" s="19" t="s">
        <v>178</v>
      </c>
      <c r="J24" s="19"/>
    </row>
    <row r="25" spans="1:10" ht="28.05" customHeight="1">
      <c r="A25" s="24">
        <v>21</v>
      </c>
      <c r="B25" s="17" t="s">
        <v>179</v>
      </c>
      <c r="C25" s="17" t="s">
        <v>150</v>
      </c>
      <c r="D25" s="20" t="s">
        <v>326</v>
      </c>
      <c r="E25" s="17" t="s">
        <v>180</v>
      </c>
      <c r="F25" s="17">
        <v>96.1</v>
      </c>
      <c r="G25" s="17"/>
      <c r="H25" s="17"/>
      <c r="I25" s="20" t="s">
        <v>182</v>
      </c>
      <c r="J25" s="20"/>
    </row>
    <row r="26" spans="1:10" ht="28.05" customHeight="1">
      <c r="A26" s="23">
        <v>22</v>
      </c>
      <c r="B26" s="3" t="s">
        <v>183</v>
      </c>
      <c r="C26" s="3" t="s">
        <v>184</v>
      </c>
      <c r="D26" s="19" t="s">
        <v>326</v>
      </c>
      <c r="E26" s="3">
        <v>22</v>
      </c>
      <c r="F26" s="3">
        <v>95.9</v>
      </c>
      <c r="G26" s="3"/>
      <c r="H26" s="3"/>
      <c r="I26" s="19" t="s">
        <v>186</v>
      </c>
      <c r="J26" s="19"/>
    </row>
    <row r="27" spans="1:10" ht="28.05" customHeight="1">
      <c r="A27" s="24">
        <v>23</v>
      </c>
      <c r="B27" s="17" t="s">
        <v>187</v>
      </c>
      <c r="C27" s="17" t="s">
        <v>188</v>
      </c>
      <c r="D27" s="20" t="s">
        <v>326</v>
      </c>
      <c r="E27" s="17">
        <v>22</v>
      </c>
      <c r="F27" s="17">
        <v>95.9</v>
      </c>
      <c r="G27" s="17"/>
      <c r="H27" s="17"/>
      <c r="I27" s="20" t="s">
        <v>190</v>
      </c>
      <c r="J27" s="20"/>
    </row>
    <row r="28" spans="1:10" ht="28.05" customHeight="1">
      <c r="A28" s="23">
        <v>24</v>
      </c>
      <c r="B28" s="3" t="s">
        <v>191</v>
      </c>
      <c r="C28" s="3" t="s">
        <v>109</v>
      </c>
      <c r="D28" s="19" t="s">
        <v>326</v>
      </c>
      <c r="E28" s="3">
        <v>24</v>
      </c>
      <c r="F28" s="3">
        <v>95.8</v>
      </c>
      <c r="G28" s="3"/>
      <c r="H28" s="3"/>
      <c r="I28" s="19" t="s">
        <v>193</v>
      </c>
      <c r="J28" s="19"/>
    </row>
    <row r="29" spans="1:10" ht="28.05" customHeight="1">
      <c r="A29" s="24">
        <v>25</v>
      </c>
      <c r="B29" s="17" t="s">
        <v>194</v>
      </c>
      <c r="C29" s="17" t="s">
        <v>109</v>
      </c>
      <c r="D29" s="20" t="s">
        <v>326</v>
      </c>
      <c r="E29" s="17">
        <v>24</v>
      </c>
      <c r="F29" s="17">
        <v>95.8</v>
      </c>
      <c r="G29" s="17"/>
      <c r="H29" s="17"/>
      <c r="I29" s="20" t="s">
        <v>196</v>
      </c>
      <c r="J29" s="20"/>
    </row>
    <row r="30" spans="1:10" ht="28.05" customHeight="1">
      <c r="A30" s="23">
        <v>26</v>
      </c>
      <c r="B30" s="3" t="s">
        <v>197</v>
      </c>
      <c r="C30" s="3" t="s">
        <v>104</v>
      </c>
      <c r="D30" s="28" t="s">
        <v>327</v>
      </c>
      <c r="E30" s="3">
        <v>24</v>
      </c>
      <c r="F30" s="3">
        <v>95.8</v>
      </c>
      <c r="G30" s="3">
        <v>12</v>
      </c>
      <c r="H30" s="3">
        <v>95.9</v>
      </c>
      <c r="I30" s="19" t="s">
        <v>199</v>
      </c>
      <c r="J30" s="19" t="s">
        <v>200</v>
      </c>
    </row>
    <row r="31" spans="1:10" ht="28.05" customHeight="1">
      <c r="A31" s="24">
        <v>27</v>
      </c>
      <c r="B31" s="17" t="s">
        <v>201</v>
      </c>
      <c r="C31" s="17" t="s">
        <v>109</v>
      </c>
      <c r="D31" s="28" t="s">
        <v>327</v>
      </c>
      <c r="E31" s="17" t="s">
        <v>202</v>
      </c>
      <c r="F31" s="17">
        <v>95.7</v>
      </c>
      <c r="G31" s="17" t="s">
        <v>158</v>
      </c>
      <c r="H31" s="17">
        <v>95.8</v>
      </c>
      <c r="I31" s="20" t="s">
        <v>204</v>
      </c>
      <c r="J31" s="20" t="s">
        <v>205</v>
      </c>
    </row>
    <row r="32" spans="1:10" ht="28.05" customHeight="1">
      <c r="A32" s="23">
        <v>28</v>
      </c>
      <c r="B32" s="3" t="s">
        <v>206</v>
      </c>
      <c r="C32" s="3" t="s">
        <v>207</v>
      </c>
      <c r="D32" s="19" t="s">
        <v>326</v>
      </c>
      <c r="E32" s="3" t="s">
        <v>208</v>
      </c>
      <c r="F32" s="3">
        <v>95.5</v>
      </c>
      <c r="G32" s="3"/>
      <c r="H32" s="3"/>
      <c r="I32" s="19" t="s">
        <v>210</v>
      </c>
      <c r="J32" s="19"/>
    </row>
    <row r="33" spans="1:10" ht="28.05" customHeight="1">
      <c r="A33" s="24">
        <v>29</v>
      </c>
      <c r="B33" s="17" t="s">
        <v>211</v>
      </c>
      <c r="C33" s="17" t="s">
        <v>212</v>
      </c>
      <c r="D33" s="20" t="s">
        <v>326</v>
      </c>
      <c r="E33" s="17" t="s">
        <v>213</v>
      </c>
      <c r="F33" s="17">
        <v>95.4</v>
      </c>
      <c r="G33" s="17"/>
      <c r="H33" s="17"/>
      <c r="I33" s="20" t="s">
        <v>214</v>
      </c>
      <c r="J33" s="20"/>
    </row>
    <row r="34" spans="1:10" ht="28.05" customHeight="1">
      <c r="A34" s="23">
        <v>30</v>
      </c>
      <c r="B34" s="3" t="s">
        <v>215</v>
      </c>
      <c r="C34" s="3" t="s">
        <v>150</v>
      </c>
      <c r="D34" s="19" t="s">
        <v>326</v>
      </c>
      <c r="E34" s="3">
        <v>30</v>
      </c>
      <c r="F34" s="3">
        <v>95.3</v>
      </c>
      <c r="G34" s="3"/>
      <c r="H34" s="3"/>
      <c r="I34" s="19" t="s">
        <v>217</v>
      </c>
      <c r="J34" s="19"/>
    </row>
    <row r="35" spans="1:10" ht="28.05" customHeight="1">
      <c r="A35" s="24">
        <v>49</v>
      </c>
      <c r="B35" s="17" t="s">
        <v>273</v>
      </c>
      <c r="C35" s="17" t="s">
        <v>109</v>
      </c>
      <c r="D35" s="28" t="s">
        <v>327</v>
      </c>
      <c r="E35" s="17">
        <v>48</v>
      </c>
      <c r="F35" s="17">
        <v>93.5</v>
      </c>
      <c r="G35" s="17">
        <v>20</v>
      </c>
      <c r="H35" s="17">
        <v>95.3</v>
      </c>
      <c r="I35" s="20" t="s">
        <v>275</v>
      </c>
      <c r="J35" s="20" t="s">
        <v>276</v>
      </c>
    </row>
    <row r="36" spans="1:10" ht="28.05" customHeight="1">
      <c r="A36" s="23">
        <v>52</v>
      </c>
      <c r="B36" s="3" t="s">
        <v>219</v>
      </c>
      <c r="C36" s="3" t="s">
        <v>129</v>
      </c>
      <c r="D36" s="19" t="s">
        <v>328</v>
      </c>
      <c r="E36" s="3"/>
      <c r="F36" s="3"/>
      <c r="G36" s="3" t="s">
        <v>105</v>
      </c>
      <c r="H36" s="3">
        <v>97.9</v>
      </c>
      <c r="I36" s="19"/>
      <c r="J36" s="19" t="s">
        <v>222</v>
      </c>
    </row>
    <row r="37" spans="1:10" ht="28.05" customHeight="1">
      <c r="A37" s="24">
        <v>53</v>
      </c>
      <c r="B37" s="17" t="s">
        <v>223</v>
      </c>
      <c r="C37" s="17" t="s">
        <v>129</v>
      </c>
      <c r="D37" s="20" t="s">
        <v>328</v>
      </c>
      <c r="E37" s="17"/>
      <c r="F37" s="17"/>
      <c r="G37" s="17" t="s">
        <v>110</v>
      </c>
      <c r="H37" s="17">
        <v>97.8</v>
      </c>
      <c r="I37" s="20"/>
      <c r="J37" s="20" t="s">
        <v>225</v>
      </c>
    </row>
    <row r="38" spans="1:10" ht="28.05" customHeight="1">
      <c r="A38" s="23">
        <v>54</v>
      </c>
      <c r="B38" s="3" t="s">
        <v>226</v>
      </c>
      <c r="C38" s="3" t="s">
        <v>104</v>
      </c>
      <c r="D38" s="19" t="s">
        <v>328</v>
      </c>
      <c r="E38" s="3"/>
      <c r="F38" s="3"/>
      <c r="G38" s="3" t="s">
        <v>114</v>
      </c>
      <c r="H38" s="3">
        <v>97.5</v>
      </c>
      <c r="I38" s="19"/>
      <c r="J38" s="19" t="s">
        <v>227</v>
      </c>
    </row>
    <row r="39" spans="1:10" ht="28.05" customHeight="1">
      <c r="A39" s="24">
        <v>55</v>
      </c>
      <c r="B39" s="17" t="s">
        <v>228</v>
      </c>
      <c r="C39" s="17" t="s">
        <v>229</v>
      </c>
      <c r="D39" s="20" t="s">
        <v>328</v>
      </c>
      <c r="E39" s="17"/>
      <c r="F39" s="17"/>
      <c r="G39" s="17" t="s">
        <v>118</v>
      </c>
      <c r="H39" s="17">
        <v>97.3</v>
      </c>
      <c r="I39" s="20"/>
      <c r="J39" s="20" t="s">
        <v>231</v>
      </c>
    </row>
    <row r="40" spans="1:10" ht="28.05" customHeight="1">
      <c r="A40" s="23">
        <v>56</v>
      </c>
      <c r="B40" s="3" t="s">
        <v>232</v>
      </c>
      <c r="C40" s="3" t="s">
        <v>233</v>
      </c>
      <c r="D40" s="19" t="s">
        <v>328</v>
      </c>
      <c r="E40" s="3"/>
      <c r="F40" s="3"/>
      <c r="G40" s="3" t="s">
        <v>122</v>
      </c>
      <c r="H40" s="3">
        <v>96.8</v>
      </c>
      <c r="I40" s="19"/>
      <c r="J40" s="19" t="s">
        <v>235</v>
      </c>
    </row>
    <row r="41" spans="1:10" ht="28.05" customHeight="1">
      <c r="A41" s="24">
        <v>57</v>
      </c>
      <c r="B41" s="17" t="s">
        <v>236</v>
      </c>
      <c r="C41" s="17" t="s">
        <v>237</v>
      </c>
      <c r="D41" s="20" t="s">
        <v>328</v>
      </c>
      <c r="E41" s="17"/>
      <c r="F41" s="17"/>
      <c r="G41" s="17">
        <v>7</v>
      </c>
      <c r="H41" s="17">
        <v>96.3</v>
      </c>
      <c r="I41" s="20"/>
      <c r="J41" s="20" t="s">
        <v>239</v>
      </c>
    </row>
    <row r="42" spans="1:10" ht="28.05" customHeight="1">
      <c r="A42" s="23">
        <v>58</v>
      </c>
      <c r="B42" s="3" t="s">
        <v>240</v>
      </c>
      <c r="C42" s="3" t="s">
        <v>229</v>
      </c>
      <c r="D42" s="19" t="s">
        <v>328</v>
      </c>
      <c r="E42" s="3"/>
      <c r="F42" s="3"/>
      <c r="G42" s="3">
        <v>7</v>
      </c>
      <c r="H42" s="3">
        <v>96.3</v>
      </c>
      <c r="I42" s="19"/>
      <c r="J42" s="19" t="s">
        <v>242</v>
      </c>
    </row>
    <row r="43" spans="1:10" ht="28.05" customHeight="1">
      <c r="A43" s="24">
        <v>59</v>
      </c>
      <c r="B43" s="17" t="s">
        <v>243</v>
      </c>
      <c r="C43" s="17" t="s">
        <v>244</v>
      </c>
      <c r="D43" s="20" t="s">
        <v>328</v>
      </c>
      <c r="E43" s="17"/>
      <c r="F43" s="17"/>
      <c r="G43" s="17" t="s">
        <v>134</v>
      </c>
      <c r="H43" s="17">
        <v>96.1</v>
      </c>
      <c r="I43" s="20"/>
      <c r="J43" s="20" t="s">
        <v>246</v>
      </c>
    </row>
    <row r="44" spans="1:10" ht="28.05" customHeight="1">
      <c r="A44" s="23">
        <v>60</v>
      </c>
      <c r="B44" s="3" t="s">
        <v>247</v>
      </c>
      <c r="C44" s="3" t="s">
        <v>248</v>
      </c>
      <c r="D44" s="19" t="s">
        <v>328</v>
      </c>
      <c r="E44" s="3"/>
      <c r="F44" s="3"/>
      <c r="G44" s="3">
        <v>10</v>
      </c>
      <c r="H44" s="3">
        <v>96</v>
      </c>
      <c r="I44" s="19"/>
      <c r="J44" s="19" t="s">
        <v>250</v>
      </c>
    </row>
    <row r="45" spans="1:10" ht="28.05" customHeight="1">
      <c r="A45" s="24">
        <v>61</v>
      </c>
      <c r="B45" s="17" t="s">
        <v>251</v>
      </c>
      <c r="C45" s="17" t="s">
        <v>104</v>
      </c>
      <c r="D45" s="20" t="s">
        <v>328</v>
      </c>
      <c r="E45" s="17"/>
      <c r="F45" s="17"/>
      <c r="G45" s="17">
        <v>10</v>
      </c>
      <c r="H45" s="17">
        <v>96</v>
      </c>
      <c r="I45" s="20"/>
      <c r="J45" s="20" t="s">
        <v>252</v>
      </c>
    </row>
    <row r="46" spans="1:10" ht="28.05" customHeight="1">
      <c r="A46" s="23">
        <v>62</v>
      </c>
      <c r="B46" s="3" t="s">
        <v>253</v>
      </c>
      <c r="C46" s="3" t="s">
        <v>233</v>
      </c>
      <c r="D46" s="19" t="s">
        <v>328</v>
      </c>
      <c r="E46" s="3"/>
      <c r="F46" s="3"/>
      <c r="G46" s="3">
        <v>12</v>
      </c>
      <c r="H46" s="3">
        <v>95.9</v>
      </c>
      <c r="I46" s="19"/>
      <c r="J46" s="19" t="s">
        <v>255</v>
      </c>
    </row>
    <row r="47" spans="1:10" ht="28.05" customHeight="1">
      <c r="A47" s="24">
        <v>63</v>
      </c>
      <c r="B47" s="17" t="s">
        <v>256</v>
      </c>
      <c r="C47" s="17" t="s">
        <v>257</v>
      </c>
      <c r="D47" s="20" t="s">
        <v>328</v>
      </c>
      <c r="E47" s="17"/>
      <c r="F47" s="17"/>
      <c r="G47" s="17" t="s">
        <v>162</v>
      </c>
      <c r="H47" s="17">
        <v>95.7</v>
      </c>
      <c r="I47" s="20"/>
      <c r="J47" s="20" t="s">
        <v>259</v>
      </c>
    </row>
    <row r="48" spans="1:10" ht="28.05" customHeight="1">
      <c r="A48" s="23">
        <v>64</v>
      </c>
      <c r="B48" s="3" t="s">
        <v>260</v>
      </c>
      <c r="C48" s="3" t="s">
        <v>233</v>
      </c>
      <c r="D48" s="19" t="s">
        <v>328</v>
      </c>
      <c r="E48" s="3"/>
      <c r="F48" s="3"/>
      <c r="G48" s="3">
        <v>16</v>
      </c>
      <c r="H48" s="3">
        <v>95.6</v>
      </c>
      <c r="I48" s="19"/>
      <c r="J48" s="19" t="s">
        <v>262</v>
      </c>
    </row>
    <row r="49" spans="1:10" ht="28.05" customHeight="1">
      <c r="A49" s="24">
        <v>65</v>
      </c>
      <c r="B49" s="17" t="s">
        <v>263</v>
      </c>
      <c r="C49" s="17" t="s">
        <v>129</v>
      </c>
      <c r="D49" s="20" t="s">
        <v>328</v>
      </c>
      <c r="E49" s="17"/>
      <c r="F49" s="17"/>
      <c r="G49" s="17">
        <v>16</v>
      </c>
      <c r="H49" s="17">
        <v>95.6</v>
      </c>
      <c r="I49" s="20"/>
      <c r="J49" s="20" t="s">
        <v>265</v>
      </c>
    </row>
    <row r="50" spans="1:10" ht="28.05" customHeight="1">
      <c r="A50" s="23">
        <v>66</v>
      </c>
      <c r="B50" s="3" t="s">
        <v>27</v>
      </c>
      <c r="C50" s="3" t="s">
        <v>104</v>
      </c>
      <c r="D50" s="19" t="s">
        <v>328</v>
      </c>
      <c r="E50" s="3"/>
      <c r="F50" s="3"/>
      <c r="G50" s="3" t="s">
        <v>266</v>
      </c>
      <c r="H50" s="3">
        <v>95.5</v>
      </c>
      <c r="I50" s="19"/>
      <c r="J50" s="19" t="s">
        <v>268</v>
      </c>
    </row>
    <row r="51" spans="1:10" ht="28.05" customHeight="1">
      <c r="A51" s="24">
        <v>67</v>
      </c>
      <c r="B51" s="17" t="s">
        <v>269</v>
      </c>
      <c r="C51" s="17" t="s">
        <v>270</v>
      </c>
      <c r="D51" s="20" t="s">
        <v>328</v>
      </c>
      <c r="E51" s="17"/>
      <c r="F51" s="17"/>
      <c r="G51" s="17" t="s">
        <v>172</v>
      </c>
      <c r="H51" s="17">
        <v>95.4</v>
      </c>
      <c r="I51" s="20"/>
      <c r="J51" s="20" t="s">
        <v>272</v>
      </c>
    </row>
    <row r="52" spans="1:10" ht="28.05" customHeight="1">
      <c r="A52" s="23">
        <v>68</v>
      </c>
      <c r="B52" s="3" t="s">
        <v>277</v>
      </c>
      <c r="C52" s="3" t="s">
        <v>233</v>
      </c>
      <c r="D52" s="19" t="s">
        <v>328</v>
      </c>
      <c r="E52" s="3"/>
      <c r="F52" s="3"/>
      <c r="G52" s="3">
        <v>20</v>
      </c>
      <c r="H52" s="3">
        <v>95.3</v>
      </c>
      <c r="I52" s="19"/>
      <c r="J52" s="19" t="s">
        <v>279</v>
      </c>
    </row>
    <row r="53" spans="1:10" ht="28.05" customHeight="1">
      <c r="A53" s="24">
        <v>69</v>
      </c>
      <c r="B53" s="17" t="s">
        <v>280</v>
      </c>
      <c r="C53" s="17" t="s">
        <v>281</v>
      </c>
      <c r="D53" s="20" t="s">
        <v>328</v>
      </c>
      <c r="E53" s="17"/>
      <c r="F53" s="17"/>
      <c r="G53" s="17">
        <v>20</v>
      </c>
      <c r="H53" s="17">
        <v>95.3</v>
      </c>
      <c r="I53" s="20"/>
      <c r="J53" s="20" t="s">
        <v>283</v>
      </c>
    </row>
    <row r="54" spans="1:10" ht="28.05" customHeight="1">
      <c r="A54" s="23">
        <v>70</v>
      </c>
      <c r="B54" s="3" t="s">
        <v>284</v>
      </c>
      <c r="C54" s="3" t="s">
        <v>285</v>
      </c>
      <c r="D54" s="19" t="s">
        <v>328</v>
      </c>
      <c r="E54" s="3"/>
      <c r="F54" s="3"/>
      <c r="G54" s="3" t="s">
        <v>286</v>
      </c>
      <c r="H54" s="3">
        <v>95.2</v>
      </c>
      <c r="I54" s="19"/>
      <c r="J54" s="19" t="s">
        <v>287</v>
      </c>
    </row>
    <row r="55" spans="1:10" ht="28.05" customHeight="1">
      <c r="A55" s="24">
        <v>71</v>
      </c>
      <c r="B55" s="17" t="s">
        <v>288</v>
      </c>
      <c r="C55" s="17" t="s">
        <v>229</v>
      </c>
      <c r="D55" s="20" t="s">
        <v>328</v>
      </c>
      <c r="E55" s="17"/>
      <c r="F55" s="17"/>
      <c r="G55" s="17" t="s">
        <v>289</v>
      </c>
      <c r="H55" s="17">
        <v>95</v>
      </c>
      <c r="I55" s="20"/>
      <c r="J55" s="20" t="s">
        <v>291</v>
      </c>
    </row>
    <row r="56" spans="1:10" ht="28.05" customHeight="1">
      <c r="A56" s="23">
        <v>72</v>
      </c>
      <c r="B56" s="3" t="s">
        <v>292</v>
      </c>
      <c r="C56" s="3" t="s">
        <v>293</v>
      </c>
      <c r="D56" s="19" t="s">
        <v>328</v>
      </c>
      <c r="E56" s="3"/>
      <c r="F56" s="3"/>
      <c r="G56" s="3" t="s">
        <v>294</v>
      </c>
      <c r="H56" s="3">
        <v>94.9</v>
      </c>
      <c r="I56" s="19"/>
      <c r="J56" s="19" t="s">
        <v>296</v>
      </c>
    </row>
    <row r="57" spans="1:10" ht="28.05" customHeight="1">
      <c r="A57" s="24">
        <v>73</v>
      </c>
      <c r="B57" s="17" t="s">
        <v>297</v>
      </c>
      <c r="C57" s="17" t="s">
        <v>233</v>
      </c>
      <c r="D57" s="20" t="s">
        <v>328</v>
      </c>
      <c r="E57" s="17"/>
      <c r="F57" s="17"/>
      <c r="G57" s="17" t="s">
        <v>298</v>
      </c>
      <c r="H57" s="17">
        <v>94.7</v>
      </c>
      <c r="I57" s="20"/>
      <c r="J57" s="20" t="s">
        <v>300</v>
      </c>
    </row>
    <row r="58" spans="1:10" ht="28.05" customHeight="1">
      <c r="A58" s="23">
        <v>74</v>
      </c>
      <c r="B58" s="3" t="s">
        <v>301</v>
      </c>
      <c r="C58" s="3" t="s">
        <v>104</v>
      </c>
      <c r="D58" s="19" t="s">
        <v>328</v>
      </c>
      <c r="E58" s="3"/>
      <c r="F58" s="3"/>
      <c r="G58" s="3" t="s">
        <v>202</v>
      </c>
      <c r="H58" s="3">
        <v>94.6</v>
      </c>
      <c r="I58" s="19"/>
      <c r="J58" s="19" t="s">
        <v>303</v>
      </c>
    </row>
    <row r="59" spans="1:10" ht="28.05" customHeight="1">
      <c r="A59" s="24">
        <v>76</v>
      </c>
      <c r="B59" s="17" t="s">
        <v>304</v>
      </c>
      <c r="C59" s="17" t="s">
        <v>129</v>
      </c>
      <c r="D59" s="20" t="s">
        <v>328</v>
      </c>
      <c r="E59" s="17"/>
      <c r="F59" s="17"/>
      <c r="G59" s="17" t="s">
        <v>213</v>
      </c>
      <c r="H59" s="17">
        <v>94.3</v>
      </c>
      <c r="I59" s="20"/>
      <c r="J59" s="20" t="s">
        <v>305</v>
      </c>
    </row>
    <row r="60" spans="1:10" ht="28.05" customHeight="1">
      <c r="A60" s="23">
        <v>77</v>
      </c>
      <c r="B60" s="3" t="s">
        <v>306</v>
      </c>
      <c r="C60" s="3" t="s">
        <v>129</v>
      </c>
      <c r="D60" s="19" t="s">
        <v>328</v>
      </c>
      <c r="E60" s="3"/>
      <c r="F60" s="3"/>
      <c r="G60" s="3" t="s">
        <v>307</v>
      </c>
      <c r="H60" s="3">
        <v>94.1</v>
      </c>
      <c r="I60" s="19"/>
      <c r="J60" s="19" t="s">
        <v>309</v>
      </c>
    </row>
    <row r="61" spans="1:10" ht="28.05" customHeight="1">
      <c r="A61" s="24">
        <v>78</v>
      </c>
      <c r="B61" s="17" t="s">
        <v>310</v>
      </c>
      <c r="C61" s="17" t="s">
        <v>109</v>
      </c>
      <c r="D61" s="20" t="s">
        <v>328</v>
      </c>
      <c r="E61" s="17"/>
      <c r="F61" s="17"/>
      <c r="G61" s="17">
        <v>31</v>
      </c>
      <c r="H61" s="17">
        <v>94</v>
      </c>
      <c r="I61" s="20"/>
      <c r="J61" s="20" t="s">
        <v>312</v>
      </c>
    </row>
    <row r="62" spans="1:10" ht="28.05" customHeight="1">
      <c r="A62" s="23">
        <v>79</v>
      </c>
      <c r="B62" s="3" t="s">
        <v>313</v>
      </c>
      <c r="C62" s="3" t="s">
        <v>257</v>
      </c>
      <c r="D62" s="19" t="s">
        <v>328</v>
      </c>
      <c r="E62" s="3"/>
      <c r="F62" s="3"/>
      <c r="G62" s="3">
        <v>31</v>
      </c>
      <c r="H62" s="3">
        <v>94</v>
      </c>
      <c r="I62" s="19"/>
      <c r="J62" s="19" t="s">
        <v>314</v>
      </c>
    </row>
    <row r="63" spans="1:10" ht="28.05" customHeight="1">
      <c r="A63" s="24">
        <v>80</v>
      </c>
      <c r="B63" s="17" t="s">
        <v>315</v>
      </c>
      <c r="C63" s="17" t="s">
        <v>316</v>
      </c>
      <c r="D63" s="20" t="s">
        <v>328</v>
      </c>
      <c r="E63" s="17"/>
      <c r="F63" s="17"/>
      <c r="G63" s="17">
        <v>33</v>
      </c>
      <c r="H63" s="17">
        <v>93.9</v>
      </c>
      <c r="I63" s="20"/>
      <c r="J63" s="20" t="s">
        <v>317</v>
      </c>
    </row>
    <row r="64" spans="1:10" ht="28.05" customHeight="1">
      <c r="A64" s="25">
        <v>81</v>
      </c>
      <c r="B64" s="4" t="s">
        <v>318</v>
      </c>
      <c r="C64" s="4" t="s">
        <v>150</v>
      </c>
      <c r="D64" s="21" t="s">
        <v>328</v>
      </c>
      <c r="E64" s="4"/>
      <c r="F64" s="4"/>
      <c r="G64" s="4">
        <v>33</v>
      </c>
      <c r="H64" s="4">
        <v>93.9</v>
      </c>
      <c r="I64" s="21"/>
      <c r="J64" s="21" t="s">
        <v>320</v>
      </c>
    </row>
  </sheetData>
  <mergeCells count="2">
    <mergeCell ref="A1:J1"/>
    <mergeCell ref="A2:J2"/>
  </mergeCells>
  <phoneticPr fontId="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4"/>
  <sheetViews>
    <sheetView showGridLines="0" workbookViewId="0"/>
  </sheetViews>
  <sheetFormatPr defaultRowHeight="13.5"/>
  <cols>
    <col min="1" max="1" width="8" customWidth="1"/>
    <col min="2" max="2" width="30" customWidth="1"/>
    <col min="3" max="3" width="16" customWidth="1"/>
    <col min="4" max="4" width="18" customWidth="1"/>
    <col min="5" max="5" width="44" customWidth="1"/>
    <col min="6" max="6" width="18" customWidth="1"/>
    <col min="7" max="7" width="20" customWidth="1"/>
    <col min="8" max="8" width="50" customWidth="1"/>
    <col min="9" max="9" width="15" customWidth="1"/>
    <col min="10" max="10" width="18" customWidth="1"/>
    <col min="11" max="11" width="12" customWidth="1"/>
    <col min="12" max="12" width="50" customWidth="1"/>
  </cols>
  <sheetData>
    <row r="1" spans="1:12" ht="28.05" customHeight="1">
      <c r="A1" s="31" t="s">
        <v>329</v>
      </c>
      <c r="B1" s="31"/>
      <c r="C1" s="31"/>
      <c r="D1" s="31"/>
      <c r="E1" s="31"/>
      <c r="F1" s="31"/>
      <c r="G1" s="31"/>
      <c r="H1" s="31"/>
      <c r="I1" s="31"/>
      <c r="J1" s="31"/>
      <c r="K1" s="31"/>
      <c r="L1" s="31"/>
    </row>
    <row r="2" spans="1:12" ht="34.049999999999997" customHeight="1">
      <c r="A2" s="32" t="s">
        <v>330</v>
      </c>
      <c r="B2" s="32"/>
      <c r="C2" s="32"/>
      <c r="D2" s="32"/>
      <c r="E2" s="32"/>
      <c r="F2" s="32"/>
      <c r="G2" s="32"/>
      <c r="H2" s="32"/>
      <c r="I2" s="32"/>
      <c r="J2" s="32"/>
      <c r="K2" s="32"/>
      <c r="L2" s="32"/>
    </row>
    <row r="4" spans="1:12" ht="38" customHeight="1">
      <c r="A4" s="13" t="s">
        <v>87</v>
      </c>
      <c r="B4" s="14" t="s">
        <v>88</v>
      </c>
      <c r="C4" s="14" t="s">
        <v>89</v>
      </c>
      <c r="D4" s="14" t="s">
        <v>323</v>
      </c>
      <c r="E4" s="14" t="s">
        <v>331</v>
      </c>
      <c r="F4" s="14" t="s">
        <v>332</v>
      </c>
      <c r="G4" s="14" t="s">
        <v>333</v>
      </c>
      <c r="H4" s="14" t="s">
        <v>334</v>
      </c>
      <c r="I4" s="14" t="s">
        <v>335</v>
      </c>
      <c r="J4" s="14" t="s">
        <v>336</v>
      </c>
      <c r="K4" s="14" t="s">
        <v>337</v>
      </c>
      <c r="L4" s="15" t="s">
        <v>338</v>
      </c>
    </row>
    <row r="5" spans="1:12" ht="28.05" customHeight="1">
      <c r="A5" s="22">
        <v>1</v>
      </c>
      <c r="B5" s="16" t="s">
        <v>97</v>
      </c>
      <c r="C5" s="16" t="s">
        <v>98</v>
      </c>
      <c r="D5" s="18" t="s">
        <v>326</v>
      </c>
      <c r="E5" s="16" t="s">
        <v>100</v>
      </c>
      <c r="F5" s="16" t="s">
        <v>339</v>
      </c>
      <c r="G5" s="16" t="s">
        <v>340</v>
      </c>
      <c r="H5" s="18" t="s">
        <v>341</v>
      </c>
      <c r="I5" s="16" t="s">
        <v>342</v>
      </c>
      <c r="J5" s="18" t="s">
        <v>343</v>
      </c>
      <c r="K5" s="16">
        <v>200</v>
      </c>
      <c r="L5" s="16" t="s">
        <v>344</v>
      </c>
    </row>
    <row r="6" spans="1:12" ht="28.05" customHeight="1">
      <c r="A6" s="23">
        <v>2</v>
      </c>
      <c r="B6" s="3" t="s">
        <v>103</v>
      </c>
      <c r="C6" s="3" t="s">
        <v>104</v>
      </c>
      <c r="D6" s="19" t="s">
        <v>326</v>
      </c>
      <c r="E6" s="3" t="s">
        <v>106</v>
      </c>
      <c r="F6" s="3" t="s">
        <v>339</v>
      </c>
      <c r="G6" s="3" t="s">
        <v>340</v>
      </c>
      <c r="H6" s="19" t="s">
        <v>345</v>
      </c>
      <c r="I6" s="3" t="s">
        <v>342</v>
      </c>
      <c r="J6" s="19" t="s">
        <v>343</v>
      </c>
      <c r="K6" s="3">
        <v>200</v>
      </c>
      <c r="L6" s="3" t="s">
        <v>346</v>
      </c>
    </row>
    <row r="7" spans="1:12" ht="28.05" customHeight="1">
      <c r="A7" s="24">
        <v>3</v>
      </c>
      <c r="B7" s="17" t="s">
        <v>108</v>
      </c>
      <c r="C7" s="17" t="s">
        <v>109</v>
      </c>
      <c r="D7" s="20" t="s">
        <v>326</v>
      </c>
      <c r="E7" s="17" t="s">
        <v>111</v>
      </c>
      <c r="F7" s="17" t="s">
        <v>339</v>
      </c>
      <c r="G7" s="17" t="s">
        <v>340</v>
      </c>
      <c r="H7" s="20" t="s">
        <v>347</v>
      </c>
      <c r="I7" s="17" t="s">
        <v>342</v>
      </c>
      <c r="J7" s="20" t="s">
        <v>343</v>
      </c>
      <c r="K7" s="17">
        <v>200</v>
      </c>
      <c r="L7" s="17" t="s">
        <v>346</v>
      </c>
    </row>
    <row r="8" spans="1:12" ht="28.05" customHeight="1">
      <c r="A8" s="23">
        <v>4</v>
      </c>
      <c r="B8" s="3" t="s">
        <v>113</v>
      </c>
      <c r="C8" s="3" t="s">
        <v>109</v>
      </c>
      <c r="D8" s="19" t="s">
        <v>326</v>
      </c>
      <c r="E8" s="3" t="s">
        <v>115</v>
      </c>
      <c r="F8" s="3" t="s">
        <v>339</v>
      </c>
      <c r="G8" s="3" t="s">
        <v>340</v>
      </c>
      <c r="H8" s="19" t="s">
        <v>348</v>
      </c>
      <c r="I8" s="3" t="s">
        <v>342</v>
      </c>
      <c r="J8" s="19" t="s">
        <v>343</v>
      </c>
      <c r="K8" s="3">
        <v>200</v>
      </c>
      <c r="L8" s="3" t="s">
        <v>346</v>
      </c>
    </row>
    <row r="9" spans="1:12" ht="28.05" customHeight="1">
      <c r="A9" s="24">
        <v>5</v>
      </c>
      <c r="B9" s="17" t="s">
        <v>117</v>
      </c>
      <c r="C9" s="17" t="s">
        <v>104</v>
      </c>
      <c r="D9" s="20" t="s">
        <v>326</v>
      </c>
      <c r="E9" s="17" t="s">
        <v>119</v>
      </c>
      <c r="F9" s="17" t="s">
        <v>339</v>
      </c>
      <c r="G9" s="17" t="s">
        <v>340</v>
      </c>
      <c r="H9" s="20" t="s">
        <v>349</v>
      </c>
      <c r="I9" s="17" t="s">
        <v>342</v>
      </c>
      <c r="J9" s="20" t="s">
        <v>343</v>
      </c>
      <c r="K9" s="17">
        <v>200</v>
      </c>
      <c r="L9" s="17" t="s">
        <v>350</v>
      </c>
    </row>
    <row r="10" spans="1:12" ht="28.05" customHeight="1">
      <c r="A10" s="23">
        <v>6</v>
      </c>
      <c r="B10" s="3" t="s">
        <v>121</v>
      </c>
      <c r="C10" s="3" t="s">
        <v>109</v>
      </c>
      <c r="D10" s="19" t="s">
        <v>326</v>
      </c>
      <c r="E10" s="3" t="s">
        <v>123</v>
      </c>
      <c r="F10" s="3" t="s">
        <v>339</v>
      </c>
      <c r="G10" s="3" t="s">
        <v>340</v>
      </c>
      <c r="H10" s="19" t="s">
        <v>351</v>
      </c>
      <c r="I10" s="3" t="s">
        <v>342</v>
      </c>
      <c r="J10" s="19" t="s">
        <v>343</v>
      </c>
      <c r="K10" s="3">
        <v>200</v>
      </c>
      <c r="L10" s="3" t="s">
        <v>344</v>
      </c>
    </row>
    <row r="11" spans="1:12" ht="28.05" customHeight="1">
      <c r="A11" s="24">
        <v>7</v>
      </c>
      <c r="B11" s="17" t="s">
        <v>125</v>
      </c>
      <c r="C11" s="17" t="s">
        <v>109</v>
      </c>
      <c r="D11" s="20" t="s">
        <v>326</v>
      </c>
      <c r="E11" s="17" t="s">
        <v>126</v>
      </c>
      <c r="F11" s="17" t="s">
        <v>339</v>
      </c>
      <c r="G11" s="17" t="s">
        <v>340</v>
      </c>
      <c r="H11" s="20" t="s">
        <v>352</v>
      </c>
      <c r="I11" s="17" t="s">
        <v>342</v>
      </c>
      <c r="J11" s="20" t="s">
        <v>343</v>
      </c>
      <c r="K11" s="17">
        <v>200</v>
      </c>
      <c r="L11" s="17" t="s">
        <v>346</v>
      </c>
    </row>
    <row r="12" spans="1:12" ht="28.05" customHeight="1">
      <c r="A12" s="23">
        <v>8</v>
      </c>
      <c r="B12" s="3" t="s">
        <v>128</v>
      </c>
      <c r="C12" s="3" t="s">
        <v>129</v>
      </c>
      <c r="D12" s="19" t="s">
        <v>327</v>
      </c>
      <c r="E12" s="3" t="s">
        <v>130</v>
      </c>
      <c r="F12" s="3" t="s">
        <v>339</v>
      </c>
      <c r="G12" s="3" t="s">
        <v>340</v>
      </c>
      <c r="H12" s="19" t="s">
        <v>353</v>
      </c>
      <c r="I12" s="3" t="s">
        <v>342</v>
      </c>
      <c r="J12" s="19" t="s">
        <v>343</v>
      </c>
      <c r="K12" s="3">
        <v>200</v>
      </c>
      <c r="L12" s="3" t="s">
        <v>346</v>
      </c>
    </row>
    <row r="13" spans="1:12" ht="28.05" customHeight="1">
      <c r="A13" s="24">
        <v>9</v>
      </c>
      <c r="B13" s="17" t="s">
        <v>133</v>
      </c>
      <c r="C13" s="17" t="s">
        <v>104</v>
      </c>
      <c r="D13" s="20" t="s">
        <v>326</v>
      </c>
      <c r="E13" s="17" t="s">
        <v>135</v>
      </c>
      <c r="F13" s="17" t="s">
        <v>354</v>
      </c>
      <c r="G13" s="17" t="s">
        <v>340</v>
      </c>
      <c r="H13" s="20" t="s">
        <v>355</v>
      </c>
      <c r="I13" s="17" t="s">
        <v>342</v>
      </c>
      <c r="J13" s="20" t="s">
        <v>343</v>
      </c>
      <c r="K13" s="17">
        <v>200</v>
      </c>
      <c r="L13" s="17" t="s">
        <v>356</v>
      </c>
    </row>
    <row r="14" spans="1:12" ht="28.05" customHeight="1">
      <c r="A14" s="23">
        <v>10</v>
      </c>
      <c r="B14" s="3" t="s">
        <v>137</v>
      </c>
      <c r="C14" s="3" t="s">
        <v>109</v>
      </c>
      <c r="D14" s="19" t="s">
        <v>327</v>
      </c>
      <c r="E14" s="3" t="s">
        <v>139</v>
      </c>
      <c r="F14" s="3" t="s">
        <v>339</v>
      </c>
      <c r="G14" s="3" t="s">
        <v>340</v>
      </c>
      <c r="H14" s="19" t="s">
        <v>357</v>
      </c>
      <c r="I14" s="3" t="s">
        <v>342</v>
      </c>
      <c r="J14" s="19" t="s">
        <v>343</v>
      </c>
      <c r="K14" s="3">
        <v>200</v>
      </c>
      <c r="L14" s="3" t="s">
        <v>358</v>
      </c>
    </row>
    <row r="15" spans="1:12" ht="28.05" customHeight="1">
      <c r="A15" s="24">
        <v>11</v>
      </c>
      <c r="B15" s="17" t="s">
        <v>142</v>
      </c>
      <c r="C15" s="17" t="s">
        <v>143</v>
      </c>
      <c r="D15" s="20" t="s">
        <v>326</v>
      </c>
      <c r="E15" s="17" t="s">
        <v>144</v>
      </c>
      <c r="F15" s="17" t="s">
        <v>339</v>
      </c>
      <c r="G15" s="17" t="s">
        <v>340</v>
      </c>
      <c r="H15" s="20" t="s">
        <v>359</v>
      </c>
      <c r="I15" s="17" t="s">
        <v>342</v>
      </c>
      <c r="J15" s="20" t="s">
        <v>343</v>
      </c>
      <c r="K15" s="17">
        <v>200</v>
      </c>
      <c r="L15" s="17" t="s">
        <v>360</v>
      </c>
    </row>
    <row r="16" spans="1:12" ht="28.05" customHeight="1">
      <c r="A16" s="23">
        <v>12</v>
      </c>
      <c r="B16" s="3" t="s">
        <v>146</v>
      </c>
      <c r="C16" s="3" t="s">
        <v>129</v>
      </c>
      <c r="D16" s="19" t="s">
        <v>326</v>
      </c>
      <c r="E16" s="3" t="s">
        <v>147</v>
      </c>
      <c r="F16" s="3" t="s">
        <v>339</v>
      </c>
      <c r="G16" s="3" t="s">
        <v>340</v>
      </c>
      <c r="H16" s="19" t="s">
        <v>361</v>
      </c>
      <c r="I16" s="3" t="s">
        <v>342</v>
      </c>
      <c r="J16" s="19" t="s">
        <v>362</v>
      </c>
      <c r="K16" s="3">
        <v>403</v>
      </c>
      <c r="L16" s="3" t="s">
        <v>346</v>
      </c>
    </row>
    <row r="17" spans="1:12" ht="28.05" customHeight="1">
      <c r="A17" s="24">
        <v>13</v>
      </c>
      <c r="B17" s="17" t="s">
        <v>149</v>
      </c>
      <c r="C17" s="17" t="s">
        <v>150</v>
      </c>
      <c r="D17" s="20" t="s">
        <v>326</v>
      </c>
      <c r="E17" s="17" t="s">
        <v>151</v>
      </c>
      <c r="F17" s="17" t="s">
        <v>339</v>
      </c>
      <c r="G17" s="17" t="s">
        <v>340</v>
      </c>
      <c r="H17" s="20" t="s">
        <v>363</v>
      </c>
      <c r="I17" s="17" t="s">
        <v>342</v>
      </c>
      <c r="J17" s="20" t="s">
        <v>343</v>
      </c>
      <c r="K17" s="17">
        <v>200</v>
      </c>
      <c r="L17" s="17" t="s">
        <v>346</v>
      </c>
    </row>
    <row r="18" spans="1:12" ht="28.05" customHeight="1">
      <c r="A18" s="23">
        <v>14</v>
      </c>
      <c r="B18" s="3" t="s">
        <v>153</v>
      </c>
      <c r="C18" s="3" t="s">
        <v>150</v>
      </c>
      <c r="D18" s="19" t="s">
        <v>326</v>
      </c>
      <c r="E18" s="3" t="s">
        <v>155</v>
      </c>
      <c r="F18" s="3" t="s">
        <v>364</v>
      </c>
      <c r="G18" s="3" t="s">
        <v>340</v>
      </c>
      <c r="H18" s="19" t="s">
        <v>365</v>
      </c>
      <c r="I18" s="3" t="s">
        <v>342</v>
      </c>
      <c r="J18" s="19" t="s">
        <v>343</v>
      </c>
      <c r="K18" s="3">
        <v>200</v>
      </c>
      <c r="L18" s="3" t="s">
        <v>366</v>
      </c>
    </row>
    <row r="19" spans="1:12" ht="28.05" customHeight="1">
      <c r="A19" s="24">
        <v>15</v>
      </c>
      <c r="B19" s="17" t="s">
        <v>157</v>
      </c>
      <c r="C19" s="17" t="s">
        <v>109</v>
      </c>
      <c r="D19" s="20" t="s">
        <v>326</v>
      </c>
      <c r="E19" s="17" t="s">
        <v>159</v>
      </c>
      <c r="F19" s="17" t="s">
        <v>339</v>
      </c>
      <c r="G19" s="17" t="s">
        <v>340</v>
      </c>
      <c r="H19" s="20" t="s">
        <v>367</v>
      </c>
      <c r="I19" s="17" t="s">
        <v>342</v>
      </c>
      <c r="J19" s="20" t="s">
        <v>343</v>
      </c>
      <c r="K19" s="17">
        <v>200</v>
      </c>
      <c r="L19" s="17" t="s">
        <v>346</v>
      </c>
    </row>
    <row r="20" spans="1:12" ht="28.05" customHeight="1">
      <c r="A20" s="23">
        <v>16</v>
      </c>
      <c r="B20" s="3" t="s">
        <v>161</v>
      </c>
      <c r="C20" s="3" t="s">
        <v>129</v>
      </c>
      <c r="D20" s="19" t="s">
        <v>326</v>
      </c>
      <c r="E20" s="3" t="s">
        <v>163</v>
      </c>
      <c r="F20" s="3" t="s">
        <v>339</v>
      </c>
      <c r="G20" s="3" t="s">
        <v>340</v>
      </c>
      <c r="H20" s="19" t="s">
        <v>368</v>
      </c>
      <c r="I20" s="3" t="s">
        <v>342</v>
      </c>
      <c r="J20" s="19" t="s">
        <v>343</v>
      </c>
      <c r="K20" s="3">
        <v>200</v>
      </c>
      <c r="L20" s="3" t="s">
        <v>346</v>
      </c>
    </row>
    <row r="21" spans="1:12" ht="28.05" customHeight="1">
      <c r="A21" s="24">
        <v>17</v>
      </c>
      <c r="B21" s="17" t="s">
        <v>165</v>
      </c>
      <c r="C21" s="17" t="s">
        <v>129</v>
      </c>
      <c r="D21" s="20" t="s">
        <v>326</v>
      </c>
      <c r="E21" s="17" t="s">
        <v>166</v>
      </c>
      <c r="F21" s="17" t="s">
        <v>339</v>
      </c>
      <c r="G21" s="17" t="s">
        <v>340</v>
      </c>
      <c r="H21" s="20" t="s">
        <v>369</v>
      </c>
      <c r="I21" s="17" t="s">
        <v>342</v>
      </c>
      <c r="J21" s="20" t="s">
        <v>343</v>
      </c>
      <c r="K21" s="17">
        <v>200</v>
      </c>
      <c r="L21" s="17" t="s">
        <v>346</v>
      </c>
    </row>
    <row r="22" spans="1:12" ht="28.05" customHeight="1">
      <c r="A22" s="23">
        <v>18</v>
      </c>
      <c r="B22" s="3" t="s">
        <v>168</v>
      </c>
      <c r="C22" s="3" t="s">
        <v>109</v>
      </c>
      <c r="D22" s="19" t="s">
        <v>326</v>
      </c>
      <c r="E22" s="3" t="s">
        <v>169</v>
      </c>
      <c r="F22" s="3" t="s">
        <v>339</v>
      </c>
      <c r="G22" s="3" t="s">
        <v>340</v>
      </c>
      <c r="H22" s="19" t="s">
        <v>370</v>
      </c>
      <c r="I22" s="3" t="s">
        <v>342</v>
      </c>
      <c r="J22" s="19" t="s">
        <v>343</v>
      </c>
      <c r="K22" s="3">
        <v>200</v>
      </c>
      <c r="L22" s="3" t="s">
        <v>346</v>
      </c>
    </row>
    <row r="23" spans="1:12" ht="28.05" customHeight="1">
      <c r="A23" s="24">
        <v>19</v>
      </c>
      <c r="B23" s="17" t="s">
        <v>171</v>
      </c>
      <c r="C23" s="17" t="s">
        <v>109</v>
      </c>
      <c r="D23" s="20" t="s">
        <v>326</v>
      </c>
      <c r="E23" s="17" t="s">
        <v>173</v>
      </c>
      <c r="F23" s="17" t="s">
        <v>339</v>
      </c>
      <c r="G23" s="17" t="s">
        <v>340</v>
      </c>
      <c r="H23" s="20" t="s">
        <v>371</v>
      </c>
      <c r="I23" s="17" t="s">
        <v>342</v>
      </c>
      <c r="J23" s="20" t="s">
        <v>343</v>
      </c>
      <c r="K23" s="17">
        <v>200</v>
      </c>
      <c r="L23" s="17" t="s">
        <v>344</v>
      </c>
    </row>
    <row r="24" spans="1:12" ht="28.05" customHeight="1">
      <c r="A24" s="23">
        <v>20</v>
      </c>
      <c r="B24" s="3" t="s">
        <v>175</v>
      </c>
      <c r="C24" s="3" t="s">
        <v>150</v>
      </c>
      <c r="D24" s="19" t="s">
        <v>326</v>
      </c>
      <c r="E24" s="3" t="s">
        <v>177</v>
      </c>
      <c r="F24" s="3" t="s">
        <v>339</v>
      </c>
      <c r="G24" s="3" t="s">
        <v>340</v>
      </c>
      <c r="H24" s="19" t="s">
        <v>372</v>
      </c>
      <c r="I24" s="3" t="s">
        <v>342</v>
      </c>
      <c r="J24" s="19" t="s">
        <v>343</v>
      </c>
      <c r="K24" s="3">
        <v>200</v>
      </c>
      <c r="L24" s="3" t="s">
        <v>346</v>
      </c>
    </row>
    <row r="25" spans="1:12" ht="28.05" customHeight="1">
      <c r="A25" s="24">
        <v>21</v>
      </c>
      <c r="B25" s="17" t="s">
        <v>179</v>
      </c>
      <c r="C25" s="17" t="s">
        <v>150</v>
      </c>
      <c r="D25" s="20" t="s">
        <v>326</v>
      </c>
      <c r="E25" s="17" t="s">
        <v>181</v>
      </c>
      <c r="F25" s="17" t="s">
        <v>339</v>
      </c>
      <c r="G25" s="17" t="s">
        <v>340</v>
      </c>
      <c r="H25" s="20" t="s">
        <v>373</v>
      </c>
      <c r="I25" s="17" t="s">
        <v>342</v>
      </c>
      <c r="J25" s="20" t="s">
        <v>343</v>
      </c>
      <c r="K25" s="17">
        <v>200</v>
      </c>
      <c r="L25" s="17" t="s">
        <v>344</v>
      </c>
    </row>
    <row r="26" spans="1:12" ht="28.05" customHeight="1">
      <c r="A26" s="23">
        <v>22</v>
      </c>
      <c r="B26" s="3" t="s">
        <v>183</v>
      </c>
      <c r="C26" s="3" t="s">
        <v>184</v>
      </c>
      <c r="D26" s="19" t="s">
        <v>326</v>
      </c>
      <c r="E26" s="3" t="s">
        <v>185</v>
      </c>
      <c r="F26" s="3" t="s">
        <v>339</v>
      </c>
      <c r="G26" s="3" t="s">
        <v>340</v>
      </c>
      <c r="H26" s="19" t="s">
        <v>374</v>
      </c>
      <c r="I26" s="3" t="s">
        <v>342</v>
      </c>
      <c r="J26" s="19" t="s">
        <v>343</v>
      </c>
      <c r="K26" s="3">
        <v>200</v>
      </c>
      <c r="L26" s="3" t="s">
        <v>346</v>
      </c>
    </row>
    <row r="27" spans="1:12" ht="28.05" customHeight="1">
      <c r="A27" s="24">
        <v>23</v>
      </c>
      <c r="B27" s="17" t="s">
        <v>187</v>
      </c>
      <c r="C27" s="17" t="s">
        <v>188</v>
      </c>
      <c r="D27" s="20" t="s">
        <v>326</v>
      </c>
      <c r="E27" s="17" t="s">
        <v>189</v>
      </c>
      <c r="F27" s="17" t="s">
        <v>339</v>
      </c>
      <c r="G27" s="17" t="s">
        <v>340</v>
      </c>
      <c r="H27" s="20" t="s">
        <v>375</v>
      </c>
      <c r="I27" s="17" t="s">
        <v>342</v>
      </c>
      <c r="J27" s="20" t="s">
        <v>343</v>
      </c>
      <c r="K27" s="17">
        <v>200</v>
      </c>
      <c r="L27" s="17" t="s">
        <v>344</v>
      </c>
    </row>
    <row r="28" spans="1:12" ht="28.05" customHeight="1">
      <c r="A28" s="23">
        <v>24</v>
      </c>
      <c r="B28" s="3" t="s">
        <v>191</v>
      </c>
      <c r="C28" s="3" t="s">
        <v>109</v>
      </c>
      <c r="D28" s="19" t="s">
        <v>326</v>
      </c>
      <c r="E28" s="3" t="s">
        <v>192</v>
      </c>
      <c r="F28" s="3" t="s">
        <v>339</v>
      </c>
      <c r="G28" s="3" t="s">
        <v>340</v>
      </c>
      <c r="H28" s="19" t="s">
        <v>376</v>
      </c>
      <c r="I28" s="3" t="s">
        <v>342</v>
      </c>
      <c r="J28" s="19" t="s">
        <v>343</v>
      </c>
      <c r="K28" s="3">
        <v>200</v>
      </c>
      <c r="L28" s="3" t="s">
        <v>377</v>
      </c>
    </row>
    <row r="29" spans="1:12" ht="28.05" customHeight="1">
      <c r="A29" s="24">
        <v>25</v>
      </c>
      <c r="B29" s="17" t="s">
        <v>194</v>
      </c>
      <c r="C29" s="17" t="s">
        <v>109</v>
      </c>
      <c r="D29" s="20" t="s">
        <v>326</v>
      </c>
      <c r="E29" s="17" t="s">
        <v>195</v>
      </c>
      <c r="F29" s="17" t="s">
        <v>339</v>
      </c>
      <c r="G29" s="17" t="s">
        <v>340</v>
      </c>
      <c r="H29" s="20" t="s">
        <v>378</v>
      </c>
      <c r="I29" s="17" t="s">
        <v>342</v>
      </c>
      <c r="J29" s="20" t="s">
        <v>343</v>
      </c>
      <c r="K29" s="17">
        <v>200</v>
      </c>
      <c r="L29" s="17" t="s">
        <v>379</v>
      </c>
    </row>
    <row r="30" spans="1:12" ht="28.05" customHeight="1">
      <c r="A30" s="23">
        <v>26</v>
      </c>
      <c r="B30" s="3" t="s">
        <v>197</v>
      </c>
      <c r="C30" s="3" t="s">
        <v>104</v>
      </c>
      <c r="D30" s="19" t="s">
        <v>327</v>
      </c>
      <c r="E30" s="3" t="s">
        <v>198</v>
      </c>
      <c r="F30" s="3" t="s">
        <v>339</v>
      </c>
      <c r="G30" s="3" t="s">
        <v>340</v>
      </c>
      <c r="H30" s="19" t="s">
        <v>380</v>
      </c>
      <c r="I30" s="3" t="s">
        <v>342</v>
      </c>
      <c r="J30" s="19" t="s">
        <v>343</v>
      </c>
      <c r="K30" s="3">
        <v>200</v>
      </c>
      <c r="L30" s="3" t="s">
        <v>344</v>
      </c>
    </row>
    <row r="31" spans="1:12" ht="28.05" customHeight="1">
      <c r="A31" s="24">
        <v>27</v>
      </c>
      <c r="B31" s="17" t="s">
        <v>201</v>
      </c>
      <c r="C31" s="17" t="s">
        <v>109</v>
      </c>
      <c r="D31" s="20" t="s">
        <v>327</v>
      </c>
      <c r="E31" s="17" t="s">
        <v>203</v>
      </c>
      <c r="F31" s="17" t="s">
        <v>339</v>
      </c>
      <c r="G31" s="17" t="s">
        <v>340</v>
      </c>
      <c r="H31" s="20" t="s">
        <v>381</v>
      </c>
      <c r="I31" s="17" t="s">
        <v>342</v>
      </c>
      <c r="J31" s="20" t="s">
        <v>343</v>
      </c>
      <c r="K31" s="17">
        <v>200</v>
      </c>
      <c r="L31" s="17" t="s">
        <v>344</v>
      </c>
    </row>
    <row r="32" spans="1:12" ht="28.05" customHeight="1">
      <c r="A32" s="23">
        <v>28</v>
      </c>
      <c r="B32" s="3" t="s">
        <v>206</v>
      </c>
      <c r="C32" s="3" t="s">
        <v>207</v>
      </c>
      <c r="D32" s="19" t="s">
        <v>326</v>
      </c>
      <c r="E32" s="3" t="s">
        <v>209</v>
      </c>
      <c r="F32" s="3" t="s">
        <v>339</v>
      </c>
      <c r="G32" s="3" t="s">
        <v>340</v>
      </c>
      <c r="H32" s="19" t="s">
        <v>382</v>
      </c>
      <c r="I32" s="3" t="s">
        <v>342</v>
      </c>
      <c r="J32" s="19" t="s">
        <v>343</v>
      </c>
      <c r="K32" s="3">
        <v>200</v>
      </c>
      <c r="L32" s="3" t="s">
        <v>344</v>
      </c>
    </row>
    <row r="33" spans="1:12" ht="28.05" customHeight="1">
      <c r="A33" s="24">
        <v>29</v>
      </c>
      <c r="B33" s="17" t="s">
        <v>211</v>
      </c>
      <c r="C33" s="17" t="s">
        <v>212</v>
      </c>
      <c r="D33" s="20" t="s">
        <v>326</v>
      </c>
      <c r="E33" s="17" t="s">
        <v>144</v>
      </c>
      <c r="F33" s="17" t="s">
        <v>339</v>
      </c>
      <c r="G33" s="17" t="s">
        <v>340</v>
      </c>
      <c r="H33" s="20" t="s">
        <v>383</v>
      </c>
      <c r="I33" s="17" t="s">
        <v>342</v>
      </c>
      <c r="J33" s="20" t="s">
        <v>343</v>
      </c>
      <c r="K33" s="17">
        <v>200</v>
      </c>
      <c r="L33" s="17" t="s">
        <v>344</v>
      </c>
    </row>
    <row r="34" spans="1:12" ht="28.05" customHeight="1">
      <c r="A34" s="23">
        <v>30</v>
      </c>
      <c r="B34" s="3" t="s">
        <v>215</v>
      </c>
      <c r="C34" s="3" t="s">
        <v>150</v>
      </c>
      <c r="D34" s="19" t="s">
        <v>326</v>
      </c>
      <c r="E34" s="3" t="s">
        <v>216</v>
      </c>
      <c r="F34" s="3" t="s">
        <v>339</v>
      </c>
      <c r="G34" s="3" t="s">
        <v>340</v>
      </c>
      <c r="H34" s="19" t="s">
        <v>384</v>
      </c>
      <c r="I34" s="3" t="s">
        <v>342</v>
      </c>
      <c r="J34" s="19" t="s">
        <v>343</v>
      </c>
      <c r="K34" s="3">
        <v>200</v>
      </c>
      <c r="L34" s="3" t="s">
        <v>346</v>
      </c>
    </row>
    <row r="35" spans="1:12" ht="28.05" customHeight="1">
      <c r="A35" s="24">
        <v>49</v>
      </c>
      <c r="B35" s="17" t="s">
        <v>273</v>
      </c>
      <c r="C35" s="17" t="s">
        <v>109</v>
      </c>
      <c r="D35" s="20" t="s">
        <v>327</v>
      </c>
      <c r="E35" s="17" t="s">
        <v>274</v>
      </c>
      <c r="F35" s="17" t="s">
        <v>339</v>
      </c>
      <c r="G35" s="17" t="s">
        <v>340</v>
      </c>
      <c r="H35" s="20" t="s">
        <v>385</v>
      </c>
      <c r="I35" s="17" t="s">
        <v>342</v>
      </c>
      <c r="J35" s="20" t="s">
        <v>343</v>
      </c>
      <c r="K35" s="17">
        <v>200</v>
      </c>
      <c r="L35" s="17" t="s">
        <v>386</v>
      </c>
    </row>
    <row r="36" spans="1:12" ht="28.05" customHeight="1">
      <c r="A36" s="23">
        <v>52</v>
      </c>
      <c r="B36" s="3" t="s">
        <v>219</v>
      </c>
      <c r="C36" s="3" t="s">
        <v>129</v>
      </c>
      <c r="D36" s="19" t="s">
        <v>328</v>
      </c>
      <c r="E36" s="3" t="s">
        <v>220</v>
      </c>
      <c r="F36" s="3" t="s">
        <v>387</v>
      </c>
      <c r="G36" s="3" t="s">
        <v>340</v>
      </c>
      <c r="H36" s="19" t="s">
        <v>388</v>
      </c>
      <c r="I36" s="3" t="s">
        <v>342</v>
      </c>
      <c r="J36" s="19" t="s">
        <v>362</v>
      </c>
      <c r="K36" s="3">
        <v>403</v>
      </c>
      <c r="L36" s="3" t="s">
        <v>389</v>
      </c>
    </row>
    <row r="37" spans="1:12" ht="28.05" customHeight="1">
      <c r="A37" s="24">
        <v>53</v>
      </c>
      <c r="B37" s="17" t="s">
        <v>223</v>
      </c>
      <c r="C37" s="17" t="s">
        <v>129</v>
      </c>
      <c r="D37" s="20" t="s">
        <v>328</v>
      </c>
      <c r="E37" s="17" t="s">
        <v>224</v>
      </c>
      <c r="F37" s="17" t="s">
        <v>339</v>
      </c>
      <c r="G37" s="17" t="s">
        <v>340</v>
      </c>
      <c r="H37" s="20" t="s">
        <v>390</v>
      </c>
      <c r="I37" s="17" t="s">
        <v>342</v>
      </c>
      <c r="J37" s="20" t="s">
        <v>343</v>
      </c>
      <c r="K37" s="17">
        <v>200</v>
      </c>
      <c r="L37" s="17" t="s">
        <v>391</v>
      </c>
    </row>
    <row r="38" spans="1:12" ht="28.05" customHeight="1">
      <c r="A38" s="23">
        <v>54</v>
      </c>
      <c r="B38" s="3" t="s">
        <v>226</v>
      </c>
      <c r="C38" s="3" t="s">
        <v>104</v>
      </c>
      <c r="D38" s="19" t="s">
        <v>328</v>
      </c>
      <c r="E38" s="3" t="s">
        <v>216</v>
      </c>
      <c r="F38" s="3" t="s">
        <v>339</v>
      </c>
      <c r="G38" s="3" t="s">
        <v>340</v>
      </c>
      <c r="H38" s="19" t="s">
        <v>392</v>
      </c>
      <c r="I38" s="3" t="s">
        <v>342</v>
      </c>
      <c r="J38" s="19" t="s">
        <v>343</v>
      </c>
      <c r="K38" s="3">
        <v>200</v>
      </c>
      <c r="L38" s="3" t="s">
        <v>393</v>
      </c>
    </row>
    <row r="39" spans="1:12" ht="28.05" customHeight="1">
      <c r="A39" s="24">
        <v>55</v>
      </c>
      <c r="B39" s="17" t="s">
        <v>228</v>
      </c>
      <c r="C39" s="17" t="s">
        <v>229</v>
      </c>
      <c r="D39" s="20" t="s">
        <v>328</v>
      </c>
      <c r="E39" s="17" t="s">
        <v>230</v>
      </c>
      <c r="F39" s="17" t="s">
        <v>339</v>
      </c>
      <c r="G39" s="17" t="s">
        <v>340</v>
      </c>
      <c r="H39" s="20" t="s">
        <v>394</v>
      </c>
      <c r="I39" s="17" t="s">
        <v>342</v>
      </c>
      <c r="J39" s="20" t="s">
        <v>343</v>
      </c>
      <c r="K39" s="17">
        <v>200</v>
      </c>
      <c r="L39" s="17" t="s">
        <v>344</v>
      </c>
    </row>
    <row r="40" spans="1:12" ht="28.05" customHeight="1">
      <c r="A40" s="23">
        <v>56</v>
      </c>
      <c r="B40" s="3" t="s">
        <v>232</v>
      </c>
      <c r="C40" s="3" t="s">
        <v>233</v>
      </c>
      <c r="D40" s="19" t="s">
        <v>328</v>
      </c>
      <c r="E40" s="3" t="s">
        <v>234</v>
      </c>
      <c r="F40" s="3" t="s">
        <v>395</v>
      </c>
      <c r="G40" s="3" t="s">
        <v>340</v>
      </c>
      <c r="H40" s="19" t="s">
        <v>396</v>
      </c>
      <c r="I40" s="3" t="s">
        <v>342</v>
      </c>
      <c r="J40" s="19" t="s">
        <v>343</v>
      </c>
      <c r="K40" s="3">
        <v>200</v>
      </c>
      <c r="L40" s="3" t="s">
        <v>397</v>
      </c>
    </row>
    <row r="41" spans="1:12" ht="28.05" customHeight="1">
      <c r="A41" s="24">
        <v>57</v>
      </c>
      <c r="B41" s="17" t="s">
        <v>236</v>
      </c>
      <c r="C41" s="17" t="s">
        <v>237</v>
      </c>
      <c r="D41" s="20" t="s">
        <v>328</v>
      </c>
      <c r="E41" s="17" t="s">
        <v>238</v>
      </c>
      <c r="F41" s="17" t="s">
        <v>395</v>
      </c>
      <c r="G41" s="17" t="s">
        <v>340</v>
      </c>
      <c r="H41" s="20" t="s">
        <v>398</v>
      </c>
      <c r="I41" s="17" t="s">
        <v>342</v>
      </c>
      <c r="J41" s="20" t="s">
        <v>343</v>
      </c>
      <c r="K41" s="17">
        <v>200</v>
      </c>
      <c r="L41" s="17" t="s">
        <v>399</v>
      </c>
    </row>
    <row r="42" spans="1:12" ht="28.05" customHeight="1">
      <c r="A42" s="23">
        <v>58</v>
      </c>
      <c r="B42" s="3" t="s">
        <v>240</v>
      </c>
      <c r="C42" s="3" t="s">
        <v>229</v>
      </c>
      <c r="D42" s="19" t="s">
        <v>328</v>
      </c>
      <c r="E42" s="3" t="s">
        <v>241</v>
      </c>
      <c r="F42" s="3" t="s">
        <v>354</v>
      </c>
      <c r="G42" s="3" t="s">
        <v>340</v>
      </c>
      <c r="H42" s="19" t="s">
        <v>400</v>
      </c>
      <c r="I42" s="3" t="s">
        <v>342</v>
      </c>
      <c r="J42" s="19" t="s">
        <v>343</v>
      </c>
      <c r="K42" s="3">
        <v>200</v>
      </c>
      <c r="L42" s="3" t="s">
        <v>401</v>
      </c>
    </row>
    <row r="43" spans="1:12" ht="28.05" customHeight="1">
      <c r="A43" s="24">
        <v>59</v>
      </c>
      <c r="B43" s="17" t="s">
        <v>243</v>
      </c>
      <c r="C43" s="17" t="s">
        <v>244</v>
      </c>
      <c r="D43" s="20" t="s">
        <v>328</v>
      </c>
      <c r="E43" s="17" t="s">
        <v>245</v>
      </c>
      <c r="F43" s="17" t="s">
        <v>395</v>
      </c>
      <c r="G43" s="17" t="s">
        <v>340</v>
      </c>
      <c r="H43" s="20" t="s">
        <v>402</v>
      </c>
      <c r="I43" s="17" t="s">
        <v>342</v>
      </c>
      <c r="J43" s="20" t="s">
        <v>343</v>
      </c>
      <c r="K43" s="17">
        <v>200</v>
      </c>
      <c r="L43" s="17" t="s">
        <v>403</v>
      </c>
    </row>
    <row r="44" spans="1:12" ht="28.05" customHeight="1">
      <c r="A44" s="23">
        <v>60</v>
      </c>
      <c r="B44" s="3" t="s">
        <v>247</v>
      </c>
      <c r="C44" s="3" t="s">
        <v>248</v>
      </c>
      <c r="D44" s="19" t="s">
        <v>328</v>
      </c>
      <c r="E44" s="3" t="s">
        <v>249</v>
      </c>
      <c r="F44" s="3" t="s">
        <v>339</v>
      </c>
      <c r="G44" s="3" t="s">
        <v>340</v>
      </c>
      <c r="H44" s="19" t="s">
        <v>404</v>
      </c>
      <c r="I44" s="3" t="s">
        <v>342</v>
      </c>
      <c r="J44" s="19" t="s">
        <v>343</v>
      </c>
      <c r="K44" s="3">
        <v>200</v>
      </c>
      <c r="L44" s="3" t="s">
        <v>405</v>
      </c>
    </row>
    <row r="45" spans="1:12" ht="28.05" customHeight="1">
      <c r="A45" s="24">
        <v>61</v>
      </c>
      <c r="B45" s="17" t="s">
        <v>251</v>
      </c>
      <c r="C45" s="17" t="s">
        <v>104</v>
      </c>
      <c r="D45" s="20" t="s">
        <v>328</v>
      </c>
      <c r="E45" s="17" t="s">
        <v>163</v>
      </c>
      <c r="F45" s="17" t="s">
        <v>339</v>
      </c>
      <c r="G45" s="17" t="s">
        <v>340</v>
      </c>
      <c r="H45" s="20" t="s">
        <v>406</v>
      </c>
      <c r="I45" s="17" t="s">
        <v>342</v>
      </c>
      <c r="J45" s="20" t="s">
        <v>343</v>
      </c>
      <c r="K45" s="17">
        <v>200</v>
      </c>
      <c r="L45" s="17" t="s">
        <v>407</v>
      </c>
    </row>
    <row r="46" spans="1:12" ht="28.05" customHeight="1">
      <c r="A46" s="23">
        <v>62</v>
      </c>
      <c r="B46" s="3" t="s">
        <v>253</v>
      </c>
      <c r="C46" s="3" t="s">
        <v>233</v>
      </c>
      <c r="D46" s="19" t="s">
        <v>328</v>
      </c>
      <c r="E46" s="3" t="s">
        <v>254</v>
      </c>
      <c r="F46" s="3" t="s">
        <v>395</v>
      </c>
      <c r="G46" s="3" t="s">
        <v>340</v>
      </c>
      <c r="H46" s="19" t="s">
        <v>408</v>
      </c>
      <c r="I46" s="3" t="s">
        <v>342</v>
      </c>
      <c r="J46" s="19" t="s">
        <v>343</v>
      </c>
      <c r="K46" s="3">
        <v>200</v>
      </c>
      <c r="L46" s="3" t="s">
        <v>409</v>
      </c>
    </row>
    <row r="47" spans="1:12" ht="28.05" customHeight="1">
      <c r="A47" s="24">
        <v>63</v>
      </c>
      <c r="B47" s="17" t="s">
        <v>256</v>
      </c>
      <c r="C47" s="17" t="s">
        <v>257</v>
      </c>
      <c r="D47" s="20" t="s">
        <v>328</v>
      </c>
      <c r="E47" s="17" t="s">
        <v>258</v>
      </c>
      <c r="F47" s="17" t="s">
        <v>339</v>
      </c>
      <c r="G47" s="17" t="s">
        <v>340</v>
      </c>
      <c r="H47" s="20" t="s">
        <v>410</v>
      </c>
      <c r="I47" s="17" t="s">
        <v>342</v>
      </c>
      <c r="J47" s="20" t="s">
        <v>411</v>
      </c>
      <c r="K47" s="17"/>
      <c r="L47" s="17" t="s">
        <v>412</v>
      </c>
    </row>
    <row r="48" spans="1:12" ht="28.05" customHeight="1">
      <c r="A48" s="23">
        <v>64</v>
      </c>
      <c r="B48" s="3" t="s">
        <v>260</v>
      </c>
      <c r="C48" s="3" t="s">
        <v>233</v>
      </c>
      <c r="D48" s="19" t="s">
        <v>328</v>
      </c>
      <c r="E48" s="3" t="s">
        <v>261</v>
      </c>
      <c r="F48" s="3" t="s">
        <v>395</v>
      </c>
      <c r="G48" s="3" t="s">
        <v>340</v>
      </c>
      <c r="H48" s="19" t="s">
        <v>413</v>
      </c>
      <c r="I48" s="3" t="s">
        <v>342</v>
      </c>
      <c r="J48" s="19" t="s">
        <v>343</v>
      </c>
      <c r="K48" s="3">
        <v>200</v>
      </c>
      <c r="L48" s="3" t="s">
        <v>414</v>
      </c>
    </row>
    <row r="49" spans="1:12" ht="28.05" customHeight="1">
      <c r="A49" s="24">
        <v>65</v>
      </c>
      <c r="B49" s="17" t="s">
        <v>263</v>
      </c>
      <c r="C49" s="17" t="s">
        <v>129</v>
      </c>
      <c r="D49" s="20" t="s">
        <v>328</v>
      </c>
      <c r="E49" s="17" t="s">
        <v>264</v>
      </c>
      <c r="F49" s="17" t="s">
        <v>339</v>
      </c>
      <c r="G49" s="17" t="s">
        <v>340</v>
      </c>
      <c r="H49" s="20" t="s">
        <v>415</v>
      </c>
      <c r="I49" s="17" t="s">
        <v>342</v>
      </c>
      <c r="J49" s="20" t="s">
        <v>362</v>
      </c>
      <c r="K49" s="17">
        <v>403</v>
      </c>
      <c r="L49" s="17" t="s">
        <v>344</v>
      </c>
    </row>
    <row r="50" spans="1:12" ht="28.05" customHeight="1">
      <c r="A50" s="23">
        <v>66</v>
      </c>
      <c r="B50" s="3" t="s">
        <v>27</v>
      </c>
      <c r="C50" s="3" t="s">
        <v>104</v>
      </c>
      <c r="D50" s="19" t="s">
        <v>328</v>
      </c>
      <c r="E50" s="3" t="s">
        <v>267</v>
      </c>
      <c r="F50" s="3" t="s">
        <v>416</v>
      </c>
      <c r="G50" s="3" t="s">
        <v>417</v>
      </c>
      <c r="H50" s="19" t="s">
        <v>418</v>
      </c>
      <c r="I50" s="3" t="s">
        <v>342</v>
      </c>
      <c r="J50" s="19" t="s">
        <v>343</v>
      </c>
      <c r="K50" s="3">
        <v>200</v>
      </c>
      <c r="L50" s="3" t="s">
        <v>419</v>
      </c>
    </row>
    <row r="51" spans="1:12" ht="28.05" customHeight="1">
      <c r="A51" s="24">
        <v>67</v>
      </c>
      <c r="B51" s="17" t="s">
        <v>269</v>
      </c>
      <c r="C51" s="17" t="s">
        <v>270</v>
      </c>
      <c r="D51" s="20" t="s">
        <v>328</v>
      </c>
      <c r="E51" s="17" t="s">
        <v>271</v>
      </c>
      <c r="F51" s="17" t="s">
        <v>339</v>
      </c>
      <c r="G51" s="17" t="s">
        <v>340</v>
      </c>
      <c r="H51" s="20" t="s">
        <v>420</v>
      </c>
      <c r="I51" s="17" t="s">
        <v>342</v>
      </c>
      <c r="J51" s="20" t="s">
        <v>411</v>
      </c>
      <c r="K51" s="17"/>
      <c r="L51" s="17" t="s">
        <v>344</v>
      </c>
    </row>
    <row r="52" spans="1:12" ht="28.05" customHeight="1">
      <c r="A52" s="23">
        <v>68</v>
      </c>
      <c r="B52" s="3" t="s">
        <v>277</v>
      </c>
      <c r="C52" s="3" t="s">
        <v>233</v>
      </c>
      <c r="D52" s="19" t="s">
        <v>328</v>
      </c>
      <c r="E52" s="3" t="s">
        <v>278</v>
      </c>
      <c r="F52" s="3" t="s">
        <v>395</v>
      </c>
      <c r="G52" s="3" t="s">
        <v>340</v>
      </c>
      <c r="H52" s="19" t="s">
        <v>421</v>
      </c>
      <c r="I52" s="3" t="s">
        <v>342</v>
      </c>
      <c r="J52" s="19" t="s">
        <v>343</v>
      </c>
      <c r="K52" s="3">
        <v>200</v>
      </c>
      <c r="L52" s="3" t="s">
        <v>422</v>
      </c>
    </row>
    <row r="53" spans="1:12" ht="28.05" customHeight="1">
      <c r="A53" s="24">
        <v>69</v>
      </c>
      <c r="B53" s="17" t="s">
        <v>280</v>
      </c>
      <c r="C53" s="17" t="s">
        <v>281</v>
      </c>
      <c r="D53" s="20" t="s">
        <v>328</v>
      </c>
      <c r="E53" s="17" t="s">
        <v>282</v>
      </c>
      <c r="F53" s="17" t="s">
        <v>339</v>
      </c>
      <c r="G53" s="17" t="s">
        <v>340</v>
      </c>
      <c r="H53" s="20" t="s">
        <v>423</v>
      </c>
      <c r="I53" s="17" t="s">
        <v>342</v>
      </c>
      <c r="J53" s="20" t="s">
        <v>411</v>
      </c>
      <c r="K53" s="17"/>
      <c r="L53" s="17" t="s">
        <v>346</v>
      </c>
    </row>
    <row r="54" spans="1:12" ht="28.05" customHeight="1">
      <c r="A54" s="23">
        <v>70</v>
      </c>
      <c r="B54" s="3" t="s">
        <v>284</v>
      </c>
      <c r="C54" s="3" t="s">
        <v>285</v>
      </c>
      <c r="D54" s="19" t="s">
        <v>328</v>
      </c>
      <c r="E54" s="3" t="s">
        <v>144</v>
      </c>
      <c r="F54" s="3" t="s">
        <v>339</v>
      </c>
      <c r="G54" s="3" t="s">
        <v>340</v>
      </c>
      <c r="H54" s="19" t="s">
        <v>424</v>
      </c>
      <c r="I54" s="3" t="s">
        <v>342</v>
      </c>
      <c r="J54" s="19" t="s">
        <v>343</v>
      </c>
      <c r="K54" s="3">
        <v>200</v>
      </c>
      <c r="L54" s="3" t="s">
        <v>425</v>
      </c>
    </row>
    <row r="55" spans="1:12" ht="28.05" customHeight="1">
      <c r="A55" s="24">
        <v>71</v>
      </c>
      <c r="B55" s="17" t="s">
        <v>288</v>
      </c>
      <c r="C55" s="17" t="s">
        <v>229</v>
      </c>
      <c r="D55" s="20" t="s">
        <v>328</v>
      </c>
      <c r="E55" s="17" t="s">
        <v>290</v>
      </c>
      <c r="F55" s="17" t="s">
        <v>339</v>
      </c>
      <c r="G55" s="17" t="s">
        <v>340</v>
      </c>
      <c r="H55" s="20" t="s">
        <v>426</v>
      </c>
      <c r="I55" s="17" t="s">
        <v>342</v>
      </c>
      <c r="J55" s="20" t="s">
        <v>343</v>
      </c>
      <c r="K55" s="17">
        <v>200</v>
      </c>
      <c r="L55" s="17" t="s">
        <v>344</v>
      </c>
    </row>
    <row r="56" spans="1:12" ht="28.05" customHeight="1">
      <c r="A56" s="23">
        <v>72</v>
      </c>
      <c r="B56" s="3" t="s">
        <v>292</v>
      </c>
      <c r="C56" s="3" t="s">
        <v>293</v>
      </c>
      <c r="D56" s="19" t="s">
        <v>328</v>
      </c>
      <c r="E56" s="3" t="s">
        <v>295</v>
      </c>
      <c r="F56" s="3" t="s">
        <v>339</v>
      </c>
      <c r="G56" s="3" t="s">
        <v>340</v>
      </c>
      <c r="H56" s="19" t="s">
        <v>427</v>
      </c>
      <c r="I56" s="3" t="s">
        <v>342</v>
      </c>
      <c r="J56" s="19" t="s">
        <v>343</v>
      </c>
      <c r="K56" s="3">
        <v>200</v>
      </c>
      <c r="L56" s="3" t="s">
        <v>344</v>
      </c>
    </row>
    <row r="57" spans="1:12" ht="28.05" customHeight="1">
      <c r="A57" s="24">
        <v>73</v>
      </c>
      <c r="B57" s="17" t="s">
        <v>297</v>
      </c>
      <c r="C57" s="17" t="s">
        <v>233</v>
      </c>
      <c r="D57" s="20" t="s">
        <v>328</v>
      </c>
      <c r="E57" s="17" t="s">
        <v>299</v>
      </c>
      <c r="F57" s="17" t="s">
        <v>395</v>
      </c>
      <c r="G57" s="17" t="s">
        <v>340</v>
      </c>
      <c r="H57" s="20" t="s">
        <v>428</v>
      </c>
      <c r="I57" s="17" t="s">
        <v>342</v>
      </c>
      <c r="J57" s="20" t="s">
        <v>343</v>
      </c>
      <c r="K57" s="17">
        <v>200</v>
      </c>
      <c r="L57" s="17" t="s">
        <v>429</v>
      </c>
    </row>
    <row r="58" spans="1:12" ht="28.05" customHeight="1">
      <c r="A58" s="23">
        <v>74</v>
      </c>
      <c r="B58" s="3" t="s">
        <v>301</v>
      </c>
      <c r="C58" s="3" t="s">
        <v>104</v>
      </c>
      <c r="D58" s="19" t="s">
        <v>328</v>
      </c>
      <c r="E58" s="3" t="s">
        <v>302</v>
      </c>
      <c r="F58" s="3" t="s">
        <v>354</v>
      </c>
      <c r="G58" s="3" t="s">
        <v>340</v>
      </c>
      <c r="H58" s="19" t="s">
        <v>430</v>
      </c>
      <c r="I58" s="3" t="s">
        <v>342</v>
      </c>
      <c r="J58" s="19" t="s">
        <v>343</v>
      </c>
      <c r="K58" s="3">
        <v>200</v>
      </c>
      <c r="L58" s="3" t="s">
        <v>431</v>
      </c>
    </row>
    <row r="59" spans="1:12" ht="28.05" customHeight="1">
      <c r="A59" s="24">
        <v>76</v>
      </c>
      <c r="B59" s="17" t="s">
        <v>304</v>
      </c>
      <c r="C59" s="17" t="s">
        <v>129</v>
      </c>
      <c r="D59" s="20" t="s">
        <v>328</v>
      </c>
      <c r="E59" s="17" t="s">
        <v>185</v>
      </c>
      <c r="F59" s="17" t="s">
        <v>339</v>
      </c>
      <c r="G59" s="17" t="s">
        <v>340</v>
      </c>
      <c r="H59" s="20" t="s">
        <v>432</v>
      </c>
      <c r="I59" s="17" t="s">
        <v>342</v>
      </c>
      <c r="J59" s="20" t="s">
        <v>343</v>
      </c>
      <c r="K59" s="17">
        <v>200</v>
      </c>
      <c r="L59" s="17" t="s">
        <v>433</v>
      </c>
    </row>
    <row r="60" spans="1:12" ht="28.05" customHeight="1">
      <c r="A60" s="23">
        <v>77</v>
      </c>
      <c r="B60" s="3" t="s">
        <v>306</v>
      </c>
      <c r="C60" s="3" t="s">
        <v>129</v>
      </c>
      <c r="D60" s="19" t="s">
        <v>328</v>
      </c>
      <c r="E60" s="3" t="s">
        <v>308</v>
      </c>
      <c r="F60" s="3" t="s">
        <v>339</v>
      </c>
      <c r="G60" s="3" t="s">
        <v>340</v>
      </c>
      <c r="H60" s="19" t="s">
        <v>434</v>
      </c>
      <c r="I60" s="3" t="s">
        <v>342</v>
      </c>
      <c r="J60" s="19" t="s">
        <v>362</v>
      </c>
      <c r="K60" s="3">
        <v>403</v>
      </c>
      <c r="L60" s="3" t="s">
        <v>344</v>
      </c>
    </row>
    <row r="61" spans="1:12" ht="28.05" customHeight="1">
      <c r="A61" s="24">
        <v>78</v>
      </c>
      <c r="B61" s="17" t="s">
        <v>310</v>
      </c>
      <c r="C61" s="17" t="s">
        <v>109</v>
      </c>
      <c r="D61" s="20" t="s">
        <v>328</v>
      </c>
      <c r="E61" s="17" t="s">
        <v>311</v>
      </c>
      <c r="F61" s="17" t="s">
        <v>339</v>
      </c>
      <c r="G61" s="17" t="s">
        <v>340</v>
      </c>
      <c r="H61" s="20" t="s">
        <v>435</v>
      </c>
      <c r="I61" s="17" t="s">
        <v>342</v>
      </c>
      <c r="J61" s="20" t="s">
        <v>343</v>
      </c>
      <c r="K61" s="17">
        <v>200</v>
      </c>
      <c r="L61" s="17" t="s">
        <v>436</v>
      </c>
    </row>
    <row r="62" spans="1:12" ht="28.05" customHeight="1">
      <c r="A62" s="23">
        <v>79</v>
      </c>
      <c r="B62" s="3" t="s">
        <v>313</v>
      </c>
      <c r="C62" s="3" t="s">
        <v>257</v>
      </c>
      <c r="D62" s="19" t="s">
        <v>328</v>
      </c>
      <c r="E62" s="3" t="s">
        <v>209</v>
      </c>
      <c r="F62" s="3" t="s">
        <v>339</v>
      </c>
      <c r="G62" s="3" t="s">
        <v>340</v>
      </c>
      <c r="H62" s="19" t="s">
        <v>437</v>
      </c>
      <c r="I62" s="3" t="s">
        <v>342</v>
      </c>
      <c r="J62" s="19" t="s">
        <v>343</v>
      </c>
      <c r="K62" s="3">
        <v>200</v>
      </c>
      <c r="L62" s="3" t="s">
        <v>344</v>
      </c>
    </row>
    <row r="63" spans="1:12" ht="28.05" customHeight="1">
      <c r="A63" s="24">
        <v>80</v>
      </c>
      <c r="B63" s="17" t="s">
        <v>315</v>
      </c>
      <c r="C63" s="17" t="s">
        <v>316</v>
      </c>
      <c r="D63" s="20" t="s">
        <v>328</v>
      </c>
      <c r="E63" s="17" t="s">
        <v>144</v>
      </c>
      <c r="F63" s="17" t="s">
        <v>339</v>
      </c>
      <c r="G63" s="17" t="s">
        <v>340</v>
      </c>
      <c r="H63" s="20" t="s">
        <v>438</v>
      </c>
      <c r="I63" s="17" t="s">
        <v>342</v>
      </c>
      <c r="J63" s="20" t="s">
        <v>343</v>
      </c>
      <c r="K63" s="17">
        <v>200</v>
      </c>
      <c r="L63" s="17" t="s">
        <v>344</v>
      </c>
    </row>
    <row r="64" spans="1:12" ht="28.05" customHeight="1">
      <c r="A64" s="25">
        <v>81</v>
      </c>
      <c r="B64" s="4" t="s">
        <v>318</v>
      </c>
      <c r="C64" s="4" t="s">
        <v>150</v>
      </c>
      <c r="D64" s="21" t="s">
        <v>328</v>
      </c>
      <c r="E64" s="4" t="s">
        <v>319</v>
      </c>
      <c r="F64" s="4" t="s">
        <v>339</v>
      </c>
      <c r="G64" s="4" t="s">
        <v>340</v>
      </c>
      <c r="H64" s="21" t="s">
        <v>439</v>
      </c>
      <c r="I64" s="4" t="s">
        <v>342</v>
      </c>
      <c r="J64" s="21" t="s">
        <v>343</v>
      </c>
      <c r="K64" s="4">
        <v>200</v>
      </c>
      <c r="L64" s="4" t="s">
        <v>440</v>
      </c>
    </row>
  </sheetData>
  <mergeCells count="2">
    <mergeCell ref="A1:L1"/>
    <mergeCell ref="A2:L2"/>
  </mergeCells>
  <phoneticPr fontId="8"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4"/>
  <sheetViews>
    <sheetView showGridLines="0" workbookViewId="0">
      <selection sqref="A1:O1"/>
    </sheetView>
  </sheetViews>
  <sheetFormatPr defaultRowHeight="13.5"/>
  <cols>
    <col min="1" max="1" width="9" customWidth="1"/>
    <col min="2" max="2" width="11" customWidth="1"/>
    <col min="3" max="3" width="30" customWidth="1"/>
    <col min="4" max="4" width="24" customWidth="1"/>
    <col min="5" max="5" width="18" customWidth="1"/>
    <col min="6" max="6" width="13" customWidth="1"/>
    <col min="7" max="9" width="18" customWidth="1"/>
    <col min="10" max="10" width="14" customWidth="1"/>
    <col min="11" max="12" width="18" customWidth="1"/>
    <col min="13" max="13" width="20" customWidth="1"/>
    <col min="14" max="14" width="16" customWidth="1"/>
    <col min="15" max="15" width="44" customWidth="1"/>
  </cols>
  <sheetData>
    <row r="1" spans="1:15" ht="28.05" customHeight="1">
      <c r="A1" s="31" t="s">
        <v>441</v>
      </c>
      <c r="B1" s="31"/>
      <c r="C1" s="31"/>
      <c r="D1" s="31"/>
      <c r="E1" s="31"/>
      <c r="F1" s="31"/>
      <c r="G1" s="31"/>
      <c r="H1" s="31"/>
      <c r="I1" s="31"/>
      <c r="J1" s="31"/>
      <c r="K1" s="31"/>
      <c r="L1" s="31"/>
      <c r="M1" s="31"/>
      <c r="N1" s="31"/>
      <c r="O1" s="31"/>
    </row>
    <row r="2" spans="1:15" ht="34.049999999999997" customHeight="1">
      <c r="A2" s="32" t="s">
        <v>442</v>
      </c>
      <c r="B2" s="32"/>
      <c r="C2" s="32"/>
      <c r="D2" s="32"/>
      <c r="E2" s="32"/>
      <c r="F2" s="32"/>
      <c r="G2" s="32"/>
      <c r="H2" s="32"/>
      <c r="I2" s="32"/>
      <c r="J2" s="32"/>
      <c r="K2" s="32"/>
      <c r="L2" s="32"/>
      <c r="M2" s="32"/>
      <c r="N2" s="32"/>
      <c r="O2" s="32"/>
    </row>
    <row r="4" spans="1:15" ht="38" customHeight="1">
      <c r="A4" s="13" t="s">
        <v>443</v>
      </c>
      <c r="B4" s="14" t="s">
        <v>444</v>
      </c>
      <c r="C4" s="14" t="s">
        <v>445</v>
      </c>
      <c r="D4" s="14" t="s">
        <v>446</v>
      </c>
      <c r="E4" s="14" t="s">
        <v>89</v>
      </c>
      <c r="F4" s="14" t="s">
        <v>447</v>
      </c>
      <c r="G4" s="14" t="s">
        <v>448</v>
      </c>
      <c r="H4" s="14" t="s">
        <v>449</v>
      </c>
      <c r="I4" s="14" t="s">
        <v>450</v>
      </c>
      <c r="J4" s="14" t="s">
        <v>451</v>
      </c>
      <c r="K4" s="14" t="s">
        <v>452</v>
      </c>
      <c r="L4" s="14" t="s">
        <v>453</v>
      </c>
      <c r="M4" s="14" t="s">
        <v>454</v>
      </c>
      <c r="N4" s="14" t="s">
        <v>455</v>
      </c>
      <c r="O4" s="15" t="s">
        <v>94</v>
      </c>
    </row>
    <row r="5" spans="1:15" ht="36" customHeight="1">
      <c r="A5" s="16" t="s">
        <v>99</v>
      </c>
      <c r="B5" s="16">
        <v>1</v>
      </c>
      <c r="C5" s="16" t="s">
        <v>97</v>
      </c>
      <c r="D5" s="16" t="s">
        <v>456</v>
      </c>
      <c r="E5" s="16" t="s">
        <v>98</v>
      </c>
      <c r="F5" s="16">
        <v>100</v>
      </c>
      <c r="G5" s="16">
        <v>99.8</v>
      </c>
      <c r="H5" s="16">
        <v>98.7</v>
      </c>
      <c r="I5" s="16">
        <v>99.8</v>
      </c>
      <c r="J5" s="16"/>
      <c r="K5" s="16"/>
      <c r="L5" s="16"/>
      <c r="M5" s="16"/>
      <c r="N5" s="16"/>
      <c r="O5" s="18" t="s">
        <v>102</v>
      </c>
    </row>
    <row r="6" spans="1:15" ht="36" customHeight="1">
      <c r="A6" s="3" t="s">
        <v>105</v>
      </c>
      <c r="B6" s="3">
        <v>2</v>
      </c>
      <c r="C6" s="3" t="s">
        <v>103</v>
      </c>
      <c r="D6" s="3" t="s">
        <v>457</v>
      </c>
      <c r="E6" s="3" t="s">
        <v>104</v>
      </c>
      <c r="F6" s="3">
        <v>99.8</v>
      </c>
      <c r="G6" s="3">
        <v>95.1</v>
      </c>
      <c r="H6" s="3">
        <v>99.9</v>
      </c>
      <c r="I6" s="3">
        <v>98.8</v>
      </c>
      <c r="J6" s="3"/>
      <c r="K6" s="3"/>
      <c r="L6" s="3"/>
      <c r="M6" s="3"/>
      <c r="N6" s="3"/>
      <c r="O6" s="19" t="s">
        <v>107</v>
      </c>
    </row>
    <row r="7" spans="1:15" ht="36" customHeight="1">
      <c r="A7" s="17" t="s">
        <v>110</v>
      </c>
      <c r="B7" s="17">
        <v>3</v>
      </c>
      <c r="C7" s="17" t="s">
        <v>108</v>
      </c>
      <c r="D7" s="17" t="s">
        <v>458</v>
      </c>
      <c r="E7" s="17" t="s">
        <v>109</v>
      </c>
      <c r="F7" s="17">
        <v>99</v>
      </c>
      <c r="G7" s="17">
        <v>95.8</v>
      </c>
      <c r="H7" s="17">
        <v>95.5</v>
      </c>
      <c r="I7" s="17">
        <v>98.1</v>
      </c>
      <c r="J7" s="17"/>
      <c r="K7" s="17"/>
      <c r="L7" s="17"/>
      <c r="M7" s="17"/>
      <c r="N7" s="17"/>
      <c r="O7" s="20" t="s">
        <v>112</v>
      </c>
    </row>
    <row r="8" spans="1:15" ht="36" customHeight="1">
      <c r="A8" s="3" t="s">
        <v>114</v>
      </c>
      <c r="B8" s="3">
        <v>4</v>
      </c>
      <c r="C8" s="3" t="s">
        <v>113</v>
      </c>
      <c r="D8" s="3" t="s">
        <v>459</v>
      </c>
      <c r="E8" s="3" t="s">
        <v>109</v>
      </c>
      <c r="F8" s="3">
        <v>98.7</v>
      </c>
      <c r="G8" s="3">
        <v>90.5</v>
      </c>
      <c r="H8" s="3">
        <v>98.7</v>
      </c>
      <c r="I8" s="3">
        <v>97.8</v>
      </c>
      <c r="J8" s="3"/>
      <c r="K8" s="3"/>
      <c r="L8" s="3"/>
      <c r="M8" s="3"/>
      <c r="N8" s="3"/>
      <c r="O8" s="19" t="s">
        <v>116</v>
      </c>
    </row>
    <row r="9" spans="1:15" ht="36" customHeight="1">
      <c r="A9" s="17" t="s">
        <v>118</v>
      </c>
      <c r="B9" s="17">
        <v>5</v>
      </c>
      <c r="C9" s="17" t="s">
        <v>117</v>
      </c>
      <c r="D9" s="17" t="s">
        <v>460</v>
      </c>
      <c r="E9" s="17" t="s">
        <v>104</v>
      </c>
      <c r="F9" s="17">
        <v>98.6</v>
      </c>
      <c r="G9" s="17">
        <v>88.1</v>
      </c>
      <c r="H9" s="17">
        <v>99.5</v>
      </c>
      <c r="I9" s="17">
        <v>98.8</v>
      </c>
      <c r="J9" s="17"/>
      <c r="K9" s="17"/>
      <c r="L9" s="17"/>
      <c r="M9" s="17"/>
      <c r="N9" s="17"/>
      <c r="O9" s="20" t="s">
        <v>120</v>
      </c>
    </row>
    <row r="10" spans="1:15" ht="36" customHeight="1">
      <c r="A10" s="3" t="s">
        <v>122</v>
      </c>
      <c r="B10" s="3">
        <v>6</v>
      </c>
      <c r="C10" s="3" t="s">
        <v>121</v>
      </c>
      <c r="D10" s="3" t="s">
        <v>458</v>
      </c>
      <c r="E10" s="3" t="s">
        <v>109</v>
      </c>
      <c r="F10" s="3">
        <v>98.5</v>
      </c>
      <c r="G10" s="3">
        <v>95.2</v>
      </c>
      <c r="H10" s="3">
        <v>96.1</v>
      </c>
      <c r="I10" s="3">
        <v>95.7</v>
      </c>
      <c r="J10" s="3"/>
      <c r="K10" s="3"/>
      <c r="L10" s="3"/>
      <c r="M10" s="3"/>
      <c r="N10" s="3"/>
      <c r="O10" s="19" t="s">
        <v>124</v>
      </c>
    </row>
    <row r="11" spans="1:15" ht="36" customHeight="1">
      <c r="A11" s="17">
        <v>7</v>
      </c>
      <c r="B11" s="17">
        <v>7</v>
      </c>
      <c r="C11" s="17" t="s">
        <v>125</v>
      </c>
      <c r="D11" s="17" t="s">
        <v>458</v>
      </c>
      <c r="E11" s="17" t="s">
        <v>109</v>
      </c>
      <c r="F11" s="17">
        <v>98.2</v>
      </c>
      <c r="G11" s="17">
        <v>92.6</v>
      </c>
      <c r="H11" s="17">
        <v>99.8</v>
      </c>
      <c r="I11" s="17">
        <v>98</v>
      </c>
      <c r="J11" s="17"/>
      <c r="K11" s="17"/>
      <c r="L11" s="17"/>
      <c r="M11" s="17"/>
      <c r="N11" s="17"/>
      <c r="O11" s="20" t="s">
        <v>127</v>
      </c>
    </row>
    <row r="12" spans="1:15" ht="36" customHeight="1">
      <c r="A12" s="3">
        <v>7</v>
      </c>
      <c r="B12" s="3">
        <v>7</v>
      </c>
      <c r="C12" s="3" t="s">
        <v>128</v>
      </c>
      <c r="D12" s="3" t="s">
        <v>461</v>
      </c>
      <c r="E12" s="3" t="s">
        <v>129</v>
      </c>
      <c r="F12" s="3">
        <v>98.2</v>
      </c>
      <c r="G12" s="3">
        <v>89.9</v>
      </c>
      <c r="H12" s="3">
        <v>99</v>
      </c>
      <c r="I12" s="3">
        <v>92.3</v>
      </c>
      <c r="J12" s="3"/>
      <c r="K12" s="3"/>
      <c r="L12" s="3"/>
      <c r="M12" s="3"/>
      <c r="N12" s="3"/>
      <c r="O12" s="19" t="s">
        <v>131</v>
      </c>
    </row>
    <row r="13" spans="1:15" ht="36" customHeight="1">
      <c r="A13" s="17" t="s">
        <v>134</v>
      </c>
      <c r="B13" s="17">
        <v>9</v>
      </c>
      <c r="C13" s="17" t="s">
        <v>133</v>
      </c>
      <c r="D13" s="17" t="s">
        <v>462</v>
      </c>
      <c r="E13" s="17" t="s">
        <v>104</v>
      </c>
      <c r="F13" s="17">
        <v>98.1</v>
      </c>
      <c r="G13" s="17">
        <v>91.6</v>
      </c>
      <c r="H13" s="17">
        <v>99.7</v>
      </c>
      <c r="I13" s="17">
        <v>98.7</v>
      </c>
      <c r="J13" s="17"/>
      <c r="K13" s="17"/>
      <c r="L13" s="17"/>
      <c r="M13" s="17"/>
      <c r="N13" s="17"/>
      <c r="O13" s="20" t="s">
        <v>136</v>
      </c>
    </row>
    <row r="14" spans="1:15" ht="36" customHeight="1">
      <c r="A14" s="3" t="s">
        <v>138</v>
      </c>
      <c r="B14" s="3">
        <v>10</v>
      </c>
      <c r="C14" s="3" t="s">
        <v>137</v>
      </c>
      <c r="D14" s="3" t="s">
        <v>463</v>
      </c>
      <c r="E14" s="3" t="s">
        <v>109</v>
      </c>
      <c r="F14" s="3">
        <v>98</v>
      </c>
      <c r="G14" s="3">
        <v>85.6</v>
      </c>
      <c r="H14" s="3">
        <v>99.4</v>
      </c>
      <c r="I14" s="3">
        <v>98</v>
      </c>
      <c r="J14" s="3"/>
      <c r="K14" s="3"/>
      <c r="L14" s="3"/>
      <c r="M14" s="3"/>
      <c r="N14" s="3"/>
      <c r="O14" s="19" t="s">
        <v>140</v>
      </c>
    </row>
    <row r="15" spans="1:15" ht="36" customHeight="1">
      <c r="A15" s="17">
        <v>11</v>
      </c>
      <c r="B15" s="17">
        <v>11</v>
      </c>
      <c r="C15" s="17" t="s">
        <v>142</v>
      </c>
      <c r="D15" s="17" t="s">
        <v>464</v>
      </c>
      <c r="E15" s="17" t="s">
        <v>143</v>
      </c>
      <c r="F15" s="17">
        <v>97.9</v>
      </c>
      <c r="G15" s="17">
        <v>92.1</v>
      </c>
      <c r="H15" s="17">
        <v>99.8</v>
      </c>
      <c r="I15" s="17">
        <v>99.5</v>
      </c>
      <c r="J15" s="17"/>
      <c r="K15" s="17"/>
      <c r="L15" s="17"/>
      <c r="M15" s="17"/>
      <c r="N15" s="17"/>
      <c r="O15" s="20" t="s">
        <v>145</v>
      </c>
    </row>
    <row r="16" spans="1:15" ht="36" customHeight="1">
      <c r="A16" s="3">
        <v>11</v>
      </c>
      <c r="B16" s="3">
        <v>11</v>
      </c>
      <c r="C16" s="3" t="s">
        <v>146</v>
      </c>
      <c r="D16" s="3" t="s">
        <v>465</v>
      </c>
      <c r="E16" s="3" t="s">
        <v>129</v>
      </c>
      <c r="F16" s="3">
        <v>97.9</v>
      </c>
      <c r="G16" s="3">
        <v>89</v>
      </c>
      <c r="H16" s="3">
        <v>98.3</v>
      </c>
      <c r="I16" s="3">
        <v>92.2</v>
      </c>
      <c r="J16" s="3"/>
      <c r="K16" s="3"/>
      <c r="L16" s="3"/>
      <c r="M16" s="3"/>
      <c r="N16" s="3"/>
      <c r="O16" s="19" t="s">
        <v>148</v>
      </c>
    </row>
    <row r="17" spans="1:15" ht="36" customHeight="1">
      <c r="A17" s="17">
        <v>11</v>
      </c>
      <c r="B17" s="17">
        <v>11</v>
      </c>
      <c r="C17" s="17" t="s">
        <v>149</v>
      </c>
      <c r="D17" s="17" t="s">
        <v>466</v>
      </c>
      <c r="E17" s="17" t="s">
        <v>150</v>
      </c>
      <c r="F17" s="17">
        <v>97.9</v>
      </c>
      <c r="G17" s="17">
        <v>94.5</v>
      </c>
      <c r="H17" s="17">
        <v>100</v>
      </c>
      <c r="I17" s="17">
        <v>98.4</v>
      </c>
      <c r="J17" s="17"/>
      <c r="K17" s="17"/>
      <c r="L17" s="17"/>
      <c r="M17" s="17"/>
      <c r="N17" s="17"/>
      <c r="O17" s="20" t="s">
        <v>152</v>
      </c>
    </row>
    <row r="18" spans="1:15" ht="36" customHeight="1">
      <c r="A18" s="3" t="s">
        <v>154</v>
      </c>
      <c r="B18" s="3">
        <v>13</v>
      </c>
      <c r="C18" s="3" t="s">
        <v>153</v>
      </c>
      <c r="D18" s="3" t="s">
        <v>467</v>
      </c>
      <c r="E18" s="3" t="s">
        <v>150</v>
      </c>
      <c r="F18" s="3">
        <v>97.8</v>
      </c>
      <c r="G18" s="3">
        <v>93.3</v>
      </c>
      <c r="H18" s="3">
        <v>100</v>
      </c>
      <c r="I18" s="3">
        <v>98.5</v>
      </c>
      <c r="J18" s="3"/>
      <c r="K18" s="3"/>
      <c r="L18" s="3"/>
      <c r="M18" s="3"/>
      <c r="N18" s="3"/>
      <c r="O18" s="19" t="s">
        <v>156</v>
      </c>
    </row>
    <row r="19" spans="1:15" ht="36" customHeight="1">
      <c r="A19" s="17" t="s">
        <v>158</v>
      </c>
      <c r="B19" s="17">
        <v>14</v>
      </c>
      <c r="C19" s="17" t="s">
        <v>157</v>
      </c>
      <c r="D19" s="17" t="s">
        <v>468</v>
      </c>
      <c r="E19" s="17" t="s">
        <v>109</v>
      </c>
      <c r="F19" s="17">
        <v>97.7</v>
      </c>
      <c r="G19" s="17">
        <v>97.7</v>
      </c>
      <c r="H19" s="17">
        <v>100</v>
      </c>
      <c r="I19" s="17">
        <v>98.1</v>
      </c>
      <c r="J19" s="17"/>
      <c r="K19" s="17"/>
      <c r="L19" s="17"/>
      <c r="M19" s="17"/>
      <c r="N19" s="17"/>
      <c r="O19" s="20" t="s">
        <v>160</v>
      </c>
    </row>
    <row r="20" spans="1:15" ht="36" customHeight="1">
      <c r="A20" s="3" t="s">
        <v>162</v>
      </c>
      <c r="B20" s="3">
        <v>15</v>
      </c>
      <c r="C20" s="3" t="s">
        <v>161</v>
      </c>
      <c r="D20" s="3" t="s">
        <v>461</v>
      </c>
      <c r="E20" s="3" t="s">
        <v>129</v>
      </c>
      <c r="F20" s="3">
        <v>97.3</v>
      </c>
      <c r="G20" s="3">
        <v>86</v>
      </c>
      <c r="H20" s="3">
        <v>99.5</v>
      </c>
      <c r="I20" s="3">
        <v>92.2</v>
      </c>
      <c r="J20" s="3"/>
      <c r="K20" s="3"/>
      <c r="L20" s="3"/>
      <c r="M20" s="3"/>
      <c r="N20" s="3"/>
      <c r="O20" s="19" t="s">
        <v>164</v>
      </c>
    </row>
    <row r="21" spans="1:15" ht="36" customHeight="1">
      <c r="A21" s="17">
        <v>16</v>
      </c>
      <c r="B21" s="17">
        <v>16</v>
      </c>
      <c r="C21" s="17" t="s">
        <v>165</v>
      </c>
      <c r="D21" s="17" t="s">
        <v>469</v>
      </c>
      <c r="E21" s="17" t="s">
        <v>129</v>
      </c>
      <c r="F21" s="17">
        <v>97.2</v>
      </c>
      <c r="G21" s="17">
        <v>89.7</v>
      </c>
      <c r="H21" s="17">
        <v>94.8</v>
      </c>
      <c r="I21" s="17">
        <v>92.1</v>
      </c>
      <c r="J21" s="17"/>
      <c r="K21" s="17"/>
      <c r="L21" s="17"/>
      <c r="M21" s="17"/>
      <c r="N21" s="17"/>
      <c r="O21" s="20" t="s">
        <v>167</v>
      </c>
    </row>
    <row r="22" spans="1:15" ht="36" customHeight="1">
      <c r="A22" s="3">
        <v>16</v>
      </c>
      <c r="B22" s="3">
        <v>16</v>
      </c>
      <c r="C22" s="3" t="s">
        <v>168</v>
      </c>
      <c r="D22" s="3" t="s">
        <v>458</v>
      </c>
      <c r="E22" s="3" t="s">
        <v>109</v>
      </c>
      <c r="F22" s="3">
        <v>97.2</v>
      </c>
      <c r="G22" s="3">
        <v>89.7</v>
      </c>
      <c r="H22" s="3">
        <v>94.4</v>
      </c>
      <c r="I22" s="3">
        <v>96.9</v>
      </c>
      <c r="J22" s="3"/>
      <c r="K22" s="3"/>
      <c r="L22" s="3"/>
      <c r="M22" s="3"/>
      <c r="N22" s="3"/>
      <c r="O22" s="19" t="s">
        <v>170</v>
      </c>
    </row>
    <row r="23" spans="1:15" ht="36" customHeight="1">
      <c r="A23" s="17" t="s">
        <v>172</v>
      </c>
      <c r="B23" s="17">
        <v>19</v>
      </c>
      <c r="C23" s="17" t="s">
        <v>171</v>
      </c>
      <c r="D23" s="17" t="s">
        <v>470</v>
      </c>
      <c r="E23" s="17" t="s">
        <v>109</v>
      </c>
      <c r="F23" s="17">
        <v>96.9</v>
      </c>
      <c r="G23" s="17">
        <v>79</v>
      </c>
      <c r="H23" s="17">
        <v>96.7</v>
      </c>
      <c r="I23" s="17">
        <v>97.6</v>
      </c>
      <c r="J23" s="17"/>
      <c r="K23" s="17"/>
      <c r="L23" s="17"/>
      <c r="M23" s="17"/>
      <c r="N23" s="17"/>
      <c r="O23" s="20" t="s">
        <v>174</v>
      </c>
    </row>
    <row r="24" spans="1:15" ht="36" customHeight="1">
      <c r="A24" s="3" t="s">
        <v>176</v>
      </c>
      <c r="B24" s="3">
        <v>20</v>
      </c>
      <c r="C24" s="3" t="s">
        <v>175</v>
      </c>
      <c r="D24" s="3" t="s">
        <v>471</v>
      </c>
      <c r="E24" s="3" t="s">
        <v>150</v>
      </c>
      <c r="F24" s="3">
        <v>96.3</v>
      </c>
      <c r="G24" s="3">
        <v>97.5</v>
      </c>
      <c r="H24" s="3">
        <v>94.5</v>
      </c>
      <c r="I24" s="3">
        <v>96.5</v>
      </c>
      <c r="J24" s="3"/>
      <c r="K24" s="3"/>
      <c r="L24" s="3"/>
      <c r="M24" s="3"/>
      <c r="N24" s="3"/>
      <c r="O24" s="19" t="s">
        <v>178</v>
      </c>
    </row>
    <row r="25" spans="1:15" ht="36" customHeight="1">
      <c r="A25" s="17" t="s">
        <v>180</v>
      </c>
      <c r="B25" s="17">
        <v>21</v>
      </c>
      <c r="C25" s="17" t="s">
        <v>179</v>
      </c>
      <c r="D25" s="17" t="s">
        <v>472</v>
      </c>
      <c r="E25" s="17" t="s">
        <v>150</v>
      </c>
      <c r="F25" s="17">
        <v>96.1</v>
      </c>
      <c r="G25" s="17">
        <v>85.1</v>
      </c>
      <c r="H25" s="17">
        <v>95.3</v>
      </c>
      <c r="I25" s="17">
        <v>98.2</v>
      </c>
      <c r="J25" s="17"/>
      <c r="K25" s="17"/>
      <c r="L25" s="17"/>
      <c r="M25" s="17"/>
      <c r="N25" s="17"/>
      <c r="O25" s="20" t="s">
        <v>182</v>
      </c>
    </row>
    <row r="26" spans="1:15" ht="36" customHeight="1">
      <c r="A26" s="3">
        <v>22</v>
      </c>
      <c r="B26" s="3">
        <v>22</v>
      </c>
      <c r="C26" s="3" t="s">
        <v>183</v>
      </c>
      <c r="D26" s="3" t="s">
        <v>473</v>
      </c>
      <c r="E26" s="3" t="s">
        <v>184</v>
      </c>
      <c r="F26" s="3">
        <v>95.9</v>
      </c>
      <c r="G26" s="3">
        <v>87</v>
      </c>
      <c r="H26" s="3">
        <v>87.9</v>
      </c>
      <c r="I26" s="3">
        <v>99.2</v>
      </c>
      <c r="J26" s="3"/>
      <c r="K26" s="3"/>
      <c r="L26" s="3"/>
      <c r="M26" s="3"/>
      <c r="N26" s="3"/>
      <c r="O26" s="19" t="s">
        <v>186</v>
      </c>
    </row>
    <row r="27" spans="1:15" ht="36" customHeight="1">
      <c r="A27" s="17">
        <v>22</v>
      </c>
      <c r="B27" s="17">
        <v>22</v>
      </c>
      <c r="C27" s="17" t="s">
        <v>187</v>
      </c>
      <c r="D27" s="17" t="s">
        <v>474</v>
      </c>
      <c r="E27" s="17" t="s">
        <v>188</v>
      </c>
      <c r="F27" s="17">
        <v>95.9</v>
      </c>
      <c r="G27" s="17">
        <v>87.9</v>
      </c>
      <c r="H27" s="17">
        <v>91.4</v>
      </c>
      <c r="I27" s="17">
        <v>99.6</v>
      </c>
      <c r="J27" s="17"/>
      <c r="K27" s="17"/>
      <c r="L27" s="17"/>
      <c r="M27" s="17"/>
      <c r="N27" s="17"/>
      <c r="O27" s="20" t="s">
        <v>190</v>
      </c>
    </row>
    <row r="28" spans="1:15" ht="36" customHeight="1">
      <c r="A28" s="3">
        <v>24</v>
      </c>
      <c r="B28" s="3">
        <v>24</v>
      </c>
      <c r="C28" s="3" t="s">
        <v>191</v>
      </c>
      <c r="D28" s="3" t="s">
        <v>475</v>
      </c>
      <c r="E28" s="3" t="s">
        <v>109</v>
      </c>
      <c r="F28" s="3">
        <v>95.8</v>
      </c>
      <c r="G28" s="3">
        <v>82.2</v>
      </c>
      <c r="H28" s="3">
        <v>94.9</v>
      </c>
      <c r="I28" s="3">
        <v>96.7</v>
      </c>
      <c r="J28" s="3"/>
      <c r="K28" s="3"/>
      <c r="L28" s="3"/>
      <c r="M28" s="3"/>
      <c r="N28" s="3"/>
      <c r="O28" s="19" t="s">
        <v>193</v>
      </c>
    </row>
    <row r="29" spans="1:15" ht="36" customHeight="1">
      <c r="A29" s="17">
        <v>24</v>
      </c>
      <c r="B29" s="17">
        <v>24</v>
      </c>
      <c r="C29" s="17" t="s">
        <v>194</v>
      </c>
      <c r="D29" s="17" t="s">
        <v>476</v>
      </c>
      <c r="E29" s="17" t="s">
        <v>109</v>
      </c>
      <c r="F29" s="17">
        <v>95.8</v>
      </c>
      <c r="G29" s="17">
        <v>78.2</v>
      </c>
      <c r="H29" s="17">
        <v>95.4</v>
      </c>
      <c r="I29" s="17">
        <v>98</v>
      </c>
      <c r="J29" s="17"/>
      <c r="K29" s="17"/>
      <c r="L29" s="17"/>
      <c r="M29" s="17"/>
      <c r="N29" s="17"/>
      <c r="O29" s="20" t="s">
        <v>196</v>
      </c>
    </row>
    <row r="30" spans="1:15" ht="36" customHeight="1">
      <c r="A30" s="3">
        <v>24</v>
      </c>
      <c r="B30" s="3">
        <v>24</v>
      </c>
      <c r="C30" s="3" t="s">
        <v>197</v>
      </c>
      <c r="D30" s="3" t="s">
        <v>477</v>
      </c>
      <c r="E30" s="3" t="s">
        <v>104</v>
      </c>
      <c r="F30" s="3">
        <v>95.8</v>
      </c>
      <c r="G30" s="3">
        <v>83.5</v>
      </c>
      <c r="H30" s="3">
        <v>96.2</v>
      </c>
      <c r="I30" s="3">
        <v>97.8</v>
      </c>
      <c r="J30" s="3"/>
      <c r="K30" s="3"/>
      <c r="L30" s="3"/>
      <c r="M30" s="3"/>
      <c r="N30" s="3"/>
      <c r="O30" s="19" t="s">
        <v>199</v>
      </c>
    </row>
    <row r="31" spans="1:15" ht="36" customHeight="1">
      <c r="A31" s="17" t="s">
        <v>202</v>
      </c>
      <c r="B31" s="17">
        <v>27</v>
      </c>
      <c r="C31" s="17" t="s">
        <v>201</v>
      </c>
      <c r="D31" s="17" t="s">
        <v>478</v>
      </c>
      <c r="E31" s="17" t="s">
        <v>109</v>
      </c>
      <c r="F31" s="17">
        <v>95.7</v>
      </c>
      <c r="G31" s="17">
        <v>77.400000000000006</v>
      </c>
      <c r="H31" s="17">
        <v>96</v>
      </c>
      <c r="I31" s="17">
        <v>97.4</v>
      </c>
      <c r="J31" s="17"/>
      <c r="K31" s="17"/>
      <c r="L31" s="17"/>
      <c r="M31" s="17"/>
      <c r="N31" s="17"/>
      <c r="O31" s="20" t="s">
        <v>204</v>
      </c>
    </row>
    <row r="32" spans="1:15" ht="36" customHeight="1">
      <c r="A32" s="3" t="s">
        <v>208</v>
      </c>
      <c r="B32" s="3">
        <v>28</v>
      </c>
      <c r="C32" s="3" t="s">
        <v>206</v>
      </c>
      <c r="D32" s="3" t="s">
        <v>479</v>
      </c>
      <c r="E32" s="3" t="s">
        <v>207</v>
      </c>
      <c r="F32" s="3">
        <v>95.5</v>
      </c>
      <c r="G32" s="3">
        <v>76.400000000000006</v>
      </c>
      <c r="H32" s="3">
        <v>99</v>
      </c>
      <c r="I32" s="3">
        <v>98.1</v>
      </c>
      <c r="J32" s="3"/>
      <c r="K32" s="3"/>
      <c r="L32" s="3"/>
      <c r="M32" s="3"/>
      <c r="N32" s="3"/>
      <c r="O32" s="19" t="s">
        <v>210</v>
      </c>
    </row>
    <row r="33" spans="1:15" ht="36" customHeight="1">
      <c r="A33" s="17" t="s">
        <v>213</v>
      </c>
      <c r="B33" s="17">
        <v>29</v>
      </c>
      <c r="C33" s="17" t="s">
        <v>211</v>
      </c>
      <c r="D33" s="17" t="s">
        <v>480</v>
      </c>
      <c r="E33" s="17" t="s">
        <v>212</v>
      </c>
      <c r="F33" s="17">
        <v>95.4</v>
      </c>
      <c r="G33" s="17">
        <v>77.3</v>
      </c>
      <c r="H33" s="17">
        <v>97.4</v>
      </c>
      <c r="I33" s="17">
        <v>97.5</v>
      </c>
      <c r="J33" s="17"/>
      <c r="K33" s="17"/>
      <c r="L33" s="17"/>
      <c r="M33" s="17"/>
      <c r="N33" s="17"/>
      <c r="O33" s="20" t="s">
        <v>214</v>
      </c>
    </row>
    <row r="34" spans="1:15" ht="36" customHeight="1">
      <c r="A34" s="4">
        <v>30</v>
      </c>
      <c r="B34" s="4">
        <v>30</v>
      </c>
      <c r="C34" s="4" t="s">
        <v>215</v>
      </c>
      <c r="D34" s="4" t="s">
        <v>481</v>
      </c>
      <c r="E34" s="4" t="s">
        <v>150</v>
      </c>
      <c r="F34" s="4">
        <v>95.3</v>
      </c>
      <c r="G34" s="4">
        <v>93.6</v>
      </c>
      <c r="H34" s="4">
        <v>99</v>
      </c>
      <c r="I34" s="4">
        <v>81</v>
      </c>
      <c r="J34" s="4"/>
      <c r="K34" s="4"/>
      <c r="L34" s="4"/>
      <c r="M34" s="4"/>
      <c r="N34" s="4"/>
      <c r="O34" s="21" t="s">
        <v>217</v>
      </c>
    </row>
  </sheetData>
  <mergeCells count="2">
    <mergeCell ref="A1:O1"/>
    <mergeCell ref="A2:O2"/>
  </mergeCells>
  <phoneticPr fontId="8"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4"/>
  <sheetViews>
    <sheetView showGridLines="0" workbookViewId="0">
      <selection sqref="A1:H1"/>
    </sheetView>
  </sheetViews>
  <sheetFormatPr defaultRowHeight="13.5"/>
  <cols>
    <col min="1" max="1" width="9" customWidth="1"/>
    <col min="2" max="2" width="11" customWidth="1"/>
    <col min="3" max="3" width="30" customWidth="1"/>
    <col min="4" max="4" width="18" customWidth="1"/>
    <col min="5" max="6" width="13" customWidth="1"/>
    <col min="7" max="7" width="55" customWidth="1"/>
    <col min="8" max="8" width="48" customWidth="1"/>
  </cols>
  <sheetData>
    <row r="1" spans="1:8" ht="28.05" customHeight="1">
      <c r="A1" s="31" t="s">
        <v>482</v>
      </c>
      <c r="B1" s="31"/>
      <c r="C1" s="31"/>
      <c r="D1" s="31"/>
      <c r="E1" s="31"/>
      <c r="F1" s="31"/>
      <c r="G1" s="31"/>
      <c r="H1" s="31"/>
    </row>
    <row r="2" spans="1:8" ht="34.049999999999997" customHeight="1">
      <c r="A2" s="32" t="s">
        <v>483</v>
      </c>
      <c r="B2" s="32"/>
      <c r="C2" s="32"/>
      <c r="D2" s="32"/>
      <c r="E2" s="32"/>
      <c r="F2" s="32"/>
      <c r="G2" s="32"/>
      <c r="H2" s="32"/>
    </row>
    <row r="4" spans="1:8" ht="38" customHeight="1">
      <c r="A4" s="13" t="s">
        <v>443</v>
      </c>
      <c r="B4" s="14" t="s">
        <v>444</v>
      </c>
      <c r="C4" s="14" t="s">
        <v>445</v>
      </c>
      <c r="D4" s="14" t="s">
        <v>89</v>
      </c>
      <c r="E4" s="14" t="s">
        <v>447</v>
      </c>
      <c r="F4" s="14" t="s">
        <v>484</v>
      </c>
      <c r="G4" s="14" t="s">
        <v>485</v>
      </c>
      <c r="H4" s="15" t="s">
        <v>95</v>
      </c>
    </row>
    <row r="5" spans="1:8" ht="28.05" customHeight="1">
      <c r="A5" s="16" t="s">
        <v>105</v>
      </c>
      <c r="B5" s="16">
        <v>2</v>
      </c>
      <c r="C5" s="16" t="s">
        <v>219</v>
      </c>
      <c r="D5" s="16" t="s">
        <v>129</v>
      </c>
      <c r="E5" s="16">
        <v>97.9</v>
      </c>
      <c r="F5" s="16">
        <v>95.6</v>
      </c>
      <c r="G5" s="16" t="s">
        <v>486</v>
      </c>
      <c r="H5" s="18" t="s">
        <v>222</v>
      </c>
    </row>
    <row r="6" spans="1:8" ht="28.05" customHeight="1">
      <c r="A6" s="3" t="s">
        <v>110</v>
      </c>
      <c r="B6" s="3">
        <v>3</v>
      </c>
      <c r="C6" s="3" t="s">
        <v>223</v>
      </c>
      <c r="D6" s="3" t="s">
        <v>129</v>
      </c>
      <c r="E6" s="3">
        <v>97.8</v>
      </c>
      <c r="F6" s="3">
        <v>94.3</v>
      </c>
      <c r="G6" s="3" t="s">
        <v>487</v>
      </c>
      <c r="H6" s="19" t="s">
        <v>225</v>
      </c>
    </row>
    <row r="7" spans="1:8" ht="28.05" customHeight="1">
      <c r="A7" s="17" t="s">
        <v>114</v>
      </c>
      <c r="B7" s="17">
        <v>4</v>
      </c>
      <c r="C7" s="17" t="s">
        <v>488</v>
      </c>
      <c r="D7" s="17" t="s">
        <v>104</v>
      </c>
      <c r="E7" s="17">
        <v>97.5</v>
      </c>
      <c r="F7" s="17">
        <v>93.5</v>
      </c>
      <c r="G7" s="17" t="s">
        <v>489</v>
      </c>
      <c r="H7" s="20" t="s">
        <v>227</v>
      </c>
    </row>
    <row r="8" spans="1:8" ht="28.05" customHeight="1">
      <c r="A8" s="3" t="s">
        <v>118</v>
      </c>
      <c r="B8" s="3">
        <v>5</v>
      </c>
      <c r="C8" s="3" t="s">
        <v>228</v>
      </c>
      <c r="D8" s="3" t="s">
        <v>229</v>
      </c>
      <c r="E8" s="3">
        <v>97.3</v>
      </c>
      <c r="F8" s="3">
        <v>99.6</v>
      </c>
      <c r="G8" s="3" t="s">
        <v>490</v>
      </c>
      <c r="H8" s="19" t="s">
        <v>231</v>
      </c>
    </row>
    <row r="9" spans="1:8" ht="28.05" customHeight="1">
      <c r="A9" s="17" t="s">
        <v>122</v>
      </c>
      <c r="B9" s="17">
        <v>6</v>
      </c>
      <c r="C9" s="17" t="s">
        <v>232</v>
      </c>
      <c r="D9" s="17" t="s">
        <v>233</v>
      </c>
      <c r="E9" s="17">
        <v>96.8</v>
      </c>
      <c r="F9" s="17">
        <v>95.2</v>
      </c>
      <c r="G9" s="17" t="s">
        <v>491</v>
      </c>
      <c r="H9" s="20" t="s">
        <v>235</v>
      </c>
    </row>
    <row r="10" spans="1:8" ht="28.05" customHeight="1">
      <c r="A10" s="3">
        <v>7</v>
      </c>
      <c r="B10" s="3">
        <v>7</v>
      </c>
      <c r="C10" s="3" t="s">
        <v>236</v>
      </c>
      <c r="D10" s="3" t="s">
        <v>237</v>
      </c>
      <c r="E10" s="3">
        <v>96.3</v>
      </c>
      <c r="F10" s="3">
        <v>94.1</v>
      </c>
      <c r="G10" s="3" t="s">
        <v>492</v>
      </c>
      <c r="H10" s="19" t="s">
        <v>239</v>
      </c>
    </row>
    <row r="11" spans="1:8" ht="28.05" customHeight="1">
      <c r="A11" s="17">
        <v>7</v>
      </c>
      <c r="B11" s="17">
        <v>7</v>
      </c>
      <c r="C11" s="17" t="s">
        <v>240</v>
      </c>
      <c r="D11" s="17" t="s">
        <v>229</v>
      </c>
      <c r="E11" s="17">
        <v>96.3</v>
      </c>
      <c r="F11" s="17">
        <v>96.5</v>
      </c>
      <c r="G11" s="17" t="s">
        <v>493</v>
      </c>
      <c r="H11" s="20" t="s">
        <v>242</v>
      </c>
    </row>
    <row r="12" spans="1:8" ht="28.05" customHeight="1">
      <c r="A12" s="3" t="s">
        <v>134</v>
      </c>
      <c r="B12" s="3">
        <v>9</v>
      </c>
      <c r="C12" s="3" t="s">
        <v>243</v>
      </c>
      <c r="D12" s="3" t="s">
        <v>244</v>
      </c>
      <c r="E12" s="3">
        <v>96.1</v>
      </c>
      <c r="F12" s="3">
        <v>98.9</v>
      </c>
      <c r="G12" s="3" t="s">
        <v>494</v>
      </c>
      <c r="H12" s="19" t="s">
        <v>246</v>
      </c>
    </row>
    <row r="13" spans="1:8" ht="28.05" customHeight="1">
      <c r="A13" s="17">
        <v>10</v>
      </c>
      <c r="B13" s="17">
        <v>10</v>
      </c>
      <c r="C13" s="17" t="s">
        <v>247</v>
      </c>
      <c r="D13" s="17" t="s">
        <v>248</v>
      </c>
      <c r="E13" s="17">
        <v>96</v>
      </c>
      <c r="F13" s="17"/>
      <c r="G13" s="17" t="s">
        <v>495</v>
      </c>
      <c r="H13" s="20" t="s">
        <v>250</v>
      </c>
    </row>
    <row r="14" spans="1:8" ht="28.05" customHeight="1">
      <c r="A14" s="3">
        <v>10</v>
      </c>
      <c r="B14" s="3">
        <v>10</v>
      </c>
      <c r="C14" s="3" t="s">
        <v>251</v>
      </c>
      <c r="D14" s="3" t="s">
        <v>104</v>
      </c>
      <c r="E14" s="3">
        <v>96</v>
      </c>
      <c r="F14" s="3">
        <v>92.9</v>
      </c>
      <c r="G14" s="3" t="s">
        <v>496</v>
      </c>
      <c r="H14" s="19" t="s">
        <v>252</v>
      </c>
    </row>
    <row r="15" spans="1:8" ht="28.05" customHeight="1">
      <c r="A15" s="17">
        <v>12</v>
      </c>
      <c r="B15" s="17">
        <v>12</v>
      </c>
      <c r="C15" s="17" t="s">
        <v>253</v>
      </c>
      <c r="D15" s="17" t="s">
        <v>233</v>
      </c>
      <c r="E15" s="17">
        <v>95.9</v>
      </c>
      <c r="F15" s="17"/>
      <c r="G15" s="17" t="s">
        <v>497</v>
      </c>
      <c r="H15" s="20" t="s">
        <v>255</v>
      </c>
    </row>
    <row r="16" spans="1:8" ht="28.05" customHeight="1">
      <c r="A16" s="3" t="s">
        <v>162</v>
      </c>
      <c r="B16" s="3">
        <v>15</v>
      </c>
      <c r="C16" s="3" t="s">
        <v>256</v>
      </c>
      <c r="D16" s="3" t="s">
        <v>257</v>
      </c>
      <c r="E16" s="3">
        <v>95.7</v>
      </c>
      <c r="F16" s="3">
        <v>89.7</v>
      </c>
      <c r="G16" s="3" t="s">
        <v>498</v>
      </c>
      <c r="H16" s="19" t="s">
        <v>259</v>
      </c>
    </row>
    <row r="17" spans="1:8" ht="28.05" customHeight="1">
      <c r="A17" s="17">
        <v>16</v>
      </c>
      <c r="B17" s="17">
        <v>16</v>
      </c>
      <c r="C17" s="17" t="s">
        <v>260</v>
      </c>
      <c r="D17" s="17" t="s">
        <v>233</v>
      </c>
      <c r="E17" s="17">
        <v>95.6</v>
      </c>
      <c r="F17" s="17">
        <v>91.7</v>
      </c>
      <c r="G17" s="17" t="s">
        <v>499</v>
      </c>
      <c r="H17" s="20" t="s">
        <v>262</v>
      </c>
    </row>
    <row r="18" spans="1:8" ht="28.05" customHeight="1">
      <c r="A18" s="3">
        <v>16</v>
      </c>
      <c r="B18" s="3">
        <v>16</v>
      </c>
      <c r="C18" s="3" t="s">
        <v>263</v>
      </c>
      <c r="D18" s="3" t="s">
        <v>129</v>
      </c>
      <c r="E18" s="3">
        <v>95.6</v>
      </c>
      <c r="F18" s="3">
        <v>92.1</v>
      </c>
      <c r="G18" s="3" t="s">
        <v>500</v>
      </c>
      <c r="H18" s="19" t="s">
        <v>265</v>
      </c>
    </row>
    <row r="19" spans="1:8" ht="28.05" customHeight="1">
      <c r="A19" s="17" t="s">
        <v>266</v>
      </c>
      <c r="B19" s="17">
        <v>18</v>
      </c>
      <c r="C19" s="17" t="s">
        <v>27</v>
      </c>
      <c r="D19" s="17" t="s">
        <v>104</v>
      </c>
      <c r="E19" s="17">
        <v>95.5</v>
      </c>
      <c r="F19" s="17">
        <v>93</v>
      </c>
      <c r="G19" s="17" t="s">
        <v>501</v>
      </c>
      <c r="H19" s="20" t="s">
        <v>268</v>
      </c>
    </row>
    <row r="20" spans="1:8" ht="28.05" customHeight="1">
      <c r="A20" s="3" t="s">
        <v>172</v>
      </c>
      <c r="B20" s="3">
        <v>19</v>
      </c>
      <c r="C20" s="3" t="s">
        <v>269</v>
      </c>
      <c r="D20" s="3" t="s">
        <v>270</v>
      </c>
      <c r="E20" s="3">
        <v>95.4</v>
      </c>
      <c r="F20" s="3">
        <v>94.1</v>
      </c>
      <c r="G20" s="3" t="s">
        <v>502</v>
      </c>
      <c r="H20" s="19" t="s">
        <v>272</v>
      </c>
    </row>
    <row r="21" spans="1:8" ht="28.05" customHeight="1">
      <c r="A21" s="17">
        <v>20</v>
      </c>
      <c r="B21" s="17">
        <v>20</v>
      </c>
      <c r="C21" s="17" t="s">
        <v>277</v>
      </c>
      <c r="D21" s="17" t="s">
        <v>233</v>
      </c>
      <c r="E21" s="17">
        <v>95.3</v>
      </c>
      <c r="F21" s="17"/>
      <c r="G21" s="17" t="s">
        <v>503</v>
      </c>
      <c r="H21" s="20" t="s">
        <v>279</v>
      </c>
    </row>
    <row r="22" spans="1:8" ht="28.05" customHeight="1">
      <c r="A22" s="3">
        <v>20</v>
      </c>
      <c r="B22" s="3">
        <v>20</v>
      </c>
      <c r="C22" s="3" t="s">
        <v>280</v>
      </c>
      <c r="D22" s="3" t="s">
        <v>281</v>
      </c>
      <c r="E22" s="3">
        <v>95.3</v>
      </c>
      <c r="F22" s="3"/>
      <c r="G22" s="3" t="s">
        <v>504</v>
      </c>
      <c r="H22" s="19" t="s">
        <v>283</v>
      </c>
    </row>
    <row r="23" spans="1:8" ht="28.05" customHeight="1">
      <c r="A23" s="17">
        <v>20</v>
      </c>
      <c r="B23" s="17">
        <v>20</v>
      </c>
      <c r="C23" s="17" t="s">
        <v>273</v>
      </c>
      <c r="D23" s="17" t="s">
        <v>109</v>
      </c>
      <c r="E23" s="17">
        <v>95.3</v>
      </c>
      <c r="F23" s="17">
        <v>92.7</v>
      </c>
      <c r="G23" s="17" t="s">
        <v>505</v>
      </c>
      <c r="H23" s="20" t="s">
        <v>276</v>
      </c>
    </row>
    <row r="24" spans="1:8" ht="28.05" customHeight="1">
      <c r="A24" s="3" t="s">
        <v>286</v>
      </c>
      <c r="B24" s="3">
        <v>23</v>
      </c>
      <c r="C24" s="3" t="s">
        <v>284</v>
      </c>
      <c r="D24" s="3" t="s">
        <v>285</v>
      </c>
      <c r="E24" s="3">
        <v>95.2</v>
      </c>
      <c r="F24" s="3">
        <v>90.1</v>
      </c>
      <c r="G24" s="3" t="s">
        <v>506</v>
      </c>
      <c r="H24" s="19" t="s">
        <v>287</v>
      </c>
    </row>
    <row r="25" spans="1:8" ht="28.05" customHeight="1">
      <c r="A25" s="17" t="s">
        <v>289</v>
      </c>
      <c r="B25" s="17">
        <v>24</v>
      </c>
      <c r="C25" s="17" t="s">
        <v>288</v>
      </c>
      <c r="D25" s="17" t="s">
        <v>229</v>
      </c>
      <c r="E25" s="17">
        <v>95</v>
      </c>
      <c r="F25" s="17">
        <v>91.9</v>
      </c>
      <c r="G25" s="17" t="s">
        <v>507</v>
      </c>
      <c r="H25" s="20" t="s">
        <v>291</v>
      </c>
    </row>
    <row r="26" spans="1:8" ht="28.05" customHeight="1">
      <c r="A26" s="3" t="s">
        <v>294</v>
      </c>
      <c r="B26" s="3">
        <v>25</v>
      </c>
      <c r="C26" s="3" t="s">
        <v>292</v>
      </c>
      <c r="D26" s="3" t="s">
        <v>293</v>
      </c>
      <c r="E26" s="3">
        <v>94.9</v>
      </c>
      <c r="F26" s="3">
        <v>89.7</v>
      </c>
      <c r="G26" s="3" t="s">
        <v>508</v>
      </c>
      <c r="H26" s="19" t="s">
        <v>296</v>
      </c>
    </row>
    <row r="27" spans="1:8" ht="28.05" customHeight="1">
      <c r="A27" s="17" t="s">
        <v>298</v>
      </c>
      <c r="B27" s="17">
        <v>26</v>
      </c>
      <c r="C27" s="17" t="s">
        <v>297</v>
      </c>
      <c r="D27" s="17" t="s">
        <v>233</v>
      </c>
      <c r="E27" s="17">
        <v>94.7</v>
      </c>
      <c r="F27" s="17"/>
      <c r="G27" s="17" t="s">
        <v>509</v>
      </c>
      <c r="H27" s="20" t="s">
        <v>300</v>
      </c>
    </row>
    <row r="28" spans="1:8" ht="28.05" customHeight="1">
      <c r="A28" s="3" t="s">
        <v>202</v>
      </c>
      <c r="B28" s="3">
        <v>27</v>
      </c>
      <c r="C28" s="3" t="s">
        <v>301</v>
      </c>
      <c r="D28" s="3" t="s">
        <v>104</v>
      </c>
      <c r="E28" s="3">
        <v>94.6</v>
      </c>
      <c r="F28" s="3"/>
      <c r="G28" s="3" t="s">
        <v>510</v>
      </c>
      <c r="H28" s="19" t="s">
        <v>303</v>
      </c>
    </row>
    <row r="29" spans="1:8" ht="28.05" customHeight="1">
      <c r="A29" s="17" t="s">
        <v>213</v>
      </c>
      <c r="B29" s="17">
        <v>29</v>
      </c>
      <c r="C29" s="17" t="s">
        <v>304</v>
      </c>
      <c r="D29" s="17" t="s">
        <v>129</v>
      </c>
      <c r="E29" s="17">
        <v>94.3</v>
      </c>
      <c r="F29" s="17">
        <v>96.8</v>
      </c>
      <c r="G29" s="17" t="s">
        <v>511</v>
      </c>
      <c r="H29" s="20" t="s">
        <v>305</v>
      </c>
    </row>
    <row r="30" spans="1:8" ht="28.05" customHeight="1">
      <c r="A30" s="3" t="s">
        <v>307</v>
      </c>
      <c r="B30" s="3">
        <v>30</v>
      </c>
      <c r="C30" s="3" t="s">
        <v>306</v>
      </c>
      <c r="D30" s="3" t="s">
        <v>129</v>
      </c>
      <c r="E30" s="3">
        <v>94.1</v>
      </c>
      <c r="F30" s="3"/>
      <c r="G30" s="3" t="s">
        <v>512</v>
      </c>
      <c r="H30" s="19" t="s">
        <v>309</v>
      </c>
    </row>
    <row r="31" spans="1:8" ht="28.05" customHeight="1">
      <c r="A31" s="17">
        <v>31</v>
      </c>
      <c r="B31" s="17">
        <v>31</v>
      </c>
      <c r="C31" s="17" t="s">
        <v>310</v>
      </c>
      <c r="D31" s="17" t="s">
        <v>109</v>
      </c>
      <c r="E31" s="17">
        <v>94</v>
      </c>
      <c r="F31" s="17">
        <v>90.2</v>
      </c>
      <c r="G31" s="17" t="s">
        <v>513</v>
      </c>
      <c r="H31" s="20" t="s">
        <v>312</v>
      </c>
    </row>
    <row r="32" spans="1:8" ht="28.05" customHeight="1">
      <c r="A32" s="3">
        <v>31</v>
      </c>
      <c r="B32" s="3">
        <v>31</v>
      </c>
      <c r="C32" s="3" t="s">
        <v>313</v>
      </c>
      <c r="D32" s="3" t="s">
        <v>257</v>
      </c>
      <c r="E32" s="3">
        <v>94</v>
      </c>
      <c r="F32" s="3"/>
      <c r="G32" s="3" t="s">
        <v>514</v>
      </c>
      <c r="H32" s="19" t="s">
        <v>314</v>
      </c>
    </row>
    <row r="33" spans="1:8" ht="28.05" customHeight="1">
      <c r="A33" s="17">
        <v>33</v>
      </c>
      <c r="B33" s="17">
        <v>33</v>
      </c>
      <c r="C33" s="17" t="s">
        <v>315</v>
      </c>
      <c r="D33" s="17" t="s">
        <v>316</v>
      </c>
      <c r="E33" s="17">
        <v>93.9</v>
      </c>
      <c r="F33" s="17">
        <v>95.7</v>
      </c>
      <c r="G33" s="17" t="s">
        <v>515</v>
      </c>
      <c r="H33" s="20" t="s">
        <v>317</v>
      </c>
    </row>
    <row r="34" spans="1:8" ht="28.05" customHeight="1">
      <c r="A34" s="4">
        <v>33</v>
      </c>
      <c r="B34" s="4">
        <v>33</v>
      </c>
      <c r="C34" s="4" t="s">
        <v>318</v>
      </c>
      <c r="D34" s="4" t="s">
        <v>150</v>
      </c>
      <c r="E34" s="4">
        <v>93.9</v>
      </c>
      <c r="F34" s="4"/>
      <c r="G34" s="4" t="s">
        <v>516</v>
      </c>
      <c r="H34" s="21" t="s">
        <v>320</v>
      </c>
    </row>
  </sheetData>
  <mergeCells count="2">
    <mergeCell ref="A1:H1"/>
    <mergeCell ref="A2:H2"/>
  </mergeCells>
  <phoneticPr fontId="8"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
  <sheetViews>
    <sheetView showGridLines="0" workbookViewId="0">
      <selection sqref="A1:J1"/>
    </sheetView>
  </sheetViews>
  <sheetFormatPr defaultRowHeight="13.5"/>
  <cols>
    <col min="1" max="1" width="8" customWidth="1"/>
    <col min="2" max="2" width="32" customWidth="1"/>
    <col min="3" max="3" width="18" customWidth="1"/>
    <col min="4" max="4" width="10" customWidth="1"/>
    <col min="5" max="5" width="11" customWidth="1"/>
    <col min="6" max="6" width="10" customWidth="1"/>
    <col min="7" max="7" width="11" customWidth="1"/>
    <col min="8" max="9" width="30" customWidth="1"/>
    <col min="10" max="10" width="40" customWidth="1"/>
  </cols>
  <sheetData>
    <row r="1" spans="1:10" ht="28.05" customHeight="1">
      <c r="A1" s="31" t="s">
        <v>517</v>
      </c>
      <c r="B1" s="31"/>
      <c r="C1" s="31"/>
      <c r="D1" s="31"/>
      <c r="E1" s="31"/>
      <c r="F1" s="31"/>
      <c r="G1" s="31"/>
      <c r="H1" s="31"/>
      <c r="I1" s="31"/>
      <c r="J1" s="31"/>
    </row>
    <row r="2" spans="1:10" ht="34.049999999999997" customHeight="1">
      <c r="A2" s="32" t="s">
        <v>518</v>
      </c>
      <c r="B2" s="32"/>
      <c r="C2" s="32"/>
      <c r="D2" s="32"/>
      <c r="E2" s="32"/>
      <c r="F2" s="32"/>
      <c r="G2" s="32"/>
      <c r="H2" s="32"/>
      <c r="I2" s="32"/>
      <c r="J2" s="32"/>
    </row>
    <row r="4" spans="1:10" ht="38" customHeight="1">
      <c r="A4" s="13" t="s">
        <v>87</v>
      </c>
      <c r="B4" s="14" t="s">
        <v>519</v>
      </c>
      <c r="C4" s="14" t="s">
        <v>89</v>
      </c>
      <c r="D4" s="14" t="s">
        <v>90</v>
      </c>
      <c r="E4" s="14" t="s">
        <v>324</v>
      </c>
      <c r="F4" s="14" t="s">
        <v>91</v>
      </c>
      <c r="G4" s="14" t="s">
        <v>520</v>
      </c>
      <c r="H4" s="14" t="s">
        <v>521</v>
      </c>
      <c r="I4" s="14" t="s">
        <v>522</v>
      </c>
      <c r="J4" s="15" t="s">
        <v>523</v>
      </c>
    </row>
    <row r="5" spans="1:10" ht="28.05" customHeight="1">
      <c r="A5" s="22">
        <v>8</v>
      </c>
      <c r="B5" s="16" t="s">
        <v>128</v>
      </c>
      <c r="C5" s="16" t="s">
        <v>129</v>
      </c>
      <c r="D5" s="16">
        <v>7</v>
      </c>
      <c r="E5" s="16">
        <v>98.2</v>
      </c>
      <c r="F5" s="16">
        <v>41</v>
      </c>
      <c r="G5" s="16">
        <v>93.2</v>
      </c>
      <c r="H5" s="16" t="s">
        <v>128</v>
      </c>
      <c r="I5" s="16" t="s">
        <v>524</v>
      </c>
      <c r="J5" s="16" t="s">
        <v>525</v>
      </c>
    </row>
    <row r="6" spans="1:10" ht="28.05" customHeight="1">
      <c r="A6" s="23">
        <v>10</v>
      </c>
      <c r="B6" s="3" t="s">
        <v>137</v>
      </c>
      <c r="C6" s="3" t="s">
        <v>109</v>
      </c>
      <c r="D6" s="3" t="s">
        <v>138</v>
      </c>
      <c r="E6" s="3">
        <v>98</v>
      </c>
      <c r="F6" s="3" t="s">
        <v>99</v>
      </c>
      <c r="G6" s="3">
        <v>98.5</v>
      </c>
      <c r="H6" s="3" t="s">
        <v>137</v>
      </c>
      <c r="I6" s="3" t="s">
        <v>526</v>
      </c>
      <c r="J6" s="3" t="s">
        <v>525</v>
      </c>
    </row>
    <row r="7" spans="1:10" ht="28.05" customHeight="1">
      <c r="A7" s="24">
        <v>26</v>
      </c>
      <c r="B7" s="17" t="s">
        <v>197</v>
      </c>
      <c r="C7" s="17" t="s">
        <v>104</v>
      </c>
      <c r="D7" s="17">
        <v>24</v>
      </c>
      <c r="E7" s="17">
        <v>95.8</v>
      </c>
      <c r="F7" s="17">
        <v>12</v>
      </c>
      <c r="G7" s="17">
        <v>95.9</v>
      </c>
      <c r="H7" s="17" t="s">
        <v>197</v>
      </c>
      <c r="I7" s="17" t="s">
        <v>197</v>
      </c>
      <c r="J7" s="17" t="s">
        <v>525</v>
      </c>
    </row>
    <row r="8" spans="1:10" ht="28.05" customHeight="1">
      <c r="A8" s="23">
        <v>27</v>
      </c>
      <c r="B8" s="3" t="s">
        <v>201</v>
      </c>
      <c r="C8" s="3" t="s">
        <v>109</v>
      </c>
      <c r="D8" s="3" t="s">
        <v>202</v>
      </c>
      <c r="E8" s="3">
        <v>95.7</v>
      </c>
      <c r="F8" s="3" t="s">
        <v>158</v>
      </c>
      <c r="G8" s="3">
        <v>95.8</v>
      </c>
      <c r="H8" s="3" t="s">
        <v>201</v>
      </c>
      <c r="I8" s="3" t="s">
        <v>201</v>
      </c>
      <c r="J8" s="3" t="s">
        <v>525</v>
      </c>
    </row>
    <row r="9" spans="1:10" ht="28.05" customHeight="1">
      <c r="A9" s="30">
        <v>49</v>
      </c>
      <c r="B9" s="29" t="s">
        <v>273</v>
      </c>
      <c r="C9" s="29" t="s">
        <v>109</v>
      </c>
      <c r="D9" s="29">
        <v>48</v>
      </c>
      <c r="E9" s="29">
        <v>93.5</v>
      </c>
      <c r="F9" s="29">
        <v>20</v>
      </c>
      <c r="G9" s="29">
        <v>95.3</v>
      </c>
      <c r="H9" s="29" t="s">
        <v>273</v>
      </c>
      <c r="I9" s="29" t="s">
        <v>273</v>
      </c>
      <c r="J9" s="29" t="s">
        <v>525</v>
      </c>
    </row>
  </sheetData>
  <mergeCells count="2">
    <mergeCell ref="A1:J1"/>
    <mergeCell ref="A2:J2"/>
  </mergeCells>
  <phoneticPr fontId="8"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4"/>
  <sheetViews>
    <sheetView showGridLines="0" topLeftCell="A46" workbookViewId="0">
      <selection sqref="A1:K1"/>
    </sheetView>
  </sheetViews>
  <sheetFormatPr defaultRowHeight="13.5"/>
  <cols>
    <col min="1" max="1" width="8" customWidth="1"/>
    <col min="2" max="2" width="28" customWidth="1"/>
    <col min="3" max="3" width="24" customWidth="1"/>
    <col min="4" max="4" width="28" customWidth="1"/>
    <col min="5" max="5" width="12" customWidth="1"/>
    <col min="6" max="6" width="10" customWidth="1"/>
    <col min="7" max="7" width="16" customWidth="1"/>
    <col min="8" max="10" width="42" customWidth="1"/>
    <col min="11" max="11" width="50" customWidth="1"/>
  </cols>
  <sheetData>
    <row r="1" spans="1:11" ht="28.05" customHeight="1">
      <c r="A1" s="31" t="s">
        <v>527</v>
      </c>
      <c r="B1" s="31"/>
      <c r="C1" s="31"/>
      <c r="D1" s="31"/>
      <c r="E1" s="31"/>
      <c r="F1" s="31"/>
      <c r="G1" s="31"/>
      <c r="H1" s="31"/>
      <c r="I1" s="31"/>
      <c r="J1" s="31"/>
      <c r="K1" s="31"/>
    </row>
    <row r="2" spans="1:11" ht="34.049999999999997" customHeight="1">
      <c r="A2" s="32" t="s">
        <v>528</v>
      </c>
      <c r="B2" s="32"/>
      <c r="C2" s="32"/>
      <c r="D2" s="32"/>
      <c r="E2" s="32"/>
      <c r="F2" s="32"/>
      <c r="G2" s="32"/>
      <c r="H2" s="32"/>
      <c r="I2" s="32"/>
      <c r="J2" s="32"/>
      <c r="K2" s="32"/>
    </row>
    <row r="4" spans="1:11" ht="38" customHeight="1">
      <c r="A4" s="13" t="s">
        <v>87</v>
      </c>
      <c r="B4" s="14" t="s">
        <v>529</v>
      </c>
      <c r="C4" s="14" t="s">
        <v>530</v>
      </c>
      <c r="D4" s="14" t="s">
        <v>531</v>
      </c>
      <c r="E4" s="14" t="s">
        <v>532</v>
      </c>
      <c r="F4" s="14" t="s">
        <v>533</v>
      </c>
      <c r="G4" s="14" t="s">
        <v>534</v>
      </c>
      <c r="H4" s="14" t="s">
        <v>535</v>
      </c>
      <c r="I4" s="14" t="s">
        <v>536</v>
      </c>
      <c r="J4" s="14" t="s">
        <v>537</v>
      </c>
      <c r="K4" s="15" t="s">
        <v>538</v>
      </c>
    </row>
    <row r="5" spans="1:11" ht="28.05" customHeight="1">
      <c r="A5" s="22">
        <v>1</v>
      </c>
      <c r="B5" s="16" t="s">
        <v>97</v>
      </c>
      <c r="C5" s="16" t="s">
        <v>539</v>
      </c>
      <c r="D5" s="16"/>
      <c r="E5" s="16"/>
      <c r="F5" s="16"/>
      <c r="G5" s="16"/>
      <c r="H5" s="18"/>
      <c r="I5" s="18"/>
      <c r="J5" s="18" t="s">
        <v>540</v>
      </c>
      <c r="K5" s="16" t="s">
        <v>541</v>
      </c>
    </row>
    <row r="6" spans="1:11" ht="28.05" customHeight="1">
      <c r="A6" s="23">
        <v>2</v>
      </c>
      <c r="B6" s="3" t="s">
        <v>103</v>
      </c>
      <c r="C6" s="3" t="s">
        <v>542</v>
      </c>
      <c r="D6" s="3" t="s">
        <v>543</v>
      </c>
      <c r="E6" s="3"/>
      <c r="F6" s="3"/>
      <c r="G6" s="3"/>
      <c r="H6" s="19" t="s">
        <v>544</v>
      </c>
      <c r="I6" s="19" t="s">
        <v>545</v>
      </c>
      <c r="J6" s="19" t="s">
        <v>540</v>
      </c>
      <c r="K6" s="3" t="s">
        <v>546</v>
      </c>
    </row>
    <row r="7" spans="1:11" ht="28.05" customHeight="1">
      <c r="A7" s="24">
        <v>3</v>
      </c>
      <c r="B7" s="17" t="s">
        <v>108</v>
      </c>
      <c r="C7" s="17" t="s">
        <v>539</v>
      </c>
      <c r="D7" s="17"/>
      <c r="E7" s="17"/>
      <c r="F7" s="17"/>
      <c r="G7" s="17"/>
      <c r="H7" s="20"/>
      <c r="I7" s="20"/>
      <c r="J7" s="20" t="s">
        <v>540</v>
      </c>
      <c r="K7" s="17" t="s">
        <v>541</v>
      </c>
    </row>
    <row r="8" spans="1:11" ht="28.05" customHeight="1">
      <c r="A8" s="23">
        <v>4</v>
      </c>
      <c r="B8" s="3" t="s">
        <v>113</v>
      </c>
      <c r="C8" s="3" t="s">
        <v>539</v>
      </c>
      <c r="D8" s="3"/>
      <c r="E8" s="3"/>
      <c r="F8" s="3"/>
      <c r="G8" s="3"/>
      <c r="H8" s="19"/>
      <c r="I8" s="19"/>
      <c r="J8" s="19" t="s">
        <v>540</v>
      </c>
      <c r="K8" s="3" t="s">
        <v>541</v>
      </c>
    </row>
    <row r="9" spans="1:11" ht="28.05" customHeight="1">
      <c r="A9" s="24">
        <v>5</v>
      </c>
      <c r="B9" s="17" t="s">
        <v>117</v>
      </c>
      <c r="C9" s="17" t="s">
        <v>539</v>
      </c>
      <c r="D9" s="17"/>
      <c r="E9" s="17"/>
      <c r="F9" s="17"/>
      <c r="G9" s="17"/>
      <c r="H9" s="20"/>
      <c r="I9" s="20"/>
      <c r="J9" s="20" t="s">
        <v>540</v>
      </c>
      <c r="K9" s="17" t="s">
        <v>541</v>
      </c>
    </row>
    <row r="10" spans="1:11" ht="28.05" customHeight="1">
      <c r="A10" s="23">
        <v>6</v>
      </c>
      <c r="B10" s="3" t="s">
        <v>121</v>
      </c>
      <c r="C10" s="3" t="s">
        <v>539</v>
      </c>
      <c r="D10" s="3"/>
      <c r="E10" s="3"/>
      <c r="F10" s="3"/>
      <c r="G10" s="3"/>
      <c r="H10" s="19"/>
      <c r="I10" s="19"/>
      <c r="J10" s="19" t="s">
        <v>540</v>
      </c>
      <c r="K10" s="3" t="s">
        <v>541</v>
      </c>
    </row>
    <row r="11" spans="1:11" ht="28.05" customHeight="1">
      <c r="A11" s="24">
        <v>7</v>
      </c>
      <c r="B11" s="17" t="s">
        <v>125</v>
      </c>
      <c r="C11" s="17" t="s">
        <v>539</v>
      </c>
      <c r="D11" s="17"/>
      <c r="E11" s="17"/>
      <c r="F11" s="17"/>
      <c r="G11" s="17"/>
      <c r="H11" s="20"/>
      <c r="I11" s="20"/>
      <c r="J11" s="20" t="s">
        <v>540</v>
      </c>
      <c r="K11" s="17" t="s">
        <v>541</v>
      </c>
    </row>
    <row r="12" spans="1:11" ht="28.05" customHeight="1">
      <c r="A12" s="23">
        <v>8</v>
      </c>
      <c r="B12" s="3" t="s">
        <v>128</v>
      </c>
      <c r="C12" s="3" t="s">
        <v>539</v>
      </c>
      <c r="D12" s="3"/>
      <c r="E12" s="3"/>
      <c r="F12" s="3"/>
      <c r="G12" s="3"/>
      <c r="H12" s="19"/>
      <c r="I12" s="19"/>
      <c r="J12" s="19" t="s">
        <v>540</v>
      </c>
      <c r="K12" s="3" t="s">
        <v>541</v>
      </c>
    </row>
    <row r="13" spans="1:11" ht="28.05" customHeight="1">
      <c r="A13" s="24">
        <v>9</v>
      </c>
      <c r="B13" s="17" t="s">
        <v>133</v>
      </c>
      <c r="C13" s="17" t="s">
        <v>547</v>
      </c>
      <c r="D13" s="17" t="s">
        <v>133</v>
      </c>
      <c r="E13" s="17" t="s">
        <v>548</v>
      </c>
      <c r="F13" s="17">
        <v>100</v>
      </c>
      <c r="G13" s="17" t="s">
        <v>549</v>
      </c>
      <c r="H13" s="20" t="s">
        <v>550</v>
      </c>
      <c r="I13" s="20" t="s">
        <v>551</v>
      </c>
      <c r="J13" s="20" t="s">
        <v>540</v>
      </c>
      <c r="K13" s="17" t="s">
        <v>552</v>
      </c>
    </row>
    <row r="14" spans="1:11" ht="28.05" customHeight="1">
      <c r="A14" s="23">
        <v>10</v>
      </c>
      <c r="B14" s="3" t="s">
        <v>137</v>
      </c>
      <c r="C14" s="3" t="s">
        <v>539</v>
      </c>
      <c r="D14" s="3"/>
      <c r="E14" s="3"/>
      <c r="F14" s="3"/>
      <c r="G14" s="3"/>
      <c r="H14" s="19"/>
      <c r="I14" s="19"/>
      <c r="J14" s="19" t="s">
        <v>540</v>
      </c>
      <c r="K14" s="3" t="s">
        <v>541</v>
      </c>
    </row>
    <row r="15" spans="1:11" ht="28.05" customHeight="1">
      <c r="A15" s="24">
        <v>11</v>
      </c>
      <c r="B15" s="17" t="s">
        <v>142</v>
      </c>
      <c r="C15" s="17" t="s">
        <v>539</v>
      </c>
      <c r="D15" s="17"/>
      <c r="E15" s="17"/>
      <c r="F15" s="17"/>
      <c r="G15" s="17"/>
      <c r="H15" s="20"/>
      <c r="I15" s="20"/>
      <c r="J15" s="20" t="s">
        <v>540</v>
      </c>
      <c r="K15" s="17" t="s">
        <v>541</v>
      </c>
    </row>
    <row r="16" spans="1:11" ht="28.05" customHeight="1">
      <c r="A16" s="23">
        <v>12</v>
      </c>
      <c r="B16" s="3" t="s">
        <v>146</v>
      </c>
      <c r="C16" s="3" t="s">
        <v>539</v>
      </c>
      <c r="D16" s="3"/>
      <c r="E16" s="3"/>
      <c r="F16" s="3"/>
      <c r="G16" s="3"/>
      <c r="H16" s="19"/>
      <c r="I16" s="19"/>
      <c r="J16" s="19" t="s">
        <v>540</v>
      </c>
      <c r="K16" s="3" t="s">
        <v>541</v>
      </c>
    </row>
    <row r="17" spans="1:11" ht="28.05" customHeight="1">
      <c r="A17" s="24">
        <v>13</v>
      </c>
      <c r="B17" s="17" t="s">
        <v>149</v>
      </c>
      <c r="C17" s="17" t="s">
        <v>553</v>
      </c>
      <c r="D17" s="17" t="s">
        <v>554</v>
      </c>
      <c r="E17" s="17" t="s">
        <v>548</v>
      </c>
      <c r="F17" s="17">
        <v>100</v>
      </c>
      <c r="G17" s="17" t="s">
        <v>555</v>
      </c>
      <c r="H17" s="20" t="s">
        <v>556</v>
      </c>
      <c r="I17" s="20" t="s">
        <v>557</v>
      </c>
      <c r="J17" s="20" t="s">
        <v>540</v>
      </c>
      <c r="K17" s="17" t="s">
        <v>558</v>
      </c>
    </row>
    <row r="18" spans="1:11" ht="28.05" customHeight="1">
      <c r="A18" s="23">
        <v>14</v>
      </c>
      <c r="B18" s="3" t="s">
        <v>153</v>
      </c>
      <c r="C18" s="3" t="s">
        <v>547</v>
      </c>
      <c r="D18" s="3" t="s">
        <v>153</v>
      </c>
      <c r="E18" s="3" t="s">
        <v>548</v>
      </c>
      <c r="F18" s="3">
        <v>100</v>
      </c>
      <c r="G18" s="3" t="s">
        <v>559</v>
      </c>
      <c r="H18" s="19" t="s">
        <v>560</v>
      </c>
      <c r="I18" s="19" t="s">
        <v>561</v>
      </c>
      <c r="J18" s="19" t="s">
        <v>540</v>
      </c>
      <c r="K18" s="3" t="s">
        <v>552</v>
      </c>
    </row>
    <row r="19" spans="1:11" ht="28.05" customHeight="1">
      <c r="A19" s="24">
        <v>15</v>
      </c>
      <c r="B19" s="17" t="s">
        <v>157</v>
      </c>
      <c r="C19" s="17" t="s">
        <v>539</v>
      </c>
      <c r="D19" s="17"/>
      <c r="E19" s="17"/>
      <c r="F19" s="17"/>
      <c r="G19" s="17"/>
      <c r="H19" s="20"/>
      <c r="I19" s="20"/>
      <c r="J19" s="20" t="s">
        <v>540</v>
      </c>
      <c r="K19" s="17" t="s">
        <v>541</v>
      </c>
    </row>
    <row r="20" spans="1:11" ht="28.05" customHeight="1">
      <c r="A20" s="23">
        <v>16</v>
      </c>
      <c r="B20" s="3" t="s">
        <v>161</v>
      </c>
      <c r="C20" s="3" t="s">
        <v>539</v>
      </c>
      <c r="D20" s="3"/>
      <c r="E20" s="3"/>
      <c r="F20" s="3"/>
      <c r="G20" s="3"/>
      <c r="H20" s="19"/>
      <c r="I20" s="19"/>
      <c r="J20" s="19" t="s">
        <v>540</v>
      </c>
      <c r="K20" s="3" t="s">
        <v>541</v>
      </c>
    </row>
    <row r="21" spans="1:11" ht="28.05" customHeight="1">
      <c r="A21" s="24">
        <v>17</v>
      </c>
      <c r="B21" s="17" t="s">
        <v>165</v>
      </c>
      <c r="C21" s="17" t="s">
        <v>539</v>
      </c>
      <c r="D21" s="17"/>
      <c r="E21" s="17"/>
      <c r="F21" s="17"/>
      <c r="G21" s="17"/>
      <c r="H21" s="20"/>
      <c r="I21" s="20"/>
      <c r="J21" s="20" t="s">
        <v>540</v>
      </c>
      <c r="K21" s="17" t="s">
        <v>541</v>
      </c>
    </row>
    <row r="22" spans="1:11" ht="28.05" customHeight="1">
      <c r="A22" s="23">
        <v>18</v>
      </c>
      <c r="B22" s="3" t="s">
        <v>168</v>
      </c>
      <c r="C22" s="3" t="s">
        <v>539</v>
      </c>
      <c r="D22" s="3"/>
      <c r="E22" s="3"/>
      <c r="F22" s="3"/>
      <c r="G22" s="3"/>
      <c r="H22" s="19"/>
      <c r="I22" s="19"/>
      <c r="J22" s="19" t="s">
        <v>540</v>
      </c>
      <c r="K22" s="3" t="s">
        <v>541</v>
      </c>
    </row>
    <row r="23" spans="1:11" ht="28.05" customHeight="1">
      <c r="A23" s="24">
        <v>19</v>
      </c>
      <c r="B23" s="17" t="s">
        <v>171</v>
      </c>
      <c r="C23" s="17" t="s">
        <v>539</v>
      </c>
      <c r="D23" s="17"/>
      <c r="E23" s="17"/>
      <c r="F23" s="17"/>
      <c r="G23" s="17"/>
      <c r="H23" s="20"/>
      <c r="I23" s="20"/>
      <c r="J23" s="20" t="s">
        <v>540</v>
      </c>
      <c r="K23" s="17" t="s">
        <v>541</v>
      </c>
    </row>
    <row r="24" spans="1:11" ht="28.05" customHeight="1">
      <c r="A24" s="23">
        <v>20</v>
      </c>
      <c r="B24" s="3" t="s">
        <v>175</v>
      </c>
      <c r="C24" s="3" t="s">
        <v>547</v>
      </c>
      <c r="D24" s="3" t="s">
        <v>562</v>
      </c>
      <c r="E24" s="3" t="s">
        <v>563</v>
      </c>
      <c r="F24" s="3">
        <v>85</v>
      </c>
      <c r="G24" s="3" t="s">
        <v>564</v>
      </c>
      <c r="H24" s="19" t="s">
        <v>565</v>
      </c>
      <c r="I24" s="19" t="s">
        <v>566</v>
      </c>
      <c r="J24" s="19" t="s">
        <v>540</v>
      </c>
      <c r="K24" s="3" t="s">
        <v>552</v>
      </c>
    </row>
    <row r="25" spans="1:11" ht="28.05" customHeight="1">
      <c r="A25" s="24">
        <v>21</v>
      </c>
      <c r="B25" s="17" t="s">
        <v>179</v>
      </c>
      <c r="C25" s="17" t="s">
        <v>547</v>
      </c>
      <c r="D25" s="17" t="s">
        <v>179</v>
      </c>
      <c r="E25" s="17" t="s">
        <v>563</v>
      </c>
      <c r="F25" s="17">
        <v>85</v>
      </c>
      <c r="G25" s="17" t="s">
        <v>567</v>
      </c>
      <c r="H25" s="20" t="s">
        <v>568</v>
      </c>
      <c r="I25" s="20" t="s">
        <v>569</v>
      </c>
      <c r="J25" s="20" t="s">
        <v>540</v>
      </c>
      <c r="K25" s="17" t="s">
        <v>552</v>
      </c>
    </row>
    <row r="26" spans="1:11" ht="28.05" customHeight="1">
      <c r="A26" s="23">
        <v>22</v>
      </c>
      <c r="B26" s="3" t="s">
        <v>183</v>
      </c>
      <c r="C26" s="3" t="s">
        <v>539</v>
      </c>
      <c r="D26" s="3"/>
      <c r="E26" s="3"/>
      <c r="F26" s="3"/>
      <c r="G26" s="3"/>
      <c r="H26" s="19"/>
      <c r="I26" s="19"/>
      <c r="J26" s="19" t="s">
        <v>540</v>
      </c>
      <c r="K26" s="3" t="s">
        <v>541</v>
      </c>
    </row>
    <row r="27" spans="1:11" ht="28.05" customHeight="1">
      <c r="A27" s="24">
        <v>23</v>
      </c>
      <c r="B27" s="17" t="s">
        <v>187</v>
      </c>
      <c r="C27" s="17" t="s">
        <v>539</v>
      </c>
      <c r="D27" s="17"/>
      <c r="E27" s="17"/>
      <c r="F27" s="17"/>
      <c r="G27" s="17"/>
      <c r="H27" s="20"/>
      <c r="I27" s="20"/>
      <c r="J27" s="20" t="s">
        <v>540</v>
      </c>
      <c r="K27" s="17" t="s">
        <v>541</v>
      </c>
    </row>
    <row r="28" spans="1:11" ht="28.05" customHeight="1">
      <c r="A28" s="23">
        <v>24</v>
      </c>
      <c r="B28" s="3" t="s">
        <v>191</v>
      </c>
      <c r="C28" s="3" t="s">
        <v>539</v>
      </c>
      <c r="D28" s="3"/>
      <c r="E28" s="3"/>
      <c r="F28" s="3"/>
      <c r="G28" s="3"/>
      <c r="H28" s="19"/>
      <c r="I28" s="19"/>
      <c r="J28" s="19" t="s">
        <v>540</v>
      </c>
      <c r="K28" s="3" t="s">
        <v>541</v>
      </c>
    </row>
    <row r="29" spans="1:11" ht="28.05" customHeight="1">
      <c r="A29" s="24">
        <v>25</v>
      </c>
      <c r="B29" s="17" t="s">
        <v>194</v>
      </c>
      <c r="C29" s="17" t="s">
        <v>539</v>
      </c>
      <c r="D29" s="17"/>
      <c r="E29" s="17"/>
      <c r="F29" s="17"/>
      <c r="G29" s="17"/>
      <c r="H29" s="20"/>
      <c r="I29" s="20"/>
      <c r="J29" s="20" t="s">
        <v>540</v>
      </c>
      <c r="K29" s="17" t="s">
        <v>541</v>
      </c>
    </row>
    <row r="30" spans="1:11" ht="28.05" customHeight="1">
      <c r="A30" s="23">
        <v>26</v>
      </c>
      <c r="B30" s="3" t="s">
        <v>197</v>
      </c>
      <c r="C30" s="3" t="s">
        <v>547</v>
      </c>
      <c r="D30" s="3" t="s">
        <v>197</v>
      </c>
      <c r="E30" s="3" t="s">
        <v>563</v>
      </c>
      <c r="F30" s="3">
        <v>85</v>
      </c>
      <c r="G30" s="3" t="s">
        <v>570</v>
      </c>
      <c r="H30" s="19" t="s">
        <v>571</v>
      </c>
      <c r="I30" s="19" t="s">
        <v>572</v>
      </c>
      <c r="J30" s="19" t="s">
        <v>540</v>
      </c>
      <c r="K30" s="3" t="s">
        <v>552</v>
      </c>
    </row>
    <row r="31" spans="1:11" ht="28.05" customHeight="1">
      <c r="A31" s="24">
        <v>27</v>
      </c>
      <c r="B31" s="17" t="s">
        <v>201</v>
      </c>
      <c r="C31" s="17" t="s">
        <v>539</v>
      </c>
      <c r="D31" s="17"/>
      <c r="E31" s="17"/>
      <c r="F31" s="17"/>
      <c r="G31" s="17"/>
      <c r="H31" s="20"/>
      <c r="I31" s="20"/>
      <c r="J31" s="20" t="s">
        <v>540</v>
      </c>
      <c r="K31" s="17" t="s">
        <v>541</v>
      </c>
    </row>
    <row r="32" spans="1:11" ht="28.05" customHeight="1">
      <c r="A32" s="23">
        <v>28</v>
      </c>
      <c r="B32" s="3" t="s">
        <v>206</v>
      </c>
      <c r="C32" s="3" t="s">
        <v>539</v>
      </c>
      <c r="D32" s="3"/>
      <c r="E32" s="3"/>
      <c r="F32" s="3"/>
      <c r="G32" s="3"/>
      <c r="H32" s="19"/>
      <c r="I32" s="19"/>
      <c r="J32" s="19" t="s">
        <v>540</v>
      </c>
      <c r="K32" s="3" t="s">
        <v>541</v>
      </c>
    </row>
    <row r="33" spans="1:11" ht="28.05" customHeight="1">
      <c r="A33" s="24">
        <v>29</v>
      </c>
      <c r="B33" s="17" t="s">
        <v>211</v>
      </c>
      <c r="C33" s="17" t="s">
        <v>539</v>
      </c>
      <c r="D33" s="17"/>
      <c r="E33" s="17"/>
      <c r="F33" s="17"/>
      <c r="G33" s="17"/>
      <c r="H33" s="20"/>
      <c r="I33" s="20"/>
      <c r="J33" s="20" t="s">
        <v>540</v>
      </c>
      <c r="K33" s="17" t="s">
        <v>541</v>
      </c>
    </row>
    <row r="34" spans="1:11" ht="28.05" customHeight="1">
      <c r="A34" s="23">
        <v>30</v>
      </c>
      <c r="B34" s="3" t="s">
        <v>215</v>
      </c>
      <c r="C34" s="3" t="s">
        <v>547</v>
      </c>
      <c r="D34" s="3" t="s">
        <v>215</v>
      </c>
      <c r="E34" s="3" t="s">
        <v>563</v>
      </c>
      <c r="F34" s="3">
        <v>85</v>
      </c>
      <c r="G34" s="3" t="s">
        <v>573</v>
      </c>
      <c r="H34" s="19" t="s">
        <v>574</v>
      </c>
      <c r="I34" s="19" t="s">
        <v>575</v>
      </c>
      <c r="J34" s="19" t="s">
        <v>540</v>
      </c>
      <c r="K34" s="3" t="s">
        <v>552</v>
      </c>
    </row>
    <row r="35" spans="1:11" ht="28.05" customHeight="1">
      <c r="A35" s="24">
        <v>49</v>
      </c>
      <c r="B35" s="17" t="s">
        <v>273</v>
      </c>
      <c r="C35" s="17" t="s">
        <v>539</v>
      </c>
      <c r="D35" s="17"/>
      <c r="E35" s="17"/>
      <c r="F35" s="17"/>
      <c r="G35" s="17"/>
      <c r="H35" s="20"/>
      <c r="I35" s="20"/>
      <c r="J35" s="20" t="s">
        <v>540</v>
      </c>
      <c r="K35" s="17" t="s">
        <v>541</v>
      </c>
    </row>
    <row r="36" spans="1:11" ht="28.05" customHeight="1">
      <c r="A36" s="23">
        <v>52</v>
      </c>
      <c r="B36" s="3" t="s">
        <v>219</v>
      </c>
      <c r="C36" s="3" t="s">
        <v>539</v>
      </c>
      <c r="D36" s="3"/>
      <c r="E36" s="3"/>
      <c r="F36" s="3"/>
      <c r="G36" s="3"/>
      <c r="H36" s="19"/>
      <c r="I36" s="19"/>
      <c r="J36" s="19" t="s">
        <v>540</v>
      </c>
      <c r="K36" s="3" t="s">
        <v>541</v>
      </c>
    </row>
    <row r="37" spans="1:11" ht="28.05" customHeight="1">
      <c r="A37" s="24">
        <v>53</v>
      </c>
      <c r="B37" s="17" t="s">
        <v>223</v>
      </c>
      <c r="C37" s="17" t="s">
        <v>539</v>
      </c>
      <c r="D37" s="17"/>
      <c r="E37" s="17"/>
      <c r="F37" s="17"/>
      <c r="G37" s="17"/>
      <c r="H37" s="20"/>
      <c r="I37" s="20"/>
      <c r="J37" s="20" t="s">
        <v>540</v>
      </c>
      <c r="K37" s="17" t="s">
        <v>541</v>
      </c>
    </row>
    <row r="38" spans="1:11" ht="28.05" customHeight="1">
      <c r="A38" s="23">
        <v>54</v>
      </c>
      <c r="B38" s="3" t="s">
        <v>226</v>
      </c>
      <c r="C38" s="3" t="s">
        <v>539</v>
      </c>
      <c r="D38" s="3"/>
      <c r="E38" s="3"/>
      <c r="F38" s="3"/>
      <c r="G38" s="3"/>
      <c r="H38" s="19"/>
      <c r="I38" s="19"/>
      <c r="J38" s="19" t="s">
        <v>540</v>
      </c>
      <c r="K38" s="3" t="s">
        <v>541</v>
      </c>
    </row>
    <row r="39" spans="1:11" ht="28.05" customHeight="1">
      <c r="A39" s="24">
        <v>55</v>
      </c>
      <c r="B39" s="17" t="s">
        <v>228</v>
      </c>
      <c r="C39" s="17" t="s">
        <v>539</v>
      </c>
      <c r="D39" s="17"/>
      <c r="E39" s="17"/>
      <c r="F39" s="17"/>
      <c r="G39" s="17"/>
      <c r="H39" s="20"/>
      <c r="I39" s="20"/>
      <c r="J39" s="20" t="s">
        <v>540</v>
      </c>
      <c r="K39" s="17" t="s">
        <v>541</v>
      </c>
    </row>
    <row r="40" spans="1:11" ht="28.05" customHeight="1">
      <c r="A40" s="23">
        <v>56</v>
      </c>
      <c r="B40" s="3" t="s">
        <v>232</v>
      </c>
      <c r="C40" s="3" t="s">
        <v>539</v>
      </c>
      <c r="D40" s="3"/>
      <c r="E40" s="3"/>
      <c r="F40" s="3"/>
      <c r="G40" s="3"/>
      <c r="H40" s="19"/>
      <c r="I40" s="19"/>
      <c r="J40" s="19" t="s">
        <v>540</v>
      </c>
      <c r="K40" s="3" t="s">
        <v>541</v>
      </c>
    </row>
    <row r="41" spans="1:11" ht="28.05" customHeight="1">
      <c r="A41" s="24">
        <v>57</v>
      </c>
      <c r="B41" s="17" t="s">
        <v>236</v>
      </c>
      <c r="C41" s="17" t="s">
        <v>539</v>
      </c>
      <c r="D41" s="17"/>
      <c r="E41" s="17"/>
      <c r="F41" s="17"/>
      <c r="G41" s="17"/>
      <c r="H41" s="20"/>
      <c r="I41" s="20"/>
      <c r="J41" s="20" t="s">
        <v>540</v>
      </c>
      <c r="K41" s="17" t="s">
        <v>541</v>
      </c>
    </row>
    <row r="42" spans="1:11" ht="28.05" customHeight="1">
      <c r="A42" s="23">
        <v>58</v>
      </c>
      <c r="B42" s="3" t="s">
        <v>240</v>
      </c>
      <c r="C42" s="3" t="s">
        <v>539</v>
      </c>
      <c r="D42" s="3"/>
      <c r="E42" s="3"/>
      <c r="F42" s="3"/>
      <c r="G42" s="3"/>
      <c r="H42" s="19"/>
      <c r="I42" s="19"/>
      <c r="J42" s="19" t="s">
        <v>540</v>
      </c>
      <c r="K42" s="3" t="s">
        <v>541</v>
      </c>
    </row>
    <row r="43" spans="1:11" ht="28.05" customHeight="1">
      <c r="A43" s="24">
        <v>59</v>
      </c>
      <c r="B43" s="17" t="s">
        <v>243</v>
      </c>
      <c r="C43" s="17" t="s">
        <v>539</v>
      </c>
      <c r="D43" s="17"/>
      <c r="E43" s="17"/>
      <c r="F43" s="17"/>
      <c r="G43" s="17"/>
      <c r="H43" s="20"/>
      <c r="I43" s="20"/>
      <c r="J43" s="20" t="s">
        <v>540</v>
      </c>
      <c r="K43" s="17" t="s">
        <v>541</v>
      </c>
    </row>
    <row r="44" spans="1:11" ht="28.05" customHeight="1">
      <c r="A44" s="23">
        <v>60</v>
      </c>
      <c r="B44" s="3" t="s">
        <v>247</v>
      </c>
      <c r="C44" s="3" t="s">
        <v>539</v>
      </c>
      <c r="D44" s="3"/>
      <c r="E44" s="3"/>
      <c r="F44" s="3"/>
      <c r="G44" s="3"/>
      <c r="H44" s="19"/>
      <c r="I44" s="19"/>
      <c r="J44" s="19" t="s">
        <v>540</v>
      </c>
      <c r="K44" s="3" t="s">
        <v>541</v>
      </c>
    </row>
    <row r="45" spans="1:11" ht="28.05" customHeight="1">
      <c r="A45" s="24">
        <v>61</v>
      </c>
      <c r="B45" s="17" t="s">
        <v>251</v>
      </c>
      <c r="C45" s="17" t="s">
        <v>547</v>
      </c>
      <c r="D45" s="17" t="s">
        <v>251</v>
      </c>
      <c r="E45" s="17" t="s">
        <v>563</v>
      </c>
      <c r="F45" s="17">
        <v>85</v>
      </c>
      <c r="G45" s="17" t="s">
        <v>576</v>
      </c>
      <c r="H45" s="20" t="s">
        <v>577</v>
      </c>
      <c r="I45" s="20" t="s">
        <v>578</v>
      </c>
      <c r="J45" s="20" t="s">
        <v>540</v>
      </c>
      <c r="K45" s="17" t="s">
        <v>552</v>
      </c>
    </row>
    <row r="46" spans="1:11" ht="28.05" customHeight="1">
      <c r="A46" s="23">
        <v>62</v>
      </c>
      <c r="B46" s="3" t="s">
        <v>253</v>
      </c>
      <c r="C46" s="3" t="s">
        <v>539</v>
      </c>
      <c r="D46" s="3"/>
      <c r="E46" s="3"/>
      <c r="F46" s="3"/>
      <c r="G46" s="3"/>
      <c r="H46" s="19"/>
      <c r="I46" s="19"/>
      <c r="J46" s="19" t="s">
        <v>540</v>
      </c>
      <c r="K46" s="3" t="s">
        <v>541</v>
      </c>
    </row>
    <row r="47" spans="1:11" ht="28.05" customHeight="1">
      <c r="A47" s="24">
        <v>63</v>
      </c>
      <c r="B47" s="17" t="s">
        <v>256</v>
      </c>
      <c r="C47" s="17" t="s">
        <v>539</v>
      </c>
      <c r="D47" s="17"/>
      <c r="E47" s="17"/>
      <c r="F47" s="17"/>
      <c r="G47" s="17"/>
      <c r="H47" s="20"/>
      <c r="I47" s="20"/>
      <c r="J47" s="20" t="s">
        <v>540</v>
      </c>
      <c r="K47" s="17" t="s">
        <v>541</v>
      </c>
    </row>
    <row r="48" spans="1:11" ht="28.05" customHeight="1">
      <c r="A48" s="23">
        <v>64</v>
      </c>
      <c r="B48" s="3" t="s">
        <v>260</v>
      </c>
      <c r="C48" s="3" t="s">
        <v>539</v>
      </c>
      <c r="D48" s="3"/>
      <c r="E48" s="3"/>
      <c r="F48" s="3"/>
      <c r="G48" s="3"/>
      <c r="H48" s="19"/>
      <c r="I48" s="19"/>
      <c r="J48" s="19" t="s">
        <v>540</v>
      </c>
      <c r="K48" s="3" t="s">
        <v>541</v>
      </c>
    </row>
    <row r="49" spans="1:11" ht="28.05" customHeight="1">
      <c r="A49" s="24">
        <v>65</v>
      </c>
      <c r="B49" s="17" t="s">
        <v>263</v>
      </c>
      <c r="C49" s="17" t="s">
        <v>539</v>
      </c>
      <c r="D49" s="17"/>
      <c r="E49" s="17"/>
      <c r="F49" s="17"/>
      <c r="G49" s="17"/>
      <c r="H49" s="20"/>
      <c r="I49" s="20"/>
      <c r="J49" s="20" t="s">
        <v>540</v>
      </c>
      <c r="K49" s="17" t="s">
        <v>541</v>
      </c>
    </row>
    <row r="50" spans="1:11" ht="28.05" customHeight="1">
      <c r="A50" s="23">
        <v>66</v>
      </c>
      <c r="B50" s="3" t="s">
        <v>27</v>
      </c>
      <c r="C50" s="3" t="s">
        <v>547</v>
      </c>
      <c r="D50" s="3" t="s">
        <v>27</v>
      </c>
      <c r="E50" s="3" t="s">
        <v>563</v>
      </c>
      <c r="F50" s="3">
        <v>85</v>
      </c>
      <c r="G50" s="3" t="s">
        <v>579</v>
      </c>
      <c r="H50" s="19" t="s">
        <v>580</v>
      </c>
      <c r="I50" s="19" t="s">
        <v>581</v>
      </c>
      <c r="J50" s="19" t="s">
        <v>540</v>
      </c>
      <c r="K50" s="3" t="s">
        <v>552</v>
      </c>
    </row>
    <row r="51" spans="1:11" ht="28.05" customHeight="1">
      <c r="A51" s="24">
        <v>67</v>
      </c>
      <c r="B51" s="17" t="s">
        <v>269</v>
      </c>
      <c r="C51" s="17" t="s">
        <v>539</v>
      </c>
      <c r="D51" s="17"/>
      <c r="E51" s="17"/>
      <c r="F51" s="17"/>
      <c r="G51" s="17"/>
      <c r="H51" s="20"/>
      <c r="I51" s="20"/>
      <c r="J51" s="20" t="s">
        <v>540</v>
      </c>
      <c r="K51" s="17" t="s">
        <v>541</v>
      </c>
    </row>
    <row r="52" spans="1:11" ht="28.05" customHeight="1">
      <c r="A52" s="23">
        <v>68</v>
      </c>
      <c r="B52" s="3" t="s">
        <v>277</v>
      </c>
      <c r="C52" s="3" t="s">
        <v>539</v>
      </c>
      <c r="D52" s="3"/>
      <c r="E52" s="3"/>
      <c r="F52" s="3"/>
      <c r="G52" s="3"/>
      <c r="H52" s="19"/>
      <c r="I52" s="19"/>
      <c r="J52" s="19" t="s">
        <v>540</v>
      </c>
      <c r="K52" s="3" t="s">
        <v>541</v>
      </c>
    </row>
    <row r="53" spans="1:11" ht="28.05" customHeight="1">
      <c r="A53" s="24">
        <v>69</v>
      </c>
      <c r="B53" s="17" t="s">
        <v>280</v>
      </c>
      <c r="C53" s="17" t="s">
        <v>539</v>
      </c>
      <c r="D53" s="17"/>
      <c r="E53" s="17"/>
      <c r="F53" s="17"/>
      <c r="G53" s="17"/>
      <c r="H53" s="20"/>
      <c r="I53" s="20"/>
      <c r="J53" s="20" t="s">
        <v>540</v>
      </c>
      <c r="K53" s="17" t="s">
        <v>541</v>
      </c>
    </row>
    <row r="54" spans="1:11" ht="28.05" customHeight="1">
      <c r="A54" s="23">
        <v>70</v>
      </c>
      <c r="B54" s="3" t="s">
        <v>284</v>
      </c>
      <c r="C54" s="3" t="s">
        <v>539</v>
      </c>
      <c r="D54" s="3"/>
      <c r="E54" s="3"/>
      <c r="F54" s="3"/>
      <c r="G54" s="3"/>
      <c r="H54" s="19"/>
      <c r="I54" s="19"/>
      <c r="J54" s="19" t="s">
        <v>540</v>
      </c>
      <c r="K54" s="3" t="s">
        <v>541</v>
      </c>
    </row>
    <row r="55" spans="1:11" ht="28.05" customHeight="1">
      <c r="A55" s="24">
        <v>71</v>
      </c>
      <c r="B55" s="17" t="s">
        <v>288</v>
      </c>
      <c r="C55" s="17" t="s">
        <v>539</v>
      </c>
      <c r="D55" s="17"/>
      <c r="E55" s="17"/>
      <c r="F55" s="17"/>
      <c r="G55" s="17"/>
      <c r="H55" s="20"/>
      <c r="I55" s="20"/>
      <c r="J55" s="20" t="s">
        <v>540</v>
      </c>
      <c r="K55" s="17" t="s">
        <v>541</v>
      </c>
    </row>
    <row r="56" spans="1:11" ht="28.05" customHeight="1">
      <c r="A56" s="23">
        <v>72</v>
      </c>
      <c r="B56" s="3" t="s">
        <v>292</v>
      </c>
      <c r="C56" s="3" t="s">
        <v>539</v>
      </c>
      <c r="D56" s="3"/>
      <c r="E56" s="3"/>
      <c r="F56" s="3"/>
      <c r="G56" s="3"/>
      <c r="H56" s="19"/>
      <c r="I56" s="19"/>
      <c r="J56" s="19" t="s">
        <v>540</v>
      </c>
      <c r="K56" s="3" t="s">
        <v>541</v>
      </c>
    </row>
    <row r="57" spans="1:11" ht="28.05" customHeight="1">
      <c r="A57" s="24">
        <v>73</v>
      </c>
      <c r="B57" s="17" t="s">
        <v>297</v>
      </c>
      <c r="C57" s="17" t="s">
        <v>539</v>
      </c>
      <c r="D57" s="17"/>
      <c r="E57" s="17"/>
      <c r="F57" s="17"/>
      <c r="G57" s="17"/>
      <c r="H57" s="20"/>
      <c r="I57" s="20"/>
      <c r="J57" s="20" t="s">
        <v>540</v>
      </c>
      <c r="K57" s="17" t="s">
        <v>541</v>
      </c>
    </row>
    <row r="58" spans="1:11" ht="28.05" customHeight="1">
      <c r="A58" s="23">
        <v>74</v>
      </c>
      <c r="B58" s="3" t="s">
        <v>301</v>
      </c>
      <c r="C58" s="3" t="s">
        <v>547</v>
      </c>
      <c r="D58" s="3" t="s">
        <v>301</v>
      </c>
      <c r="E58" s="3" t="s">
        <v>548</v>
      </c>
      <c r="F58" s="3">
        <v>100</v>
      </c>
      <c r="G58" s="3" t="s">
        <v>582</v>
      </c>
      <c r="H58" s="19" t="s">
        <v>583</v>
      </c>
      <c r="I58" s="19" t="s">
        <v>584</v>
      </c>
      <c r="J58" s="19" t="s">
        <v>540</v>
      </c>
      <c r="K58" s="3" t="s">
        <v>552</v>
      </c>
    </row>
    <row r="59" spans="1:11" ht="28.05" customHeight="1">
      <c r="A59" s="24">
        <v>76</v>
      </c>
      <c r="B59" s="17" t="s">
        <v>304</v>
      </c>
      <c r="C59" s="17" t="s">
        <v>539</v>
      </c>
      <c r="D59" s="17"/>
      <c r="E59" s="17"/>
      <c r="F59" s="17"/>
      <c r="G59" s="17"/>
      <c r="H59" s="20"/>
      <c r="I59" s="20"/>
      <c r="J59" s="20" t="s">
        <v>540</v>
      </c>
      <c r="K59" s="17" t="s">
        <v>541</v>
      </c>
    </row>
    <row r="60" spans="1:11" ht="28.05" customHeight="1">
      <c r="A60" s="23">
        <v>77</v>
      </c>
      <c r="B60" s="3" t="s">
        <v>306</v>
      </c>
      <c r="C60" s="3" t="s">
        <v>539</v>
      </c>
      <c r="D60" s="3"/>
      <c r="E60" s="3"/>
      <c r="F60" s="3"/>
      <c r="G60" s="3"/>
      <c r="H60" s="19"/>
      <c r="I60" s="19"/>
      <c r="J60" s="19" t="s">
        <v>540</v>
      </c>
      <c r="K60" s="3" t="s">
        <v>541</v>
      </c>
    </row>
    <row r="61" spans="1:11" ht="28.05" customHeight="1">
      <c r="A61" s="24">
        <v>78</v>
      </c>
      <c r="B61" s="17" t="s">
        <v>310</v>
      </c>
      <c r="C61" s="17" t="s">
        <v>539</v>
      </c>
      <c r="D61" s="17"/>
      <c r="E61" s="17"/>
      <c r="F61" s="17"/>
      <c r="G61" s="17"/>
      <c r="H61" s="20"/>
      <c r="I61" s="20"/>
      <c r="J61" s="20" t="s">
        <v>540</v>
      </c>
      <c r="K61" s="17" t="s">
        <v>541</v>
      </c>
    </row>
    <row r="62" spans="1:11" ht="28.05" customHeight="1">
      <c r="A62" s="23">
        <v>79</v>
      </c>
      <c r="B62" s="3" t="s">
        <v>313</v>
      </c>
      <c r="C62" s="3" t="s">
        <v>539</v>
      </c>
      <c r="D62" s="3"/>
      <c r="E62" s="3"/>
      <c r="F62" s="3"/>
      <c r="G62" s="3"/>
      <c r="H62" s="19"/>
      <c r="I62" s="19"/>
      <c r="J62" s="19" t="s">
        <v>540</v>
      </c>
      <c r="K62" s="3" t="s">
        <v>541</v>
      </c>
    </row>
    <row r="63" spans="1:11" ht="28.05" customHeight="1">
      <c r="A63" s="24">
        <v>80</v>
      </c>
      <c r="B63" s="17" t="s">
        <v>315</v>
      </c>
      <c r="C63" s="17" t="s">
        <v>539</v>
      </c>
      <c r="D63" s="17"/>
      <c r="E63" s="17"/>
      <c r="F63" s="17"/>
      <c r="G63" s="17"/>
      <c r="H63" s="20"/>
      <c r="I63" s="20"/>
      <c r="J63" s="20" t="s">
        <v>540</v>
      </c>
      <c r="K63" s="17" t="s">
        <v>541</v>
      </c>
    </row>
    <row r="64" spans="1:11" ht="28.05" customHeight="1">
      <c r="A64" s="25">
        <v>81</v>
      </c>
      <c r="B64" s="4" t="s">
        <v>318</v>
      </c>
      <c r="C64" s="4" t="s">
        <v>585</v>
      </c>
      <c r="D64" s="4" t="s">
        <v>586</v>
      </c>
      <c r="E64" s="4" t="s">
        <v>548</v>
      </c>
      <c r="F64" s="4">
        <v>100</v>
      </c>
      <c r="G64" s="4" t="s">
        <v>587</v>
      </c>
      <c r="H64" s="21" t="s">
        <v>588</v>
      </c>
      <c r="I64" s="21" t="s">
        <v>589</v>
      </c>
      <c r="J64" s="21" t="s">
        <v>540</v>
      </c>
      <c r="K64" s="4" t="s">
        <v>590</v>
      </c>
    </row>
  </sheetData>
  <mergeCells count="2">
    <mergeCell ref="A1:K1"/>
    <mergeCell ref="A2:K2"/>
  </mergeCells>
  <phoneticPr fontId="8"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4"/>
  <sheetViews>
    <sheetView showGridLines="0" workbookViewId="0">
      <selection sqref="A1:Q1"/>
    </sheetView>
  </sheetViews>
  <sheetFormatPr defaultRowHeight="13.5"/>
  <cols>
    <col min="1" max="1" width="8" customWidth="1"/>
    <col min="2" max="2" width="28" customWidth="1"/>
    <col min="3" max="3" width="16" customWidth="1"/>
    <col min="4" max="4" width="24" customWidth="1"/>
    <col min="5" max="5" width="30" customWidth="1"/>
    <col min="6" max="6" width="22" customWidth="1"/>
    <col min="7" max="7" width="14" customWidth="1"/>
    <col min="8" max="9" width="15" customWidth="1"/>
    <col min="10" max="10" width="16" customWidth="1"/>
    <col min="11" max="11" width="35" customWidth="1"/>
    <col min="12" max="12" width="45" customWidth="1"/>
    <col min="13" max="13" width="42" customWidth="1"/>
    <col min="14" max="14" width="38" customWidth="1"/>
    <col min="15" max="15" width="12" customWidth="1"/>
    <col min="16" max="16" width="28" customWidth="1"/>
    <col min="17" max="17" width="55" customWidth="1"/>
  </cols>
  <sheetData>
    <row r="1" spans="1:17" ht="28.05" customHeight="1">
      <c r="A1" s="31" t="s">
        <v>591</v>
      </c>
      <c r="B1" s="31"/>
      <c r="C1" s="31"/>
      <c r="D1" s="31"/>
      <c r="E1" s="31"/>
      <c r="F1" s="31"/>
      <c r="G1" s="31"/>
      <c r="H1" s="31"/>
      <c r="I1" s="31"/>
      <c r="J1" s="31"/>
      <c r="K1" s="31"/>
      <c r="L1" s="31"/>
      <c r="M1" s="31"/>
      <c r="N1" s="31"/>
      <c r="O1" s="31"/>
      <c r="P1" s="31"/>
      <c r="Q1" s="31"/>
    </row>
    <row r="2" spans="1:17" ht="34.049999999999997" customHeight="1">
      <c r="A2" s="32" t="s">
        <v>592</v>
      </c>
      <c r="B2" s="32"/>
      <c r="C2" s="32"/>
      <c r="D2" s="32"/>
      <c r="E2" s="32"/>
      <c r="F2" s="32"/>
      <c r="G2" s="32"/>
      <c r="H2" s="32"/>
      <c r="I2" s="32"/>
      <c r="J2" s="32"/>
      <c r="K2" s="32"/>
      <c r="L2" s="32"/>
      <c r="M2" s="32"/>
      <c r="N2" s="32"/>
      <c r="O2" s="32"/>
      <c r="P2" s="32"/>
      <c r="Q2" s="32"/>
    </row>
    <row r="4" spans="1:17" ht="38" customHeight="1">
      <c r="A4" s="13" t="s">
        <v>87</v>
      </c>
      <c r="B4" s="14" t="s">
        <v>529</v>
      </c>
      <c r="C4" s="14" t="s">
        <v>89</v>
      </c>
      <c r="D4" s="14" t="s">
        <v>593</v>
      </c>
      <c r="E4" s="14" t="s">
        <v>594</v>
      </c>
      <c r="F4" s="14" t="s">
        <v>595</v>
      </c>
      <c r="G4" s="14" t="s">
        <v>596</v>
      </c>
      <c r="H4" s="14" t="s">
        <v>597</v>
      </c>
      <c r="I4" s="14" t="s">
        <v>598</v>
      </c>
      <c r="J4" s="14" t="s">
        <v>599</v>
      </c>
      <c r="K4" s="14" t="s">
        <v>600</v>
      </c>
      <c r="L4" s="14" t="s">
        <v>601</v>
      </c>
      <c r="M4" s="14" t="s">
        <v>602</v>
      </c>
      <c r="N4" s="14" t="s">
        <v>537</v>
      </c>
      <c r="O4" s="14" t="s">
        <v>603</v>
      </c>
      <c r="P4" s="14" t="s">
        <v>604</v>
      </c>
      <c r="Q4" s="15" t="s">
        <v>605</v>
      </c>
    </row>
    <row r="5" spans="1:17" ht="36" customHeight="1">
      <c r="A5" s="22">
        <v>1</v>
      </c>
      <c r="B5" s="16" t="s">
        <v>97</v>
      </c>
      <c r="C5" s="16" t="s">
        <v>98</v>
      </c>
      <c r="D5" s="16" t="s">
        <v>606</v>
      </c>
      <c r="E5" s="16" t="s">
        <v>607</v>
      </c>
      <c r="F5" s="16" t="s">
        <v>608</v>
      </c>
      <c r="G5" s="16" t="s">
        <v>609</v>
      </c>
      <c r="H5" s="16">
        <v>3</v>
      </c>
      <c r="I5" s="16">
        <v>2025</v>
      </c>
      <c r="J5" s="16" t="s">
        <v>610</v>
      </c>
      <c r="K5" s="16" t="s">
        <v>611</v>
      </c>
      <c r="L5" s="18" t="s">
        <v>612</v>
      </c>
      <c r="M5" s="18" t="s">
        <v>613</v>
      </c>
      <c r="N5" s="18" t="s">
        <v>614</v>
      </c>
      <c r="O5" s="16">
        <v>1</v>
      </c>
      <c r="P5" s="16" t="s">
        <v>615</v>
      </c>
      <c r="Q5" s="16" t="s">
        <v>616</v>
      </c>
    </row>
    <row r="6" spans="1:17" ht="36" customHeight="1">
      <c r="A6" s="23">
        <v>2</v>
      </c>
      <c r="B6" s="3" t="s">
        <v>103</v>
      </c>
      <c r="C6" s="3" t="s">
        <v>104</v>
      </c>
      <c r="D6" s="3" t="s">
        <v>606</v>
      </c>
      <c r="E6" s="3" t="s">
        <v>617</v>
      </c>
      <c r="F6" s="3" t="s">
        <v>608</v>
      </c>
      <c r="G6" s="3" t="s">
        <v>618</v>
      </c>
      <c r="H6" s="3">
        <v>0</v>
      </c>
      <c r="I6" s="3"/>
      <c r="J6" s="3"/>
      <c r="K6" s="3"/>
      <c r="L6" s="19"/>
      <c r="M6" s="19" t="s">
        <v>619</v>
      </c>
      <c r="N6" s="19" t="s">
        <v>614</v>
      </c>
      <c r="O6" s="3">
        <v>1</v>
      </c>
      <c r="P6" s="3" t="s">
        <v>617</v>
      </c>
      <c r="Q6" s="3" t="s">
        <v>616</v>
      </c>
    </row>
    <row r="7" spans="1:17" ht="36" customHeight="1">
      <c r="A7" s="24">
        <v>3</v>
      </c>
      <c r="B7" s="17" t="s">
        <v>108</v>
      </c>
      <c r="C7" s="17" t="s">
        <v>109</v>
      </c>
      <c r="D7" s="17" t="s">
        <v>620</v>
      </c>
      <c r="E7" s="17"/>
      <c r="F7" s="17"/>
      <c r="G7" s="17"/>
      <c r="H7" s="17"/>
      <c r="I7" s="17"/>
      <c r="J7" s="17"/>
      <c r="K7" s="17"/>
      <c r="L7" s="20"/>
      <c r="M7" s="20"/>
      <c r="N7" s="20" t="s">
        <v>614</v>
      </c>
      <c r="O7" s="17"/>
      <c r="P7" s="17"/>
      <c r="Q7" s="17" t="s">
        <v>621</v>
      </c>
    </row>
    <row r="8" spans="1:17" ht="36" customHeight="1">
      <c r="A8" s="23">
        <v>4</v>
      </c>
      <c r="B8" s="3" t="s">
        <v>113</v>
      </c>
      <c r="C8" s="3" t="s">
        <v>109</v>
      </c>
      <c r="D8" s="3" t="s">
        <v>606</v>
      </c>
      <c r="E8" s="3" t="s">
        <v>622</v>
      </c>
      <c r="F8" s="3" t="s">
        <v>608</v>
      </c>
      <c r="G8" s="3" t="s">
        <v>623</v>
      </c>
      <c r="H8" s="3">
        <v>3</v>
      </c>
      <c r="I8" s="3">
        <v>2025</v>
      </c>
      <c r="J8" s="3" t="s">
        <v>624</v>
      </c>
      <c r="K8" s="3" t="s">
        <v>625</v>
      </c>
      <c r="L8" s="19" t="s">
        <v>626</v>
      </c>
      <c r="M8" s="19" t="s">
        <v>627</v>
      </c>
      <c r="N8" s="19" t="s">
        <v>614</v>
      </c>
      <c r="O8" s="3">
        <v>1</v>
      </c>
      <c r="P8" s="3" t="s">
        <v>622</v>
      </c>
      <c r="Q8" s="3" t="s">
        <v>616</v>
      </c>
    </row>
    <row r="9" spans="1:17" ht="36" customHeight="1">
      <c r="A9" s="24">
        <v>5</v>
      </c>
      <c r="B9" s="17" t="s">
        <v>117</v>
      </c>
      <c r="C9" s="17" t="s">
        <v>104</v>
      </c>
      <c r="D9" s="17" t="s">
        <v>620</v>
      </c>
      <c r="E9" s="17"/>
      <c r="F9" s="17"/>
      <c r="G9" s="17"/>
      <c r="H9" s="17"/>
      <c r="I9" s="17"/>
      <c r="J9" s="17"/>
      <c r="K9" s="17"/>
      <c r="L9" s="20"/>
      <c r="M9" s="20"/>
      <c r="N9" s="20" t="s">
        <v>614</v>
      </c>
      <c r="O9" s="17"/>
      <c r="P9" s="17"/>
      <c r="Q9" s="17" t="s">
        <v>628</v>
      </c>
    </row>
    <row r="10" spans="1:17" ht="36" customHeight="1">
      <c r="A10" s="23">
        <v>6</v>
      </c>
      <c r="B10" s="3" t="s">
        <v>121</v>
      </c>
      <c r="C10" s="3" t="s">
        <v>109</v>
      </c>
      <c r="D10" s="3" t="s">
        <v>620</v>
      </c>
      <c r="E10" s="3"/>
      <c r="F10" s="3"/>
      <c r="G10" s="3"/>
      <c r="H10" s="3"/>
      <c r="I10" s="3"/>
      <c r="J10" s="3"/>
      <c r="K10" s="3"/>
      <c r="L10" s="19"/>
      <c r="M10" s="19"/>
      <c r="N10" s="19" t="s">
        <v>614</v>
      </c>
      <c r="O10" s="3"/>
      <c r="P10" s="3"/>
      <c r="Q10" s="3" t="s">
        <v>621</v>
      </c>
    </row>
    <row r="11" spans="1:17" ht="36" customHeight="1">
      <c r="A11" s="24">
        <v>7</v>
      </c>
      <c r="B11" s="17" t="s">
        <v>125</v>
      </c>
      <c r="C11" s="17" t="s">
        <v>109</v>
      </c>
      <c r="D11" s="17" t="s">
        <v>620</v>
      </c>
      <c r="E11" s="17"/>
      <c r="F11" s="17"/>
      <c r="G11" s="17"/>
      <c r="H11" s="17"/>
      <c r="I11" s="17"/>
      <c r="J11" s="17"/>
      <c r="K11" s="17"/>
      <c r="L11" s="20"/>
      <c r="M11" s="20"/>
      <c r="N11" s="20" t="s">
        <v>614</v>
      </c>
      <c r="O11" s="17"/>
      <c r="P11" s="17"/>
      <c r="Q11" s="17" t="s">
        <v>621</v>
      </c>
    </row>
    <row r="12" spans="1:17" ht="36" customHeight="1">
      <c r="A12" s="23">
        <v>8</v>
      </c>
      <c r="B12" s="3" t="s">
        <v>128</v>
      </c>
      <c r="C12" s="3" t="s">
        <v>129</v>
      </c>
      <c r="D12" s="3" t="s">
        <v>606</v>
      </c>
      <c r="E12" s="3" t="s">
        <v>629</v>
      </c>
      <c r="F12" s="3" t="s">
        <v>630</v>
      </c>
      <c r="G12" s="3" t="s">
        <v>631</v>
      </c>
      <c r="H12" s="3">
        <v>1</v>
      </c>
      <c r="I12" s="3">
        <v>2024</v>
      </c>
      <c r="J12" s="3" t="s">
        <v>632</v>
      </c>
      <c r="K12" s="3" t="s">
        <v>633</v>
      </c>
      <c r="L12" s="19" t="s">
        <v>634</v>
      </c>
      <c r="M12" s="19" t="s">
        <v>635</v>
      </c>
      <c r="N12" s="19" t="s">
        <v>614</v>
      </c>
      <c r="O12" s="3">
        <v>1</v>
      </c>
      <c r="P12" s="3" t="s">
        <v>629</v>
      </c>
      <c r="Q12" s="3" t="s">
        <v>616</v>
      </c>
    </row>
    <row r="13" spans="1:17" ht="36" customHeight="1">
      <c r="A13" s="24">
        <v>9</v>
      </c>
      <c r="B13" s="17" t="s">
        <v>133</v>
      </c>
      <c r="C13" s="17" t="s">
        <v>104</v>
      </c>
      <c r="D13" s="17" t="s">
        <v>606</v>
      </c>
      <c r="E13" s="17" t="s">
        <v>636</v>
      </c>
      <c r="F13" s="17" t="s">
        <v>608</v>
      </c>
      <c r="G13" s="17" t="s">
        <v>637</v>
      </c>
      <c r="H13" s="17">
        <v>0</v>
      </c>
      <c r="I13" s="17"/>
      <c r="J13" s="17"/>
      <c r="K13" s="17"/>
      <c r="L13" s="20"/>
      <c r="M13" s="20" t="s">
        <v>638</v>
      </c>
      <c r="N13" s="20" t="s">
        <v>614</v>
      </c>
      <c r="O13" s="17">
        <v>1</v>
      </c>
      <c r="P13" s="17" t="s">
        <v>636</v>
      </c>
      <c r="Q13" s="17" t="s">
        <v>616</v>
      </c>
    </row>
    <row r="14" spans="1:17" ht="36" customHeight="1">
      <c r="A14" s="23">
        <v>10</v>
      </c>
      <c r="B14" s="3" t="s">
        <v>137</v>
      </c>
      <c r="C14" s="3" t="s">
        <v>109</v>
      </c>
      <c r="D14" s="3" t="s">
        <v>606</v>
      </c>
      <c r="E14" s="3" t="s">
        <v>639</v>
      </c>
      <c r="F14" s="3" t="s">
        <v>608</v>
      </c>
      <c r="G14" s="3" t="s">
        <v>640</v>
      </c>
      <c r="H14" s="3">
        <v>2</v>
      </c>
      <c r="I14" s="3">
        <v>2025</v>
      </c>
      <c r="J14" s="3" t="s">
        <v>641</v>
      </c>
      <c r="K14" s="3" t="s">
        <v>642</v>
      </c>
      <c r="L14" s="19" t="s">
        <v>643</v>
      </c>
      <c r="M14" s="19" t="s">
        <v>644</v>
      </c>
      <c r="N14" s="19" t="s">
        <v>614</v>
      </c>
      <c r="O14" s="3">
        <v>1</v>
      </c>
      <c r="P14" s="3" t="s">
        <v>639</v>
      </c>
      <c r="Q14" s="3" t="s">
        <v>616</v>
      </c>
    </row>
    <row r="15" spans="1:17" ht="36" customHeight="1">
      <c r="A15" s="24">
        <v>11</v>
      </c>
      <c r="B15" s="17" t="s">
        <v>142</v>
      </c>
      <c r="C15" s="17" t="s">
        <v>143</v>
      </c>
      <c r="D15" s="17" t="s">
        <v>620</v>
      </c>
      <c r="E15" s="17"/>
      <c r="F15" s="17"/>
      <c r="G15" s="17"/>
      <c r="H15" s="17"/>
      <c r="I15" s="17"/>
      <c r="J15" s="17"/>
      <c r="K15" s="17"/>
      <c r="L15" s="20"/>
      <c r="M15" s="20"/>
      <c r="N15" s="20" t="s">
        <v>614</v>
      </c>
      <c r="O15" s="17"/>
      <c r="P15" s="17"/>
      <c r="Q15" s="17" t="s">
        <v>621</v>
      </c>
    </row>
    <row r="16" spans="1:17" ht="36" customHeight="1">
      <c r="A16" s="23">
        <v>12</v>
      </c>
      <c r="B16" s="3" t="s">
        <v>146</v>
      </c>
      <c r="C16" s="3" t="s">
        <v>129</v>
      </c>
      <c r="D16" s="3" t="s">
        <v>606</v>
      </c>
      <c r="E16" s="3" t="s">
        <v>645</v>
      </c>
      <c r="F16" s="3" t="s">
        <v>608</v>
      </c>
      <c r="G16" s="3" t="s">
        <v>646</v>
      </c>
      <c r="H16" s="3">
        <v>2</v>
      </c>
      <c r="I16" s="3">
        <v>2025</v>
      </c>
      <c r="J16" s="3" t="s">
        <v>647</v>
      </c>
      <c r="K16" s="3" t="s">
        <v>648</v>
      </c>
      <c r="L16" s="19" t="s">
        <v>649</v>
      </c>
      <c r="M16" s="19" t="s">
        <v>650</v>
      </c>
      <c r="N16" s="19" t="s">
        <v>614</v>
      </c>
      <c r="O16" s="3">
        <v>0.96</v>
      </c>
      <c r="P16" s="3" t="s">
        <v>651</v>
      </c>
      <c r="Q16" s="3" t="s">
        <v>616</v>
      </c>
    </row>
    <row r="17" spans="1:17" ht="36" customHeight="1">
      <c r="A17" s="24">
        <v>13</v>
      </c>
      <c r="B17" s="17" t="s">
        <v>149</v>
      </c>
      <c r="C17" s="17" t="s">
        <v>150</v>
      </c>
      <c r="D17" s="17" t="s">
        <v>606</v>
      </c>
      <c r="E17" s="17" t="s">
        <v>652</v>
      </c>
      <c r="F17" s="17" t="s">
        <v>608</v>
      </c>
      <c r="G17" s="17" t="s">
        <v>653</v>
      </c>
      <c r="H17" s="17">
        <v>2</v>
      </c>
      <c r="I17" s="17">
        <v>2025</v>
      </c>
      <c r="J17" s="17" t="s">
        <v>654</v>
      </c>
      <c r="K17" s="17" t="s">
        <v>655</v>
      </c>
      <c r="L17" s="20" t="s">
        <v>656</v>
      </c>
      <c r="M17" s="20" t="s">
        <v>657</v>
      </c>
      <c r="N17" s="20" t="s">
        <v>614</v>
      </c>
      <c r="O17" s="17">
        <v>1</v>
      </c>
      <c r="P17" s="17" t="s">
        <v>652</v>
      </c>
      <c r="Q17" s="17" t="s">
        <v>616</v>
      </c>
    </row>
    <row r="18" spans="1:17" ht="36" customHeight="1">
      <c r="A18" s="23">
        <v>14</v>
      </c>
      <c r="B18" s="3" t="s">
        <v>153</v>
      </c>
      <c r="C18" s="3" t="s">
        <v>150</v>
      </c>
      <c r="D18" s="3" t="s">
        <v>620</v>
      </c>
      <c r="E18" s="3"/>
      <c r="F18" s="3"/>
      <c r="G18" s="3"/>
      <c r="H18" s="3"/>
      <c r="I18" s="3"/>
      <c r="J18" s="3"/>
      <c r="K18" s="3"/>
      <c r="L18" s="19"/>
      <c r="M18" s="19"/>
      <c r="N18" s="19" t="s">
        <v>614</v>
      </c>
      <c r="O18" s="3"/>
      <c r="P18" s="3"/>
      <c r="Q18" s="3" t="s">
        <v>621</v>
      </c>
    </row>
    <row r="19" spans="1:17" ht="36" customHeight="1">
      <c r="A19" s="24">
        <v>15</v>
      </c>
      <c r="B19" s="17" t="s">
        <v>157</v>
      </c>
      <c r="C19" s="17" t="s">
        <v>109</v>
      </c>
      <c r="D19" s="17" t="s">
        <v>620</v>
      </c>
      <c r="E19" s="17"/>
      <c r="F19" s="17"/>
      <c r="G19" s="17"/>
      <c r="H19" s="17"/>
      <c r="I19" s="17"/>
      <c r="J19" s="17"/>
      <c r="K19" s="17"/>
      <c r="L19" s="20"/>
      <c r="M19" s="20"/>
      <c r="N19" s="20" t="s">
        <v>614</v>
      </c>
      <c r="O19" s="17"/>
      <c r="P19" s="17"/>
      <c r="Q19" s="17" t="s">
        <v>658</v>
      </c>
    </row>
    <row r="20" spans="1:17" ht="36" customHeight="1">
      <c r="A20" s="23">
        <v>16</v>
      </c>
      <c r="B20" s="3" t="s">
        <v>161</v>
      </c>
      <c r="C20" s="3" t="s">
        <v>129</v>
      </c>
      <c r="D20" s="3" t="s">
        <v>606</v>
      </c>
      <c r="E20" s="3" t="s">
        <v>659</v>
      </c>
      <c r="F20" s="3" t="s">
        <v>608</v>
      </c>
      <c r="G20" s="3" t="s">
        <v>660</v>
      </c>
      <c r="H20" s="3">
        <v>3</v>
      </c>
      <c r="I20" s="3">
        <v>2025</v>
      </c>
      <c r="J20" s="3" t="s">
        <v>624</v>
      </c>
      <c r="K20" s="3" t="s">
        <v>661</v>
      </c>
      <c r="L20" s="19" t="s">
        <v>662</v>
      </c>
      <c r="M20" s="19" t="s">
        <v>663</v>
      </c>
      <c r="N20" s="19" t="s">
        <v>614</v>
      </c>
      <c r="O20" s="3">
        <v>1</v>
      </c>
      <c r="P20" s="3" t="s">
        <v>659</v>
      </c>
      <c r="Q20" s="3" t="s">
        <v>616</v>
      </c>
    </row>
    <row r="21" spans="1:17" ht="36" customHeight="1">
      <c r="A21" s="24">
        <v>17</v>
      </c>
      <c r="B21" s="17" t="s">
        <v>165</v>
      </c>
      <c r="C21" s="17" t="s">
        <v>129</v>
      </c>
      <c r="D21" s="17" t="s">
        <v>620</v>
      </c>
      <c r="E21" s="17"/>
      <c r="F21" s="17"/>
      <c r="G21" s="17"/>
      <c r="H21" s="17"/>
      <c r="I21" s="17"/>
      <c r="J21" s="17"/>
      <c r="K21" s="17"/>
      <c r="L21" s="20"/>
      <c r="M21" s="20"/>
      <c r="N21" s="20" t="s">
        <v>614</v>
      </c>
      <c r="O21" s="17"/>
      <c r="P21" s="17"/>
      <c r="Q21" s="17" t="s">
        <v>621</v>
      </c>
    </row>
    <row r="22" spans="1:17" ht="36" customHeight="1">
      <c r="A22" s="23">
        <v>18</v>
      </c>
      <c r="B22" s="3" t="s">
        <v>168</v>
      </c>
      <c r="C22" s="3" t="s">
        <v>109</v>
      </c>
      <c r="D22" s="3" t="s">
        <v>606</v>
      </c>
      <c r="E22" s="3" t="s">
        <v>664</v>
      </c>
      <c r="F22" s="3" t="s">
        <v>608</v>
      </c>
      <c r="G22" s="3" t="s">
        <v>665</v>
      </c>
      <c r="H22" s="3">
        <v>2</v>
      </c>
      <c r="I22" s="3">
        <v>2025</v>
      </c>
      <c r="J22" s="3" t="s">
        <v>666</v>
      </c>
      <c r="K22" s="3" t="s">
        <v>667</v>
      </c>
      <c r="L22" s="19" t="s">
        <v>668</v>
      </c>
      <c r="M22" s="19" t="s">
        <v>669</v>
      </c>
      <c r="N22" s="19" t="s">
        <v>614</v>
      </c>
      <c r="O22" s="3">
        <v>1</v>
      </c>
      <c r="P22" s="3" t="s">
        <v>664</v>
      </c>
      <c r="Q22" s="3" t="s">
        <v>616</v>
      </c>
    </row>
    <row r="23" spans="1:17" ht="36" customHeight="1">
      <c r="A23" s="24">
        <v>19</v>
      </c>
      <c r="B23" s="17" t="s">
        <v>171</v>
      </c>
      <c r="C23" s="17" t="s">
        <v>109</v>
      </c>
      <c r="D23" s="17" t="s">
        <v>606</v>
      </c>
      <c r="E23" s="17" t="s">
        <v>670</v>
      </c>
      <c r="F23" s="17" t="s">
        <v>608</v>
      </c>
      <c r="G23" s="17" t="s">
        <v>671</v>
      </c>
      <c r="H23" s="17">
        <v>0</v>
      </c>
      <c r="I23" s="17"/>
      <c r="J23" s="17"/>
      <c r="K23" s="17"/>
      <c r="L23" s="20"/>
      <c r="M23" s="20" t="s">
        <v>672</v>
      </c>
      <c r="N23" s="20" t="s">
        <v>614</v>
      </c>
      <c r="O23" s="17">
        <v>1</v>
      </c>
      <c r="P23" s="17" t="s">
        <v>670</v>
      </c>
      <c r="Q23" s="17" t="s">
        <v>616</v>
      </c>
    </row>
    <row r="24" spans="1:17" ht="36" customHeight="1">
      <c r="A24" s="23">
        <v>20</v>
      </c>
      <c r="B24" s="3" t="s">
        <v>175</v>
      </c>
      <c r="C24" s="3" t="s">
        <v>150</v>
      </c>
      <c r="D24" s="3" t="s">
        <v>620</v>
      </c>
      <c r="E24" s="3"/>
      <c r="F24" s="3"/>
      <c r="G24" s="3"/>
      <c r="H24" s="3"/>
      <c r="I24" s="3"/>
      <c r="J24" s="3"/>
      <c r="K24" s="3"/>
      <c r="L24" s="19"/>
      <c r="M24" s="19"/>
      <c r="N24" s="19" t="s">
        <v>614</v>
      </c>
      <c r="O24" s="3"/>
      <c r="P24" s="3"/>
      <c r="Q24" s="3" t="s">
        <v>621</v>
      </c>
    </row>
    <row r="25" spans="1:17" ht="36" customHeight="1">
      <c r="A25" s="24">
        <v>21</v>
      </c>
      <c r="B25" s="17" t="s">
        <v>179</v>
      </c>
      <c r="C25" s="17" t="s">
        <v>150</v>
      </c>
      <c r="D25" s="17" t="s">
        <v>620</v>
      </c>
      <c r="E25" s="17"/>
      <c r="F25" s="17"/>
      <c r="G25" s="17"/>
      <c r="H25" s="17"/>
      <c r="I25" s="17"/>
      <c r="J25" s="17"/>
      <c r="K25" s="17"/>
      <c r="L25" s="20"/>
      <c r="M25" s="20"/>
      <c r="N25" s="20" t="s">
        <v>614</v>
      </c>
      <c r="O25" s="17"/>
      <c r="P25" s="17"/>
      <c r="Q25" s="17" t="s">
        <v>621</v>
      </c>
    </row>
    <row r="26" spans="1:17" ht="36" customHeight="1">
      <c r="A26" s="23">
        <v>22</v>
      </c>
      <c r="B26" s="3" t="s">
        <v>183</v>
      </c>
      <c r="C26" s="3" t="s">
        <v>184</v>
      </c>
      <c r="D26" s="3" t="s">
        <v>606</v>
      </c>
      <c r="E26" s="3" t="s">
        <v>673</v>
      </c>
      <c r="F26" s="3" t="s">
        <v>608</v>
      </c>
      <c r="G26" s="3" t="s">
        <v>674</v>
      </c>
      <c r="H26" s="3">
        <v>2</v>
      </c>
      <c r="I26" s="3">
        <v>2025</v>
      </c>
      <c r="J26" s="3" t="s">
        <v>675</v>
      </c>
      <c r="K26" s="3" t="s">
        <v>676</v>
      </c>
      <c r="L26" s="19" t="s">
        <v>677</v>
      </c>
      <c r="M26" s="19" t="s">
        <v>678</v>
      </c>
      <c r="N26" s="19" t="s">
        <v>614</v>
      </c>
      <c r="O26" s="3">
        <v>1</v>
      </c>
      <c r="P26" s="3" t="s">
        <v>673</v>
      </c>
      <c r="Q26" s="3" t="s">
        <v>616</v>
      </c>
    </row>
    <row r="27" spans="1:17" ht="36" customHeight="1">
      <c r="A27" s="24">
        <v>23</v>
      </c>
      <c r="B27" s="17" t="s">
        <v>187</v>
      </c>
      <c r="C27" s="17" t="s">
        <v>188</v>
      </c>
      <c r="D27" s="17" t="s">
        <v>620</v>
      </c>
      <c r="E27" s="17"/>
      <c r="F27" s="17"/>
      <c r="G27" s="17"/>
      <c r="H27" s="17"/>
      <c r="I27" s="17"/>
      <c r="J27" s="17"/>
      <c r="K27" s="17"/>
      <c r="L27" s="20"/>
      <c r="M27" s="20"/>
      <c r="N27" s="20" t="s">
        <v>614</v>
      </c>
      <c r="O27" s="17"/>
      <c r="P27" s="17"/>
      <c r="Q27" s="17" t="s">
        <v>621</v>
      </c>
    </row>
    <row r="28" spans="1:17" ht="36" customHeight="1">
      <c r="A28" s="23">
        <v>24</v>
      </c>
      <c r="B28" s="3" t="s">
        <v>191</v>
      </c>
      <c r="C28" s="3" t="s">
        <v>109</v>
      </c>
      <c r="D28" s="3" t="s">
        <v>606</v>
      </c>
      <c r="E28" s="3" t="s">
        <v>679</v>
      </c>
      <c r="F28" s="3" t="s">
        <v>608</v>
      </c>
      <c r="G28" s="3" t="s">
        <v>680</v>
      </c>
      <c r="H28" s="3">
        <v>3</v>
      </c>
      <c r="I28" s="3">
        <v>2025</v>
      </c>
      <c r="J28" s="3" t="s">
        <v>654</v>
      </c>
      <c r="K28" s="3" t="s">
        <v>681</v>
      </c>
      <c r="L28" s="19" t="s">
        <v>682</v>
      </c>
      <c r="M28" s="19" t="s">
        <v>683</v>
      </c>
      <c r="N28" s="19" t="s">
        <v>614</v>
      </c>
      <c r="O28" s="3">
        <v>1</v>
      </c>
      <c r="P28" s="3" t="s">
        <v>679</v>
      </c>
      <c r="Q28" s="3" t="s">
        <v>616</v>
      </c>
    </row>
    <row r="29" spans="1:17" ht="36" customHeight="1">
      <c r="A29" s="24">
        <v>25</v>
      </c>
      <c r="B29" s="17" t="s">
        <v>194</v>
      </c>
      <c r="C29" s="17" t="s">
        <v>109</v>
      </c>
      <c r="D29" s="17" t="s">
        <v>606</v>
      </c>
      <c r="E29" s="17" t="s">
        <v>684</v>
      </c>
      <c r="F29" s="17" t="s">
        <v>608</v>
      </c>
      <c r="G29" s="17" t="s">
        <v>685</v>
      </c>
      <c r="H29" s="17">
        <v>1</v>
      </c>
      <c r="I29" s="17">
        <v>2025</v>
      </c>
      <c r="J29" s="17" t="s">
        <v>686</v>
      </c>
      <c r="K29" s="17" t="s">
        <v>687</v>
      </c>
      <c r="L29" s="20" t="s">
        <v>688</v>
      </c>
      <c r="M29" s="20" t="s">
        <v>689</v>
      </c>
      <c r="N29" s="20" t="s">
        <v>614</v>
      </c>
      <c r="O29" s="17">
        <v>1</v>
      </c>
      <c r="P29" s="17" t="s">
        <v>684</v>
      </c>
      <c r="Q29" s="17" t="s">
        <v>616</v>
      </c>
    </row>
    <row r="30" spans="1:17" ht="36" customHeight="1">
      <c r="A30" s="23">
        <v>26</v>
      </c>
      <c r="B30" s="3" t="s">
        <v>197</v>
      </c>
      <c r="C30" s="3" t="s">
        <v>104</v>
      </c>
      <c r="D30" s="3" t="s">
        <v>606</v>
      </c>
      <c r="E30" s="3" t="s">
        <v>690</v>
      </c>
      <c r="F30" s="3" t="s">
        <v>608</v>
      </c>
      <c r="G30" s="3" t="s">
        <v>691</v>
      </c>
      <c r="H30" s="3">
        <v>2</v>
      </c>
      <c r="I30" s="3">
        <v>2025</v>
      </c>
      <c r="J30" s="3" t="s">
        <v>686</v>
      </c>
      <c r="K30" s="3" t="s">
        <v>692</v>
      </c>
      <c r="L30" s="19" t="s">
        <v>693</v>
      </c>
      <c r="M30" s="19" t="s">
        <v>694</v>
      </c>
      <c r="N30" s="19" t="s">
        <v>614</v>
      </c>
      <c r="O30" s="3">
        <v>1</v>
      </c>
      <c r="P30" s="3" t="s">
        <v>690</v>
      </c>
      <c r="Q30" s="3" t="s">
        <v>616</v>
      </c>
    </row>
    <row r="31" spans="1:17" ht="36" customHeight="1">
      <c r="A31" s="24">
        <v>27</v>
      </c>
      <c r="B31" s="17" t="s">
        <v>201</v>
      </c>
      <c r="C31" s="17" t="s">
        <v>109</v>
      </c>
      <c r="D31" s="17" t="s">
        <v>606</v>
      </c>
      <c r="E31" s="17" t="s">
        <v>695</v>
      </c>
      <c r="F31" s="17" t="s">
        <v>608</v>
      </c>
      <c r="G31" s="17" t="s">
        <v>696</v>
      </c>
      <c r="H31" s="17">
        <v>3</v>
      </c>
      <c r="I31" s="17">
        <v>2025</v>
      </c>
      <c r="J31" s="17" t="s">
        <v>686</v>
      </c>
      <c r="K31" s="17" t="s">
        <v>697</v>
      </c>
      <c r="L31" s="20" t="s">
        <v>698</v>
      </c>
      <c r="M31" s="20" t="s">
        <v>699</v>
      </c>
      <c r="N31" s="20" t="s">
        <v>614</v>
      </c>
      <c r="O31" s="17">
        <v>1</v>
      </c>
      <c r="P31" s="17" t="s">
        <v>695</v>
      </c>
      <c r="Q31" s="17" t="s">
        <v>616</v>
      </c>
    </row>
    <row r="32" spans="1:17" ht="36" customHeight="1">
      <c r="A32" s="23">
        <v>28</v>
      </c>
      <c r="B32" s="3" t="s">
        <v>206</v>
      </c>
      <c r="C32" s="3" t="s">
        <v>207</v>
      </c>
      <c r="D32" s="3" t="s">
        <v>606</v>
      </c>
      <c r="E32" s="3" t="s">
        <v>700</v>
      </c>
      <c r="F32" s="3" t="s">
        <v>608</v>
      </c>
      <c r="G32" s="3" t="s">
        <v>701</v>
      </c>
      <c r="H32" s="3">
        <v>3</v>
      </c>
      <c r="I32" s="3">
        <v>2025</v>
      </c>
      <c r="J32" s="3" t="s">
        <v>702</v>
      </c>
      <c r="K32" s="3" t="s">
        <v>703</v>
      </c>
      <c r="L32" s="19" t="s">
        <v>704</v>
      </c>
      <c r="M32" s="19" t="s">
        <v>705</v>
      </c>
      <c r="N32" s="19" t="s">
        <v>614</v>
      </c>
      <c r="O32" s="3">
        <v>1</v>
      </c>
      <c r="P32" s="3" t="s">
        <v>700</v>
      </c>
      <c r="Q32" s="3" t="s">
        <v>616</v>
      </c>
    </row>
    <row r="33" spans="1:17" ht="36" customHeight="1">
      <c r="A33" s="24">
        <v>29</v>
      </c>
      <c r="B33" s="17" t="s">
        <v>211</v>
      </c>
      <c r="C33" s="17" t="s">
        <v>212</v>
      </c>
      <c r="D33" s="17" t="s">
        <v>606</v>
      </c>
      <c r="E33" s="17" t="s">
        <v>706</v>
      </c>
      <c r="F33" s="17" t="s">
        <v>608</v>
      </c>
      <c r="G33" s="17" t="s">
        <v>707</v>
      </c>
      <c r="H33" s="17">
        <v>3</v>
      </c>
      <c r="I33" s="17">
        <v>2025</v>
      </c>
      <c r="J33" s="17" t="s">
        <v>666</v>
      </c>
      <c r="K33" s="17" t="s">
        <v>708</v>
      </c>
      <c r="L33" s="20" t="s">
        <v>709</v>
      </c>
      <c r="M33" s="20" t="s">
        <v>710</v>
      </c>
      <c r="N33" s="20" t="s">
        <v>614</v>
      </c>
      <c r="O33" s="17">
        <v>1</v>
      </c>
      <c r="P33" s="17" t="s">
        <v>706</v>
      </c>
      <c r="Q33" s="17" t="s">
        <v>616</v>
      </c>
    </row>
    <row r="34" spans="1:17" ht="36" customHeight="1">
      <c r="A34" s="23">
        <v>30</v>
      </c>
      <c r="B34" s="3" t="s">
        <v>215</v>
      </c>
      <c r="C34" s="3" t="s">
        <v>150</v>
      </c>
      <c r="D34" s="3" t="s">
        <v>711</v>
      </c>
      <c r="E34" s="3" t="s">
        <v>712</v>
      </c>
      <c r="F34" s="3" t="s">
        <v>608</v>
      </c>
      <c r="G34" s="3" t="s">
        <v>713</v>
      </c>
      <c r="H34" s="3">
        <v>2</v>
      </c>
      <c r="I34" s="3">
        <v>2025</v>
      </c>
      <c r="J34" s="3" t="s">
        <v>714</v>
      </c>
      <c r="K34" s="3" t="s">
        <v>715</v>
      </c>
      <c r="L34" s="19" t="s">
        <v>716</v>
      </c>
      <c r="M34" s="19" t="s">
        <v>717</v>
      </c>
      <c r="N34" s="19" t="s">
        <v>614</v>
      </c>
      <c r="O34" s="3">
        <v>0.96</v>
      </c>
      <c r="P34" s="3" t="s">
        <v>215</v>
      </c>
      <c r="Q34" s="3" t="s">
        <v>616</v>
      </c>
    </row>
    <row r="35" spans="1:17" ht="36" customHeight="1">
      <c r="A35" s="24">
        <v>49</v>
      </c>
      <c r="B35" s="17" t="s">
        <v>273</v>
      </c>
      <c r="C35" s="17" t="s">
        <v>109</v>
      </c>
      <c r="D35" s="17" t="s">
        <v>606</v>
      </c>
      <c r="E35" s="17" t="s">
        <v>718</v>
      </c>
      <c r="F35" s="17" t="s">
        <v>608</v>
      </c>
      <c r="G35" s="17" t="s">
        <v>719</v>
      </c>
      <c r="H35" s="17">
        <v>3</v>
      </c>
      <c r="I35" s="17">
        <v>2025</v>
      </c>
      <c r="J35" s="17" t="s">
        <v>654</v>
      </c>
      <c r="K35" s="17" t="s">
        <v>720</v>
      </c>
      <c r="L35" s="20" t="s">
        <v>721</v>
      </c>
      <c r="M35" s="20" t="s">
        <v>722</v>
      </c>
      <c r="N35" s="20" t="s">
        <v>614</v>
      </c>
      <c r="O35" s="17">
        <v>1</v>
      </c>
      <c r="P35" s="17" t="s">
        <v>718</v>
      </c>
      <c r="Q35" s="17" t="s">
        <v>616</v>
      </c>
    </row>
    <row r="36" spans="1:17" ht="36" customHeight="1">
      <c r="A36" s="23">
        <v>52</v>
      </c>
      <c r="B36" s="3" t="s">
        <v>219</v>
      </c>
      <c r="C36" s="3" t="s">
        <v>129</v>
      </c>
      <c r="D36" s="3" t="s">
        <v>606</v>
      </c>
      <c r="E36" s="3" t="s">
        <v>723</v>
      </c>
      <c r="F36" s="3" t="s">
        <v>608</v>
      </c>
      <c r="G36" s="3" t="s">
        <v>691</v>
      </c>
      <c r="H36" s="3">
        <v>2</v>
      </c>
      <c r="I36" s="3">
        <v>2025</v>
      </c>
      <c r="J36" s="3" t="s">
        <v>724</v>
      </c>
      <c r="K36" s="3" t="s">
        <v>725</v>
      </c>
      <c r="L36" s="19" t="s">
        <v>726</v>
      </c>
      <c r="M36" s="19" t="s">
        <v>727</v>
      </c>
      <c r="N36" s="19" t="s">
        <v>614</v>
      </c>
      <c r="O36" s="3">
        <v>1</v>
      </c>
      <c r="P36" s="3" t="s">
        <v>723</v>
      </c>
      <c r="Q36" s="3" t="s">
        <v>616</v>
      </c>
    </row>
    <row r="37" spans="1:17" ht="36" customHeight="1">
      <c r="A37" s="24">
        <v>53</v>
      </c>
      <c r="B37" s="17" t="s">
        <v>223</v>
      </c>
      <c r="C37" s="17" t="s">
        <v>129</v>
      </c>
      <c r="D37" s="17" t="s">
        <v>620</v>
      </c>
      <c r="E37" s="17"/>
      <c r="F37" s="17"/>
      <c r="G37" s="17"/>
      <c r="H37" s="17"/>
      <c r="I37" s="17"/>
      <c r="J37" s="17"/>
      <c r="K37" s="17"/>
      <c r="L37" s="20"/>
      <c r="M37" s="20"/>
      <c r="N37" s="20" t="s">
        <v>614</v>
      </c>
      <c r="O37" s="17"/>
      <c r="P37" s="17"/>
      <c r="Q37" s="17" t="s">
        <v>728</v>
      </c>
    </row>
    <row r="38" spans="1:17" ht="36" customHeight="1">
      <c r="A38" s="23">
        <v>54</v>
      </c>
      <c r="B38" s="3" t="s">
        <v>226</v>
      </c>
      <c r="C38" s="3" t="s">
        <v>104</v>
      </c>
      <c r="D38" s="3" t="s">
        <v>606</v>
      </c>
      <c r="E38" s="3" t="s">
        <v>729</v>
      </c>
      <c r="F38" s="3" t="s">
        <v>630</v>
      </c>
      <c r="G38" s="3" t="s">
        <v>691</v>
      </c>
      <c r="H38" s="3">
        <v>1</v>
      </c>
      <c r="I38" s="3">
        <v>2022</v>
      </c>
      <c r="J38" s="3" t="s">
        <v>730</v>
      </c>
      <c r="K38" s="3" t="s">
        <v>731</v>
      </c>
      <c r="L38" s="19" t="s">
        <v>732</v>
      </c>
      <c r="M38" s="19" t="s">
        <v>733</v>
      </c>
      <c r="N38" s="19" t="s">
        <v>614</v>
      </c>
      <c r="O38" s="3">
        <v>1</v>
      </c>
      <c r="P38" s="3" t="s">
        <v>729</v>
      </c>
      <c r="Q38" s="3" t="s">
        <v>616</v>
      </c>
    </row>
    <row r="39" spans="1:17" ht="36" customHeight="1">
      <c r="A39" s="24">
        <v>55</v>
      </c>
      <c r="B39" s="17" t="s">
        <v>228</v>
      </c>
      <c r="C39" s="17" t="s">
        <v>229</v>
      </c>
      <c r="D39" s="17" t="s">
        <v>606</v>
      </c>
      <c r="E39" s="17" t="s">
        <v>734</v>
      </c>
      <c r="F39" s="17" t="s">
        <v>608</v>
      </c>
      <c r="G39" s="17" t="s">
        <v>735</v>
      </c>
      <c r="H39" s="17">
        <v>0</v>
      </c>
      <c r="I39" s="17"/>
      <c r="J39" s="17"/>
      <c r="K39" s="17"/>
      <c r="L39" s="20"/>
      <c r="M39" s="20" t="s">
        <v>736</v>
      </c>
      <c r="N39" s="20" t="s">
        <v>614</v>
      </c>
      <c r="O39" s="17">
        <v>1</v>
      </c>
      <c r="P39" s="17" t="s">
        <v>734</v>
      </c>
      <c r="Q39" s="17" t="s">
        <v>616</v>
      </c>
    </row>
    <row r="40" spans="1:17" ht="36" customHeight="1">
      <c r="A40" s="23">
        <v>56</v>
      </c>
      <c r="B40" s="3" t="s">
        <v>232</v>
      </c>
      <c r="C40" s="3" t="s">
        <v>233</v>
      </c>
      <c r="D40" s="3" t="s">
        <v>620</v>
      </c>
      <c r="E40" s="3"/>
      <c r="F40" s="3"/>
      <c r="G40" s="3"/>
      <c r="H40" s="3"/>
      <c r="I40" s="3"/>
      <c r="J40" s="3"/>
      <c r="K40" s="3"/>
      <c r="L40" s="19"/>
      <c r="M40" s="19"/>
      <c r="N40" s="19" t="s">
        <v>614</v>
      </c>
      <c r="O40" s="3"/>
      <c r="P40" s="3"/>
      <c r="Q40" s="3" t="s">
        <v>737</v>
      </c>
    </row>
    <row r="41" spans="1:17" ht="36" customHeight="1">
      <c r="A41" s="24">
        <v>57</v>
      </c>
      <c r="B41" s="17" t="s">
        <v>236</v>
      </c>
      <c r="C41" s="17" t="s">
        <v>237</v>
      </c>
      <c r="D41" s="17" t="s">
        <v>620</v>
      </c>
      <c r="E41" s="17"/>
      <c r="F41" s="17"/>
      <c r="G41" s="17"/>
      <c r="H41" s="17"/>
      <c r="I41" s="17"/>
      <c r="J41" s="17"/>
      <c r="K41" s="17"/>
      <c r="L41" s="20"/>
      <c r="M41" s="20"/>
      <c r="N41" s="20" t="s">
        <v>614</v>
      </c>
      <c r="O41" s="17"/>
      <c r="P41" s="17"/>
      <c r="Q41" s="17" t="s">
        <v>621</v>
      </c>
    </row>
    <row r="42" spans="1:17" ht="36" customHeight="1">
      <c r="A42" s="23">
        <v>58</v>
      </c>
      <c r="B42" s="3" t="s">
        <v>240</v>
      </c>
      <c r="C42" s="3" t="s">
        <v>229</v>
      </c>
      <c r="D42" s="3" t="s">
        <v>620</v>
      </c>
      <c r="E42" s="3"/>
      <c r="F42" s="3"/>
      <c r="G42" s="3"/>
      <c r="H42" s="3"/>
      <c r="I42" s="3"/>
      <c r="J42" s="3"/>
      <c r="K42" s="3"/>
      <c r="L42" s="19"/>
      <c r="M42" s="19"/>
      <c r="N42" s="19" t="s">
        <v>614</v>
      </c>
      <c r="O42" s="3"/>
      <c r="P42" s="3"/>
      <c r="Q42" s="3" t="s">
        <v>738</v>
      </c>
    </row>
    <row r="43" spans="1:17" ht="36" customHeight="1">
      <c r="A43" s="24">
        <v>59</v>
      </c>
      <c r="B43" s="17" t="s">
        <v>243</v>
      </c>
      <c r="C43" s="17" t="s">
        <v>244</v>
      </c>
      <c r="D43" s="17" t="s">
        <v>620</v>
      </c>
      <c r="E43" s="17"/>
      <c r="F43" s="17"/>
      <c r="G43" s="17"/>
      <c r="H43" s="17"/>
      <c r="I43" s="17"/>
      <c r="J43" s="17"/>
      <c r="K43" s="17"/>
      <c r="L43" s="20"/>
      <c r="M43" s="20"/>
      <c r="N43" s="20" t="s">
        <v>614</v>
      </c>
      <c r="O43" s="17"/>
      <c r="P43" s="17"/>
      <c r="Q43" s="17" t="s">
        <v>621</v>
      </c>
    </row>
    <row r="44" spans="1:17" ht="36" customHeight="1">
      <c r="A44" s="23">
        <v>60</v>
      </c>
      <c r="B44" s="3" t="s">
        <v>247</v>
      </c>
      <c r="C44" s="3" t="s">
        <v>248</v>
      </c>
      <c r="D44" s="3" t="s">
        <v>620</v>
      </c>
      <c r="E44" s="3"/>
      <c r="F44" s="3"/>
      <c r="G44" s="3"/>
      <c r="H44" s="3"/>
      <c r="I44" s="3"/>
      <c r="J44" s="3"/>
      <c r="K44" s="3"/>
      <c r="L44" s="19"/>
      <c r="M44" s="19"/>
      <c r="N44" s="19" t="s">
        <v>614</v>
      </c>
      <c r="O44" s="3"/>
      <c r="P44" s="3"/>
      <c r="Q44" s="3" t="s">
        <v>621</v>
      </c>
    </row>
    <row r="45" spans="1:17" ht="36" customHeight="1">
      <c r="A45" s="24">
        <v>61</v>
      </c>
      <c r="B45" s="17" t="s">
        <v>251</v>
      </c>
      <c r="C45" s="17" t="s">
        <v>104</v>
      </c>
      <c r="D45" s="17" t="s">
        <v>620</v>
      </c>
      <c r="E45" s="17"/>
      <c r="F45" s="17"/>
      <c r="G45" s="17"/>
      <c r="H45" s="17"/>
      <c r="I45" s="17"/>
      <c r="J45" s="17"/>
      <c r="K45" s="17"/>
      <c r="L45" s="20"/>
      <c r="M45" s="20"/>
      <c r="N45" s="20" t="s">
        <v>614</v>
      </c>
      <c r="O45" s="17"/>
      <c r="P45" s="17"/>
      <c r="Q45" s="17" t="s">
        <v>621</v>
      </c>
    </row>
    <row r="46" spans="1:17" ht="36" customHeight="1">
      <c r="A46" s="23">
        <v>62</v>
      </c>
      <c r="B46" s="3" t="s">
        <v>253</v>
      </c>
      <c r="C46" s="3" t="s">
        <v>233</v>
      </c>
      <c r="D46" s="3" t="s">
        <v>620</v>
      </c>
      <c r="E46" s="3"/>
      <c r="F46" s="3"/>
      <c r="G46" s="3"/>
      <c r="H46" s="3"/>
      <c r="I46" s="3"/>
      <c r="J46" s="3"/>
      <c r="K46" s="3"/>
      <c r="L46" s="19"/>
      <c r="M46" s="19"/>
      <c r="N46" s="19" t="s">
        <v>614</v>
      </c>
      <c r="O46" s="3"/>
      <c r="P46" s="3"/>
      <c r="Q46" s="3" t="s">
        <v>737</v>
      </c>
    </row>
    <row r="47" spans="1:17" ht="36" customHeight="1">
      <c r="A47" s="24">
        <v>63</v>
      </c>
      <c r="B47" s="17" t="s">
        <v>256</v>
      </c>
      <c r="C47" s="17" t="s">
        <v>257</v>
      </c>
      <c r="D47" s="17" t="s">
        <v>711</v>
      </c>
      <c r="E47" s="17" t="s">
        <v>256</v>
      </c>
      <c r="F47" s="17" t="s">
        <v>608</v>
      </c>
      <c r="G47" s="17" t="s">
        <v>739</v>
      </c>
      <c r="H47" s="17">
        <v>0</v>
      </c>
      <c r="I47" s="17"/>
      <c r="J47" s="17"/>
      <c r="K47" s="17"/>
      <c r="L47" s="20"/>
      <c r="M47" s="20" t="s">
        <v>740</v>
      </c>
      <c r="N47" s="20" t="s">
        <v>614</v>
      </c>
      <c r="O47" s="17">
        <v>1</v>
      </c>
      <c r="P47" s="17" t="s">
        <v>256</v>
      </c>
      <c r="Q47" s="17" t="s">
        <v>616</v>
      </c>
    </row>
    <row r="48" spans="1:17" ht="36" customHeight="1">
      <c r="A48" s="23">
        <v>64</v>
      </c>
      <c r="B48" s="3" t="s">
        <v>260</v>
      </c>
      <c r="C48" s="3" t="s">
        <v>233</v>
      </c>
      <c r="D48" s="3" t="s">
        <v>620</v>
      </c>
      <c r="E48" s="3"/>
      <c r="F48" s="3"/>
      <c r="G48" s="3"/>
      <c r="H48" s="3"/>
      <c r="I48" s="3"/>
      <c r="J48" s="3"/>
      <c r="K48" s="3"/>
      <c r="L48" s="19"/>
      <c r="M48" s="19"/>
      <c r="N48" s="19" t="s">
        <v>614</v>
      </c>
      <c r="O48" s="3"/>
      <c r="P48" s="3"/>
      <c r="Q48" s="3" t="s">
        <v>737</v>
      </c>
    </row>
    <row r="49" spans="1:17" ht="36" customHeight="1">
      <c r="A49" s="24">
        <v>65</v>
      </c>
      <c r="B49" s="17" t="s">
        <v>263</v>
      </c>
      <c r="C49" s="17" t="s">
        <v>129</v>
      </c>
      <c r="D49" s="17" t="s">
        <v>606</v>
      </c>
      <c r="E49" s="17" t="s">
        <v>741</v>
      </c>
      <c r="F49" s="17" t="s">
        <v>608</v>
      </c>
      <c r="G49" s="17" t="s">
        <v>742</v>
      </c>
      <c r="H49" s="17">
        <v>3</v>
      </c>
      <c r="I49" s="17">
        <v>2026</v>
      </c>
      <c r="J49" s="17" t="s">
        <v>743</v>
      </c>
      <c r="K49" s="17" t="s">
        <v>744</v>
      </c>
      <c r="L49" s="20" t="s">
        <v>745</v>
      </c>
      <c r="M49" s="20" t="s">
        <v>746</v>
      </c>
      <c r="N49" s="20" t="s">
        <v>614</v>
      </c>
      <c r="O49" s="17">
        <v>1</v>
      </c>
      <c r="P49" s="17" t="s">
        <v>747</v>
      </c>
      <c r="Q49" s="17" t="s">
        <v>616</v>
      </c>
    </row>
    <row r="50" spans="1:17" ht="36" customHeight="1">
      <c r="A50" s="23">
        <v>66</v>
      </c>
      <c r="B50" s="3" t="s">
        <v>27</v>
      </c>
      <c r="C50" s="3" t="s">
        <v>104</v>
      </c>
      <c r="D50" s="3" t="s">
        <v>620</v>
      </c>
      <c r="E50" s="3"/>
      <c r="F50" s="3"/>
      <c r="G50" s="3"/>
      <c r="H50" s="3"/>
      <c r="I50" s="3"/>
      <c r="J50" s="3"/>
      <c r="K50" s="3"/>
      <c r="L50" s="19"/>
      <c r="M50" s="19"/>
      <c r="N50" s="19" t="s">
        <v>614</v>
      </c>
      <c r="O50" s="3"/>
      <c r="P50" s="3"/>
      <c r="Q50" s="3" t="s">
        <v>621</v>
      </c>
    </row>
    <row r="51" spans="1:17" ht="36" customHeight="1">
      <c r="A51" s="24">
        <v>67</v>
      </c>
      <c r="B51" s="17" t="s">
        <v>269</v>
      </c>
      <c r="C51" s="17" t="s">
        <v>270</v>
      </c>
      <c r="D51" s="17" t="s">
        <v>606</v>
      </c>
      <c r="E51" s="17" t="s">
        <v>748</v>
      </c>
      <c r="F51" s="17" t="s">
        <v>608</v>
      </c>
      <c r="G51" s="17" t="s">
        <v>749</v>
      </c>
      <c r="H51" s="17">
        <v>0</v>
      </c>
      <c r="I51" s="17"/>
      <c r="J51" s="17"/>
      <c r="K51" s="17"/>
      <c r="L51" s="20"/>
      <c r="M51" s="20" t="s">
        <v>750</v>
      </c>
      <c r="N51" s="20" t="s">
        <v>614</v>
      </c>
      <c r="O51" s="17">
        <v>1</v>
      </c>
      <c r="P51" s="17" t="s">
        <v>748</v>
      </c>
      <c r="Q51" s="17" t="s">
        <v>616</v>
      </c>
    </row>
    <row r="52" spans="1:17" ht="36" customHeight="1">
      <c r="A52" s="23">
        <v>68</v>
      </c>
      <c r="B52" s="3" t="s">
        <v>277</v>
      </c>
      <c r="C52" s="3" t="s">
        <v>233</v>
      </c>
      <c r="D52" s="3" t="s">
        <v>620</v>
      </c>
      <c r="E52" s="3"/>
      <c r="F52" s="3"/>
      <c r="G52" s="3"/>
      <c r="H52" s="3"/>
      <c r="I52" s="3"/>
      <c r="J52" s="3"/>
      <c r="K52" s="3"/>
      <c r="L52" s="19"/>
      <c r="M52" s="19"/>
      <c r="N52" s="19" t="s">
        <v>614</v>
      </c>
      <c r="O52" s="3"/>
      <c r="P52" s="3"/>
      <c r="Q52" s="3" t="s">
        <v>737</v>
      </c>
    </row>
    <row r="53" spans="1:17" ht="36" customHeight="1">
      <c r="A53" s="24">
        <v>69</v>
      </c>
      <c r="B53" s="17" t="s">
        <v>280</v>
      </c>
      <c r="C53" s="17" t="s">
        <v>281</v>
      </c>
      <c r="D53" s="17" t="s">
        <v>606</v>
      </c>
      <c r="E53" s="17" t="s">
        <v>751</v>
      </c>
      <c r="F53" s="17" t="s">
        <v>630</v>
      </c>
      <c r="G53" s="17" t="s">
        <v>752</v>
      </c>
      <c r="H53" s="17">
        <v>0</v>
      </c>
      <c r="I53" s="17">
        <v>2015</v>
      </c>
      <c r="J53" s="17" t="s">
        <v>753</v>
      </c>
      <c r="K53" s="17" t="s">
        <v>754</v>
      </c>
      <c r="L53" s="20" t="s">
        <v>755</v>
      </c>
      <c r="M53" s="20" t="s">
        <v>756</v>
      </c>
      <c r="N53" s="20" t="s">
        <v>614</v>
      </c>
      <c r="O53" s="17">
        <v>1</v>
      </c>
      <c r="P53" s="17" t="s">
        <v>751</v>
      </c>
      <c r="Q53" s="17" t="s">
        <v>616</v>
      </c>
    </row>
    <row r="54" spans="1:17" ht="36" customHeight="1">
      <c r="A54" s="23">
        <v>70</v>
      </c>
      <c r="B54" s="3" t="s">
        <v>284</v>
      </c>
      <c r="C54" s="3" t="s">
        <v>285</v>
      </c>
      <c r="D54" s="3" t="s">
        <v>620</v>
      </c>
      <c r="E54" s="3"/>
      <c r="F54" s="3"/>
      <c r="G54" s="3"/>
      <c r="H54" s="3"/>
      <c r="I54" s="3"/>
      <c r="J54" s="3"/>
      <c r="K54" s="3"/>
      <c r="L54" s="19"/>
      <c r="M54" s="19"/>
      <c r="N54" s="19" t="s">
        <v>614</v>
      </c>
      <c r="O54" s="3"/>
      <c r="P54" s="3"/>
      <c r="Q54" s="3" t="s">
        <v>757</v>
      </c>
    </row>
    <row r="55" spans="1:17" ht="36" customHeight="1">
      <c r="A55" s="24">
        <v>71</v>
      </c>
      <c r="B55" s="17" t="s">
        <v>288</v>
      </c>
      <c r="C55" s="17" t="s">
        <v>229</v>
      </c>
      <c r="D55" s="17" t="s">
        <v>620</v>
      </c>
      <c r="E55" s="17"/>
      <c r="F55" s="17"/>
      <c r="G55" s="17"/>
      <c r="H55" s="17"/>
      <c r="I55" s="17"/>
      <c r="J55" s="17"/>
      <c r="K55" s="17"/>
      <c r="L55" s="20"/>
      <c r="M55" s="20"/>
      <c r="N55" s="20" t="s">
        <v>614</v>
      </c>
      <c r="O55" s="17"/>
      <c r="P55" s="17"/>
      <c r="Q55" s="17" t="s">
        <v>621</v>
      </c>
    </row>
    <row r="56" spans="1:17" ht="36" customHeight="1">
      <c r="A56" s="23">
        <v>72</v>
      </c>
      <c r="B56" s="3" t="s">
        <v>292</v>
      </c>
      <c r="C56" s="3" t="s">
        <v>293</v>
      </c>
      <c r="D56" s="3" t="s">
        <v>620</v>
      </c>
      <c r="E56" s="3"/>
      <c r="F56" s="3"/>
      <c r="G56" s="3"/>
      <c r="H56" s="3"/>
      <c r="I56" s="3"/>
      <c r="J56" s="3"/>
      <c r="K56" s="3"/>
      <c r="L56" s="19"/>
      <c r="M56" s="19"/>
      <c r="N56" s="19" t="s">
        <v>614</v>
      </c>
      <c r="O56" s="3"/>
      <c r="P56" s="3"/>
      <c r="Q56" s="3" t="s">
        <v>621</v>
      </c>
    </row>
    <row r="57" spans="1:17" ht="36" customHeight="1">
      <c r="A57" s="24">
        <v>73</v>
      </c>
      <c r="B57" s="17" t="s">
        <v>297</v>
      </c>
      <c r="C57" s="17" t="s">
        <v>233</v>
      </c>
      <c r="D57" s="17" t="s">
        <v>620</v>
      </c>
      <c r="E57" s="17"/>
      <c r="F57" s="17"/>
      <c r="G57" s="17"/>
      <c r="H57" s="17"/>
      <c r="I57" s="17"/>
      <c r="J57" s="17"/>
      <c r="K57" s="17"/>
      <c r="L57" s="20"/>
      <c r="M57" s="20"/>
      <c r="N57" s="20" t="s">
        <v>614</v>
      </c>
      <c r="O57" s="17"/>
      <c r="P57" s="17"/>
      <c r="Q57" s="17" t="s">
        <v>737</v>
      </c>
    </row>
    <row r="58" spans="1:17" ht="36" customHeight="1">
      <c r="A58" s="23">
        <v>74</v>
      </c>
      <c r="B58" s="3" t="s">
        <v>301</v>
      </c>
      <c r="C58" s="3" t="s">
        <v>104</v>
      </c>
      <c r="D58" s="3" t="s">
        <v>606</v>
      </c>
      <c r="E58" s="3" t="s">
        <v>758</v>
      </c>
      <c r="F58" s="3" t="s">
        <v>608</v>
      </c>
      <c r="G58" s="3" t="s">
        <v>759</v>
      </c>
      <c r="H58" s="3">
        <v>3</v>
      </c>
      <c r="I58" s="3">
        <v>2025</v>
      </c>
      <c r="J58" s="3" t="s">
        <v>654</v>
      </c>
      <c r="K58" s="3" t="s">
        <v>760</v>
      </c>
      <c r="L58" s="19" t="s">
        <v>761</v>
      </c>
      <c r="M58" s="19" t="s">
        <v>762</v>
      </c>
      <c r="N58" s="19" t="s">
        <v>614</v>
      </c>
      <c r="O58" s="3">
        <v>1</v>
      </c>
      <c r="P58" s="3" t="s">
        <v>758</v>
      </c>
      <c r="Q58" s="3" t="s">
        <v>616</v>
      </c>
    </row>
    <row r="59" spans="1:17" ht="36" customHeight="1">
      <c r="A59" s="24">
        <v>76</v>
      </c>
      <c r="B59" s="17" t="s">
        <v>304</v>
      </c>
      <c r="C59" s="17" t="s">
        <v>129</v>
      </c>
      <c r="D59" s="17" t="s">
        <v>711</v>
      </c>
      <c r="E59" s="17" t="s">
        <v>763</v>
      </c>
      <c r="F59" s="17" t="s">
        <v>608</v>
      </c>
      <c r="G59" s="17" t="s">
        <v>764</v>
      </c>
      <c r="H59" s="17">
        <v>3</v>
      </c>
      <c r="I59" s="17">
        <v>2025</v>
      </c>
      <c r="J59" s="17" t="s">
        <v>702</v>
      </c>
      <c r="K59" s="17" t="s">
        <v>765</v>
      </c>
      <c r="L59" s="20" t="s">
        <v>766</v>
      </c>
      <c r="M59" s="20" t="s">
        <v>767</v>
      </c>
      <c r="N59" s="20" t="s">
        <v>614</v>
      </c>
      <c r="O59" s="17">
        <v>0.96</v>
      </c>
      <c r="P59" s="17" t="s">
        <v>304</v>
      </c>
      <c r="Q59" s="17" t="s">
        <v>616</v>
      </c>
    </row>
    <row r="60" spans="1:17" ht="36" customHeight="1">
      <c r="A60" s="23">
        <v>77</v>
      </c>
      <c r="B60" s="3" t="s">
        <v>306</v>
      </c>
      <c r="C60" s="3" t="s">
        <v>129</v>
      </c>
      <c r="D60" s="3" t="s">
        <v>606</v>
      </c>
      <c r="E60" s="3" t="s">
        <v>768</v>
      </c>
      <c r="F60" s="3" t="s">
        <v>608</v>
      </c>
      <c r="G60" s="3" t="s">
        <v>769</v>
      </c>
      <c r="H60" s="3">
        <v>0</v>
      </c>
      <c r="I60" s="3"/>
      <c r="J60" s="3"/>
      <c r="K60" s="3"/>
      <c r="L60" s="19"/>
      <c r="M60" s="19" t="s">
        <v>770</v>
      </c>
      <c r="N60" s="19" t="s">
        <v>614</v>
      </c>
      <c r="O60" s="3">
        <v>1</v>
      </c>
      <c r="P60" s="3" t="s">
        <v>768</v>
      </c>
      <c r="Q60" s="3" t="s">
        <v>616</v>
      </c>
    </row>
    <row r="61" spans="1:17" ht="36" customHeight="1">
      <c r="A61" s="24">
        <v>78</v>
      </c>
      <c r="B61" s="17" t="s">
        <v>310</v>
      </c>
      <c r="C61" s="17" t="s">
        <v>109</v>
      </c>
      <c r="D61" s="17" t="s">
        <v>606</v>
      </c>
      <c r="E61" s="17" t="s">
        <v>771</v>
      </c>
      <c r="F61" s="17" t="s">
        <v>608</v>
      </c>
      <c r="G61" s="17" t="s">
        <v>772</v>
      </c>
      <c r="H61" s="17">
        <v>0</v>
      </c>
      <c r="I61" s="17"/>
      <c r="J61" s="17"/>
      <c r="K61" s="17"/>
      <c r="L61" s="20"/>
      <c r="M61" s="20" t="s">
        <v>773</v>
      </c>
      <c r="N61" s="20" t="s">
        <v>614</v>
      </c>
      <c r="O61" s="17">
        <v>1</v>
      </c>
      <c r="P61" s="17" t="s">
        <v>771</v>
      </c>
      <c r="Q61" s="17" t="s">
        <v>616</v>
      </c>
    </row>
    <row r="62" spans="1:17" ht="36" customHeight="1">
      <c r="A62" s="23">
        <v>79</v>
      </c>
      <c r="B62" s="3" t="s">
        <v>313</v>
      </c>
      <c r="C62" s="3" t="s">
        <v>257</v>
      </c>
      <c r="D62" s="3" t="s">
        <v>620</v>
      </c>
      <c r="E62" s="3"/>
      <c r="F62" s="3"/>
      <c r="G62" s="3"/>
      <c r="H62" s="3"/>
      <c r="I62" s="3"/>
      <c r="J62" s="3"/>
      <c r="K62" s="3"/>
      <c r="L62" s="19"/>
      <c r="M62" s="19"/>
      <c r="N62" s="19" t="s">
        <v>614</v>
      </c>
      <c r="O62" s="3"/>
      <c r="P62" s="3"/>
      <c r="Q62" s="3" t="s">
        <v>774</v>
      </c>
    </row>
    <row r="63" spans="1:17" ht="36" customHeight="1">
      <c r="A63" s="24">
        <v>80</v>
      </c>
      <c r="B63" s="17" t="s">
        <v>315</v>
      </c>
      <c r="C63" s="17" t="s">
        <v>316</v>
      </c>
      <c r="D63" s="17" t="s">
        <v>620</v>
      </c>
      <c r="E63" s="17"/>
      <c r="F63" s="17"/>
      <c r="G63" s="17"/>
      <c r="H63" s="17"/>
      <c r="I63" s="17"/>
      <c r="J63" s="17"/>
      <c r="K63" s="17"/>
      <c r="L63" s="20"/>
      <c r="M63" s="20"/>
      <c r="N63" s="20" t="s">
        <v>614</v>
      </c>
      <c r="O63" s="17"/>
      <c r="P63" s="17"/>
      <c r="Q63" s="17" t="s">
        <v>737</v>
      </c>
    </row>
    <row r="64" spans="1:17" ht="36" customHeight="1">
      <c r="A64" s="25">
        <v>81</v>
      </c>
      <c r="B64" s="4" t="s">
        <v>318</v>
      </c>
      <c r="C64" s="4" t="s">
        <v>150</v>
      </c>
      <c r="D64" s="4" t="s">
        <v>620</v>
      </c>
      <c r="E64" s="4"/>
      <c r="F64" s="4"/>
      <c r="G64" s="4"/>
      <c r="H64" s="4"/>
      <c r="I64" s="4"/>
      <c r="J64" s="4"/>
      <c r="K64" s="4"/>
      <c r="L64" s="21"/>
      <c r="M64" s="21"/>
      <c r="N64" s="21" t="s">
        <v>614</v>
      </c>
      <c r="O64" s="4"/>
      <c r="P64" s="4"/>
      <c r="Q64" s="4" t="s">
        <v>621</v>
      </c>
    </row>
  </sheetData>
  <mergeCells count="2">
    <mergeCell ref="A1:Q1"/>
    <mergeCell ref="A2:Q2"/>
  </mergeCells>
  <phoneticPr fontId="8"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64"/>
  <sheetViews>
    <sheetView showGridLines="0" workbookViewId="0">
      <selection sqref="A1:U1"/>
    </sheetView>
  </sheetViews>
  <sheetFormatPr defaultRowHeight="13.5"/>
  <cols>
    <col min="1" max="1" width="8" customWidth="1"/>
    <col min="2" max="2" width="28" customWidth="1"/>
    <col min="3" max="3" width="16" customWidth="1"/>
    <col min="4" max="4" width="20" customWidth="1"/>
    <col min="5" max="5" width="30" customWidth="1"/>
    <col min="6" max="6" width="18" customWidth="1"/>
    <col min="7" max="7" width="12" customWidth="1"/>
    <col min="8" max="8" width="14" customWidth="1"/>
    <col min="9" max="9" width="16" customWidth="1"/>
    <col min="10" max="10" width="28" customWidth="1"/>
    <col min="11" max="11" width="24" customWidth="1"/>
    <col min="12" max="12" width="14" customWidth="1"/>
    <col min="13" max="13" width="15" customWidth="1"/>
    <col min="14" max="14" width="14" customWidth="1"/>
    <col min="15" max="16" width="16" customWidth="1"/>
    <col min="17" max="17" width="14" customWidth="1"/>
    <col min="18" max="19" width="55" customWidth="1"/>
    <col min="20" max="20" width="50" customWidth="1"/>
    <col min="21" max="21" width="55" customWidth="1"/>
  </cols>
  <sheetData>
    <row r="1" spans="1:21" ht="28.05" customHeight="1">
      <c r="A1" s="31" t="s">
        <v>775</v>
      </c>
      <c r="B1" s="31"/>
      <c r="C1" s="31"/>
      <c r="D1" s="31"/>
      <c r="E1" s="31"/>
      <c r="F1" s="31"/>
      <c r="G1" s="31"/>
      <c r="H1" s="31"/>
      <c r="I1" s="31"/>
      <c r="J1" s="31"/>
      <c r="K1" s="31"/>
      <c r="L1" s="31"/>
      <c r="M1" s="31"/>
      <c r="N1" s="31"/>
      <c r="O1" s="31"/>
      <c r="P1" s="31"/>
      <c r="Q1" s="31"/>
      <c r="R1" s="31"/>
      <c r="S1" s="31"/>
      <c r="T1" s="31"/>
      <c r="U1" s="31"/>
    </row>
    <row r="2" spans="1:21" ht="34.049999999999997" customHeight="1">
      <c r="A2" s="32" t="s">
        <v>776</v>
      </c>
      <c r="B2" s="32"/>
      <c r="C2" s="32"/>
      <c r="D2" s="32"/>
      <c r="E2" s="32"/>
      <c r="F2" s="32"/>
      <c r="G2" s="32"/>
      <c r="H2" s="32"/>
      <c r="I2" s="32"/>
      <c r="J2" s="32"/>
      <c r="K2" s="32"/>
      <c r="L2" s="32"/>
      <c r="M2" s="32"/>
      <c r="N2" s="32"/>
      <c r="O2" s="32"/>
      <c r="P2" s="32"/>
      <c r="Q2" s="32"/>
      <c r="R2" s="32"/>
      <c r="S2" s="32"/>
      <c r="T2" s="32"/>
      <c r="U2" s="32"/>
    </row>
    <row r="4" spans="1:21" ht="38" customHeight="1">
      <c r="A4" s="13" t="s">
        <v>87</v>
      </c>
      <c r="B4" s="14" t="s">
        <v>529</v>
      </c>
      <c r="C4" s="14" t="s">
        <v>89</v>
      </c>
      <c r="D4" s="14" t="s">
        <v>777</v>
      </c>
      <c r="E4" s="14" t="s">
        <v>778</v>
      </c>
      <c r="F4" s="14" t="s">
        <v>779</v>
      </c>
      <c r="G4" s="14" t="s">
        <v>603</v>
      </c>
      <c r="H4" s="14" t="s">
        <v>780</v>
      </c>
      <c r="I4" s="14" t="s">
        <v>781</v>
      </c>
      <c r="J4" s="14" t="s">
        <v>782</v>
      </c>
      <c r="K4" s="14" t="s">
        <v>783</v>
      </c>
      <c r="L4" s="14" t="s">
        <v>784</v>
      </c>
      <c r="M4" s="14" t="s">
        <v>785</v>
      </c>
      <c r="N4" s="14" t="s">
        <v>786</v>
      </c>
      <c r="O4" s="14" t="s">
        <v>787</v>
      </c>
      <c r="P4" s="14" t="s">
        <v>788</v>
      </c>
      <c r="Q4" s="14" t="s">
        <v>789</v>
      </c>
      <c r="R4" s="14" t="s">
        <v>790</v>
      </c>
      <c r="S4" s="14" t="s">
        <v>791</v>
      </c>
      <c r="T4" s="14" t="s">
        <v>792</v>
      </c>
      <c r="U4" s="15" t="s">
        <v>793</v>
      </c>
    </row>
    <row r="5" spans="1:21" ht="36" customHeight="1">
      <c r="A5" s="22">
        <v>1</v>
      </c>
      <c r="B5" s="16" t="s">
        <v>97</v>
      </c>
      <c r="C5" s="16" t="s">
        <v>98</v>
      </c>
      <c r="D5" s="16" t="s">
        <v>794</v>
      </c>
      <c r="E5" s="16" t="s">
        <v>97</v>
      </c>
      <c r="F5" s="16" t="s">
        <v>795</v>
      </c>
      <c r="G5" s="16">
        <v>1</v>
      </c>
      <c r="H5" s="16" t="s">
        <v>796</v>
      </c>
      <c r="I5" s="16" t="s">
        <v>797</v>
      </c>
      <c r="J5" s="16" t="s">
        <v>798</v>
      </c>
      <c r="K5" s="16" t="s">
        <v>799</v>
      </c>
      <c r="L5" s="16">
        <v>235413</v>
      </c>
      <c r="M5" s="16">
        <v>22224211</v>
      </c>
      <c r="N5" s="16">
        <v>1076</v>
      </c>
      <c r="O5" s="16">
        <v>3.362402620640295</v>
      </c>
      <c r="P5" s="16">
        <v>14149</v>
      </c>
      <c r="Q5" s="16">
        <v>25737</v>
      </c>
      <c r="R5" s="16" t="s">
        <v>800</v>
      </c>
      <c r="S5" s="18" t="s">
        <v>801</v>
      </c>
      <c r="T5" s="18" t="s">
        <v>802</v>
      </c>
      <c r="U5" s="16"/>
    </row>
    <row r="6" spans="1:21" ht="36" customHeight="1">
      <c r="A6" s="23">
        <v>2</v>
      </c>
      <c r="B6" s="3" t="s">
        <v>103</v>
      </c>
      <c r="C6" s="3" t="s">
        <v>104</v>
      </c>
      <c r="D6" s="3" t="s">
        <v>794</v>
      </c>
      <c r="E6" s="3" t="s">
        <v>103</v>
      </c>
      <c r="F6" s="3" t="s">
        <v>795</v>
      </c>
      <c r="G6" s="3">
        <v>1</v>
      </c>
      <c r="H6" s="3" t="s">
        <v>803</v>
      </c>
      <c r="I6" s="3" t="s">
        <v>797</v>
      </c>
      <c r="J6" s="3" t="s">
        <v>804</v>
      </c>
      <c r="K6" s="3" t="s">
        <v>805</v>
      </c>
      <c r="L6" s="3">
        <v>553930</v>
      </c>
      <c r="M6" s="3">
        <v>58615111</v>
      </c>
      <c r="N6" s="3">
        <v>1782</v>
      </c>
      <c r="O6" s="3">
        <v>4.394456194033209</v>
      </c>
      <c r="P6" s="3">
        <v>27148</v>
      </c>
      <c r="Q6" s="3">
        <v>58181</v>
      </c>
      <c r="R6" s="3" t="s">
        <v>806</v>
      </c>
      <c r="S6" s="19" t="s">
        <v>807</v>
      </c>
      <c r="T6" s="19" t="s">
        <v>808</v>
      </c>
      <c r="U6" s="3"/>
    </row>
    <row r="7" spans="1:21" ht="36" customHeight="1">
      <c r="A7" s="24">
        <v>3</v>
      </c>
      <c r="B7" s="17" t="s">
        <v>108</v>
      </c>
      <c r="C7" s="17" t="s">
        <v>109</v>
      </c>
      <c r="D7" s="17" t="s">
        <v>794</v>
      </c>
      <c r="E7" s="17" t="s">
        <v>809</v>
      </c>
      <c r="F7" s="17" t="s">
        <v>795</v>
      </c>
      <c r="G7" s="17">
        <v>1</v>
      </c>
      <c r="H7" s="17" t="s">
        <v>810</v>
      </c>
      <c r="I7" s="17" t="s">
        <v>797</v>
      </c>
      <c r="J7" s="17" t="s">
        <v>811</v>
      </c>
      <c r="K7" s="17" t="s">
        <v>812</v>
      </c>
      <c r="L7" s="17">
        <v>583087</v>
      </c>
      <c r="M7" s="17">
        <v>65779892</v>
      </c>
      <c r="N7" s="17">
        <v>2066</v>
      </c>
      <c r="O7" s="17">
        <v>5.2052346972906678</v>
      </c>
      <c r="P7" s="17">
        <v>36401</v>
      </c>
      <c r="Q7" s="17">
        <v>69680</v>
      </c>
      <c r="R7" s="17" t="s">
        <v>806</v>
      </c>
      <c r="S7" s="20" t="s">
        <v>813</v>
      </c>
      <c r="T7" s="20" t="s">
        <v>814</v>
      </c>
      <c r="U7" s="17"/>
    </row>
    <row r="8" spans="1:21" ht="36" customHeight="1">
      <c r="A8" s="23">
        <v>4</v>
      </c>
      <c r="B8" s="3" t="s">
        <v>113</v>
      </c>
      <c r="C8" s="3" t="s">
        <v>109</v>
      </c>
      <c r="D8" s="3" t="s">
        <v>815</v>
      </c>
      <c r="E8" s="3"/>
      <c r="F8" s="3"/>
      <c r="G8" s="3"/>
      <c r="H8" s="3"/>
      <c r="I8" s="3"/>
      <c r="J8" s="3"/>
      <c r="K8" s="3"/>
      <c r="L8" s="3"/>
      <c r="M8" s="3"/>
      <c r="N8" s="3"/>
      <c r="O8" s="3"/>
      <c r="P8" s="3"/>
      <c r="Q8" s="3"/>
      <c r="R8" s="3"/>
      <c r="S8" s="19"/>
      <c r="T8" s="19" t="s">
        <v>816</v>
      </c>
      <c r="U8" s="3" t="s">
        <v>817</v>
      </c>
    </row>
    <row r="9" spans="1:21" ht="36" customHeight="1">
      <c r="A9" s="24">
        <v>5</v>
      </c>
      <c r="B9" s="17" t="s">
        <v>117</v>
      </c>
      <c r="C9" s="17" t="s">
        <v>104</v>
      </c>
      <c r="D9" s="17" t="s">
        <v>794</v>
      </c>
      <c r="E9" s="17" t="s">
        <v>117</v>
      </c>
      <c r="F9" s="17" t="s">
        <v>795</v>
      </c>
      <c r="G9" s="17">
        <v>1</v>
      </c>
      <c r="H9" s="17" t="s">
        <v>803</v>
      </c>
      <c r="I9" s="17" t="s">
        <v>797</v>
      </c>
      <c r="J9" s="17" t="s">
        <v>818</v>
      </c>
      <c r="K9" s="17" t="s">
        <v>819</v>
      </c>
      <c r="L9" s="17">
        <v>374948</v>
      </c>
      <c r="M9" s="17">
        <v>32396043</v>
      </c>
      <c r="N9" s="17">
        <v>1334</v>
      </c>
      <c r="O9" s="17">
        <v>3.1642443448803408</v>
      </c>
      <c r="P9" s="17">
        <v>19674</v>
      </c>
      <c r="Q9" s="17">
        <v>36457</v>
      </c>
      <c r="R9" s="17" t="s">
        <v>820</v>
      </c>
      <c r="S9" s="20" t="s">
        <v>821</v>
      </c>
      <c r="T9" s="20" t="s">
        <v>822</v>
      </c>
      <c r="U9" s="17"/>
    </row>
    <row r="10" spans="1:21" ht="36" customHeight="1">
      <c r="A10" s="23">
        <v>6</v>
      </c>
      <c r="B10" s="3" t="s">
        <v>121</v>
      </c>
      <c r="C10" s="3" t="s">
        <v>109</v>
      </c>
      <c r="D10" s="3" t="s">
        <v>794</v>
      </c>
      <c r="E10" s="3" t="s">
        <v>823</v>
      </c>
      <c r="F10" s="3" t="s">
        <v>795</v>
      </c>
      <c r="G10" s="3">
        <v>1</v>
      </c>
      <c r="H10" s="3" t="s">
        <v>810</v>
      </c>
      <c r="I10" s="3" t="s">
        <v>797</v>
      </c>
      <c r="J10" s="3" t="s">
        <v>824</v>
      </c>
      <c r="K10" s="3" t="s">
        <v>825</v>
      </c>
      <c r="L10" s="3">
        <v>73569</v>
      </c>
      <c r="M10" s="3">
        <v>2719235</v>
      </c>
      <c r="N10" s="3">
        <v>550</v>
      </c>
      <c r="O10" s="3">
        <v>3.0330352941176471</v>
      </c>
      <c r="P10" s="3">
        <v>5387</v>
      </c>
      <c r="Q10" s="3">
        <v>15795</v>
      </c>
      <c r="R10" s="3" t="s">
        <v>826</v>
      </c>
      <c r="S10" s="19" t="s">
        <v>827</v>
      </c>
      <c r="T10" s="19" t="s">
        <v>828</v>
      </c>
      <c r="U10" s="3"/>
    </row>
    <row r="11" spans="1:21" ht="36" customHeight="1">
      <c r="A11" s="24">
        <v>7</v>
      </c>
      <c r="B11" s="17" t="s">
        <v>125</v>
      </c>
      <c r="C11" s="17" t="s">
        <v>109</v>
      </c>
      <c r="D11" s="17" t="s">
        <v>794</v>
      </c>
      <c r="E11" s="17" t="s">
        <v>125</v>
      </c>
      <c r="F11" s="17" t="s">
        <v>795</v>
      </c>
      <c r="G11" s="17">
        <v>1</v>
      </c>
      <c r="H11" s="17" t="s">
        <v>810</v>
      </c>
      <c r="I11" s="17" t="s">
        <v>797</v>
      </c>
      <c r="J11" s="17" t="s">
        <v>829</v>
      </c>
      <c r="K11" s="17" t="s">
        <v>830</v>
      </c>
      <c r="L11" s="17">
        <v>387396</v>
      </c>
      <c r="M11" s="17">
        <v>42109070</v>
      </c>
      <c r="N11" s="17">
        <v>1551</v>
      </c>
      <c r="O11" s="17">
        <v>6.4991002434635332</v>
      </c>
      <c r="P11" s="17">
        <v>22297</v>
      </c>
      <c r="Q11" s="17">
        <v>47844</v>
      </c>
      <c r="R11" s="17" t="s">
        <v>831</v>
      </c>
      <c r="S11" s="20" t="s">
        <v>832</v>
      </c>
      <c r="T11" s="20" t="s">
        <v>833</v>
      </c>
      <c r="U11" s="17"/>
    </row>
    <row r="12" spans="1:21" ht="36" customHeight="1">
      <c r="A12" s="23">
        <v>8</v>
      </c>
      <c r="B12" s="3" t="s">
        <v>128</v>
      </c>
      <c r="C12" s="3" t="s">
        <v>129</v>
      </c>
      <c r="D12" s="3" t="s">
        <v>794</v>
      </c>
      <c r="E12" s="3" t="s">
        <v>524</v>
      </c>
      <c r="F12" s="3" t="s">
        <v>795</v>
      </c>
      <c r="G12" s="3">
        <v>1</v>
      </c>
      <c r="H12" s="3" t="s">
        <v>834</v>
      </c>
      <c r="I12" s="3" t="s">
        <v>797</v>
      </c>
      <c r="J12" s="3" t="s">
        <v>835</v>
      </c>
      <c r="K12" s="3" t="s">
        <v>836</v>
      </c>
      <c r="L12" s="3">
        <v>273345</v>
      </c>
      <c r="M12" s="3">
        <v>20091565</v>
      </c>
      <c r="N12" s="3">
        <v>1041</v>
      </c>
      <c r="O12" s="3">
        <v>5.1931423023077272</v>
      </c>
      <c r="P12" s="3">
        <v>19127</v>
      </c>
      <c r="Q12" s="3">
        <v>41208</v>
      </c>
      <c r="R12" s="3" t="s">
        <v>837</v>
      </c>
      <c r="S12" s="19" t="s">
        <v>838</v>
      </c>
      <c r="T12" s="19" t="s">
        <v>839</v>
      </c>
      <c r="U12" s="3"/>
    </row>
    <row r="13" spans="1:21" ht="36" customHeight="1">
      <c r="A13" s="24">
        <v>9</v>
      </c>
      <c r="B13" s="17" t="s">
        <v>133</v>
      </c>
      <c r="C13" s="17" t="s">
        <v>104</v>
      </c>
      <c r="D13" s="17" t="s">
        <v>794</v>
      </c>
      <c r="E13" s="17" t="s">
        <v>133</v>
      </c>
      <c r="F13" s="17" t="s">
        <v>795</v>
      </c>
      <c r="G13" s="17">
        <v>1</v>
      </c>
      <c r="H13" s="17" t="s">
        <v>803</v>
      </c>
      <c r="I13" s="17" t="s">
        <v>797</v>
      </c>
      <c r="J13" s="17" t="s">
        <v>840</v>
      </c>
      <c r="K13" s="17" t="s">
        <v>841</v>
      </c>
      <c r="L13" s="17">
        <v>296965</v>
      </c>
      <c r="M13" s="17">
        <v>27391298</v>
      </c>
      <c r="N13" s="17">
        <v>1225</v>
      </c>
      <c r="O13" s="17">
        <v>3.9382953152983315</v>
      </c>
      <c r="P13" s="17">
        <v>14699</v>
      </c>
      <c r="Q13" s="17">
        <v>35508</v>
      </c>
      <c r="R13" s="17" t="s">
        <v>842</v>
      </c>
      <c r="S13" s="20" t="s">
        <v>843</v>
      </c>
      <c r="T13" s="20" t="s">
        <v>844</v>
      </c>
      <c r="U13" s="17"/>
    </row>
    <row r="14" spans="1:21" ht="36" customHeight="1">
      <c r="A14" s="23">
        <v>10</v>
      </c>
      <c r="B14" s="3" t="s">
        <v>137</v>
      </c>
      <c r="C14" s="3" t="s">
        <v>109</v>
      </c>
      <c r="D14" s="3" t="s">
        <v>815</v>
      </c>
      <c r="E14" s="3"/>
      <c r="F14" s="3"/>
      <c r="G14" s="3"/>
      <c r="H14" s="3"/>
      <c r="I14" s="3"/>
      <c r="J14" s="3"/>
      <c r="K14" s="3"/>
      <c r="L14" s="3"/>
      <c r="M14" s="3"/>
      <c r="N14" s="3"/>
      <c r="O14" s="3"/>
      <c r="P14" s="3"/>
      <c r="Q14" s="3"/>
      <c r="R14" s="3"/>
      <c r="S14" s="19"/>
      <c r="T14" s="19" t="s">
        <v>845</v>
      </c>
      <c r="U14" s="3" t="s">
        <v>817</v>
      </c>
    </row>
    <row r="15" spans="1:21" ht="36" customHeight="1">
      <c r="A15" s="24">
        <v>11</v>
      </c>
      <c r="B15" s="17" t="s">
        <v>142</v>
      </c>
      <c r="C15" s="17" t="s">
        <v>143</v>
      </c>
      <c r="D15" s="17" t="s">
        <v>794</v>
      </c>
      <c r="E15" s="17" t="s">
        <v>142</v>
      </c>
      <c r="F15" s="17" t="s">
        <v>795</v>
      </c>
      <c r="G15" s="17">
        <v>1</v>
      </c>
      <c r="H15" s="17" t="s">
        <v>846</v>
      </c>
      <c r="I15" s="17" t="s">
        <v>797</v>
      </c>
      <c r="J15" s="17" t="s">
        <v>847</v>
      </c>
      <c r="K15" s="17" t="s">
        <v>848</v>
      </c>
      <c r="L15" s="17">
        <v>247076</v>
      </c>
      <c r="M15" s="17">
        <v>26965222</v>
      </c>
      <c r="N15" s="17">
        <v>1171</v>
      </c>
      <c r="O15" s="17">
        <v>3.6387697457893085</v>
      </c>
      <c r="P15" s="17">
        <v>17955</v>
      </c>
      <c r="Q15" s="17">
        <v>35288</v>
      </c>
      <c r="R15" s="17" t="s">
        <v>837</v>
      </c>
      <c r="S15" s="20" t="s">
        <v>849</v>
      </c>
      <c r="T15" s="20" t="s">
        <v>850</v>
      </c>
      <c r="U15" s="17"/>
    </row>
    <row r="16" spans="1:21" ht="36" customHeight="1">
      <c r="A16" s="23">
        <v>12</v>
      </c>
      <c r="B16" s="3" t="s">
        <v>146</v>
      </c>
      <c r="C16" s="3" t="s">
        <v>129</v>
      </c>
      <c r="D16" s="3" t="s">
        <v>794</v>
      </c>
      <c r="E16" s="3" t="s">
        <v>146</v>
      </c>
      <c r="F16" s="3" t="s">
        <v>795</v>
      </c>
      <c r="G16" s="3">
        <v>1</v>
      </c>
      <c r="H16" s="3" t="s">
        <v>834</v>
      </c>
      <c r="I16" s="3" t="s">
        <v>797</v>
      </c>
      <c r="J16" s="3" t="s">
        <v>851</v>
      </c>
      <c r="K16" s="3" t="s">
        <v>852</v>
      </c>
      <c r="L16" s="3">
        <v>345056</v>
      </c>
      <c r="M16" s="3">
        <v>30804922</v>
      </c>
      <c r="N16" s="3">
        <v>1272</v>
      </c>
      <c r="O16" s="3">
        <v>4.0733425436553201</v>
      </c>
      <c r="P16" s="3">
        <v>22783</v>
      </c>
      <c r="Q16" s="3">
        <v>35238</v>
      </c>
      <c r="R16" s="3" t="s">
        <v>853</v>
      </c>
      <c r="S16" s="19" t="s">
        <v>854</v>
      </c>
      <c r="T16" s="19" t="s">
        <v>855</v>
      </c>
      <c r="U16" s="3"/>
    </row>
    <row r="17" spans="1:21" ht="36" customHeight="1">
      <c r="A17" s="24">
        <v>13</v>
      </c>
      <c r="B17" s="17" t="s">
        <v>149</v>
      </c>
      <c r="C17" s="17" t="s">
        <v>150</v>
      </c>
      <c r="D17" s="17" t="s">
        <v>794</v>
      </c>
      <c r="E17" s="17" t="s">
        <v>554</v>
      </c>
      <c r="F17" s="17" t="s">
        <v>795</v>
      </c>
      <c r="G17" s="17">
        <v>1</v>
      </c>
      <c r="H17" s="17" t="s">
        <v>856</v>
      </c>
      <c r="I17" s="17" t="s">
        <v>797</v>
      </c>
      <c r="J17" s="17" t="s">
        <v>857</v>
      </c>
      <c r="K17" s="17" t="s">
        <v>858</v>
      </c>
      <c r="L17" s="17">
        <v>450823</v>
      </c>
      <c r="M17" s="17">
        <v>56370727</v>
      </c>
      <c r="N17" s="17">
        <v>1876</v>
      </c>
      <c r="O17" s="17">
        <v>3.9172101960231278</v>
      </c>
      <c r="P17" s="17">
        <v>15635</v>
      </c>
      <c r="Q17" s="17">
        <v>34640</v>
      </c>
      <c r="R17" s="17" t="s">
        <v>859</v>
      </c>
      <c r="S17" s="20" t="s">
        <v>860</v>
      </c>
      <c r="T17" s="20" t="s">
        <v>861</v>
      </c>
      <c r="U17" s="17"/>
    </row>
    <row r="18" spans="1:21" ht="36" customHeight="1">
      <c r="A18" s="23">
        <v>14</v>
      </c>
      <c r="B18" s="3" t="s">
        <v>153</v>
      </c>
      <c r="C18" s="3" t="s">
        <v>150</v>
      </c>
      <c r="D18" s="3" t="s">
        <v>794</v>
      </c>
      <c r="E18" s="3" t="s">
        <v>153</v>
      </c>
      <c r="F18" s="3" t="s">
        <v>795</v>
      </c>
      <c r="G18" s="3">
        <v>1</v>
      </c>
      <c r="H18" s="3" t="s">
        <v>856</v>
      </c>
      <c r="I18" s="3" t="s">
        <v>797</v>
      </c>
      <c r="J18" s="3" t="s">
        <v>862</v>
      </c>
      <c r="K18" s="3" t="s">
        <v>863</v>
      </c>
      <c r="L18" s="3">
        <v>528279</v>
      </c>
      <c r="M18" s="3">
        <v>87451954</v>
      </c>
      <c r="N18" s="3">
        <v>2487</v>
      </c>
      <c r="O18" s="3">
        <v>6.412806063072928</v>
      </c>
      <c r="P18" s="3">
        <v>20548</v>
      </c>
      <c r="Q18" s="3">
        <v>46013</v>
      </c>
      <c r="R18" s="3" t="s">
        <v>831</v>
      </c>
      <c r="S18" s="19" t="s">
        <v>864</v>
      </c>
      <c r="T18" s="19" t="s">
        <v>865</v>
      </c>
      <c r="U18" s="3"/>
    </row>
    <row r="19" spans="1:21" ht="36" customHeight="1">
      <c r="A19" s="24">
        <v>15</v>
      </c>
      <c r="B19" s="17" t="s">
        <v>157</v>
      </c>
      <c r="C19" s="17" t="s">
        <v>109</v>
      </c>
      <c r="D19" s="17" t="s">
        <v>794</v>
      </c>
      <c r="E19" s="17" t="s">
        <v>157</v>
      </c>
      <c r="F19" s="17" t="s">
        <v>795</v>
      </c>
      <c r="G19" s="17">
        <v>1</v>
      </c>
      <c r="H19" s="17" t="s">
        <v>810</v>
      </c>
      <c r="I19" s="17" t="s">
        <v>797</v>
      </c>
      <c r="J19" s="17" t="s">
        <v>866</v>
      </c>
      <c r="K19" s="17" t="s">
        <v>867</v>
      </c>
      <c r="L19" s="17">
        <v>595350</v>
      </c>
      <c r="M19" s="17">
        <v>63481881</v>
      </c>
      <c r="N19" s="17">
        <v>2073</v>
      </c>
      <c r="O19" s="17">
        <v>4.6769795200123951</v>
      </c>
      <c r="P19" s="17">
        <v>30045</v>
      </c>
      <c r="Q19" s="17">
        <v>59188</v>
      </c>
      <c r="R19" s="17" t="s">
        <v>868</v>
      </c>
      <c r="S19" s="20" t="s">
        <v>869</v>
      </c>
      <c r="T19" s="20" t="s">
        <v>870</v>
      </c>
      <c r="U19" s="17"/>
    </row>
    <row r="20" spans="1:21" ht="36" customHeight="1">
      <c r="A20" s="23">
        <v>16</v>
      </c>
      <c r="B20" s="3" t="s">
        <v>161</v>
      </c>
      <c r="C20" s="3" t="s">
        <v>129</v>
      </c>
      <c r="D20" s="3" t="s">
        <v>794</v>
      </c>
      <c r="E20" s="3" t="s">
        <v>161</v>
      </c>
      <c r="F20" s="3" t="s">
        <v>795</v>
      </c>
      <c r="G20" s="3">
        <v>1</v>
      </c>
      <c r="H20" s="3" t="s">
        <v>834</v>
      </c>
      <c r="I20" s="3" t="s">
        <v>797</v>
      </c>
      <c r="J20" s="3" t="s">
        <v>871</v>
      </c>
      <c r="K20" s="3" t="s">
        <v>872</v>
      </c>
      <c r="L20" s="3">
        <v>334397</v>
      </c>
      <c r="M20" s="3">
        <v>26953302</v>
      </c>
      <c r="N20" s="3">
        <v>1277</v>
      </c>
      <c r="O20" s="3">
        <v>4.8034872451139989</v>
      </c>
      <c r="P20" s="3">
        <v>19613</v>
      </c>
      <c r="Q20" s="3">
        <v>33889</v>
      </c>
      <c r="R20" s="3" t="s">
        <v>873</v>
      </c>
      <c r="S20" s="19" t="s">
        <v>874</v>
      </c>
      <c r="T20" s="19" t="s">
        <v>875</v>
      </c>
      <c r="U20" s="3"/>
    </row>
    <row r="21" spans="1:21" ht="36" customHeight="1">
      <c r="A21" s="24">
        <v>17</v>
      </c>
      <c r="B21" s="17" t="s">
        <v>165</v>
      </c>
      <c r="C21" s="17" t="s">
        <v>129</v>
      </c>
      <c r="D21" s="17" t="s">
        <v>794</v>
      </c>
      <c r="E21" s="17" t="s">
        <v>876</v>
      </c>
      <c r="F21" s="17" t="s">
        <v>795</v>
      </c>
      <c r="G21" s="17">
        <v>1</v>
      </c>
      <c r="H21" s="17" t="s">
        <v>834</v>
      </c>
      <c r="I21" s="17" t="s">
        <v>797</v>
      </c>
      <c r="J21" s="17" t="s">
        <v>877</v>
      </c>
      <c r="K21" s="17" t="s">
        <v>878</v>
      </c>
      <c r="L21" s="17">
        <v>192747</v>
      </c>
      <c r="M21" s="17">
        <v>14656752</v>
      </c>
      <c r="N21" s="17">
        <v>1070</v>
      </c>
      <c r="O21" s="17">
        <v>4.3532116186983441</v>
      </c>
      <c r="P21" s="17">
        <v>10091</v>
      </c>
      <c r="Q21" s="17">
        <v>28831</v>
      </c>
      <c r="R21" s="17" t="s">
        <v>800</v>
      </c>
      <c r="S21" s="20" t="s">
        <v>879</v>
      </c>
      <c r="T21" s="20" t="s">
        <v>880</v>
      </c>
      <c r="U21" s="17"/>
    </row>
    <row r="22" spans="1:21" ht="36" customHeight="1">
      <c r="A22" s="23">
        <v>18</v>
      </c>
      <c r="B22" s="3" t="s">
        <v>168</v>
      </c>
      <c r="C22" s="3" t="s">
        <v>109</v>
      </c>
      <c r="D22" s="3" t="s">
        <v>794</v>
      </c>
      <c r="E22" s="3" t="s">
        <v>168</v>
      </c>
      <c r="F22" s="3" t="s">
        <v>795</v>
      </c>
      <c r="G22" s="3">
        <v>1</v>
      </c>
      <c r="H22" s="3" t="s">
        <v>810</v>
      </c>
      <c r="I22" s="3" t="s">
        <v>797</v>
      </c>
      <c r="J22" s="3" t="s">
        <v>881</v>
      </c>
      <c r="K22" s="3" t="s">
        <v>882</v>
      </c>
      <c r="L22" s="3">
        <v>260530</v>
      </c>
      <c r="M22" s="3">
        <v>22819015</v>
      </c>
      <c r="N22" s="3">
        <v>1242</v>
      </c>
      <c r="O22" s="3">
        <v>3.8004042500297244</v>
      </c>
      <c r="P22" s="3">
        <v>17300</v>
      </c>
      <c r="Q22" s="3">
        <v>46130</v>
      </c>
      <c r="R22" s="3" t="s">
        <v>868</v>
      </c>
      <c r="S22" s="19" t="s">
        <v>883</v>
      </c>
      <c r="T22" s="19" t="s">
        <v>884</v>
      </c>
      <c r="U22" s="3"/>
    </row>
    <row r="23" spans="1:21" ht="36" customHeight="1">
      <c r="A23" s="24">
        <v>19</v>
      </c>
      <c r="B23" s="17" t="s">
        <v>171</v>
      </c>
      <c r="C23" s="17" t="s">
        <v>109</v>
      </c>
      <c r="D23" s="17" t="s">
        <v>794</v>
      </c>
      <c r="E23" s="17" t="s">
        <v>171</v>
      </c>
      <c r="F23" s="17" t="s">
        <v>795</v>
      </c>
      <c r="G23" s="17">
        <v>1</v>
      </c>
      <c r="H23" s="17" t="s">
        <v>810</v>
      </c>
      <c r="I23" s="17" t="s">
        <v>797</v>
      </c>
      <c r="J23" s="17" t="s">
        <v>885</v>
      </c>
      <c r="K23" s="17" t="s">
        <v>886</v>
      </c>
      <c r="L23" s="17">
        <v>215481</v>
      </c>
      <c r="M23" s="17">
        <v>21630291</v>
      </c>
      <c r="N23" s="17">
        <v>1175</v>
      </c>
      <c r="O23" s="17">
        <v>3.236909050805088</v>
      </c>
      <c r="P23" s="17">
        <v>13276</v>
      </c>
      <c r="Q23" s="17">
        <v>50018</v>
      </c>
      <c r="R23" s="17" t="s">
        <v>806</v>
      </c>
      <c r="S23" s="20" t="s">
        <v>887</v>
      </c>
      <c r="T23" s="20" t="s">
        <v>888</v>
      </c>
      <c r="U23" s="17"/>
    </row>
    <row r="24" spans="1:21" ht="36" customHeight="1">
      <c r="A24" s="23">
        <v>20</v>
      </c>
      <c r="B24" s="3" t="s">
        <v>175</v>
      </c>
      <c r="C24" s="3" t="s">
        <v>150</v>
      </c>
      <c r="D24" s="3" t="s">
        <v>794</v>
      </c>
      <c r="E24" s="3" t="s">
        <v>562</v>
      </c>
      <c r="F24" s="3" t="s">
        <v>795</v>
      </c>
      <c r="G24" s="3">
        <v>1</v>
      </c>
      <c r="H24" s="3" t="s">
        <v>856</v>
      </c>
      <c r="I24" s="3" t="s">
        <v>797</v>
      </c>
      <c r="J24" s="3" t="s">
        <v>889</v>
      </c>
      <c r="K24" s="3" t="s">
        <v>890</v>
      </c>
      <c r="L24" s="3">
        <v>276763</v>
      </c>
      <c r="M24" s="3">
        <v>26848678</v>
      </c>
      <c r="N24" s="3">
        <v>1382</v>
      </c>
      <c r="O24" s="3">
        <v>3.8648340421487801</v>
      </c>
      <c r="P24" s="3">
        <v>11658</v>
      </c>
      <c r="Q24" s="3">
        <v>30128</v>
      </c>
      <c r="R24" s="3" t="s">
        <v>891</v>
      </c>
      <c r="S24" s="19" t="s">
        <v>892</v>
      </c>
      <c r="T24" s="19" t="s">
        <v>893</v>
      </c>
      <c r="U24" s="3"/>
    </row>
    <row r="25" spans="1:21" ht="36" customHeight="1">
      <c r="A25" s="24">
        <v>21</v>
      </c>
      <c r="B25" s="17" t="s">
        <v>179</v>
      </c>
      <c r="C25" s="17" t="s">
        <v>150</v>
      </c>
      <c r="D25" s="17" t="s">
        <v>794</v>
      </c>
      <c r="E25" s="17" t="s">
        <v>179</v>
      </c>
      <c r="F25" s="17" t="s">
        <v>795</v>
      </c>
      <c r="G25" s="17">
        <v>1</v>
      </c>
      <c r="H25" s="17" t="s">
        <v>856</v>
      </c>
      <c r="I25" s="17" t="s">
        <v>797</v>
      </c>
      <c r="J25" s="17" t="s">
        <v>894</v>
      </c>
      <c r="K25" s="17" t="s">
        <v>895</v>
      </c>
      <c r="L25" s="17">
        <v>335116</v>
      </c>
      <c r="M25" s="17">
        <v>27586539</v>
      </c>
      <c r="N25" s="17">
        <v>1262</v>
      </c>
      <c r="O25" s="17">
        <v>4.0828260310383264</v>
      </c>
      <c r="P25" s="17">
        <v>14142</v>
      </c>
      <c r="Q25" s="17">
        <v>25764</v>
      </c>
      <c r="R25" s="17" t="s">
        <v>896</v>
      </c>
      <c r="S25" s="20" t="s">
        <v>897</v>
      </c>
      <c r="T25" s="20" t="s">
        <v>898</v>
      </c>
      <c r="U25" s="17"/>
    </row>
    <row r="26" spans="1:21" ht="36" customHeight="1">
      <c r="A26" s="23">
        <v>22</v>
      </c>
      <c r="B26" s="3" t="s">
        <v>183</v>
      </c>
      <c r="C26" s="3" t="s">
        <v>184</v>
      </c>
      <c r="D26" s="3" t="s">
        <v>794</v>
      </c>
      <c r="E26" s="3" t="s">
        <v>183</v>
      </c>
      <c r="F26" s="3" t="s">
        <v>795</v>
      </c>
      <c r="G26" s="3">
        <v>1</v>
      </c>
      <c r="H26" s="3" t="s">
        <v>899</v>
      </c>
      <c r="I26" s="3" t="s">
        <v>797</v>
      </c>
      <c r="J26" s="3" t="s">
        <v>900</v>
      </c>
      <c r="K26" s="3" t="s">
        <v>901</v>
      </c>
      <c r="L26" s="3">
        <v>309364</v>
      </c>
      <c r="M26" s="3">
        <v>29046987</v>
      </c>
      <c r="N26" s="3">
        <v>1309</v>
      </c>
      <c r="O26" s="3">
        <v>3.787423467687415</v>
      </c>
      <c r="P26" s="3">
        <v>16786</v>
      </c>
      <c r="Q26" s="3">
        <v>32958</v>
      </c>
      <c r="R26" s="3" t="s">
        <v>902</v>
      </c>
      <c r="S26" s="19" t="s">
        <v>903</v>
      </c>
      <c r="T26" s="19" t="s">
        <v>904</v>
      </c>
      <c r="U26" s="3"/>
    </row>
    <row r="27" spans="1:21" ht="36" customHeight="1">
      <c r="A27" s="24">
        <v>23</v>
      </c>
      <c r="B27" s="17" t="s">
        <v>187</v>
      </c>
      <c r="C27" s="17" t="s">
        <v>188</v>
      </c>
      <c r="D27" s="17" t="s">
        <v>794</v>
      </c>
      <c r="E27" s="17" t="s">
        <v>187</v>
      </c>
      <c r="F27" s="17" t="s">
        <v>795</v>
      </c>
      <c r="G27" s="17">
        <v>1</v>
      </c>
      <c r="H27" s="17" t="s">
        <v>905</v>
      </c>
      <c r="I27" s="17" t="s">
        <v>797</v>
      </c>
      <c r="J27" s="17" t="s">
        <v>906</v>
      </c>
      <c r="K27" s="17" t="s">
        <v>907</v>
      </c>
      <c r="L27" s="17">
        <v>221579</v>
      </c>
      <c r="M27" s="17">
        <v>21675313</v>
      </c>
      <c r="N27" s="17">
        <v>1168</v>
      </c>
      <c r="O27" s="17">
        <v>3.0656081006171547</v>
      </c>
      <c r="P27" s="17">
        <v>15740</v>
      </c>
      <c r="Q27" s="17">
        <v>30942</v>
      </c>
      <c r="R27" s="17" t="s">
        <v>908</v>
      </c>
      <c r="S27" s="20" t="s">
        <v>909</v>
      </c>
      <c r="T27" s="20" t="s">
        <v>910</v>
      </c>
      <c r="U27" s="17"/>
    </row>
    <row r="28" spans="1:21" ht="36" customHeight="1">
      <c r="A28" s="23">
        <v>24</v>
      </c>
      <c r="B28" s="3" t="s">
        <v>191</v>
      </c>
      <c r="C28" s="3" t="s">
        <v>109</v>
      </c>
      <c r="D28" s="3" t="s">
        <v>794</v>
      </c>
      <c r="E28" s="3" t="s">
        <v>191</v>
      </c>
      <c r="F28" s="3" t="s">
        <v>795</v>
      </c>
      <c r="G28" s="3">
        <v>1</v>
      </c>
      <c r="H28" s="3" t="s">
        <v>810</v>
      </c>
      <c r="I28" s="3" t="s">
        <v>797</v>
      </c>
      <c r="J28" s="3" t="s">
        <v>911</v>
      </c>
      <c r="K28" s="3" t="s">
        <v>912</v>
      </c>
      <c r="L28" s="3">
        <v>110496</v>
      </c>
      <c r="M28" s="3">
        <v>6959426</v>
      </c>
      <c r="N28" s="3">
        <v>731</v>
      </c>
      <c r="O28" s="3">
        <v>5.0510972661335316</v>
      </c>
      <c r="P28" s="3">
        <v>6481</v>
      </c>
      <c r="Q28" s="3">
        <v>31001</v>
      </c>
      <c r="R28" s="3" t="s">
        <v>913</v>
      </c>
      <c r="S28" s="19" t="s">
        <v>914</v>
      </c>
      <c r="T28" s="19" t="s">
        <v>915</v>
      </c>
      <c r="U28" s="3"/>
    </row>
    <row r="29" spans="1:21" ht="36" customHeight="1">
      <c r="A29" s="24">
        <v>25</v>
      </c>
      <c r="B29" s="17" t="s">
        <v>194</v>
      </c>
      <c r="C29" s="17" t="s">
        <v>109</v>
      </c>
      <c r="D29" s="17" t="s">
        <v>794</v>
      </c>
      <c r="E29" s="17" t="s">
        <v>194</v>
      </c>
      <c r="F29" s="17" t="s">
        <v>795</v>
      </c>
      <c r="G29" s="17">
        <v>1</v>
      </c>
      <c r="H29" s="17" t="s">
        <v>810</v>
      </c>
      <c r="I29" s="17" t="s">
        <v>797</v>
      </c>
      <c r="J29" s="17" t="s">
        <v>916</v>
      </c>
      <c r="K29" s="17" t="s">
        <v>917</v>
      </c>
      <c r="L29" s="17">
        <v>195765</v>
      </c>
      <c r="M29" s="17">
        <v>13854929</v>
      </c>
      <c r="N29" s="17">
        <v>938</v>
      </c>
      <c r="O29" s="17">
        <v>3.2439456913272373</v>
      </c>
      <c r="P29" s="17">
        <v>13763</v>
      </c>
      <c r="Q29" s="17">
        <v>23617</v>
      </c>
      <c r="R29" s="17" t="s">
        <v>826</v>
      </c>
      <c r="S29" s="20" t="s">
        <v>918</v>
      </c>
      <c r="T29" s="20" t="s">
        <v>919</v>
      </c>
      <c r="U29" s="17"/>
    </row>
    <row r="30" spans="1:21" ht="36" customHeight="1">
      <c r="A30" s="23">
        <v>26</v>
      </c>
      <c r="B30" s="3" t="s">
        <v>197</v>
      </c>
      <c r="C30" s="3" t="s">
        <v>104</v>
      </c>
      <c r="D30" s="3" t="s">
        <v>794</v>
      </c>
      <c r="E30" s="3" t="s">
        <v>197</v>
      </c>
      <c r="F30" s="3" t="s">
        <v>795</v>
      </c>
      <c r="G30" s="3">
        <v>1</v>
      </c>
      <c r="H30" s="3" t="s">
        <v>803</v>
      </c>
      <c r="I30" s="3" t="s">
        <v>797</v>
      </c>
      <c r="J30" s="3" t="s">
        <v>920</v>
      </c>
      <c r="K30" s="3" t="s">
        <v>921</v>
      </c>
      <c r="L30" s="3">
        <v>170934</v>
      </c>
      <c r="M30" s="3">
        <v>12351882</v>
      </c>
      <c r="N30" s="3">
        <v>837</v>
      </c>
      <c r="O30" s="3">
        <v>3.6689402827768607</v>
      </c>
      <c r="P30" s="3">
        <v>8457</v>
      </c>
      <c r="Q30" s="3">
        <v>20687</v>
      </c>
      <c r="R30" s="3" t="s">
        <v>922</v>
      </c>
      <c r="S30" s="19" t="s">
        <v>923</v>
      </c>
      <c r="T30" s="19" t="s">
        <v>924</v>
      </c>
      <c r="U30" s="3"/>
    </row>
    <row r="31" spans="1:21" ht="36" customHeight="1">
      <c r="A31" s="24">
        <v>27</v>
      </c>
      <c r="B31" s="17" t="s">
        <v>201</v>
      </c>
      <c r="C31" s="17" t="s">
        <v>109</v>
      </c>
      <c r="D31" s="17" t="s">
        <v>794</v>
      </c>
      <c r="E31" s="17" t="s">
        <v>201</v>
      </c>
      <c r="F31" s="17" t="s">
        <v>795</v>
      </c>
      <c r="G31" s="17">
        <v>1</v>
      </c>
      <c r="H31" s="17" t="s">
        <v>810</v>
      </c>
      <c r="I31" s="17" t="s">
        <v>797</v>
      </c>
      <c r="J31" s="17" t="s">
        <v>925</v>
      </c>
      <c r="K31" s="17" t="s">
        <v>926</v>
      </c>
      <c r="L31" s="17">
        <v>193634</v>
      </c>
      <c r="M31" s="17">
        <v>23342341</v>
      </c>
      <c r="N31" s="17">
        <v>1458</v>
      </c>
      <c r="O31" s="17">
        <v>4.6656622763419486</v>
      </c>
      <c r="P31" s="17">
        <v>12888</v>
      </c>
      <c r="Q31" s="17">
        <v>48132</v>
      </c>
      <c r="R31" s="17" t="s">
        <v>927</v>
      </c>
      <c r="S31" s="20" t="s">
        <v>928</v>
      </c>
      <c r="T31" s="20" t="s">
        <v>929</v>
      </c>
      <c r="U31" s="17"/>
    </row>
    <row r="32" spans="1:21" ht="36" customHeight="1">
      <c r="A32" s="23">
        <v>28</v>
      </c>
      <c r="B32" s="3" t="s">
        <v>206</v>
      </c>
      <c r="C32" s="3" t="s">
        <v>207</v>
      </c>
      <c r="D32" s="3" t="s">
        <v>815</v>
      </c>
      <c r="E32" s="3"/>
      <c r="F32" s="3"/>
      <c r="G32" s="3"/>
      <c r="H32" s="3"/>
      <c r="I32" s="3"/>
      <c r="J32" s="3"/>
      <c r="K32" s="3"/>
      <c r="L32" s="3"/>
      <c r="M32" s="3"/>
      <c r="N32" s="3"/>
      <c r="O32" s="3"/>
      <c r="P32" s="3"/>
      <c r="Q32" s="3"/>
      <c r="R32" s="3"/>
      <c r="S32" s="19"/>
      <c r="T32" s="19" t="s">
        <v>930</v>
      </c>
      <c r="U32" s="3" t="s">
        <v>817</v>
      </c>
    </row>
    <row r="33" spans="1:21" ht="36" customHeight="1">
      <c r="A33" s="24">
        <v>29</v>
      </c>
      <c r="B33" s="17" t="s">
        <v>211</v>
      </c>
      <c r="C33" s="17" t="s">
        <v>212</v>
      </c>
      <c r="D33" s="17" t="s">
        <v>794</v>
      </c>
      <c r="E33" s="17" t="s">
        <v>931</v>
      </c>
      <c r="F33" s="17" t="s">
        <v>795</v>
      </c>
      <c r="G33" s="17">
        <v>1</v>
      </c>
      <c r="H33" s="17" t="s">
        <v>932</v>
      </c>
      <c r="I33" s="17" t="s">
        <v>797</v>
      </c>
      <c r="J33" s="17" t="s">
        <v>933</v>
      </c>
      <c r="K33" s="17" t="s">
        <v>934</v>
      </c>
      <c r="L33" s="17">
        <v>96010</v>
      </c>
      <c r="M33" s="17">
        <v>7854805</v>
      </c>
      <c r="N33" s="17">
        <v>856</v>
      </c>
      <c r="O33" s="17">
        <v>3.9828273022461755</v>
      </c>
      <c r="P33" s="17">
        <v>7031</v>
      </c>
      <c r="Q33" s="17">
        <v>31034</v>
      </c>
      <c r="R33" s="17" t="s">
        <v>837</v>
      </c>
      <c r="S33" s="20" t="s">
        <v>935</v>
      </c>
      <c r="T33" s="20" t="s">
        <v>936</v>
      </c>
      <c r="U33" s="17"/>
    </row>
    <row r="34" spans="1:21" ht="36" customHeight="1">
      <c r="A34" s="23">
        <v>30</v>
      </c>
      <c r="B34" s="3" t="s">
        <v>215</v>
      </c>
      <c r="C34" s="3" t="s">
        <v>150</v>
      </c>
      <c r="D34" s="3" t="s">
        <v>794</v>
      </c>
      <c r="E34" s="3" t="s">
        <v>215</v>
      </c>
      <c r="F34" s="3" t="s">
        <v>795</v>
      </c>
      <c r="G34" s="3">
        <v>1</v>
      </c>
      <c r="H34" s="3" t="s">
        <v>856</v>
      </c>
      <c r="I34" s="3" t="s">
        <v>797</v>
      </c>
      <c r="J34" s="3" t="s">
        <v>937</v>
      </c>
      <c r="K34" s="3" t="s">
        <v>938</v>
      </c>
      <c r="L34" s="3">
        <v>381274</v>
      </c>
      <c r="M34" s="3">
        <v>54895634</v>
      </c>
      <c r="N34" s="3">
        <v>1747</v>
      </c>
      <c r="O34" s="3">
        <v>6.0837522949947669</v>
      </c>
      <c r="P34" s="3">
        <v>16180</v>
      </c>
      <c r="Q34" s="3">
        <v>57986</v>
      </c>
      <c r="R34" s="3" t="s">
        <v>939</v>
      </c>
      <c r="S34" s="19" t="s">
        <v>940</v>
      </c>
      <c r="T34" s="19" t="s">
        <v>941</v>
      </c>
      <c r="U34" s="3"/>
    </row>
    <row r="35" spans="1:21" ht="36" customHeight="1">
      <c r="A35" s="24">
        <v>49</v>
      </c>
      <c r="B35" s="17" t="s">
        <v>273</v>
      </c>
      <c r="C35" s="17" t="s">
        <v>109</v>
      </c>
      <c r="D35" s="17" t="s">
        <v>794</v>
      </c>
      <c r="E35" s="17" t="s">
        <v>273</v>
      </c>
      <c r="F35" s="17" t="s">
        <v>795</v>
      </c>
      <c r="G35" s="17">
        <v>1</v>
      </c>
      <c r="H35" s="17" t="s">
        <v>810</v>
      </c>
      <c r="I35" s="17" t="s">
        <v>797</v>
      </c>
      <c r="J35" s="17" t="s">
        <v>942</v>
      </c>
      <c r="K35" s="17" t="s">
        <v>943</v>
      </c>
      <c r="L35" s="17">
        <v>117984</v>
      </c>
      <c r="M35" s="17">
        <v>7480551</v>
      </c>
      <c r="N35" s="17">
        <v>800</v>
      </c>
      <c r="O35" s="17">
        <v>4.0595733610822062</v>
      </c>
      <c r="P35" s="17">
        <v>13013</v>
      </c>
      <c r="Q35" s="17">
        <v>35199</v>
      </c>
      <c r="R35" s="17" t="s">
        <v>800</v>
      </c>
      <c r="S35" s="20" t="s">
        <v>944</v>
      </c>
      <c r="T35" s="20" t="s">
        <v>945</v>
      </c>
      <c r="U35" s="17"/>
    </row>
    <row r="36" spans="1:21" ht="36" customHeight="1">
      <c r="A36" s="23">
        <v>52</v>
      </c>
      <c r="B36" s="3" t="s">
        <v>219</v>
      </c>
      <c r="C36" s="3" t="s">
        <v>129</v>
      </c>
      <c r="D36" s="3" t="s">
        <v>946</v>
      </c>
      <c r="E36" s="3"/>
      <c r="F36" s="3"/>
      <c r="G36" s="3"/>
      <c r="H36" s="3"/>
      <c r="I36" s="3"/>
      <c r="J36" s="3"/>
      <c r="K36" s="3"/>
      <c r="L36" s="3"/>
      <c r="M36" s="3"/>
      <c r="N36" s="3"/>
      <c r="O36" s="3"/>
      <c r="P36" s="3"/>
      <c r="Q36" s="3"/>
      <c r="R36" s="3"/>
      <c r="S36" s="19"/>
      <c r="T36" s="19"/>
      <c r="U36" s="3" t="s">
        <v>947</v>
      </c>
    </row>
    <row r="37" spans="1:21" ht="36" customHeight="1">
      <c r="A37" s="24">
        <v>53</v>
      </c>
      <c r="B37" s="17" t="s">
        <v>223</v>
      </c>
      <c r="C37" s="17" t="s">
        <v>129</v>
      </c>
      <c r="D37" s="17" t="s">
        <v>946</v>
      </c>
      <c r="E37" s="17"/>
      <c r="F37" s="17"/>
      <c r="G37" s="17"/>
      <c r="H37" s="17"/>
      <c r="I37" s="17"/>
      <c r="J37" s="17"/>
      <c r="K37" s="17"/>
      <c r="L37" s="17"/>
      <c r="M37" s="17"/>
      <c r="N37" s="17"/>
      <c r="O37" s="17"/>
      <c r="P37" s="17"/>
      <c r="Q37" s="17"/>
      <c r="R37" s="17"/>
      <c r="S37" s="20"/>
      <c r="T37" s="20"/>
      <c r="U37" s="17" t="s">
        <v>947</v>
      </c>
    </row>
    <row r="38" spans="1:21" ht="36" customHeight="1">
      <c r="A38" s="23">
        <v>54</v>
      </c>
      <c r="B38" s="3" t="s">
        <v>226</v>
      </c>
      <c r="C38" s="3" t="s">
        <v>104</v>
      </c>
      <c r="D38" s="3" t="s">
        <v>946</v>
      </c>
      <c r="E38" s="3"/>
      <c r="F38" s="3"/>
      <c r="G38" s="3"/>
      <c r="H38" s="3"/>
      <c r="I38" s="3"/>
      <c r="J38" s="3"/>
      <c r="K38" s="3"/>
      <c r="L38" s="3"/>
      <c r="M38" s="3"/>
      <c r="N38" s="3"/>
      <c r="O38" s="3"/>
      <c r="P38" s="3"/>
      <c r="Q38" s="3"/>
      <c r="R38" s="3"/>
      <c r="S38" s="19"/>
      <c r="T38" s="19"/>
      <c r="U38" s="3" t="s">
        <v>947</v>
      </c>
    </row>
    <row r="39" spans="1:21" ht="36" customHeight="1">
      <c r="A39" s="24">
        <v>55</v>
      </c>
      <c r="B39" s="17" t="s">
        <v>228</v>
      </c>
      <c r="C39" s="17" t="s">
        <v>229</v>
      </c>
      <c r="D39" s="17" t="s">
        <v>946</v>
      </c>
      <c r="E39" s="17"/>
      <c r="F39" s="17"/>
      <c r="G39" s="17"/>
      <c r="H39" s="17"/>
      <c r="I39" s="17"/>
      <c r="J39" s="17"/>
      <c r="K39" s="17"/>
      <c r="L39" s="17"/>
      <c r="M39" s="17"/>
      <c r="N39" s="17"/>
      <c r="O39" s="17"/>
      <c r="P39" s="17"/>
      <c r="Q39" s="17"/>
      <c r="R39" s="17"/>
      <c r="S39" s="20"/>
      <c r="T39" s="20"/>
      <c r="U39" s="17" t="s">
        <v>947</v>
      </c>
    </row>
    <row r="40" spans="1:21" ht="36" customHeight="1">
      <c r="A40" s="23">
        <v>56</v>
      </c>
      <c r="B40" s="3" t="s">
        <v>232</v>
      </c>
      <c r="C40" s="3" t="s">
        <v>233</v>
      </c>
      <c r="D40" s="3" t="s">
        <v>946</v>
      </c>
      <c r="E40" s="3"/>
      <c r="F40" s="3"/>
      <c r="G40" s="3"/>
      <c r="H40" s="3"/>
      <c r="I40" s="3"/>
      <c r="J40" s="3"/>
      <c r="K40" s="3"/>
      <c r="L40" s="3"/>
      <c r="M40" s="3"/>
      <c r="N40" s="3"/>
      <c r="O40" s="3"/>
      <c r="P40" s="3"/>
      <c r="Q40" s="3"/>
      <c r="R40" s="3"/>
      <c r="S40" s="19"/>
      <c r="T40" s="19"/>
      <c r="U40" s="3" t="s">
        <v>947</v>
      </c>
    </row>
    <row r="41" spans="1:21" ht="36" customHeight="1">
      <c r="A41" s="24">
        <v>57</v>
      </c>
      <c r="B41" s="17" t="s">
        <v>236</v>
      </c>
      <c r="C41" s="17" t="s">
        <v>237</v>
      </c>
      <c r="D41" s="17" t="s">
        <v>946</v>
      </c>
      <c r="E41" s="17"/>
      <c r="F41" s="17"/>
      <c r="G41" s="17"/>
      <c r="H41" s="17"/>
      <c r="I41" s="17"/>
      <c r="J41" s="17"/>
      <c r="K41" s="17"/>
      <c r="L41" s="17"/>
      <c r="M41" s="17"/>
      <c r="N41" s="17"/>
      <c r="O41" s="17"/>
      <c r="P41" s="17"/>
      <c r="Q41" s="17"/>
      <c r="R41" s="17"/>
      <c r="S41" s="20"/>
      <c r="T41" s="20"/>
      <c r="U41" s="17" t="s">
        <v>947</v>
      </c>
    </row>
    <row r="42" spans="1:21" ht="36" customHeight="1">
      <c r="A42" s="23">
        <v>58</v>
      </c>
      <c r="B42" s="3" t="s">
        <v>240</v>
      </c>
      <c r="C42" s="3" t="s">
        <v>229</v>
      </c>
      <c r="D42" s="3" t="s">
        <v>946</v>
      </c>
      <c r="E42" s="3"/>
      <c r="F42" s="3"/>
      <c r="G42" s="3"/>
      <c r="H42" s="3"/>
      <c r="I42" s="3"/>
      <c r="J42" s="3"/>
      <c r="K42" s="3"/>
      <c r="L42" s="3"/>
      <c r="M42" s="3"/>
      <c r="N42" s="3"/>
      <c r="O42" s="3"/>
      <c r="P42" s="3"/>
      <c r="Q42" s="3"/>
      <c r="R42" s="3"/>
      <c r="S42" s="19"/>
      <c r="T42" s="19"/>
      <c r="U42" s="3" t="s">
        <v>947</v>
      </c>
    </row>
    <row r="43" spans="1:21" ht="36" customHeight="1">
      <c r="A43" s="24">
        <v>59</v>
      </c>
      <c r="B43" s="17" t="s">
        <v>243</v>
      </c>
      <c r="C43" s="17" t="s">
        <v>244</v>
      </c>
      <c r="D43" s="17" t="s">
        <v>946</v>
      </c>
      <c r="E43" s="17"/>
      <c r="F43" s="17"/>
      <c r="G43" s="17"/>
      <c r="H43" s="17"/>
      <c r="I43" s="17"/>
      <c r="J43" s="17"/>
      <c r="K43" s="17"/>
      <c r="L43" s="17"/>
      <c r="M43" s="17"/>
      <c r="N43" s="17"/>
      <c r="O43" s="17"/>
      <c r="P43" s="17"/>
      <c r="Q43" s="17"/>
      <c r="R43" s="17"/>
      <c r="S43" s="20"/>
      <c r="T43" s="20"/>
      <c r="U43" s="17" t="s">
        <v>947</v>
      </c>
    </row>
    <row r="44" spans="1:21" ht="36" customHeight="1">
      <c r="A44" s="23">
        <v>60</v>
      </c>
      <c r="B44" s="3" t="s">
        <v>247</v>
      </c>
      <c r="C44" s="3" t="s">
        <v>248</v>
      </c>
      <c r="D44" s="3" t="s">
        <v>946</v>
      </c>
      <c r="E44" s="3"/>
      <c r="F44" s="3"/>
      <c r="G44" s="3"/>
      <c r="H44" s="3"/>
      <c r="I44" s="3"/>
      <c r="J44" s="3"/>
      <c r="K44" s="3"/>
      <c r="L44" s="3"/>
      <c r="M44" s="3"/>
      <c r="N44" s="3"/>
      <c r="O44" s="3"/>
      <c r="P44" s="3"/>
      <c r="Q44" s="3"/>
      <c r="R44" s="3"/>
      <c r="S44" s="19"/>
      <c r="T44" s="19"/>
      <c r="U44" s="3" t="s">
        <v>947</v>
      </c>
    </row>
    <row r="45" spans="1:21" ht="36" customHeight="1">
      <c r="A45" s="24">
        <v>61</v>
      </c>
      <c r="B45" s="17" t="s">
        <v>251</v>
      </c>
      <c r="C45" s="17" t="s">
        <v>104</v>
      </c>
      <c r="D45" s="17" t="s">
        <v>946</v>
      </c>
      <c r="E45" s="17"/>
      <c r="F45" s="17"/>
      <c r="G45" s="17"/>
      <c r="H45" s="17"/>
      <c r="I45" s="17"/>
      <c r="J45" s="17"/>
      <c r="K45" s="17"/>
      <c r="L45" s="17"/>
      <c r="M45" s="17"/>
      <c r="N45" s="17"/>
      <c r="O45" s="17"/>
      <c r="P45" s="17"/>
      <c r="Q45" s="17"/>
      <c r="R45" s="17"/>
      <c r="S45" s="20"/>
      <c r="T45" s="20"/>
      <c r="U45" s="17" t="s">
        <v>947</v>
      </c>
    </row>
    <row r="46" spans="1:21" ht="36" customHeight="1">
      <c r="A46" s="23">
        <v>62</v>
      </c>
      <c r="B46" s="3" t="s">
        <v>253</v>
      </c>
      <c r="C46" s="3" t="s">
        <v>233</v>
      </c>
      <c r="D46" s="3" t="s">
        <v>946</v>
      </c>
      <c r="E46" s="3"/>
      <c r="F46" s="3"/>
      <c r="G46" s="3"/>
      <c r="H46" s="3"/>
      <c r="I46" s="3"/>
      <c r="J46" s="3"/>
      <c r="K46" s="3"/>
      <c r="L46" s="3"/>
      <c r="M46" s="3"/>
      <c r="N46" s="3"/>
      <c r="O46" s="3"/>
      <c r="P46" s="3"/>
      <c r="Q46" s="3"/>
      <c r="R46" s="3"/>
      <c r="S46" s="19"/>
      <c r="T46" s="19"/>
      <c r="U46" s="3" t="s">
        <v>947</v>
      </c>
    </row>
    <row r="47" spans="1:21" ht="36" customHeight="1">
      <c r="A47" s="24">
        <v>63</v>
      </c>
      <c r="B47" s="17" t="s">
        <v>256</v>
      </c>
      <c r="C47" s="17" t="s">
        <v>257</v>
      </c>
      <c r="D47" s="17" t="s">
        <v>946</v>
      </c>
      <c r="E47" s="17"/>
      <c r="F47" s="17"/>
      <c r="G47" s="17"/>
      <c r="H47" s="17"/>
      <c r="I47" s="17"/>
      <c r="J47" s="17"/>
      <c r="K47" s="17"/>
      <c r="L47" s="17"/>
      <c r="M47" s="17"/>
      <c r="N47" s="17"/>
      <c r="O47" s="17"/>
      <c r="P47" s="17"/>
      <c r="Q47" s="17"/>
      <c r="R47" s="17"/>
      <c r="S47" s="20"/>
      <c r="T47" s="20"/>
      <c r="U47" s="17" t="s">
        <v>947</v>
      </c>
    </row>
    <row r="48" spans="1:21" ht="36" customHeight="1">
      <c r="A48" s="23">
        <v>64</v>
      </c>
      <c r="B48" s="3" t="s">
        <v>260</v>
      </c>
      <c r="C48" s="3" t="s">
        <v>233</v>
      </c>
      <c r="D48" s="3" t="s">
        <v>946</v>
      </c>
      <c r="E48" s="3"/>
      <c r="F48" s="3"/>
      <c r="G48" s="3"/>
      <c r="H48" s="3"/>
      <c r="I48" s="3"/>
      <c r="J48" s="3"/>
      <c r="K48" s="3"/>
      <c r="L48" s="3"/>
      <c r="M48" s="3"/>
      <c r="N48" s="3"/>
      <c r="O48" s="3"/>
      <c r="P48" s="3"/>
      <c r="Q48" s="3"/>
      <c r="R48" s="3"/>
      <c r="S48" s="19"/>
      <c r="T48" s="19"/>
      <c r="U48" s="3" t="s">
        <v>947</v>
      </c>
    </row>
    <row r="49" spans="1:21" ht="36" customHeight="1">
      <c r="A49" s="24">
        <v>65</v>
      </c>
      <c r="B49" s="17" t="s">
        <v>263</v>
      </c>
      <c r="C49" s="17" t="s">
        <v>129</v>
      </c>
      <c r="D49" s="17" t="s">
        <v>946</v>
      </c>
      <c r="E49" s="17"/>
      <c r="F49" s="17"/>
      <c r="G49" s="17"/>
      <c r="H49" s="17"/>
      <c r="I49" s="17"/>
      <c r="J49" s="17"/>
      <c r="K49" s="17"/>
      <c r="L49" s="17"/>
      <c r="M49" s="17"/>
      <c r="N49" s="17"/>
      <c r="O49" s="17"/>
      <c r="P49" s="17"/>
      <c r="Q49" s="17"/>
      <c r="R49" s="17"/>
      <c r="S49" s="20"/>
      <c r="T49" s="20"/>
      <c r="U49" s="17" t="s">
        <v>947</v>
      </c>
    </row>
    <row r="50" spans="1:21" ht="36" customHeight="1">
      <c r="A50" s="23">
        <v>66</v>
      </c>
      <c r="B50" s="3" t="s">
        <v>27</v>
      </c>
      <c r="C50" s="3" t="s">
        <v>104</v>
      </c>
      <c r="D50" s="3" t="s">
        <v>946</v>
      </c>
      <c r="E50" s="3"/>
      <c r="F50" s="3"/>
      <c r="G50" s="3"/>
      <c r="H50" s="3"/>
      <c r="I50" s="3"/>
      <c r="J50" s="3"/>
      <c r="K50" s="3"/>
      <c r="L50" s="3"/>
      <c r="M50" s="3"/>
      <c r="N50" s="3"/>
      <c r="O50" s="3"/>
      <c r="P50" s="3"/>
      <c r="Q50" s="3"/>
      <c r="R50" s="3"/>
      <c r="S50" s="19"/>
      <c r="T50" s="19"/>
      <c r="U50" s="3" t="s">
        <v>947</v>
      </c>
    </row>
    <row r="51" spans="1:21" ht="36" customHeight="1">
      <c r="A51" s="24">
        <v>67</v>
      </c>
      <c r="B51" s="17" t="s">
        <v>269</v>
      </c>
      <c r="C51" s="17" t="s">
        <v>270</v>
      </c>
      <c r="D51" s="17" t="s">
        <v>946</v>
      </c>
      <c r="E51" s="17"/>
      <c r="F51" s="17"/>
      <c r="G51" s="17"/>
      <c r="H51" s="17"/>
      <c r="I51" s="17"/>
      <c r="J51" s="17"/>
      <c r="K51" s="17"/>
      <c r="L51" s="17"/>
      <c r="M51" s="17"/>
      <c r="N51" s="17"/>
      <c r="O51" s="17"/>
      <c r="P51" s="17"/>
      <c r="Q51" s="17"/>
      <c r="R51" s="17"/>
      <c r="S51" s="20"/>
      <c r="T51" s="20"/>
      <c r="U51" s="17" t="s">
        <v>947</v>
      </c>
    </row>
    <row r="52" spans="1:21" ht="36" customHeight="1">
      <c r="A52" s="23">
        <v>68</v>
      </c>
      <c r="B52" s="3" t="s">
        <v>277</v>
      </c>
      <c r="C52" s="3" t="s">
        <v>233</v>
      </c>
      <c r="D52" s="3" t="s">
        <v>946</v>
      </c>
      <c r="E52" s="3"/>
      <c r="F52" s="3"/>
      <c r="G52" s="3"/>
      <c r="H52" s="3"/>
      <c r="I52" s="3"/>
      <c r="J52" s="3"/>
      <c r="K52" s="3"/>
      <c r="L52" s="3"/>
      <c r="M52" s="3"/>
      <c r="N52" s="3"/>
      <c r="O52" s="3"/>
      <c r="P52" s="3"/>
      <c r="Q52" s="3"/>
      <c r="R52" s="3"/>
      <c r="S52" s="19"/>
      <c r="T52" s="19"/>
      <c r="U52" s="3" t="s">
        <v>947</v>
      </c>
    </row>
    <row r="53" spans="1:21" ht="36" customHeight="1">
      <c r="A53" s="24">
        <v>69</v>
      </c>
      <c r="B53" s="17" t="s">
        <v>280</v>
      </c>
      <c r="C53" s="17" t="s">
        <v>281</v>
      </c>
      <c r="D53" s="17" t="s">
        <v>946</v>
      </c>
      <c r="E53" s="17"/>
      <c r="F53" s="17"/>
      <c r="G53" s="17"/>
      <c r="H53" s="17"/>
      <c r="I53" s="17"/>
      <c r="J53" s="17"/>
      <c r="K53" s="17"/>
      <c r="L53" s="17"/>
      <c r="M53" s="17"/>
      <c r="N53" s="17"/>
      <c r="O53" s="17"/>
      <c r="P53" s="17"/>
      <c r="Q53" s="17"/>
      <c r="R53" s="17"/>
      <c r="S53" s="20"/>
      <c r="T53" s="20"/>
      <c r="U53" s="17" t="s">
        <v>947</v>
      </c>
    </row>
    <row r="54" spans="1:21" ht="36" customHeight="1">
      <c r="A54" s="23">
        <v>70</v>
      </c>
      <c r="B54" s="3" t="s">
        <v>284</v>
      </c>
      <c r="C54" s="3" t="s">
        <v>285</v>
      </c>
      <c r="D54" s="3" t="s">
        <v>946</v>
      </c>
      <c r="E54" s="3"/>
      <c r="F54" s="3"/>
      <c r="G54" s="3"/>
      <c r="H54" s="3"/>
      <c r="I54" s="3"/>
      <c r="J54" s="3"/>
      <c r="K54" s="3"/>
      <c r="L54" s="3"/>
      <c r="M54" s="3"/>
      <c r="N54" s="3"/>
      <c r="O54" s="3"/>
      <c r="P54" s="3"/>
      <c r="Q54" s="3"/>
      <c r="R54" s="3"/>
      <c r="S54" s="19"/>
      <c r="T54" s="19"/>
      <c r="U54" s="3" t="s">
        <v>947</v>
      </c>
    </row>
    <row r="55" spans="1:21" ht="36" customHeight="1">
      <c r="A55" s="24">
        <v>71</v>
      </c>
      <c r="B55" s="17" t="s">
        <v>288</v>
      </c>
      <c r="C55" s="17" t="s">
        <v>229</v>
      </c>
      <c r="D55" s="17" t="s">
        <v>946</v>
      </c>
      <c r="E55" s="17"/>
      <c r="F55" s="17"/>
      <c r="G55" s="17"/>
      <c r="H55" s="17"/>
      <c r="I55" s="17"/>
      <c r="J55" s="17"/>
      <c r="K55" s="17"/>
      <c r="L55" s="17"/>
      <c r="M55" s="17"/>
      <c r="N55" s="17"/>
      <c r="O55" s="17"/>
      <c r="P55" s="17"/>
      <c r="Q55" s="17"/>
      <c r="R55" s="17"/>
      <c r="S55" s="20"/>
      <c r="T55" s="20"/>
      <c r="U55" s="17" t="s">
        <v>947</v>
      </c>
    </row>
    <row r="56" spans="1:21" ht="36" customHeight="1">
      <c r="A56" s="23">
        <v>72</v>
      </c>
      <c r="B56" s="3" t="s">
        <v>292</v>
      </c>
      <c r="C56" s="3" t="s">
        <v>293</v>
      </c>
      <c r="D56" s="3" t="s">
        <v>946</v>
      </c>
      <c r="E56" s="3"/>
      <c r="F56" s="3"/>
      <c r="G56" s="3"/>
      <c r="H56" s="3"/>
      <c r="I56" s="3"/>
      <c r="J56" s="3"/>
      <c r="K56" s="3"/>
      <c r="L56" s="3"/>
      <c r="M56" s="3"/>
      <c r="N56" s="3"/>
      <c r="O56" s="3"/>
      <c r="P56" s="3"/>
      <c r="Q56" s="3"/>
      <c r="R56" s="3"/>
      <c r="S56" s="19"/>
      <c r="T56" s="19"/>
      <c r="U56" s="3" t="s">
        <v>947</v>
      </c>
    </row>
    <row r="57" spans="1:21" ht="36" customHeight="1">
      <c r="A57" s="24">
        <v>73</v>
      </c>
      <c r="B57" s="17" t="s">
        <v>297</v>
      </c>
      <c r="C57" s="17" t="s">
        <v>233</v>
      </c>
      <c r="D57" s="17" t="s">
        <v>946</v>
      </c>
      <c r="E57" s="17"/>
      <c r="F57" s="17"/>
      <c r="G57" s="17"/>
      <c r="H57" s="17"/>
      <c r="I57" s="17"/>
      <c r="J57" s="17"/>
      <c r="K57" s="17"/>
      <c r="L57" s="17"/>
      <c r="M57" s="17"/>
      <c r="N57" s="17"/>
      <c r="O57" s="17"/>
      <c r="P57" s="17"/>
      <c r="Q57" s="17"/>
      <c r="R57" s="17"/>
      <c r="S57" s="20"/>
      <c r="T57" s="20"/>
      <c r="U57" s="17" t="s">
        <v>947</v>
      </c>
    </row>
    <row r="58" spans="1:21" ht="36" customHeight="1">
      <c r="A58" s="23">
        <v>74</v>
      </c>
      <c r="B58" s="3" t="s">
        <v>301</v>
      </c>
      <c r="C58" s="3" t="s">
        <v>104</v>
      </c>
      <c r="D58" s="3" t="s">
        <v>946</v>
      </c>
      <c r="E58" s="3"/>
      <c r="F58" s="3"/>
      <c r="G58" s="3"/>
      <c r="H58" s="3"/>
      <c r="I58" s="3"/>
      <c r="J58" s="3"/>
      <c r="K58" s="3"/>
      <c r="L58" s="3"/>
      <c r="M58" s="3"/>
      <c r="N58" s="3"/>
      <c r="O58" s="3"/>
      <c r="P58" s="3"/>
      <c r="Q58" s="3"/>
      <c r="R58" s="3"/>
      <c r="S58" s="19"/>
      <c r="T58" s="19"/>
      <c r="U58" s="3" t="s">
        <v>947</v>
      </c>
    </row>
    <row r="59" spans="1:21" ht="36" customHeight="1">
      <c r="A59" s="24">
        <v>76</v>
      </c>
      <c r="B59" s="17" t="s">
        <v>304</v>
      </c>
      <c r="C59" s="17" t="s">
        <v>129</v>
      </c>
      <c r="D59" s="17" t="s">
        <v>946</v>
      </c>
      <c r="E59" s="17"/>
      <c r="F59" s="17"/>
      <c r="G59" s="17"/>
      <c r="H59" s="17"/>
      <c r="I59" s="17"/>
      <c r="J59" s="17"/>
      <c r="K59" s="17"/>
      <c r="L59" s="17"/>
      <c r="M59" s="17"/>
      <c r="N59" s="17"/>
      <c r="O59" s="17"/>
      <c r="P59" s="17"/>
      <c r="Q59" s="17"/>
      <c r="R59" s="17"/>
      <c r="S59" s="20"/>
      <c r="T59" s="20"/>
      <c r="U59" s="17" t="s">
        <v>947</v>
      </c>
    </row>
    <row r="60" spans="1:21" ht="36" customHeight="1">
      <c r="A60" s="23">
        <v>77</v>
      </c>
      <c r="B60" s="3" t="s">
        <v>306</v>
      </c>
      <c r="C60" s="3" t="s">
        <v>129</v>
      </c>
      <c r="D60" s="3" t="s">
        <v>946</v>
      </c>
      <c r="E60" s="3"/>
      <c r="F60" s="3"/>
      <c r="G60" s="3"/>
      <c r="H60" s="3"/>
      <c r="I60" s="3"/>
      <c r="J60" s="3"/>
      <c r="K60" s="3"/>
      <c r="L60" s="3"/>
      <c r="M60" s="3"/>
      <c r="N60" s="3"/>
      <c r="O60" s="3"/>
      <c r="P60" s="3"/>
      <c r="Q60" s="3"/>
      <c r="R60" s="3"/>
      <c r="S60" s="19"/>
      <c r="T60" s="19"/>
      <c r="U60" s="3" t="s">
        <v>947</v>
      </c>
    </row>
    <row r="61" spans="1:21" ht="36" customHeight="1">
      <c r="A61" s="24">
        <v>78</v>
      </c>
      <c r="B61" s="17" t="s">
        <v>310</v>
      </c>
      <c r="C61" s="17" t="s">
        <v>109</v>
      </c>
      <c r="D61" s="17" t="s">
        <v>946</v>
      </c>
      <c r="E61" s="17"/>
      <c r="F61" s="17"/>
      <c r="G61" s="17"/>
      <c r="H61" s="17"/>
      <c r="I61" s="17"/>
      <c r="J61" s="17"/>
      <c r="K61" s="17"/>
      <c r="L61" s="17"/>
      <c r="M61" s="17"/>
      <c r="N61" s="17"/>
      <c r="O61" s="17"/>
      <c r="P61" s="17"/>
      <c r="Q61" s="17"/>
      <c r="R61" s="17"/>
      <c r="S61" s="20"/>
      <c r="T61" s="20"/>
      <c r="U61" s="17" t="s">
        <v>947</v>
      </c>
    </row>
    <row r="62" spans="1:21" ht="36" customHeight="1">
      <c r="A62" s="23">
        <v>79</v>
      </c>
      <c r="B62" s="3" t="s">
        <v>313</v>
      </c>
      <c r="C62" s="3" t="s">
        <v>257</v>
      </c>
      <c r="D62" s="3" t="s">
        <v>946</v>
      </c>
      <c r="E62" s="3"/>
      <c r="F62" s="3"/>
      <c r="G62" s="3"/>
      <c r="H62" s="3"/>
      <c r="I62" s="3"/>
      <c r="J62" s="3"/>
      <c r="K62" s="3"/>
      <c r="L62" s="3"/>
      <c r="M62" s="3"/>
      <c r="N62" s="3"/>
      <c r="O62" s="3"/>
      <c r="P62" s="3"/>
      <c r="Q62" s="3"/>
      <c r="R62" s="3"/>
      <c r="S62" s="19"/>
      <c r="T62" s="19"/>
      <c r="U62" s="3" t="s">
        <v>947</v>
      </c>
    </row>
    <row r="63" spans="1:21" ht="36" customHeight="1">
      <c r="A63" s="24">
        <v>80</v>
      </c>
      <c r="B63" s="17" t="s">
        <v>315</v>
      </c>
      <c r="C63" s="17" t="s">
        <v>316</v>
      </c>
      <c r="D63" s="17" t="s">
        <v>946</v>
      </c>
      <c r="E63" s="17"/>
      <c r="F63" s="17"/>
      <c r="G63" s="17"/>
      <c r="H63" s="17"/>
      <c r="I63" s="17"/>
      <c r="J63" s="17"/>
      <c r="K63" s="17"/>
      <c r="L63" s="17"/>
      <c r="M63" s="17"/>
      <c r="N63" s="17"/>
      <c r="O63" s="17"/>
      <c r="P63" s="17"/>
      <c r="Q63" s="17"/>
      <c r="R63" s="17"/>
      <c r="S63" s="20"/>
      <c r="T63" s="20"/>
      <c r="U63" s="17" t="s">
        <v>947</v>
      </c>
    </row>
    <row r="64" spans="1:21" ht="36" customHeight="1">
      <c r="A64" s="25">
        <v>81</v>
      </c>
      <c r="B64" s="4" t="s">
        <v>318</v>
      </c>
      <c r="C64" s="4" t="s">
        <v>150</v>
      </c>
      <c r="D64" s="4" t="s">
        <v>946</v>
      </c>
      <c r="E64" s="4"/>
      <c r="F64" s="4"/>
      <c r="G64" s="4"/>
      <c r="H64" s="4"/>
      <c r="I64" s="4"/>
      <c r="J64" s="4"/>
      <c r="K64" s="4"/>
      <c r="L64" s="4"/>
      <c r="M64" s="4"/>
      <c r="N64" s="4"/>
      <c r="O64" s="4"/>
      <c r="P64" s="4"/>
      <c r="Q64" s="4"/>
      <c r="R64" s="4"/>
      <c r="S64" s="21"/>
      <c r="T64" s="21"/>
      <c r="U64" s="4" t="s">
        <v>947</v>
      </c>
    </row>
  </sheetData>
  <mergeCells count="2">
    <mergeCell ref="A1:U1"/>
    <mergeCell ref="A2:U2"/>
  </mergeCells>
  <phoneticPr fontId="8"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64"/>
  <sheetViews>
    <sheetView showGridLines="0" tabSelected="1" topLeftCell="J25" workbookViewId="0">
      <selection activeCell="M29" sqref="M29"/>
    </sheetView>
  </sheetViews>
  <sheetFormatPr defaultRowHeight="13.5"/>
  <cols>
    <col min="1" max="1" width="8" customWidth="1"/>
    <col min="2" max="2" width="28" customWidth="1"/>
    <col min="3" max="3" width="16" customWidth="1"/>
    <col min="4" max="4" width="38" customWidth="1"/>
    <col min="5" max="5" width="40" customWidth="1"/>
    <col min="6" max="6" width="45" customWidth="1"/>
    <col min="7" max="7" width="22" customWidth="1"/>
    <col min="8" max="10" width="40" customWidth="1"/>
    <col min="11" max="11" width="52" customWidth="1"/>
    <col min="12" max="12" width="45" customWidth="1"/>
    <col min="13" max="13" width="40" customWidth="1"/>
    <col min="14" max="14" width="16" customWidth="1"/>
    <col min="15" max="15" width="45" customWidth="1"/>
    <col min="16" max="17" width="50" customWidth="1"/>
    <col min="18" max="18" width="38" customWidth="1"/>
    <col min="19" max="19" width="55" customWidth="1"/>
  </cols>
  <sheetData>
    <row r="1" spans="1:19" ht="28.05" customHeight="1">
      <c r="A1" s="31" t="s">
        <v>948</v>
      </c>
      <c r="B1" s="31"/>
      <c r="C1" s="31"/>
      <c r="D1" s="31"/>
      <c r="E1" s="31"/>
      <c r="F1" s="31"/>
      <c r="G1" s="31"/>
      <c r="H1" s="31"/>
      <c r="I1" s="31"/>
      <c r="J1" s="31"/>
      <c r="K1" s="31"/>
      <c r="L1" s="31"/>
      <c r="M1" s="31"/>
      <c r="N1" s="31"/>
      <c r="O1" s="31"/>
      <c r="P1" s="31"/>
      <c r="Q1" s="31"/>
      <c r="R1" s="31"/>
      <c r="S1" s="31"/>
    </row>
    <row r="2" spans="1:19" ht="34.049999999999997" customHeight="1">
      <c r="A2" s="32" t="s">
        <v>949</v>
      </c>
      <c r="B2" s="32"/>
      <c r="C2" s="32"/>
      <c r="D2" s="32"/>
      <c r="E2" s="32"/>
      <c r="F2" s="32"/>
      <c r="G2" s="32"/>
      <c r="H2" s="32"/>
      <c r="I2" s="32"/>
      <c r="J2" s="32"/>
      <c r="K2" s="32"/>
      <c r="L2" s="32"/>
      <c r="M2" s="32"/>
      <c r="N2" s="32"/>
      <c r="O2" s="32"/>
      <c r="P2" s="32"/>
      <c r="Q2" s="32"/>
      <c r="R2" s="32"/>
      <c r="S2" s="32"/>
    </row>
    <row r="4" spans="1:19" ht="38" customHeight="1">
      <c r="A4" s="13" t="s">
        <v>87</v>
      </c>
      <c r="B4" s="14" t="s">
        <v>88</v>
      </c>
      <c r="C4" s="14" t="s">
        <v>89</v>
      </c>
      <c r="D4" s="14" t="s">
        <v>92</v>
      </c>
      <c r="E4" s="14" t="s">
        <v>950</v>
      </c>
      <c r="F4" s="14" t="s">
        <v>951</v>
      </c>
      <c r="G4" s="14" t="s">
        <v>952</v>
      </c>
      <c r="H4" s="14" t="s">
        <v>953</v>
      </c>
      <c r="I4" s="14" t="s">
        <v>1501</v>
      </c>
      <c r="J4" s="14" t="s">
        <v>1502</v>
      </c>
      <c r="K4" s="14" t="s">
        <v>954</v>
      </c>
      <c r="L4" s="14" t="s">
        <v>956</v>
      </c>
      <c r="M4" s="14" t="s">
        <v>957</v>
      </c>
      <c r="N4" s="14" t="s">
        <v>958</v>
      </c>
      <c r="O4" s="14" t="s">
        <v>334</v>
      </c>
      <c r="P4" s="14" t="s">
        <v>959</v>
      </c>
      <c r="Q4" s="14" t="s">
        <v>960</v>
      </c>
      <c r="R4" s="15" t="s">
        <v>961</v>
      </c>
      <c r="S4" t="s">
        <v>1595</v>
      </c>
    </row>
    <row r="5" spans="1:19" ht="54" customHeight="1">
      <c r="A5" s="22">
        <v>1</v>
      </c>
      <c r="B5" s="16" t="s">
        <v>97</v>
      </c>
      <c r="C5" s="16" t="s">
        <v>98</v>
      </c>
      <c r="D5" s="16" t="s">
        <v>100</v>
      </c>
      <c r="E5" s="16" t="s">
        <v>962</v>
      </c>
      <c r="F5" s="16" t="s">
        <v>1503</v>
      </c>
      <c r="G5" s="16" t="s">
        <v>963</v>
      </c>
      <c r="H5" s="16" t="s">
        <v>1504</v>
      </c>
      <c r="I5" s="16" t="s">
        <v>1506</v>
      </c>
      <c r="J5" s="16" t="s">
        <v>1507</v>
      </c>
      <c r="K5" s="16" t="s">
        <v>964</v>
      </c>
      <c r="L5" s="16" t="s">
        <v>965</v>
      </c>
      <c r="M5" s="16" t="s">
        <v>966</v>
      </c>
      <c r="N5" s="16" t="s">
        <v>1508</v>
      </c>
      <c r="O5" s="33" t="s">
        <v>1495</v>
      </c>
      <c r="P5" s="18" t="s">
        <v>967</v>
      </c>
      <c r="Q5" s="16" t="s">
        <v>968</v>
      </c>
      <c r="R5" s="16" t="s">
        <v>969</v>
      </c>
    </row>
    <row r="6" spans="1:19" ht="54" customHeight="1">
      <c r="A6" s="23">
        <v>2</v>
      </c>
      <c r="B6" s="3" t="s">
        <v>103</v>
      </c>
      <c r="C6" s="3" t="s">
        <v>104</v>
      </c>
      <c r="D6" s="3" t="s">
        <v>106</v>
      </c>
      <c r="E6" s="3" t="s">
        <v>970</v>
      </c>
      <c r="F6" s="3" t="s">
        <v>1511</v>
      </c>
      <c r="G6" s="3" t="s">
        <v>963</v>
      </c>
      <c r="H6" s="3" t="s">
        <v>1509</v>
      </c>
      <c r="I6" s="36" t="s">
        <v>1506</v>
      </c>
      <c r="J6" s="3" t="s">
        <v>1514</v>
      </c>
      <c r="K6" s="3" t="s">
        <v>1510</v>
      </c>
      <c r="L6" s="3" t="s">
        <v>965</v>
      </c>
      <c r="M6" s="3" t="s">
        <v>966</v>
      </c>
      <c r="N6" s="3" t="s">
        <v>965</v>
      </c>
      <c r="O6" s="34" t="s">
        <v>1496</v>
      </c>
      <c r="P6" s="19" t="s">
        <v>971</v>
      </c>
      <c r="Q6" s="3" t="s">
        <v>972</v>
      </c>
      <c r="R6" s="3" t="s">
        <v>969</v>
      </c>
    </row>
    <row r="7" spans="1:19" ht="54" customHeight="1">
      <c r="A7" s="24">
        <v>3</v>
      </c>
      <c r="B7" s="17" t="s">
        <v>108</v>
      </c>
      <c r="C7" s="17" t="s">
        <v>109</v>
      </c>
      <c r="D7" s="17" t="s">
        <v>111</v>
      </c>
      <c r="E7" s="17" t="s">
        <v>973</v>
      </c>
      <c r="F7" s="17" t="s">
        <v>1515</v>
      </c>
      <c r="G7" s="17" t="s">
        <v>1517</v>
      </c>
      <c r="H7" s="17" t="s">
        <v>974</v>
      </c>
      <c r="I7" s="17" t="s">
        <v>1505</v>
      </c>
      <c r="J7" s="17" t="s">
        <v>1512</v>
      </c>
      <c r="K7" s="17" t="s">
        <v>1513</v>
      </c>
      <c r="L7" s="17" t="s">
        <v>975</v>
      </c>
      <c r="M7" s="17" t="s">
        <v>965</v>
      </c>
      <c r="N7" s="17" t="s">
        <v>1516</v>
      </c>
      <c r="O7" s="35" t="s">
        <v>1497</v>
      </c>
      <c r="P7" s="20" t="s">
        <v>976</v>
      </c>
      <c r="Q7" s="17" t="s">
        <v>977</v>
      </c>
      <c r="R7" s="17" t="s">
        <v>969</v>
      </c>
    </row>
    <row r="8" spans="1:19" ht="54" customHeight="1">
      <c r="A8" s="23">
        <v>4</v>
      </c>
      <c r="B8" s="3" t="s">
        <v>113</v>
      </c>
      <c r="C8" s="3" t="s">
        <v>109</v>
      </c>
      <c r="D8" s="3" t="s">
        <v>115</v>
      </c>
      <c r="E8" s="3" t="s">
        <v>1518</v>
      </c>
      <c r="F8" s="3" t="s">
        <v>1515</v>
      </c>
      <c r="G8" s="3" t="s">
        <v>1517</v>
      </c>
      <c r="H8" s="3" t="s">
        <v>1519</v>
      </c>
      <c r="I8" s="3" t="s">
        <v>1505</v>
      </c>
      <c r="J8" s="3" t="s">
        <v>1520</v>
      </c>
      <c r="K8" s="3" t="s">
        <v>978</v>
      </c>
      <c r="L8" s="3" t="s">
        <v>979</v>
      </c>
      <c r="M8" s="3" t="s">
        <v>965</v>
      </c>
      <c r="N8" s="3" t="s">
        <v>980</v>
      </c>
      <c r="O8" s="34" t="s">
        <v>1498</v>
      </c>
      <c r="P8" s="19" t="s">
        <v>981</v>
      </c>
      <c r="Q8" s="3" t="s">
        <v>982</v>
      </c>
      <c r="R8" s="3" t="s">
        <v>969</v>
      </c>
    </row>
    <row r="9" spans="1:19" ht="54" customHeight="1">
      <c r="A9" s="24">
        <v>5</v>
      </c>
      <c r="B9" s="17" t="s">
        <v>117</v>
      </c>
      <c r="C9" s="17" t="s">
        <v>104</v>
      </c>
      <c r="D9" s="17" t="s">
        <v>119</v>
      </c>
      <c r="E9" s="17" t="s">
        <v>1525</v>
      </c>
      <c r="F9" s="17" t="s">
        <v>1511</v>
      </c>
      <c r="G9" s="17" t="s">
        <v>1517</v>
      </c>
      <c r="H9" s="17" t="s">
        <v>1523</v>
      </c>
      <c r="I9" s="17" t="s">
        <v>1505</v>
      </c>
      <c r="J9" s="17" t="s">
        <v>1524</v>
      </c>
      <c r="K9" s="17" t="s">
        <v>1521</v>
      </c>
      <c r="L9" s="17" t="s">
        <v>965</v>
      </c>
      <c r="M9" s="17" t="s">
        <v>965</v>
      </c>
      <c r="N9" s="17" t="s">
        <v>1522</v>
      </c>
      <c r="O9" s="35" t="s">
        <v>1499</v>
      </c>
      <c r="P9" s="20" t="s">
        <v>983</v>
      </c>
      <c r="Q9" s="17" t="s">
        <v>984</v>
      </c>
      <c r="R9" s="17" t="s">
        <v>969</v>
      </c>
    </row>
    <row r="10" spans="1:19" ht="54" customHeight="1">
      <c r="A10" s="23">
        <v>6</v>
      </c>
      <c r="B10" s="3" t="s">
        <v>121</v>
      </c>
      <c r="C10" s="3" t="s">
        <v>109</v>
      </c>
      <c r="D10" s="3" t="s">
        <v>123</v>
      </c>
      <c r="E10" s="3" t="s">
        <v>1534</v>
      </c>
      <c r="F10" s="3" t="s">
        <v>1531</v>
      </c>
      <c r="G10" s="3" t="s">
        <v>1517</v>
      </c>
      <c r="H10" s="3" t="s">
        <v>1532</v>
      </c>
      <c r="I10" s="3" t="s">
        <v>1505</v>
      </c>
      <c r="J10" s="3" t="s">
        <v>1533</v>
      </c>
      <c r="K10" s="3" t="s">
        <v>1535</v>
      </c>
      <c r="L10" s="3" t="s">
        <v>1536</v>
      </c>
      <c r="M10" s="3" t="s">
        <v>965</v>
      </c>
      <c r="N10" s="3" t="s">
        <v>985</v>
      </c>
      <c r="O10" s="34" t="s">
        <v>1526</v>
      </c>
      <c r="P10" s="19"/>
      <c r="Q10" s="3" t="s">
        <v>986</v>
      </c>
      <c r="R10" s="3" t="s">
        <v>969</v>
      </c>
    </row>
    <row r="11" spans="1:19" ht="54" customHeight="1">
      <c r="A11" s="24">
        <v>7</v>
      </c>
      <c r="B11" s="17" t="s">
        <v>125</v>
      </c>
      <c r="C11" s="17" t="s">
        <v>109</v>
      </c>
      <c r="D11" s="17" t="s">
        <v>126</v>
      </c>
      <c r="E11" s="17" t="s">
        <v>1541</v>
      </c>
      <c r="F11" s="17" t="s">
        <v>1511</v>
      </c>
      <c r="G11" s="17" t="s">
        <v>1517</v>
      </c>
      <c r="H11" s="17" t="s">
        <v>1540</v>
      </c>
      <c r="I11" s="17" t="s">
        <v>1505</v>
      </c>
      <c r="J11" s="17" t="s">
        <v>1546</v>
      </c>
      <c r="K11" s="17" t="s">
        <v>1537</v>
      </c>
      <c r="L11" s="17" t="s">
        <v>1538</v>
      </c>
      <c r="M11" s="17" t="s">
        <v>965</v>
      </c>
      <c r="N11" s="17" t="s">
        <v>1539</v>
      </c>
      <c r="O11" s="35" t="s">
        <v>1527</v>
      </c>
      <c r="P11" s="20" t="s">
        <v>987</v>
      </c>
      <c r="Q11" s="17" t="s">
        <v>986</v>
      </c>
      <c r="R11" s="17" t="s">
        <v>969</v>
      </c>
    </row>
    <row r="12" spans="1:19" ht="54" customHeight="1">
      <c r="A12" s="23">
        <v>8</v>
      </c>
      <c r="B12" s="3" t="s">
        <v>128</v>
      </c>
      <c r="C12" s="3" t="s">
        <v>129</v>
      </c>
      <c r="D12" s="3" t="s">
        <v>130</v>
      </c>
      <c r="E12" s="3" t="s">
        <v>1548</v>
      </c>
      <c r="F12" s="3" t="s">
        <v>1542</v>
      </c>
      <c r="G12" s="3" t="s">
        <v>1543</v>
      </c>
      <c r="H12" s="3" t="s">
        <v>1545</v>
      </c>
      <c r="I12" s="3" t="s">
        <v>1505</v>
      </c>
      <c r="J12" s="3" t="s">
        <v>1547</v>
      </c>
      <c r="K12" s="3" t="s">
        <v>1544</v>
      </c>
      <c r="L12" s="3" t="s">
        <v>965</v>
      </c>
      <c r="M12" s="3" t="s">
        <v>965</v>
      </c>
      <c r="N12" s="3" t="s">
        <v>988</v>
      </c>
      <c r="O12" s="34" t="s">
        <v>1528</v>
      </c>
      <c r="P12" s="19"/>
      <c r="Q12" s="3" t="s">
        <v>989</v>
      </c>
      <c r="R12" s="3" t="s">
        <v>969</v>
      </c>
    </row>
    <row r="13" spans="1:19" ht="54" customHeight="1">
      <c r="A13" s="24">
        <v>9</v>
      </c>
      <c r="B13" s="17" t="s">
        <v>133</v>
      </c>
      <c r="C13" s="17" t="s">
        <v>104</v>
      </c>
      <c r="D13" s="17" t="s">
        <v>135</v>
      </c>
      <c r="E13" s="17" t="s">
        <v>965</v>
      </c>
      <c r="F13" s="17" t="s">
        <v>1500</v>
      </c>
      <c r="G13" s="17" t="s">
        <v>1517</v>
      </c>
      <c r="H13" s="17" t="s">
        <v>1550</v>
      </c>
      <c r="I13" s="16" t="s">
        <v>1506</v>
      </c>
      <c r="J13" s="17" t="s">
        <v>1551</v>
      </c>
      <c r="K13" s="17" t="s">
        <v>1552</v>
      </c>
      <c r="L13" s="17" t="s">
        <v>965</v>
      </c>
      <c r="M13" s="17" t="s">
        <v>1549</v>
      </c>
      <c r="N13" s="17" t="s">
        <v>965</v>
      </c>
      <c r="O13" s="35" t="s">
        <v>1529</v>
      </c>
      <c r="P13" s="20"/>
      <c r="Q13" s="17" t="s">
        <v>990</v>
      </c>
      <c r="R13" s="17" t="s">
        <v>969</v>
      </c>
    </row>
    <row r="14" spans="1:19" ht="54" customHeight="1">
      <c r="A14" s="23">
        <v>10</v>
      </c>
      <c r="B14" s="3" t="s">
        <v>137</v>
      </c>
      <c r="C14" s="3" t="s">
        <v>109</v>
      </c>
      <c r="D14" s="3" t="s">
        <v>139</v>
      </c>
      <c r="E14" s="3" t="s">
        <v>1557</v>
      </c>
      <c r="F14" s="3" t="s">
        <v>1553</v>
      </c>
      <c r="G14" s="3" t="s">
        <v>1517</v>
      </c>
      <c r="H14" s="3" t="s">
        <v>1554</v>
      </c>
      <c r="I14" s="36" t="s">
        <v>1506</v>
      </c>
      <c r="J14" s="3" t="s">
        <v>1555</v>
      </c>
      <c r="K14" s="3" t="s">
        <v>1556</v>
      </c>
      <c r="L14" s="3" t="s">
        <v>991</v>
      </c>
      <c r="M14" s="3" t="s">
        <v>965</v>
      </c>
      <c r="N14" s="3" t="s">
        <v>965</v>
      </c>
      <c r="O14" s="34" t="s">
        <v>1530</v>
      </c>
      <c r="P14" s="19" t="s">
        <v>992</v>
      </c>
      <c r="Q14" s="3" t="s">
        <v>993</v>
      </c>
      <c r="R14" s="3" t="s">
        <v>969</v>
      </c>
    </row>
    <row r="15" spans="1:19" ht="54" customHeight="1">
      <c r="A15" s="24">
        <v>11</v>
      </c>
      <c r="B15" s="17" t="s">
        <v>142</v>
      </c>
      <c r="C15" s="17" t="s">
        <v>143</v>
      </c>
      <c r="D15" s="17" t="s">
        <v>144</v>
      </c>
      <c r="E15" s="17" t="s">
        <v>965</v>
      </c>
      <c r="F15" s="17" t="s">
        <v>994</v>
      </c>
      <c r="G15" s="17" t="s">
        <v>965</v>
      </c>
      <c r="H15" s="17" t="s">
        <v>965</v>
      </c>
      <c r="I15" s="17" t="s">
        <v>1505</v>
      </c>
      <c r="J15" s="17"/>
      <c r="K15" s="17" t="s">
        <v>1563</v>
      </c>
      <c r="L15" s="17" t="s">
        <v>965</v>
      </c>
      <c r="M15" s="17" t="s">
        <v>1549</v>
      </c>
      <c r="N15" s="17" t="s">
        <v>965</v>
      </c>
      <c r="O15" s="35" t="s">
        <v>1558</v>
      </c>
      <c r="P15" s="20"/>
      <c r="Q15" s="17" t="s">
        <v>990</v>
      </c>
      <c r="R15" s="17" t="s">
        <v>969</v>
      </c>
    </row>
    <row r="16" spans="1:19" ht="54" customHeight="1">
      <c r="A16" s="23">
        <v>12</v>
      </c>
      <c r="B16" s="3" t="s">
        <v>146</v>
      </c>
      <c r="C16" s="3" t="s">
        <v>129</v>
      </c>
      <c r="D16" s="3" t="s">
        <v>147</v>
      </c>
      <c r="E16" s="3" t="s">
        <v>1564</v>
      </c>
      <c r="F16" s="3" t="s">
        <v>995</v>
      </c>
      <c r="G16" s="3" t="s">
        <v>996</v>
      </c>
      <c r="H16" s="3" t="s">
        <v>1566</v>
      </c>
      <c r="I16" s="3" t="s">
        <v>1505</v>
      </c>
      <c r="J16" s="3" t="s">
        <v>1569</v>
      </c>
      <c r="K16" s="3" t="s">
        <v>997</v>
      </c>
      <c r="L16" s="3" t="s">
        <v>1568</v>
      </c>
      <c r="M16" s="3" t="s">
        <v>965</v>
      </c>
      <c r="N16" s="3" t="s">
        <v>1567</v>
      </c>
      <c r="O16" s="34" t="s">
        <v>1559</v>
      </c>
      <c r="P16" s="19" t="s">
        <v>361</v>
      </c>
      <c r="Q16" s="3" t="s">
        <v>998</v>
      </c>
      <c r="R16" s="3" t="s">
        <v>999</v>
      </c>
    </row>
    <row r="17" spans="1:19" ht="54" customHeight="1">
      <c r="A17" s="24">
        <v>13</v>
      </c>
      <c r="B17" s="17" t="s">
        <v>149</v>
      </c>
      <c r="C17" s="17" t="s">
        <v>150</v>
      </c>
      <c r="D17" s="17" t="s">
        <v>151</v>
      </c>
      <c r="E17" s="17" t="s">
        <v>1572</v>
      </c>
      <c r="F17" s="17" t="s">
        <v>1553</v>
      </c>
      <c r="G17" s="17" t="s">
        <v>1517</v>
      </c>
      <c r="H17" s="17" t="s">
        <v>1570</v>
      </c>
      <c r="I17" s="17" t="s">
        <v>1505</v>
      </c>
      <c r="J17" s="17" t="s">
        <v>1578</v>
      </c>
      <c r="K17" s="17" t="s">
        <v>1565</v>
      </c>
      <c r="L17" s="17" t="s">
        <v>1571</v>
      </c>
      <c r="M17" s="17" t="s">
        <v>965</v>
      </c>
      <c r="N17" s="17" t="s">
        <v>1573</v>
      </c>
      <c r="O17" s="35" t="s">
        <v>1560</v>
      </c>
      <c r="P17" s="20" t="s">
        <v>1000</v>
      </c>
      <c r="Q17" s="17" t="s">
        <v>1001</v>
      </c>
      <c r="R17" s="17" t="s">
        <v>969</v>
      </c>
    </row>
    <row r="18" spans="1:19" ht="54" customHeight="1">
      <c r="A18" s="23">
        <v>14</v>
      </c>
      <c r="B18" s="3" t="s">
        <v>153</v>
      </c>
      <c r="C18" s="3" t="s">
        <v>150</v>
      </c>
      <c r="D18" s="3" t="s">
        <v>155</v>
      </c>
      <c r="E18" s="3" t="s">
        <v>1507</v>
      </c>
      <c r="F18" s="3" t="s">
        <v>965</v>
      </c>
      <c r="G18" s="3" t="s">
        <v>1002</v>
      </c>
      <c r="H18" s="3" t="s">
        <v>965</v>
      </c>
      <c r="I18" s="3" t="s">
        <v>1505</v>
      </c>
      <c r="J18" s="3"/>
      <c r="K18" s="3" t="s">
        <v>1574</v>
      </c>
      <c r="L18" s="3" t="s">
        <v>965</v>
      </c>
      <c r="M18" s="3" t="s">
        <v>965</v>
      </c>
      <c r="N18" s="3" t="s">
        <v>965</v>
      </c>
      <c r="O18" s="34" t="s">
        <v>1561</v>
      </c>
      <c r="P18" s="19" t="s">
        <v>1003</v>
      </c>
      <c r="Q18" s="3" t="s">
        <v>1004</v>
      </c>
      <c r="R18" s="3" t="s">
        <v>969</v>
      </c>
    </row>
    <row r="19" spans="1:19" ht="54" customHeight="1">
      <c r="A19" s="24">
        <v>15</v>
      </c>
      <c r="B19" s="17" t="s">
        <v>157</v>
      </c>
      <c r="C19" s="17" t="s">
        <v>109</v>
      </c>
      <c r="D19" s="17" t="s">
        <v>159</v>
      </c>
      <c r="E19" s="17" t="s">
        <v>1575</v>
      </c>
      <c r="F19" s="17" t="s">
        <v>1005</v>
      </c>
      <c r="G19" s="17" t="s">
        <v>1517</v>
      </c>
      <c r="H19" s="17" t="s">
        <v>1576</v>
      </c>
      <c r="I19" s="17" t="s">
        <v>1505</v>
      </c>
      <c r="J19" s="17" t="s">
        <v>1577</v>
      </c>
      <c r="K19" s="17" t="s">
        <v>1006</v>
      </c>
      <c r="L19" s="17" t="s">
        <v>1007</v>
      </c>
      <c r="M19" s="17" t="s">
        <v>1549</v>
      </c>
      <c r="N19" s="17" t="s">
        <v>965</v>
      </c>
      <c r="O19" s="35" t="s">
        <v>1562</v>
      </c>
      <c r="P19" s="20"/>
      <c r="Q19" s="17" t="s">
        <v>1008</v>
      </c>
      <c r="R19" s="17" t="s">
        <v>969</v>
      </c>
    </row>
    <row r="20" spans="1:19" ht="54" customHeight="1">
      <c r="A20" s="23">
        <v>16</v>
      </c>
      <c r="B20" s="3" t="s">
        <v>161</v>
      </c>
      <c r="C20" s="3" t="s">
        <v>129</v>
      </c>
      <c r="D20" s="3" t="s">
        <v>163</v>
      </c>
      <c r="E20" s="3" t="s">
        <v>1588</v>
      </c>
      <c r="F20" s="3" t="s">
        <v>1584</v>
      </c>
      <c r="G20" s="3" t="s">
        <v>1517</v>
      </c>
      <c r="H20" s="3" t="s">
        <v>1587</v>
      </c>
      <c r="I20" s="3" t="s">
        <v>1505</v>
      </c>
      <c r="J20" s="3" t="s">
        <v>1586</v>
      </c>
      <c r="K20" s="3" t="s">
        <v>1585</v>
      </c>
      <c r="L20" s="3" t="s">
        <v>1589</v>
      </c>
      <c r="M20" s="3" t="s">
        <v>965</v>
      </c>
      <c r="N20" s="3" t="s">
        <v>965</v>
      </c>
      <c r="O20" s="34" t="s">
        <v>1579</v>
      </c>
      <c r="P20" s="19"/>
      <c r="Q20" s="3" t="s">
        <v>1009</v>
      </c>
      <c r="R20" s="3" t="s">
        <v>969</v>
      </c>
    </row>
    <row r="21" spans="1:19" ht="54" customHeight="1">
      <c r="A21" s="24">
        <v>17</v>
      </c>
      <c r="B21" s="17" t="s">
        <v>165</v>
      </c>
      <c r="C21" s="17" t="s">
        <v>129</v>
      </c>
      <c r="D21" s="17" t="s">
        <v>166</v>
      </c>
      <c r="E21" s="17" t="s">
        <v>1010</v>
      </c>
      <c r="F21" s="17" t="s">
        <v>1011</v>
      </c>
      <c r="G21" s="17" t="s">
        <v>1012</v>
      </c>
      <c r="H21" s="17" t="s">
        <v>1013</v>
      </c>
      <c r="I21" s="16" t="s">
        <v>1506</v>
      </c>
      <c r="J21" s="17"/>
      <c r="K21" s="17" t="s">
        <v>1014</v>
      </c>
      <c r="L21" s="17" t="s">
        <v>965</v>
      </c>
      <c r="M21" s="17" t="s">
        <v>965</v>
      </c>
      <c r="N21" s="17" t="s">
        <v>965</v>
      </c>
      <c r="O21" s="35" t="s">
        <v>1580</v>
      </c>
      <c r="P21" s="20" t="s">
        <v>1015</v>
      </c>
      <c r="Q21" s="17" t="s">
        <v>998</v>
      </c>
      <c r="R21" s="17" t="s">
        <v>999</v>
      </c>
      <c r="S21" t="s">
        <v>1590</v>
      </c>
    </row>
    <row r="22" spans="1:19" ht="54" customHeight="1">
      <c r="A22" s="23">
        <v>18</v>
      </c>
      <c r="B22" s="3" t="s">
        <v>168</v>
      </c>
      <c r="C22" s="3" t="s">
        <v>109</v>
      </c>
      <c r="D22" s="3" t="s">
        <v>169</v>
      </c>
      <c r="E22" s="3" t="s">
        <v>1591</v>
      </c>
      <c r="F22" s="3" t="s">
        <v>1016</v>
      </c>
      <c r="G22" s="3" t="s">
        <v>1517</v>
      </c>
      <c r="H22" s="3" t="s">
        <v>1592</v>
      </c>
      <c r="I22" s="36" t="s">
        <v>1506</v>
      </c>
      <c r="J22" s="3" t="s">
        <v>1593</v>
      </c>
      <c r="K22" s="3" t="s">
        <v>1594</v>
      </c>
      <c r="L22" s="3" t="s">
        <v>1017</v>
      </c>
      <c r="M22" s="3" t="s">
        <v>1549</v>
      </c>
      <c r="N22" s="3" t="s">
        <v>965</v>
      </c>
      <c r="O22" s="34" t="s">
        <v>1581</v>
      </c>
      <c r="P22" s="19"/>
      <c r="Q22" s="3" t="s">
        <v>1018</v>
      </c>
      <c r="R22" s="3" t="s">
        <v>969</v>
      </c>
    </row>
    <row r="23" spans="1:19" ht="54" customHeight="1">
      <c r="A23" s="24">
        <v>19</v>
      </c>
      <c r="B23" s="17" t="s">
        <v>171</v>
      </c>
      <c r="C23" s="17" t="s">
        <v>109</v>
      </c>
      <c r="D23" s="17" t="s">
        <v>173</v>
      </c>
      <c r="E23" s="17" t="s">
        <v>1598</v>
      </c>
      <c r="F23" s="17" t="s">
        <v>1597</v>
      </c>
      <c r="G23" s="17" t="s">
        <v>1517</v>
      </c>
      <c r="H23" s="17" t="s">
        <v>1596</v>
      </c>
      <c r="I23" s="17" t="s">
        <v>1505</v>
      </c>
      <c r="J23" s="17" t="s">
        <v>1599</v>
      </c>
      <c r="K23" s="17" t="s">
        <v>1019</v>
      </c>
      <c r="L23" s="17" t="s">
        <v>1020</v>
      </c>
      <c r="M23" s="17" t="s">
        <v>1549</v>
      </c>
      <c r="N23" s="17" t="s">
        <v>1600</v>
      </c>
      <c r="O23" s="35" t="s">
        <v>1582</v>
      </c>
      <c r="P23" s="20" t="s">
        <v>1021</v>
      </c>
      <c r="Q23" s="17" t="s">
        <v>1022</v>
      </c>
      <c r="R23" s="17" t="s">
        <v>969</v>
      </c>
    </row>
    <row r="24" spans="1:19" ht="54" customHeight="1">
      <c r="A24" s="23">
        <v>20</v>
      </c>
      <c r="B24" s="3" t="s">
        <v>175</v>
      </c>
      <c r="C24" s="3" t="s">
        <v>150</v>
      </c>
      <c r="D24" s="3" t="s">
        <v>177</v>
      </c>
      <c r="E24" s="3" t="s">
        <v>1023</v>
      </c>
      <c r="F24" s="3" t="s">
        <v>1024</v>
      </c>
      <c r="G24" s="3" t="s">
        <v>1025</v>
      </c>
      <c r="H24" s="3" t="s">
        <v>965</v>
      </c>
      <c r="I24" s="3" t="s">
        <v>1505</v>
      </c>
      <c r="J24" s="3"/>
      <c r="K24" s="3" t="s">
        <v>965</v>
      </c>
      <c r="L24" s="3" t="s">
        <v>965</v>
      </c>
      <c r="M24" s="3" t="s">
        <v>965</v>
      </c>
      <c r="N24" s="3" t="s">
        <v>965</v>
      </c>
      <c r="O24" s="34" t="s">
        <v>1583</v>
      </c>
      <c r="P24" s="19" t="s">
        <v>1026</v>
      </c>
      <c r="Q24" s="3" t="s">
        <v>1027</v>
      </c>
      <c r="R24" s="3" t="s">
        <v>969</v>
      </c>
      <c r="S24" t="s">
        <v>1590</v>
      </c>
    </row>
    <row r="25" spans="1:19" ht="54" customHeight="1">
      <c r="A25" s="24">
        <v>21</v>
      </c>
      <c r="B25" s="17" t="s">
        <v>179</v>
      </c>
      <c r="C25" s="17" t="s">
        <v>150</v>
      </c>
      <c r="D25" s="17" t="s">
        <v>181</v>
      </c>
      <c r="E25" s="17" t="s">
        <v>965</v>
      </c>
      <c r="F25" s="17" t="s">
        <v>965</v>
      </c>
      <c r="G25" s="17" t="s">
        <v>1028</v>
      </c>
      <c r="H25" s="17" t="s">
        <v>965</v>
      </c>
      <c r="I25" s="17" t="s">
        <v>1505</v>
      </c>
      <c r="J25" s="17"/>
      <c r="K25" s="17" t="s">
        <v>1029</v>
      </c>
      <c r="L25" s="17" t="s">
        <v>965</v>
      </c>
      <c r="M25" s="17" t="s">
        <v>965</v>
      </c>
      <c r="N25" s="17" t="s">
        <v>1606</v>
      </c>
      <c r="O25" s="35" t="s">
        <v>1601</v>
      </c>
      <c r="P25" s="20" t="s">
        <v>1030</v>
      </c>
      <c r="Q25" s="17" t="s">
        <v>1027</v>
      </c>
      <c r="R25" s="17" t="s">
        <v>969</v>
      </c>
      <c r="S25" t="s">
        <v>1607</v>
      </c>
    </row>
    <row r="26" spans="1:19" ht="54" customHeight="1">
      <c r="A26" s="23">
        <v>22</v>
      </c>
      <c r="B26" s="3" t="s">
        <v>183</v>
      </c>
      <c r="C26" s="3" t="s">
        <v>184</v>
      </c>
      <c r="D26" s="3" t="s">
        <v>185</v>
      </c>
      <c r="E26" s="37">
        <v>9493.92</v>
      </c>
      <c r="F26" s="3" t="s">
        <v>1500</v>
      </c>
      <c r="G26" s="3" t="s">
        <v>1517</v>
      </c>
      <c r="H26" s="3" t="s">
        <v>1610</v>
      </c>
      <c r="I26" s="3" t="s">
        <v>1505</v>
      </c>
      <c r="J26" s="3" t="s">
        <v>1609</v>
      </c>
      <c r="K26" s="3" t="s">
        <v>1608</v>
      </c>
      <c r="L26" s="3" t="s">
        <v>1031</v>
      </c>
      <c r="M26" s="3" t="s">
        <v>966</v>
      </c>
      <c r="N26" s="3" t="s">
        <v>965</v>
      </c>
      <c r="O26" s="34" t="s">
        <v>1602</v>
      </c>
      <c r="P26" s="19" t="s">
        <v>1032</v>
      </c>
      <c r="Q26" s="3" t="s">
        <v>977</v>
      </c>
      <c r="R26" s="3" t="s">
        <v>969</v>
      </c>
    </row>
    <row r="27" spans="1:19" ht="54" customHeight="1">
      <c r="A27" s="24">
        <v>23</v>
      </c>
      <c r="B27" s="17" t="s">
        <v>187</v>
      </c>
      <c r="C27" s="17" t="s">
        <v>188</v>
      </c>
      <c r="D27" s="17" t="s">
        <v>189</v>
      </c>
      <c r="E27" s="17" t="s">
        <v>1033</v>
      </c>
      <c r="F27" s="17" t="s">
        <v>1034</v>
      </c>
      <c r="G27" s="17" t="s">
        <v>1517</v>
      </c>
      <c r="H27" s="17" t="s">
        <v>1611</v>
      </c>
      <c r="I27" s="17" t="s">
        <v>1505</v>
      </c>
      <c r="J27" s="17"/>
      <c r="K27" s="17" t="s">
        <v>1035</v>
      </c>
      <c r="L27" s="17" t="s">
        <v>965</v>
      </c>
      <c r="M27" s="17" t="s">
        <v>1549</v>
      </c>
      <c r="N27" s="17" t="s">
        <v>965</v>
      </c>
      <c r="O27" s="35" t="s">
        <v>1603</v>
      </c>
      <c r="P27" s="20"/>
      <c r="Q27" s="17" t="s">
        <v>1036</v>
      </c>
      <c r="R27" s="17" t="s">
        <v>969</v>
      </c>
    </row>
    <row r="28" spans="1:19" ht="54" customHeight="1">
      <c r="A28" s="23">
        <v>24</v>
      </c>
      <c r="B28" s="3" t="s">
        <v>191</v>
      </c>
      <c r="C28" s="3" t="s">
        <v>109</v>
      </c>
      <c r="D28" s="3" t="s">
        <v>192</v>
      </c>
      <c r="E28" s="3" t="s">
        <v>1614</v>
      </c>
      <c r="F28" s="3" t="s">
        <v>1613</v>
      </c>
      <c r="G28" s="3" t="s">
        <v>1517</v>
      </c>
      <c r="H28" s="3" t="s">
        <v>1615</v>
      </c>
      <c r="I28" s="3" t="s">
        <v>1505</v>
      </c>
      <c r="J28" s="3" t="s">
        <v>1616</v>
      </c>
      <c r="K28" s="3" t="s">
        <v>1612</v>
      </c>
      <c r="L28" s="3" t="s">
        <v>1037</v>
      </c>
      <c r="M28" s="3" t="s">
        <v>1549</v>
      </c>
      <c r="N28" s="3" t="s">
        <v>965</v>
      </c>
      <c r="O28" s="34" t="s">
        <v>1604</v>
      </c>
      <c r="P28" s="19"/>
      <c r="Q28" s="3" t="s">
        <v>1036</v>
      </c>
      <c r="R28" s="3" t="s">
        <v>969</v>
      </c>
    </row>
    <row r="29" spans="1:19" ht="54" customHeight="1">
      <c r="A29" s="24">
        <v>25</v>
      </c>
      <c r="B29" s="17" t="s">
        <v>194</v>
      </c>
      <c r="C29" s="17" t="s">
        <v>109</v>
      </c>
      <c r="D29" s="17" t="s">
        <v>195</v>
      </c>
      <c r="E29" s="17" t="s">
        <v>1038</v>
      </c>
      <c r="F29" s="17" t="s">
        <v>1039</v>
      </c>
      <c r="G29" s="17" t="s">
        <v>1517</v>
      </c>
      <c r="H29" s="17" t="s">
        <v>1617</v>
      </c>
      <c r="I29" s="16" t="s">
        <v>1506</v>
      </c>
      <c r="J29" s="17" t="s">
        <v>1618</v>
      </c>
      <c r="K29" s="17" t="s">
        <v>1040</v>
      </c>
      <c r="L29" s="17" t="s">
        <v>1041</v>
      </c>
      <c r="M29" s="17" t="s">
        <v>965</v>
      </c>
      <c r="N29" s="17" t="s">
        <v>965</v>
      </c>
      <c r="O29" s="35" t="s">
        <v>1605</v>
      </c>
      <c r="P29" s="20"/>
      <c r="Q29" s="17" t="s">
        <v>1022</v>
      </c>
      <c r="R29" s="17" t="s">
        <v>969</v>
      </c>
    </row>
    <row r="30" spans="1:19" ht="54" customHeight="1">
      <c r="A30" s="23">
        <v>26</v>
      </c>
      <c r="B30" s="3" t="s">
        <v>197</v>
      </c>
      <c r="C30" s="3" t="s">
        <v>104</v>
      </c>
      <c r="D30" s="3" t="s">
        <v>198</v>
      </c>
      <c r="E30" s="3" t="s">
        <v>1042</v>
      </c>
      <c r="F30" s="3" t="s">
        <v>1043</v>
      </c>
      <c r="G30" s="3" t="s">
        <v>1044</v>
      </c>
      <c r="H30" s="3" t="s">
        <v>1045</v>
      </c>
      <c r="I30" s="36" t="s">
        <v>1506</v>
      </c>
      <c r="J30" s="3"/>
      <c r="K30" s="3" t="s">
        <v>965</v>
      </c>
      <c r="L30" s="3" t="s">
        <v>965</v>
      </c>
      <c r="M30" s="3" t="s">
        <v>965</v>
      </c>
      <c r="N30" s="3" t="s">
        <v>965</v>
      </c>
      <c r="O30" s="19" t="s">
        <v>380</v>
      </c>
      <c r="P30" s="19" t="s">
        <v>1046</v>
      </c>
      <c r="Q30" s="3" t="s">
        <v>1004</v>
      </c>
      <c r="R30" s="3" t="s">
        <v>969</v>
      </c>
    </row>
    <row r="31" spans="1:19" ht="54" customHeight="1">
      <c r="A31" s="24">
        <v>27</v>
      </c>
      <c r="B31" s="17" t="s">
        <v>201</v>
      </c>
      <c r="C31" s="17" t="s">
        <v>109</v>
      </c>
      <c r="D31" s="17" t="s">
        <v>203</v>
      </c>
      <c r="E31" s="17" t="s">
        <v>1047</v>
      </c>
      <c r="F31" s="17" t="s">
        <v>1048</v>
      </c>
      <c r="G31" s="17" t="s">
        <v>1049</v>
      </c>
      <c r="H31" s="17" t="s">
        <v>1050</v>
      </c>
      <c r="I31" s="17" t="s">
        <v>1505</v>
      </c>
      <c r="J31" s="17"/>
      <c r="K31" s="17" t="s">
        <v>1051</v>
      </c>
      <c r="L31" s="17" t="s">
        <v>1052</v>
      </c>
      <c r="M31" s="17" t="s">
        <v>965</v>
      </c>
      <c r="N31" s="17" t="s">
        <v>965</v>
      </c>
      <c r="O31" s="20" t="s">
        <v>381</v>
      </c>
      <c r="P31" s="20"/>
      <c r="Q31" s="17" t="s">
        <v>1022</v>
      </c>
      <c r="R31" s="17" t="s">
        <v>969</v>
      </c>
    </row>
    <row r="32" spans="1:19" ht="54" customHeight="1">
      <c r="A32" s="23">
        <v>28</v>
      </c>
      <c r="B32" s="3" t="s">
        <v>206</v>
      </c>
      <c r="C32" s="3" t="s">
        <v>207</v>
      </c>
      <c r="D32" s="3" t="s">
        <v>209</v>
      </c>
      <c r="E32" s="3" t="s">
        <v>1053</v>
      </c>
      <c r="F32" s="3" t="s">
        <v>1054</v>
      </c>
      <c r="G32" s="3" t="s">
        <v>1055</v>
      </c>
      <c r="H32" s="3" t="s">
        <v>1056</v>
      </c>
      <c r="I32" s="3" t="s">
        <v>1505</v>
      </c>
      <c r="J32" s="3"/>
      <c r="K32" s="3" t="s">
        <v>1057</v>
      </c>
      <c r="L32" s="3" t="s">
        <v>965</v>
      </c>
      <c r="M32" s="3" t="s">
        <v>965</v>
      </c>
      <c r="N32" s="3" t="s">
        <v>965</v>
      </c>
      <c r="O32" s="19" t="s">
        <v>382</v>
      </c>
      <c r="P32" s="19" t="s">
        <v>1058</v>
      </c>
      <c r="Q32" s="3" t="s">
        <v>1059</v>
      </c>
      <c r="R32" s="3" t="s">
        <v>969</v>
      </c>
    </row>
    <row r="33" spans="1:18" ht="54" customHeight="1">
      <c r="A33" s="24">
        <v>29</v>
      </c>
      <c r="B33" s="17" t="s">
        <v>211</v>
      </c>
      <c r="C33" s="17" t="s">
        <v>212</v>
      </c>
      <c r="D33" s="17" t="s">
        <v>144</v>
      </c>
      <c r="E33" s="17" t="s">
        <v>1060</v>
      </c>
      <c r="F33" s="17" t="s">
        <v>1061</v>
      </c>
      <c r="G33" s="17" t="s">
        <v>1062</v>
      </c>
      <c r="H33" s="17" t="s">
        <v>1063</v>
      </c>
      <c r="I33" s="17" t="s">
        <v>1505</v>
      </c>
      <c r="J33" s="17"/>
      <c r="K33" s="17" t="s">
        <v>1064</v>
      </c>
      <c r="L33" s="17" t="s">
        <v>1065</v>
      </c>
      <c r="M33" s="17" t="s">
        <v>965</v>
      </c>
      <c r="N33" s="17" t="s">
        <v>965</v>
      </c>
      <c r="O33" s="20" t="s">
        <v>383</v>
      </c>
      <c r="P33" s="20" t="s">
        <v>1066</v>
      </c>
      <c r="Q33" s="17" t="s">
        <v>993</v>
      </c>
      <c r="R33" s="17" t="s">
        <v>969</v>
      </c>
    </row>
    <row r="34" spans="1:18" ht="54" customHeight="1">
      <c r="A34" s="23">
        <v>30</v>
      </c>
      <c r="B34" s="3" t="s">
        <v>215</v>
      </c>
      <c r="C34" s="3" t="s">
        <v>150</v>
      </c>
      <c r="D34" s="3" t="s">
        <v>216</v>
      </c>
      <c r="E34" s="3" t="s">
        <v>1067</v>
      </c>
      <c r="F34" s="3" t="s">
        <v>1068</v>
      </c>
      <c r="G34" s="3" t="s">
        <v>1069</v>
      </c>
      <c r="H34" s="3" t="s">
        <v>1070</v>
      </c>
      <c r="I34" s="3" t="s">
        <v>1505</v>
      </c>
      <c r="J34" s="3"/>
      <c r="K34" s="3" t="s">
        <v>1071</v>
      </c>
      <c r="L34" s="3" t="s">
        <v>1072</v>
      </c>
      <c r="M34" s="3" t="s">
        <v>965</v>
      </c>
      <c r="N34" s="3" t="s">
        <v>965</v>
      </c>
      <c r="O34" s="19" t="s">
        <v>384</v>
      </c>
      <c r="P34" s="19" t="s">
        <v>1073</v>
      </c>
      <c r="Q34" s="3" t="s">
        <v>977</v>
      </c>
      <c r="R34" s="3" t="s">
        <v>969</v>
      </c>
    </row>
    <row r="35" spans="1:18" ht="54" customHeight="1">
      <c r="A35" s="24">
        <v>49</v>
      </c>
      <c r="B35" s="17" t="s">
        <v>273</v>
      </c>
      <c r="C35" s="17" t="s">
        <v>109</v>
      </c>
      <c r="D35" s="17" t="s">
        <v>274</v>
      </c>
      <c r="E35" s="17" t="s">
        <v>1074</v>
      </c>
      <c r="F35" s="17" t="s">
        <v>1075</v>
      </c>
      <c r="G35" s="17" t="s">
        <v>1076</v>
      </c>
      <c r="H35" s="17" t="s">
        <v>1077</v>
      </c>
      <c r="I35" s="17" t="s">
        <v>1505</v>
      </c>
      <c r="J35" s="17"/>
      <c r="K35" s="17" t="s">
        <v>1078</v>
      </c>
      <c r="L35" s="17" t="s">
        <v>1079</v>
      </c>
      <c r="M35" s="17" t="s">
        <v>965</v>
      </c>
      <c r="N35" s="17" t="s">
        <v>965</v>
      </c>
      <c r="O35" s="20" t="s">
        <v>385</v>
      </c>
      <c r="P35" s="20"/>
      <c r="Q35" s="17" t="s">
        <v>1080</v>
      </c>
      <c r="R35" s="17" t="s">
        <v>969</v>
      </c>
    </row>
    <row r="36" spans="1:18" ht="54" customHeight="1">
      <c r="A36" s="23">
        <v>52</v>
      </c>
      <c r="B36" s="3" t="s">
        <v>219</v>
      </c>
      <c r="C36" s="3" t="s">
        <v>129</v>
      </c>
      <c r="D36" s="3" t="s">
        <v>220</v>
      </c>
      <c r="E36" s="3" t="s">
        <v>965</v>
      </c>
      <c r="F36" s="3" t="s">
        <v>965</v>
      </c>
      <c r="G36" s="3" t="s">
        <v>965</v>
      </c>
      <c r="H36" s="3" t="s">
        <v>965</v>
      </c>
      <c r="I36" s="3" t="s">
        <v>1505</v>
      </c>
      <c r="J36" s="3"/>
      <c r="K36" s="3" t="s">
        <v>965</v>
      </c>
      <c r="L36" s="3" t="s">
        <v>965</v>
      </c>
      <c r="M36" s="3" t="s">
        <v>965</v>
      </c>
      <c r="N36" s="3" t="s">
        <v>965</v>
      </c>
      <c r="O36" s="19" t="s">
        <v>388</v>
      </c>
      <c r="P36" s="19"/>
      <c r="Q36" s="3" t="s">
        <v>1081</v>
      </c>
      <c r="R36" s="3" t="s">
        <v>969</v>
      </c>
    </row>
    <row r="37" spans="1:18" ht="54" customHeight="1">
      <c r="A37" s="24">
        <v>53</v>
      </c>
      <c r="B37" s="17" t="s">
        <v>223</v>
      </c>
      <c r="C37" s="17" t="s">
        <v>129</v>
      </c>
      <c r="D37" s="17" t="s">
        <v>224</v>
      </c>
      <c r="E37" s="17" t="s">
        <v>1082</v>
      </c>
      <c r="F37" s="17" t="s">
        <v>1083</v>
      </c>
      <c r="G37" s="17" t="s">
        <v>1084</v>
      </c>
      <c r="H37" s="17" t="s">
        <v>1085</v>
      </c>
      <c r="I37" s="16" t="s">
        <v>1506</v>
      </c>
      <c r="J37" s="17"/>
      <c r="K37" s="17" t="s">
        <v>1086</v>
      </c>
      <c r="L37" s="17" t="s">
        <v>965</v>
      </c>
      <c r="M37" s="17" t="s">
        <v>965</v>
      </c>
      <c r="N37" s="17" t="s">
        <v>965</v>
      </c>
      <c r="O37" s="20" t="s">
        <v>390</v>
      </c>
      <c r="P37" s="20" t="s">
        <v>1087</v>
      </c>
      <c r="Q37" s="17" t="s">
        <v>968</v>
      </c>
      <c r="R37" s="17" t="s">
        <v>969</v>
      </c>
    </row>
    <row r="38" spans="1:18" ht="54" customHeight="1">
      <c r="A38" s="23">
        <v>54</v>
      </c>
      <c r="B38" s="3" t="s">
        <v>226</v>
      </c>
      <c r="C38" s="3" t="s">
        <v>104</v>
      </c>
      <c r="D38" s="3" t="s">
        <v>216</v>
      </c>
      <c r="E38" s="3" t="s">
        <v>965</v>
      </c>
      <c r="F38" s="3" t="s">
        <v>1088</v>
      </c>
      <c r="G38" s="3" t="s">
        <v>965</v>
      </c>
      <c r="H38" s="3" t="s">
        <v>965</v>
      </c>
      <c r="I38" s="36" t="s">
        <v>1506</v>
      </c>
      <c r="J38" s="3"/>
      <c r="K38" s="3" t="s">
        <v>1089</v>
      </c>
      <c r="L38" s="3" t="s">
        <v>965</v>
      </c>
      <c r="M38" s="3" t="s">
        <v>965</v>
      </c>
      <c r="N38" s="3" t="s">
        <v>965</v>
      </c>
      <c r="O38" s="19" t="s">
        <v>392</v>
      </c>
      <c r="P38" s="19"/>
      <c r="Q38" s="3" t="s">
        <v>1090</v>
      </c>
      <c r="R38" s="3" t="s">
        <v>969</v>
      </c>
    </row>
    <row r="39" spans="1:18" ht="54" customHeight="1">
      <c r="A39" s="24">
        <v>55</v>
      </c>
      <c r="B39" s="17" t="s">
        <v>228</v>
      </c>
      <c r="C39" s="17" t="s">
        <v>229</v>
      </c>
      <c r="D39" s="17" t="s">
        <v>230</v>
      </c>
      <c r="E39" s="17" t="s">
        <v>965</v>
      </c>
      <c r="F39" s="17" t="s">
        <v>1091</v>
      </c>
      <c r="G39" s="17" t="s">
        <v>1092</v>
      </c>
      <c r="H39" s="17" t="s">
        <v>1093</v>
      </c>
      <c r="I39" s="17" t="s">
        <v>1505</v>
      </c>
      <c r="J39" s="17"/>
      <c r="K39" s="17" t="s">
        <v>1094</v>
      </c>
      <c r="L39" s="17" t="s">
        <v>965</v>
      </c>
      <c r="M39" s="17" t="s">
        <v>965</v>
      </c>
      <c r="N39" s="17" t="s">
        <v>965</v>
      </c>
      <c r="O39" s="20" t="s">
        <v>394</v>
      </c>
      <c r="P39" s="20"/>
      <c r="Q39" s="17" t="s">
        <v>1018</v>
      </c>
      <c r="R39" s="17" t="s">
        <v>969</v>
      </c>
    </row>
    <row r="40" spans="1:18" ht="54" customHeight="1">
      <c r="A40" s="23">
        <v>56</v>
      </c>
      <c r="B40" s="3" t="s">
        <v>232</v>
      </c>
      <c r="C40" s="3" t="s">
        <v>233</v>
      </c>
      <c r="D40" s="3" t="s">
        <v>234</v>
      </c>
      <c r="E40" s="3" t="s">
        <v>965</v>
      </c>
      <c r="F40" s="3" t="s">
        <v>1095</v>
      </c>
      <c r="G40" s="3" t="s">
        <v>965</v>
      </c>
      <c r="H40" s="3" t="s">
        <v>1096</v>
      </c>
      <c r="I40" s="3" t="s">
        <v>1505</v>
      </c>
      <c r="J40" s="3"/>
      <c r="K40" s="3" t="s">
        <v>1097</v>
      </c>
      <c r="L40" s="3" t="s">
        <v>965</v>
      </c>
      <c r="M40" s="3" t="s">
        <v>965</v>
      </c>
      <c r="N40" s="3" t="s">
        <v>965</v>
      </c>
      <c r="O40" s="19" t="s">
        <v>396</v>
      </c>
      <c r="P40" s="19" t="s">
        <v>1098</v>
      </c>
      <c r="Q40" s="3" t="s">
        <v>1027</v>
      </c>
      <c r="R40" s="3" t="s">
        <v>969</v>
      </c>
    </row>
    <row r="41" spans="1:18" ht="54" customHeight="1">
      <c r="A41" s="24">
        <v>57</v>
      </c>
      <c r="B41" s="17" t="s">
        <v>236</v>
      </c>
      <c r="C41" s="17" t="s">
        <v>237</v>
      </c>
      <c r="D41" s="17" t="s">
        <v>238</v>
      </c>
      <c r="E41" s="17" t="s">
        <v>965</v>
      </c>
      <c r="F41" s="17" t="s">
        <v>965</v>
      </c>
      <c r="G41" s="17" t="s">
        <v>965</v>
      </c>
      <c r="H41" s="17" t="s">
        <v>965</v>
      </c>
      <c r="I41" s="17" t="s">
        <v>1505</v>
      </c>
      <c r="J41" s="17"/>
      <c r="K41" s="17" t="s">
        <v>1099</v>
      </c>
      <c r="L41" s="17" t="s">
        <v>965</v>
      </c>
      <c r="M41" s="17" t="s">
        <v>965</v>
      </c>
      <c r="N41" s="17" t="s">
        <v>965</v>
      </c>
      <c r="O41" s="20" t="s">
        <v>398</v>
      </c>
      <c r="P41" s="20" t="s">
        <v>1100</v>
      </c>
      <c r="Q41" s="17" t="s">
        <v>1101</v>
      </c>
      <c r="R41" s="17" t="s">
        <v>969</v>
      </c>
    </row>
    <row r="42" spans="1:18" ht="54" customHeight="1">
      <c r="A42" s="23">
        <v>58</v>
      </c>
      <c r="B42" s="3" t="s">
        <v>240</v>
      </c>
      <c r="C42" s="3" t="s">
        <v>229</v>
      </c>
      <c r="D42" s="3" t="s">
        <v>241</v>
      </c>
      <c r="E42" s="3" t="s">
        <v>1102</v>
      </c>
      <c r="F42" s="3" t="s">
        <v>1103</v>
      </c>
      <c r="G42" s="3" t="s">
        <v>1104</v>
      </c>
      <c r="H42" s="3" t="s">
        <v>1105</v>
      </c>
      <c r="I42" s="3" t="s">
        <v>1505</v>
      </c>
      <c r="J42" s="3"/>
      <c r="K42" s="3" t="s">
        <v>965</v>
      </c>
      <c r="L42" s="3" t="s">
        <v>965</v>
      </c>
      <c r="M42" s="3" t="s">
        <v>965</v>
      </c>
      <c r="N42" s="3" t="s">
        <v>965</v>
      </c>
      <c r="O42" s="19" t="s">
        <v>400</v>
      </c>
      <c r="P42" s="19"/>
      <c r="Q42" s="3" t="s">
        <v>1018</v>
      </c>
      <c r="R42" s="3" t="s">
        <v>969</v>
      </c>
    </row>
    <row r="43" spans="1:18" ht="54" customHeight="1">
      <c r="A43" s="24">
        <v>59</v>
      </c>
      <c r="B43" s="17" t="s">
        <v>243</v>
      </c>
      <c r="C43" s="17" t="s">
        <v>244</v>
      </c>
      <c r="D43" s="17" t="s">
        <v>245</v>
      </c>
      <c r="E43" s="17" t="s">
        <v>965</v>
      </c>
      <c r="F43" s="17" t="s">
        <v>965</v>
      </c>
      <c r="G43" s="17" t="s">
        <v>965</v>
      </c>
      <c r="H43" s="17" t="s">
        <v>965</v>
      </c>
      <c r="I43" s="17" t="s">
        <v>1505</v>
      </c>
      <c r="J43" s="17"/>
      <c r="K43" s="17" t="s">
        <v>965</v>
      </c>
      <c r="L43" s="17" t="s">
        <v>965</v>
      </c>
      <c r="M43" s="17" t="s">
        <v>965</v>
      </c>
      <c r="N43" s="17" t="s">
        <v>965</v>
      </c>
      <c r="O43" s="20" t="s">
        <v>402</v>
      </c>
      <c r="P43" s="20"/>
      <c r="Q43" s="17" t="s">
        <v>1009</v>
      </c>
      <c r="R43" s="17" t="s">
        <v>969</v>
      </c>
    </row>
    <row r="44" spans="1:18" ht="54" customHeight="1">
      <c r="A44" s="23">
        <v>60</v>
      </c>
      <c r="B44" s="3" t="s">
        <v>247</v>
      </c>
      <c r="C44" s="3" t="s">
        <v>248</v>
      </c>
      <c r="D44" s="3" t="s">
        <v>249</v>
      </c>
      <c r="E44" s="3" t="s">
        <v>1106</v>
      </c>
      <c r="F44" s="3" t="s">
        <v>1107</v>
      </c>
      <c r="G44" s="3" t="s">
        <v>965</v>
      </c>
      <c r="H44" s="3" t="s">
        <v>1108</v>
      </c>
      <c r="I44" s="3" t="s">
        <v>1505</v>
      </c>
      <c r="J44" s="3"/>
      <c r="K44" s="3" t="s">
        <v>1109</v>
      </c>
      <c r="L44" s="3" t="s">
        <v>965</v>
      </c>
      <c r="M44" s="3" t="s">
        <v>965</v>
      </c>
      <c r="N44" s="3" t="s">
        <v>965</v>
      </c>
      <c r="O44" s="19" t="s">
        <v>404</v>
      </c>
      <c r="P44" s="19" t="s">
        <v>1110</v>
      </c>
      <c r="Q44" s="3" t="s">
        <v>1004</v>
      </c>
      <c r="R44" s="3" t="s">
        <v>969</v>
      </c>
    </row>
    <row r="45" spans="1:18" ht="54" customHeight="1">
      <c r="A45" s="24">
        <v>61</v>
      </c>
      <c r="B45" s="17" t="s">
        <v>251</v>
      </c>
      <c r="C45" s="17" t="s">
        <v>104</v>
      </c>
      <c r="D45" s="17" t="s">
        <v>163</v>
      </c>
      <c r="E45" s="17" t="s">
        <v>965</v>
      </c>
      <c r="F45" s="17" t="s">
        <v>965</v>
      </c>
      <c r="G45" s="17" t="s">
        <v>965</v>
      </c>
      <c r="H45" s="17" t="s">
        <v>965</v>
      </c>
      <c r="I45" s="16" t="s">
        <v>1506</v>
      </c>
      <c r="J45" s="17"/>
      <c r="K45" s="17" t="s">
        <v>965</v>
      </c>
      <c r="L45" s="17" t="s">
        <v>1111</v>
      </c>
      <c r="M45" s="17" t="s">
        <v>965</v>
      </c>
      <c r="N45" s="17" t="s">
        <v>965</v>
      </c>
      <c r="O45" s="20" t="s">
        <v>406</v>
      </c>
      <c r="P45" s="20"/>
      <c r="Q45" s="17" t="s">
        <v>990</v>
      </c>
      <c r="R45" s="17" t="s">
        <v>969</v>
      </c>
    </row>
    <row r="46" spans="1:18" ht="54" customHeight="1">
      <c r="A46" s="23">
        <v>62</v>
      </c>
      <c r="B46" s="3" t="s">
        <v>253</v>
      </c>
      <c r="C46" s="3" t="s">
        <v>233</v>
      </c>
      <c r="D46" s="3" t="s">
        <v>254</v>
      </c>
      <c r="E46" s="3" t="s">
        <v>965</v>
      </c>
      <c r="F46" s="3" t="s">
        <v>965</v>
      </c>
      <c r="G46" s="3" t="s">
        <v>965</v>
      </c>
      <c r="H46" s="3" t="s">
        <v>965</v>
      </c>
      <c r="I46" s="36" t="s">
        <v>1506</v>
      </c>
      <c r="J46" s="3"/>
      <c r="K46" s="3" t="s">
        <v>965</v>
      </c>
      <c r="L46" s="3" t="s">
        <v>965</v>
      </c>
      <c r="M46" s="3" t="s">
        <v>965</v>
      </c>
      <c r="N46" s="3" t="s">
        <v>965</v>
      </c>
      <c r="O46" s="19" t="s">
        <v>408</v>
      </c>
      <c r="P46" s="19"/>
      <c r="Q46" s="3" t="s">
        <v>1009</v>
      </c>
      <c r="R46" s="3" t="s">
        <v>969</v>
      </c>
    </row>
    <row r="47" spans="1:18" ht="54" customHeight="1">
      <c r="A47" s="24">
        <v>63</v>
      </c>
      <c r="B47" s="17" t="s">
        <v>256</v>
      </c>
      <c r="C47" s="17" t="s">
        <v>257</v>
      </c>
      <c r="D47" s="17" t="s">
        <v>258</v>
      </c>
      <c r="E47" s="17" t="s">
        <v>965</v>
      </c>
      <c r="F47" s="17" t="s">
        <v>965</v>
      </c>
      <c r="G47" s="17" t="s">
        <v>965</v>
      </c>
      <c r="H47" s="17" t="s">
        <v>965</v>
      </c>
      <c r="I47" s="17" t="s">
        <v>1505</v>
      </c>
      <c r="J47" s="17"/>
      <c r="K47" s="17" t="s">
        <v>1112</v>
      </c>
      <c r="L47" s="17" t="s">
        <v>965</v>
      </c>
      <c r="M47" s="17" t="s">
        <v>965</v>
      </c>
      <c r="N47" s="17" t="s">
        <v>965</v>
      </c>
      <c r="O47" s="20" t="s">
        <v>410</v>
      </c>
      <c r="P47" s="20" t="s">
        <v>1113</v>
      </c>
      <c r="Q47" s="17" t="s">
        <v>998</v>
      </c>
      <c r="R47" s="17" t="s">
        <v>999</v>
      </c>
    </row>
    <row r="48" spans="1:18" ht="54" customHeight="1">
      <c r="A48" s="23">
        <v>64</v>
      </c>
      <c r="B48" s="3" t="s">
        <v>260</v>
      </c>
      <c r="C48" s="3" t="s">
        <v>233</v>
      </c>
      <c r="D48" s="3" t="s">
        <v>261</v>
      </c>
      <c r="E48" s="3" t="s">
        <v>965</v>
      </c>
      <c r="F48" s="3" t="s">
        <v>965</v>
      </c>
      <c r="G48" s="3" t="s">
        <v>965</v>
      </c>
      <c r="H48" s="3" t="s">
        <v>965</v>
      </c>
      <c r="I48" s="3" t="s">
        <v>1505</v>
      </c>
      <c r="J48" s="3"/>
      <c r="K48" s="3" t="s">
        <v>965</v>
      </c>
      <c r="L48" s="3" t="s">
        <v>965</v>
      </c>
      <c r="M48" s="3" t="s">
        <v>965</v>
      </c>
      <c r="N48" s="3" t="s">
        <v>965</v>
      </c>
      <c r="O48" s="19" t="s">
        <v>413</v>
      </c>
      <c r="P48" s="19"/>
      <c r="Q48" s="3" t="s">
        <v>1009</v>
      </c>
      <c r="R48" s="3" t="s">
        <v>969</v>
      </c>
    </row>
    <row r="49" spans="1:18" ht="54" customHeight="1">
      <c r="A49" s="24">
        <v>65</v>
      </c>
      <c r="B49" s="17" t="s">
        <v>263</v>
      </c>
      <c r="C49" s="17" t="s">
        <v>129</v>
      </c>
      <c r="D49" s="17" t="s">
        <v>264</v>
      </c>
      <c r="E49" s="17" t="s">
        <v>1114</v>
      </c>
      <c r="F49" s="17" t="s">
        <v>1115</v>
      </c>
      <c r="G49" s="17" t="s">
        <v>1116</v>
      </c>
      <c r="H49" s="17" t="s">
        <v>1117</v>
      </c>
      <c r="I49" s="17" t="s">
        <v>1505</v>
      </c>
      <c r="J49" s="17"/>
      <c r="K49" s="17" t="s">
        <v>1118</v>
      </c>
      <c r="L49" s="17" t="s">
        <v>1119</v>
      </c>
      <c r="M49" s="17" t="s">
        <v>966</v>
      </c>
      <c r="N49" s="17" t="s">
        <v>965</v>
      </c>
      <c r="O49" s="20" t="s">
        <v>415</v>
      </c>
      <c r="P49" s="20" t="s">
        <v>1120</v>
      </c>
      <c r="Q49" s="17" t="s">
        <v>998</v>
      </c>
      <c r="R49" s="17" t="s">
        <v>999</v>
      </c>
    </row>
    <row r="50" spans="1:18" ht="54" customHeight="1">
      <c r="A50" s="23">
        <v>66</v>
      </c>
      <c r="B50" s="3" t="s">
        <v>27</v>
      </c>
      <c r="C50" s="3" t="s">
        <v>104</v>
      </c>
      <c r="D50" s="3" t="s">
        <v>267</v>
      </c>
      <c r="E50" s="3" t="s">
        <v>1121</v>
      </c>
      <c r="F50" s="3" t="s">
        <v>965</v>
      </c>
      <c r="G50" s="3" t="s">
        <v>1122</v>
      </c>
      <c r="H50" s="3" t="s">
        <v>1123</v>
      </c>
      <c r="I50" s="3" t="s">
        <v>1505</v>
      </c>
      <c r="J50" s="3"/>
      <c r="K50" s="3" t="s">
        <v>965</v>
      </c>
      <c r="L50" s="3" t="s">
        <v>965</v>
      </c>
      <c r="M50" s="3" t="s">
        <v>965</v>
      </c>
      <c r="N50" s="3" t="s">
        <v>965</v>
      </c>
      <c r="O50" s="19" t="s">
        <v>418</v>
      </c>
      <c r="P50" s="19"/>
      <c r="Q50" s="3" t="s">
        <v>1036</v>
      </c>
      <c r="R50" s="3" t="s">
        <v>969</v>
      </c>
    </row>
    <row r="51" spans="1:18" ht="54" customHeight="1">
      <c r="A51" s="24">
        <v>67</v>
      </c>
      <c r="B51" s="17" t="s">
        <v>269</v>
      </c>
      <c r="C51" s="17" t="s">
        <v>270</v>
      </c>
      <c r="D51" s="17" t="s">
        <v>271</v>
      </c>
      <c r="E51" s="17" t="s">
        <v>965</v>
      </c>
      <c r="F51" s="17" t="s">
        <v>965</v>
      </c>
      <c r="G51" s="17" t="s">
        <v>965</v>
      </c>
      <c r="H51" s="17" t="s">
        <v>965</v>
      </c>
      <c r="I51" s="17" t="s">
        <v>1505</v>
      </c>
      <c r="J51" s="17"/>
      <c r="K51" s="17" t="s">
        <v>965</v>
      </c>
      <c r="L51" s="17" t="s">
        <v>965</v>
      </c>
      <c r="M51" s="17" t="s">
        <v>965</v>
      </c>
      <c r="N51" s="17" t="s">
        <v>965</v>
      </c>
      <c r="O51" s="20" t="s">
        <v>420</v>
      </c>
      <c r="P51" s="20"/>
      <c r="Q51" s="17" t="s">
        <v>1124</v>
      </c>
      <c r="R51" s="17" t="s">
        <v>969</v>
      </c>
    </row>
    <row r="52" spans="1:18" ht="54" customHeight="1">
      <c r="A52" s="23">
        <v>68</v>
      </c>
      <c r="B52" s="3" t="s">
        <v>277</v>
      </c>
      <c r="C52" s="3" t="s">
        <v>233</v>
      </c>
      <c r="D52" s="3" t="s">
        <v>278</v>
      </c>
      <c r="E52" s="3" t="s">
        <v>1125</v>
      </c>
      <c r="F52" s="3" t="s">
        <v>1126</v>
      </c>
      <c r="G52" s="3" t="s">
        <v>1127</v>
      </c>
      <c r="H52" s="3" t="s">
        <v>1128</v>
      </c>
      <c r="I52" s="3" t="s">
        <v>1505</v>
      </c>
      <c r="J52" s="3"/>
      <c r="K52" s="3" t="s">
        <v>965</v>
      </c>
      <c r="L52" s="3" t="s">
        <v>965</v>
      </c>
      <c r="M52" s="3" t="s">
        <v>965</v>
      </c>
      <c r="N52" s="3" t="s">
        <v>965</v>
      </c>
      <c r="O52" s="19" t="s">
        <v>421</v>
      </c>
      <c r="P52" s="19"/>
      <c r="Q52" s="3" t="s">
        <v>1004</v>
      </c>
      <c r="R52" s="3" t="s">
        <v>969</v>
      </c>
    </row>
    <row r="53" spans="1:18" ht="54" customHeight="1">
      <c r="A53" s="24">
        <v>69</v>
      </c>
      <c r="B53" s="17" t="s">
        <v>280</v>
      </c>
      <c r="C53" s="17" t="s">
        <v>281</v>
      </c>
      <c r="D53" s="17" t="s">
        <v>282</v>
      </c>
      <c r="E53" s="17" t="s">
        <v>1129</v>
      </c>
      <c r="F53" s="17" t="s">
        <v>1130</v>
      </c>
      <c r="G53" s="17" t="s">
        <v>1131</v>
      </c>
      <c r="H53" s="17" t="s">
        <v>1132</v>
      </c>
      <c r="I53" s="16" t="s">
        <v>1506</v>
      </c>
      <c r="J53" s="17"/>
      <c r="K53" s="17" t="s">
        <v>1133</v>
      </c>
      <c r="L53" s="17" t="s">
        <v>1134</v>
      </c>
      <c r="M53" s="17" t="s">
        <v>965</v>
      </c>
      <c r="N53" s="17" t="s">
        <v>965</v>
      </c>
      <c r="O53" s="20" t="s">
        <v>423</v>
      </c>
      <c r="P53" s="20" t="s">
        <v>1135</v>
      </c>
      <c r="Q53" s="17" t="s">
        <v>998</v>
      </c>
      <c r="R53" s="17" t="s">
        <v>999</v>
      </c>
    </row>
    <row r="54" spans="1:18" ht="54" customHeight="1">
      <c r="A54" s="23">
        <v>70</v>
      </c>
      <c r="B54" s="3" t="s">
        <v>284</v>
      </c>
      <c r="C54" s="3" t="s">
        <v>285</v>
      </c>
      <c r="D54" s="3" t="s">
        <v>144</v>
      </c>
      <c r="E54" s="3" t="s">
        <v>1136</v>
      </c>
      <c r="F54" s="3" t="s">
        <v>1137</v>
      </c>
      <c r="G54" s="3" t="s">
        <v>1138</v>
      </c>
      <c r="H54" s="3" t="s">
        <v>1139</v>
      </c>
      <c r="I54" s="36" t="s">
        <v>1506</v>
      </c>
      <c r="J54" s="3"/>
      <c r="K54" s="3" t="s">
        <v>1140</v>
      </c>
      <c r="L54" s="3" t="s">
        <v>965</v>
      </c>
      <c r="M54" s="3" t="s">
        <v>965</v>
      </c>
      <c r="N54" s="3" t="s">
        <v>965</v>
      </c>
      <c r="O54" s="19" t="s">
        <v>424</v>
      </c>
      <c r="P54" s="19" t="s">
        <v>1141</v>
      </c>
      <c r="Q54" s="3" t="s">
        <v>1022</v>
      </c>
      <c r="R54" s="3" t="s">
        <v>969</v>
      </c>
    </row>
    <row r="55" spans="1:18" ht="54" customHeight="1">
      <c r="A55" s="24">
        <v>71</v>
      </c>
      <c r="B55" s="17" t="s">
        <v>288</v>
      </c>
      <c r="C55" s="17" t="s">
        <v>229</v>
      </c>
      <c r="D55" s="17" t="s">
        <v>290</v>
      </c>
      <c r="E55" s="17" t="s">
        <v>965</v>
      </c>
      <c r="F55" s="17" t="s">
        <v>1142</v>
      </c>
      <c r="G55" s="17" t="s">
        <v>965</v>
      </c>
      <c r="H55" s="17" t="s">
        <v>1143</v>
      </c>
      <c r="I55" s="17" t="s">
        <v>1505</v>
      </c>
      <c r="J55" s="17"/>
      <c r="K55" s="17" t="s">
        <v>1144</v>
      </c>
      <c r="L55" s="17" t="s">
        <v>1145</v>
      </c>
      <c r="M55" s="17" t="s">
        <v>965</v>
      </c>
      <c r="N55" s="17" t="s">
        <v>965</v>
      </c>
      <c r="O55" s="20" t="s">
        <v>426</v>
      </c>
      <c r="P55" s="20"/>
      <c r="Q55" s="17" t="s">
        <v>1004</v>
      </c>
      <c r="R55" s="17" t="s">
        <v>969</v>
      </c>
    </row>
    <row r="56" spans="1:18" ht="54" customHeight="1">
      <c r="A56" s="23">
        <v>72</v>
      </c>
      <c r="B56" s="3" t="s">
        <v>292</v>
      </c>
      <c r="C56" s="3" t="s">
        <v>293</v>
      </c>
      <c r="D56" s="3" t="s">
        <v>295</v>
      </c>
      <c r="E56" s="3" t="s">
        <v>965</v>
      </c>
      <c r="F56" s="3" t="s">
        <v>1146</v>
      </c>
      <c r="G56" s="3" t="s">
        <v>1147</v>
      </c>
      <c r="H56" s="3" t="s">
        <v>965</v>
      </c>
      <c r="I56" s="3" t="s">
        <v>1505</v>
      </c>
      <c r="J56" s="3"/>
      <c r="K56" s="3" t="s">
        <v>1148</v>
      </c>
      <c r="L56" s="3" t="s">
        <v>965</v>
      </c>
      <c r="M56" s="3" t="s">
        <v>966</v>
      </c>
      <c r="N56" s="3" t="s">
        <v>965</v>
      </c>
      <c r="O56" s="19" t="s">
        <v>427</v>
      </c>
      <c r="P56" s="19"/>
      <c r="Q56" s="3" t="s">
        <v>1001</v>
      </c>
      <c r="R56" s="3" t="s">
        <v>969</v>
      </c>
    </row>
    <row r="57" spans="1:18" ht="54" customHeight="1">
      <c r="A57" s="24">
        <v>73</v>
      </c>
      <c r="B57" s="17" t="s">
        <v>297</v>
      </c>
      <c r="C57" s="17" t="s">
        <v>233</v>
      </c>
      <c r="D57" s="17" t="s">
        <v>299</v>
      </c>
      <c r="E57" s="17" t="s">
        <v>965</v>
      </c>
      <c r="F57" s="17" t="s">
        <v>1149</v>
      </c>
      <c r="G57" s="17" t="s">
        <v>965</v>
      </c>
      <c r="H57" s="17" t="s">
        <v>965</v>
      </c>
      <c r="I57" s="17" t="s">
        <v>1505</v>
      </c>
      <c r="J57" s="17"/>
      <c r="K57" s="17" t="s">
        <v>1150</v>
      </c>
      <c r="L57" s="17" t="s">
        <v>965</v>
      </c>
      <c r="M57" s="17" t="s">
        <v>965</v>
      </c>
      <c r="N57" s="17" t="s">
        <v>965</v>
      </c>
      <c r="O57" s="20" t="s">
        <v>428</v>
      </c>
      <c r="P57" s="20"/>
      <c r="Q57" s="17" t="s">
        <v>1036</v>
      </c>
      <c r="R57" s="17" t="s">
        <v>969</v>
      </c>
    </row>
    <row r="58" spans="1:18" ht="54" customHeight="1">
      <c r="A58" s="23">
        <v>74</v>
      </c>
      <c r="B58" s="3" t="s">
        <v>301</v>
      </c>
      <c r="C58" s="3" t="s">
        <v>104</v>
      </c>
      <c r="D58" s="3" t="s">
        <v>302</v>
      </c>
      <c r="E58" s="3" t="s">
        <v>1151</v>
      </c>
      <c r="F58" s="3" t="s">
        <v>1152</v>
      </c>
      <c r="G58" s="3" t="s">
        <v>1153</v>
      </c>
      <c r="H58" s="3" t="s">
        <v>1154</v>
      </c>
      <c r="I58" s="3" t="s">
        <v>1505</v>
      </c>
      <c r="J58" s="3"/>
      <c r="K58" s="3" t="s">
        <v>1155</v>
      </c>
      <c r="L58" s="3" t="s">
        <v>1156</v>
      </c>
      <c r="M58" s="3" t="s">
        <v>966</v>
      </c>
      <c r="N58" s="3" t="s">
        <v>965</v>
      </c>
      <c r="O58" s="19" t="s">
        <v>430</v>
      </c>
      <c r="P58" s="19" t="s">
        <v>1157</v>
      </c>
      <c r="Q58" s="3" t="s">
        <v>1158</v>
      </c>
      <c r="R58" s="3" t="s">
        <v>969</v>
      </c>
    </row>
    <row r="59" spans="1:18" ht="54" customHeight="1">
      <c r="A59" s="24">
        <v>76</v>
      </c>
      <c r="B59" s="17" t="s">
        <v>304</v>
      </c>
      <c r="C59" s="17" t="s">
        <v>129</v>
      </c>
      <c r="D59" s="17" t="s">
        <v>185</v>
      </c>
      <c r="E59" s="17" t="s">
        <v>1159</v>
      </c>
      <c r="F59" s="17" t="s">
        <v>1160</v>
      </c>
      <c r="G59" s="17" t="s">
        <v>1161</v>
      </c>
      <c r="H59" s="17" t="s">
        <v>1162</v>
      </c>
      <c r="I59" s="17" t="s">
        <v>1505</v>
      </c>
      <c r="J59" s="17"/>
      <c r="K59" s="17" t="s">
        <v>1163</v>
      </c>
      <c r="L59" s="17" t="s">
        <v>1164</v>
      </c>
      <c r="M59" s="17" t="s">
        <v>965</v>
      </c>
      <c r="N59" s="17" t="s">
        <v>965</v>
      </c>
      <c r="O59" s="20" t="s">
        <v>432</v>
      </c>
      <c r="P59" s="20"/>
      <c r="Q59" s="17" t="s">
        <v>993</v>
      </c>
      <c r="R59" s="17" t="s">
        <v>969</v>
      </c>
    </row>
    <row r="60" spans="1:18" ht="54" customHeight="1">
      <c r="A60" s="23">
        <v>77</v>
      </c>
      <c r="B60" s="3" t="s">
        <v>306</v>
      </c>
      <c r="C60" s="3" t="s">
        <v>129</v>
      </c>
      <c r="D60" s="3" t="s">
        <v>308</v>
      </c>
      <c r="E60" s="3" t="s">
        <v>1165</v>
      </c>
      <c r="F60" s="3" t="s">
        <v>1166</v>
      </c>
      <c r="G60" s="3" t="s">
        <v>1167</v>
      </c>
      <c r="H60" s="3" t="s">
        <v>1168</v>
      </c>
      <c r="I60" s="3" t="s">
        <v>1505</v>
      </c>
      <c r="J60" s="3"/>
      <c r="K60" s="3" t="s">
        <v>1169</v>
      </c>
      <c r="L60" s="3" t="s">
        <v>965</v>
      </c>
      <c r="M60" s="3" t="s">
        <v>965</v>
      </c>
      <c r="N60" s="3" t="s">
        <v>1170</v>
      </c>
      <c r="O60" s="19" t="s">
        <v>434</v>
      </c>
      <c r="P60" s="19" t="s">
        <v>434</v>
      </c>
      <c r="Q60" s="3" t="s">
        <v>998</v>
      </c>
      <c r="R60" s="3" t="s">
        <v>999</v>
      </c>
    </row>
    <row r="61" spans="1:18" ht="54" customHeight="1">
      <c r="A61" s="24">
        <v>78</v>
      </c>
      <c r="B61" s="17" t="s">
        <v>310</v>
      </c>
      <c r="C61" s="17" t="s">
        <v>109</v>
      </c>
      <c r="D61" s="17" t="s">
        <v>311</v>
      </c>
      <c r="E61" s="17" t="s">
        <v>1171</v>
      </c>
      <c r="F61" s="17" t="s">
        <v>1172</v>
      </c>
      <c r="G61" s="17" t="s">
        <v>1173</v>
      </c>
      <c r="H61" s="17" t="s">
        <v>965</v>
      </c>
      <c r="I61" s="17" t="s">
        <v>1505</v>
      </c>
      <c r="J61" s="17"/>
      <c r="K61" s="17" t="s">
        <v>965</v>
      </c>
      <c r="L61" s="17" t="s">
        <v>1174</v>
      </c>
      <c r="M61" s="17" t="s">
        <v>965</v>
      </c>
      <c r="N61" s="17" t="s">
        <v>965</v>
      </c>
      <c r="O61" s="20" t="s">
        <v>435</v>
      </c>
      <c r="P61" s="20"/>
      <c r="Q61" s="17" t="s">
        <v>1059</v>
      </c>
      <c r="R61" s="17" t="s">
        <v>969</v>
      </c>
    </row>
    <row r="62" spans="1:18" ht="54" customHeight="1">
      <c r="A62" s="23">
        <v>79</v>
      </c>
      <c r="B62" s="3" t="s">
        <v>313</v>
      </c>
      <c r="C62" s="3" t="s">
        <v>257</v>
      </c>
      <c r="D62" s="3" t="s">
        <v>209</v>
      </c>
      <c r="E62" s="3" t="s">
        <v>965</v>
      </c>
      <c r="F62" s="3" t="s">
        <v>1175</v>
      </c>
      <c r="G62" s="3" t="s">
        <v>1176</v>
      </c>
      <c r="H62" s="3" t="s">
        <v>965</v>
      </c>
      <c r="I62" s="3" t="s">
        <v>1505</v>
      </c>
      <c r="J62" s="3"/>
      <c r="K62" s="3" t="s">
        <v>1177</v>
      </c>
      <c r="L62" s="3" t="s">
        <v>965</v>
      </c>
      <c r="M62" s="3" t="s">
        <v>965</v>
      </c>
      <c r="N62" s="3" t="s">
        <v>965</v>
      </c>
      <c r="O62" s="19" t="s">
        <v>437</v>
      </c>
      <c r="P62" s="19"/>
      <c r="Q62" s="3" t="s">
        <v>1036</v>
      </c>
      <c r="R62" s="3" t="s">
        <v>969</v>
      </c>
    </row>
    <row r="63" spans="1:18" ht="54" customHeight="1">
      <c r="A63" s="24">
        <v>80</v>
      </c>
      <c r="B63" s="17" t="s">
        <v>315</v>
      </c>
      <c r="C63" s="17" t="s">
        <v>316</v>
      </c>
      <c r="D63" s="17" t="s">
        <v>144</v>
      </c>
      <c r="E63" s="17" t="s">
        <v>965</v>
      </c>
      <c r="F63" s="17" t="s">
        <v>1178</v>
      </c>
      <c r="G63" s="17" t="s">
        <v>1179</v>
      </c>
      <c r="H63" s="17" t="s">
        <v>965</v>
      </c>
      <c r="I63" s="17" t="s">
        <v>1505</v>
      </c>
      <c r="J63" s="17"/>
      <c r="K63" s="17" t="s">
        <v>1180</v>
      </c>
      <c r="L63" s="17" t="s">
        <v>965</v>
      </c>
      <c r="M63" s="17" t="s">
        <v>965</v>
      </c>
      <c r="N63" s="17" t="s">
        <v>965</v>
      </c>
      <c r="O63" s="20" t="s">
        <v>438</v>
      </c>
      <c r="P63" s="20" t="s">
        <v>1181</v>
      </c>
      <c r="Q63" s="17" t="s">
        <v>1027</v>
      </c>
      <c r="R63" s="17" t="s">
        <v>969</v>
      </c>
    </row>
    <row r="64" spans="1:18" ht="54" customHeight="1">
      <c r="A64" s="25">
        <v>81</v>
      </c>
      <c r="B64" s="4" t="s">
        <v>318</v>
      </c>
      <c r="C64" s="4" t="s">
        <v>150</v>
      </c>
      <c r="D64" s="4" t="s">
        <v>319</v>
      </c>
      <c r="E64" s="4" t="s">
        <v>1182</v>
      </c>
      <c r="F64" s="4" t="s">
        <v>1183</v>
      </c>
      <c r="G64" s="4" t="s">
        <v>1184</v>
      </c>
      <c r="H64" s="4" t="s">
        <v>965</v>
      </c>
      <c r="I64" s="4" t="s">
        <v>1505</v>
      </c>
      <c r="J64" s="4"/>
      <c r="K64" s="4" t="s">
        <v>1185</v>
      </c>
      <c r="L64" s="4" t="s">
        <v>1186</v>
      </c>
      <c r="M64" s="4" t="s">
        <v>965</v>
      </c>
      <c r="N64" s="4" t="s">
        <v>965</v>
      </c>
      <c r="O64" s="21" t="s">
        <v>439</v>
      </c>
      <c r="P64" s="21"/>
      <c r="Q64" s="4" t="s">
        <v>982</v>
      </c>
      <c r="R64" s="4" t="s">
        <v>969</v>
      </c>
    </row>
  </sheetData>
  <mergeCells count="2">
    <mergeCell ref="A1:S1"/>
    <mergeCell ref="A2:S2"/>
  </mergeCells>
  <phoneticPr fontId="8" type="noConversion"/>
  <hyperlinks>
    <hyperlink ref="O5" r:id="rId1" xr:uid="{07ADCD8F-D3BF-49DD-BE4E-FFD7A503EA02}"/>
    <hyperlink ref="O6" r:id="rId2" xr:uid="{D1587649-C1E6-492D-B911-B6AA0B9176D0}"/>
    <hyperlink ref="O7" r:id="rId3" xr:uid="{9F04C08A-D82E-4598-8364-DE4F67BA0B67}"/>
    <hyperlink ref="O8" r:id="rId4" xr:uid="{30E58AE4-C149-4D88-AD34-AB8877516C46}"/>
    <hyperlink ref="O9" r:id="rId5" xr:uid="{15987642-5DC7-4404-99E2-68BB90D1D328}"/>
    <hyperlink ref="O10" r:id="rId6" xr:uid="{8BC19626-F7CC-4D92-A437-F7D0B523F3E2}"/>
    <hyperlink ref="O11" r:id="rId7" xr:uid="{48F13C26-7D19-4492-8CCE-EE6AE3592835}"/>
    <hyperlink ref="O12" r:id="rId8" xr:uid="{D41742B5-5019-4EC9-B934-4C066D10D68C}"/>
    <hyperlink ref="O13" r:id="rId9" xr:uid="{7BBA11A2-0152-4D13-A360-6A8FC2D5C4A7}"/>
    <hyperlink ref="O14" r:id="rId10" xr:uid="{38553EEE-2115-40AE-BD50-E41D61331F16}"/>
    <hyperlink ref="O15" r:id="rId11" xr:uid="{FA758483-A338-453E-93CE-420D80B8566A}"/>
    <hyperlink ref="O16" r:id="rId12" xr:uid="{0079CAA7-BE22-43B9-A1AA-728787F03C99}"/>
    <hyperlink ref="O17" r:id="rId13" xr:uid="{0F019503-5B29-4597-A7AF-D3D0C4CBDC9C}"/>
    <hyperlink ref="O18" r:id="rId14" xr:uid="{2ACBF3A6-EE31-4D05-B6B9-108A6107AC4F}"/>
    <hyperlink ref="O19" r:id="rId15" xr:uid="{8910E4D6-DCF1-4EB1-8345-027FE882EE63}"/>
    <hyperlink ref="O20" r:id="rId16" xr:uid="{211DADFC-1F1D-498B-8473-20B7BE0F1692}"/>
    <hyperlink ref="O21" r:id="rId17" xr:uid="{8E1978FB-3E52-4302-82CA-48DCC686BB2A}"/>
    <hyperlink ref="O22" r:id="rId18" xr:uid="{5E903545-4AE6-4356-A1D9-D8528A9F997D}"/>
    <hyperlink ref="O23" r:id="rId19" xr:uid="{044043F1-F5F0-4BF9-9B29-EB5FF6279094}"/>
    <hyperlink ref="O24" r:id="rId20" xr:uid="{FC8F8DE2-4762-4B7A-ADEE-90E88424997B}"/>
    <hyperlink ref="O25" r:id="rId21" xr:uid="{1363D4D9-DC5B-4F28-A6DA-50BF4DFF3B9F}"/>
    <hyperlink ref="O26" r:id="rId22" xr:uid="{609539C9-505C-4831-B46B-8DA9699E0467}"/>
    <hyperlink ref="O27" r:id="rId23" xr:uid="{AF3BA146-3652-4DBD-80B6-2FCE1E50607A}"/>
    <hyperlink ref="O28" r:id="rId24" xr:uid="{B097098D-C848-4F52-946D-7397909A034A}"/>
    <hyperlink ref="O29" r:id="rId25" xr:uid="{BD77B4A8-1704-48CD-92D3-DEB2923D3598}"/>
  </hyperlinks>
  <pageMargins left="0.7" right="0.7" top="0.75" bottom="0.75" header="0.3" footer="0.3"/>
  <tableParts count="1">
    <tablePart r:id="rId2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4"/>
  <sheetViews>
    <sheetView showGridLines="0" workbookViewId="0"/>
  </sheetViews>
  <sheetFormatPr defaultRowHeight="13.5"/>
  <cols>
    <col min="1" max="1" width="12" customWidth="1"/>
    <col min="2" max="2" width="22" customWidth="1"/>
    <col min="3" max="3" width="28" customWidth="1"/>
    <col min="4" max="4" width="48" customWidth="1"/>
    <col min="5" max="5" width="50" customWidth="1"/>
    <col min="6" max="6" width="48" customWidth="1"/>
    <col min="7" max="7" width="45" customWidth="1"/>
  </cols>
  <sheetData>
    <row r="1" spans="1:7" ht="28.05" customHeight="1">
      <c r="A1" s="31" t="s">
        <v>1187</v>
      </c>
      <c r="B1" s="31"/>
      <c r="C1" s="31"/>
      <c r="D1" s="31"/>
      <c r="E1" s="31"/>
      <c r="F1" s="31"/>
      <c r="G1" s="31"/>
    </row>
    <row r="2" spans="1:7" ht="34.049999999999997" customHeight="1">
      <c r="A2" s="32" t="s">
        <v>1188</v>
      </c>
      <c r="B2" s="32"/>
      <c r="C2" s="32"/>
      <c r="D2" s="32"/>
      <c r="E2" s="32"/>
      <c r="F2" s="32"/>
      <c r="G2" s="32"/>
    </row>
    <row r="4" spans="1:7" ht="38" customHeight="1">
      <c r="A4" s="13" t="s">
        <v>1189</v>
      </c>
      <c r="B4" s="14" t="s">
        <v>1190</v>
      </c>
      <c r="C4" s="14" t="s">
        <v>88</v>
      </c>
      <c r="D4" s="14" t="s">
        <v>1191</v>
      </c>
      <c r="E4" s="14" t="s">
        <v>1192</v>
      </c>
      <c r="F4" s="14" t="s">
        <v>1193</v>
      </c>
      <c r="G4" s="15" t="s">
        <v>1194</v>
      </c>
    </row>
    <row r="5" spans="1:7" ht="42" customHeight="1">
      <c r="A5" s="16" t="s">
        <v>1195</v>
      </c>
      <c r="B5" s="16" t="s">
        <v>1196</v>
      </c>
      <c r="C5" s="16" t="s">
        <v>1197</v>
      </c>
      <c r="D5" s="16" t="s">
        <v>1198</v>
      </c>
      <c r="E5" s="16" t="s">
        <v>1199</v>
      </c>
      <c r="F5" s="16" t="s">
        <v>1200</v>
      </c>
      <c r="G5" s="18" t="s">
        <v>1201</v>
      </c>
    </row>
    <row r="6" spans="1:7" ht="42" customHeight="1">
      <c r="A6" s="3" t="s">
        <v>1195</v>
      </c>
      <c r="B6" s="3" t="s">
        <v>1202</v>
      </c>
      <c r="C6" s="3" t="s">
        <v>1197</v>
      </c>
      <c r="D6" s="3" t="s">
        <v>1203</v>
      </c>
      <c r="E6" s="3" t="s">
        <v>1204</v>
      </c>
      <c r="F6" s="3" t="s">
        <v>1205</v>
      </c>
      <c r="G6" s="19" t="s">
        <v>1206</v>
      </c>
    </row>
    <row r="7" spans="1:7" ht="42" customHeight="1">
      <c r="A7" s="17" t="s">
        <v>1195</v>
      </c>
      <c r="B7" s="17" t="s">
        <v>71</v>
      </c>
      <c r="C7" s="17" t="s">
        <v>1207</v>
      </c>
      <c r="D7" s="17" t="s">
        <v>1208</v>
      </c>
      <c r="E7" s="17" t="s">
        <v>1209</v>
      </c>
      <c r="F7" s="17" t="s">
        <v>1210</v>
      </c>
      <c r="G7" s="20" t="s">
        <v>1211</v>
      </c>
    </row>
    <row r="8" spans="1:7" ht="42" customHeight="1">
      <c r="A8" s="3" t="s">
        <v>1212</v>
      </c>
      <c r="B8" s="3" t="s">
        <v>1213</v>
      </c>
      <c r="C8" s="3" t="s">
        <v>133</v>
      </c>
      <c r="D8" s="3" t="s">
        <v>1214</v>
      </c>
      <c r="E8" s="3" t="s">
        <v>1215</v>
      </c>
      <c r="F8" s="3" t="s">
        <v>1216</v>
      </c>
      <c r="G8" s="19" t="s">
        <v>355</v>
      </c>
    </row>
    <row r="9" spans="1:7" ht="42" customHeight="1">
      <c r="A9" s="17" t="s">
        <v>1212</v>
      </c>
      <c r="B9" s="17" t="s">
        <v>1217</v>
      </c>
      <c r="C9" s="17" t="s">
        <v>117</v>
      </c>
      <c r="D9" s="17" t="s">
        <v>1218</v>
      </c>
      <c r="E9" s="17" t="s">
        <v>1219</v>
      </c>
      <c r="F9" s="17" t="s">
        <v>1220</v>
      </c>
      <c r="G9" s="20" t="s">
        <v>349</v>
      </c>
    </row>
    <row r="10" spans="1:7" ht="42" customHeight="1">
      <c r="A10" s="3" t="s">
        <v>1212</v>
      </c>
      <c r="B10" s="3" t="s">
        <v>1221</v>
      </c>
      <c r="C10" s="3" t="s">
        <v>103</v>
      </c>
      <c r="D10" s="3" t="s">
        <v>1222</v>
      </c>
      <c r="E10" s="3" t="s">
        <v>1223</v>
      </c>
      <c r="F10" s="3" t="s">
        <v>1224</v>
      </c>
      <c r="G10" s="19" t="s">
        <v>544</v>
      </c>
    </row>
    <row r="11" spans="1:7" ht="42" customHeight="1">
      <c r="A11" s="17" t="s">
        <v>1225</v>
      </c>
      <c r="B11" s="17" t="s">
        <v>1226</v>
      </c>
      <c r="C11" s="17" t="s">
        <v>318</v>
      </c>
      <c r="D11" s="17" t="s">
        <v>1227</v>
      </c>
      <c r="E11" s="17" t="s">
        <v>1228</v>
      </c>
      <c r="F11" s="17" t="s">
        <v>1229</v>
      </c>
      <c r="G11" s="20" t="s">
        <v>588</v>
      </c>
    </row>
    <row r="12" spans="1:7" ht="42" customHeight="1">
      <c r="A12" s="3" t="s">
        <v>1212</v>
      </c>
      <c r="B12" s="3" t="s">
        <v>1230</v>
      </c>
      <c r="C12" s="3" t="s">
        <v>1231</v>
      </c>
      <c r="D12" s="3" t="s">
        <v>1232</v>
      </c>
      <c r="E12" s="3" t="s">
        <v>1233</v>
      </c>
      <c r="F12" s="3" t="s">
        <v>1234</v>
      </c>
      <c r="G12" s="19" t="s">
        <v>1235</v>
      </c>
    </row>
    <row r="13" spans="1:7" ht="42" customHeight="1">
      <c r="A13" s="17" t="s">
        <v>1212</v>
      </c>
      <c r="B13" s="17" t="s">
        <v>1236</v>
      </c>
      <c r="C13" s="17" t="s">
        <v>27</v>
      </c>
      <c r="D13" s="17" t="s">
        <v>1237</v>
      </c>
      <c r="E13" s="17" t="s">
        <v>1238</v>
      </c>
      <c r="F13" s="17" t="s">
        <v>1239</v>
      </c>
      <c r="G13" s="20" t="s">
        <v>418</v>
      </c>
    </row>
    <row r="14" spans="1:7" ht="42" customHeight="1">
      <c r="A14" s="4" t="s">
        <v>1225</v>
      </c>
      <c r="B14" s="4" t="s">
        <v>1240</v>
      </c>
      <c r="C14" s="4" t="s">
        <v>1241</v>
      </c>
      <c r="D14" s="4" t="s">
        <v>1242</v>
      </c>
      <c r="E14" s="4" t="s">
        <v>1243</v>
      </c>
      <c r="F14" s="4" t="s">
        <v>1244</v>
      </c>
      <c r="G14" s="21" t="s">
        <v>1245</v>
      </c>
    </row>
  </sheetData>
  <mergeCells count="2">
    <mergeCell ref="A1:G1"/>
    <mergeCell ref="A2:G2"/>
  </mergeCells>
  <phoneticPr fontId="8"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64"/>
  <sheetViews>
    <sheetView showGridLines="0" workbookViewId="0"/>
  </sheetViews>
  <sheetFormatPr defaultRowHeight="13.5"/>
  <cols>
    <col min="1" max="1" width="8" customWidth="1"/>
    <col min="2" max="2" width="28" customWidth="1"/>
    <col min="3" max="3" width="38" customWidth="1"/>
    <col min="4" max="4" width="18" customWidth="1"/>
    <col min="5" max="5" width="12" customWidth="1"/>
    <col min="6" max="7" width="48" customWidth="1"/>
    <col min="8" max="8" width="45" customWidth="1"/>
    <col min="9" max="9" width="50" customWidth="1"/>
  </cols>
  <sheetData>
    <row r="1" spans="1:9" ht="28.05" customHeight="1">
      <c r="A1" s="31" t="s">
        <v>1246</v>
      </c>
      <c r="B1" s="31"/>
      <c r="C1" s="31"/>
      <c r="D1" s="31"/>
      <c r="E1" s="31"/>
      <c r="F1" s="31"/>
      <c r="G1" s="31"/>
      <c r="H1" s="31"/>
      <c r="I1" s="31"/>
    </row>
    <row r="2" spans="1:9" ht="34.049999999999997" customHeight="1">
      <c r="A2" s="32" t="s">
        <v>1247</v>
      </c>
      <c r="B2" s="32"/>
      <c r="C2" s="32"/>
      <c r="D2" s="32"/>
      <c r="E2" s="32"/>
      <c r="F2" s="32"/>
      <c r="G2" s="32"/>
      <c r="H2" s="32"/>
      <c r="I2" s="32"/>
    </row>
    <row r="4" spans="1:9" ht="38" customHeight="1">
      <c r="A4" s="13" t="s">
        <v>87</v>
      </c>
      <c r="B4" s="14" t="s">
        <v>88</v>
      </c>
      <c r="C4" s="14" t="s">
        <v>92</v>
      </c>
      <c r="D4" s="14" t="s">
        <v>1248</v>
      </c>
      <c r="E4" s="14" t="s">
        <v>337</v>
      </c>
      <c r="F4" s="14" t="s">
        <v>1249</v>
      </c>
      <c r="G4" s="14" t="s">
        <v>1250</v>
      </c>
      <c r="H4" s="14" t="s">
        <v>1251</v>
      </c>
      <c r="I4" s="15" t="s">
        <v>1252</v>
      </c>
    </row>
    <row r="5" spans="1:9" ht="42" customHeight="1">
      <c r="A5" s="22">
        <v>1</v>
      </c>
      <c r="B5" s="16" t="s">
        <v>97</v>
      </c>
      <c r="C5" s="16" t="s">
        <v>100</v>
      </c>
      <c r="D5" s="16" t="s">
        <v>343</v>
      </c>
      <c r="E5" s="16">
        <v>200</v>
      </c>
      <c r="F5" s="18" t="s">
        <v>341</v>
      </c>
      <c r="G5" s="18" t="s">
        <v>341</v>
      </c>
      <c r="H5" s="16" t="s">
        <v>1253</v>
      </c>
      <c r="I5" s="16" t="s">
        <v>1254</v>
      </c>
    </row>
    <row r="6" spans="1:9" ht="42" customHeight="1">
      <c r="A6" s="23">
        <v>2</v>
      </c>
      <c r="B6" s="3" t="s">
        <v>103</v>
      </c>
      <c r="C6" s="3" t="s">
        <v>106</v>
      </c>
      <c r="D6" s="3" t="s">
        <v>343</v>
      </c>
      <c r="E6" s="3">
        <v>200</v>
      </c>
      <c r="F6" s="19" t="s">
        <v>345</v>
      </c>
      <c r="G6" s="19" t="s">
        <v>345</v>
      </c>
      <c r="H6" s="3" t="s">
        <v>1255</v>
      </c>
      <c r="I6" s="3" t="s">
        <v>1254</v>
      </c>
    </row>
    <row r="7" spans="1:9" ht="42" customHeight="1">
      <c r="A7" s="24">
        <v>3</v>
      </c>
      <c r="B7" s="17" t="s">
        <v>108</v>
      </c>
      <c r="C7" s="17" t="s">
        <v>111</v>
      </c>
      <c r="D7" s="17" t="s">
        <v>343</v>
      </c>
      <c r="E7" s="17">
        <v>200</v>
      </c>
      <c r="F7" s="20" t="s">
        <v>347</v>
      </c>
      <c r="G7" s="20" t="s">
        <v>347</v>
      </c>
      <c r="H7" s="17" t="s">
        <v>1256</v>
      </c>
      <c r="I7" s="17" t="s">
        <v>1254</v>
      </c>
    </row>
    <row r="8" spans="1:9" ht="42" customHeight="1">
      <c r="A8" s="23">
        <v>4</v>
      </c>
      <c r="B8" s="3" t="s">
        <v>113</v>
      </c>
      <c r="C8" s="3" t="s">
        <v>115</v>
      </c>
      <c r="D8" s="3" t="s">
        <v>343</v>
      </c>
      <c r="E8" s="3">
        <v>200</v>
      </c>
      <c r="F8" s="19" t="s">
        <v>348</v>
      </c>
      <c r="G8" s="19" t="s">
        <v>348</v>
      </c>
      <c r="H8" s="3" t="s">
        <v>1257</v>
      </c>
      <c r="I8" s="3" t="s">
        <v>1254</v>
      </c>
    </row>
    <row r="9" spans="1:9" ht="42" customHeight="1">
      <c r="A9" s="24">
        <v>5</v>
      </c>
      <c r="B9" s="17" t="s">
        <v>117</v>
      </c>
      <c r="C9" s="17" t="s">
        <v>119</v>
      </c>
      <c r="D9" s="17" t="s">
        <v>343</v>
      </c>
      <c r="E9" s="17">
        <v>200</v>
      </c>
      <c r="F9" s="20" t="s">
        <v>349</v>
      </c>
      <c r="G9" s="20" t="s">
        <v>349</v>
      </c>
      <c r="H9" s="17" t="s">
        <v>1258</v>
      </c>
      <c r="I9" s="17" t="s">
        <v>1254</v>
      </c>
    </row>
    <row r="10" spans="1:9" ht="42" customHeight="1">
      <c r="A10" s="23">
        <v>6</v>
      </c>
      <c r="B10" s="3" t="s">
        <v>121</v>
      </c>
      <c r="C10" s="3" t="s">
        <v>123</v>
      </c>
      <c r="D10" s="3" t="s">
        <v>343</v>
      </c>
      <c r="E10" s="3">
        <v>200</v>
      </c>
      <c r="F10" s="19" t="s">
        <v>351</v>
      </c>
      <c r="G10" s="19" t="s">
        <v>351</v>
      </c>
      <c r="H10" s="3" t="s">
        <v>1259</v>
      </c>
      <c r="I10" s="3" t="s">
        <v>1254</v>
      </c>
    </row>
    <row r="11" spans="1:9" ht="42" customHeight="1">
      <c r="A11" s="24">
        <v>7</v>
      </c>
      <c r="B11" s="17" t="s">
        <v>125</v>
      </c>
      <c r="C11" s="17" t="s">
        <v>126</v>
      </c>
      <c r="D11" s="17" t="s">
        <v>343</v>
      </c>
      <c r="E11" s="17">
        <v>200</v>
      </c>
      <c r="F11" s="20" t="s">
        <v>352</v>
      </c>
      <c r="G11" s="20" t="s">
        <v>352</v>
      </c>
      <c r="H11" s="17" t="s">
        <v>1260</v>
      </c>
      <c r="I11" s="17" t="s">
        <v>1254</v>
      </c>
    </row>
    <row r="12" spans="1:9" ht="42" customHeight="1">
      <c r="A12" s="23">
        <v>8</v>
      </c>
      <c r="B12" s="3" t="s">
        <v>128</v>
      </c>
      <c r="C12" s="3" t="s">
        <v>130</v>
      </c>
      <c r="D12" s="3" t="s">
        <v>343</v>
      </c>
      <c r="E12" s="3">
        <v>200</v>
      </c>
      <c r="F12" s="19" t="s">
        <v>353</v>
      </c>
      <c r="G12" s="19" t="s">
        <v>353</v>
      </c>
      <c r="H12" s="3" t="s">
        <v>130</v>
      </c>
      <c r="I12" s="3" t="s">
        <v>1254</v>
      </c>
    </row>
    <row r="13" spans="1:9" ht="42" customHeight="1">
      <c r="A13" s="24">
        <v>9</v>
      </c>
      <c r="B13" s="17" t="s">
        <v>133</v>
      </c>
      <c r="C13" s="17" t="s">
        <v>135</v>
      </c>
      <c r="D13" s="17" t="s">
        <v>343</v>
      </c>
      <c r="E13" s="17">
        <v>200</v>
      </c>
      <c r="F13" s="20" t="s">
        <v>355</v>
      </c>
      <c r="G13" s="20" t="s">
        <v>355</v>
      </c>
      <c r="H13" s="17" t="s">
        <v>1261</v>
      </c>
      <c r="I13" s="17" t="s">
        <v>1254</v>
      </c>
    </row>
    <row r="14" spans="1:9" ht="42" customHeight="1">
      <c r="A14" s="23">
        <v>10</v>
      </c>
      <c r="B14" s="3" t="s">
        <v>137</v>
      </c>
      <c r="C14" s="3" t="s">
        <v>139</v>
      </c>
      <c r="D14" s="3" t="s">
        <v>343</v>
      </c>
      <c r="E14" s="3">
        <v>200</v>
      </c>
      <c r="F14" s="19" t="s">
        <v>357</v>
      </c>
      <c r="G14" s="19" t="s">
        <v>357</v>
      </c>
      <c r="H14" s="3" t="s">
        <v>1262</v>
      </c>
      <c r="I14" s="3" t="s">
        <v>1254</v>
      </c>
    </row>
    <row r="15" spans="1:9" ht="42" customHeight="1">
      <c r="A15" s="24">
        <v>11</v>
      </c>
      <c r="B15" s="17" t="s">
        <v>142</v>
      </c>
      <c r="C15" s="17" t="s">
        <v>144</v>
      </c>
      <c r="D15" s="17" t="s">
        <v>343</v>
      </c>
      <c r="E15" s="17">
        <v>200</v>
      </c>
      <c r="F15" s="20" t="s">
        <v>359</v>
      </c>
      <c r="G15" s="20" t="s">
        <v>359</v>
      </c>
      <c r="H15" s="17" t="s">
        <v>1263</v>
      </c>
      <c r="I15" s="17" t="s">
        <v>1254</v>
      </c>
    </row>
    <row r="16" spans="1:9" ht="42" customHeight="1">
      <c r="A16" s="23">
        <v>12</v>
      </c>
      <c r="B16" s="3" t="s">
        <v>146</v>
      </c>
      <c r="C16" s="3" t="s">
        <v>147</v>
      </c>
      <c r="D16" s="3" t="s">
        <v>362</v>
      </c>
      <c r="E16" s="3">
        <v>403</v>
      </c>
      <c r="F16" s="19" t="s">
        <v>361</v>
      </c>
      <c r="G16" s="19" t="s">
        <v>361</v>
      </c>
      <c r="H16" s="3" t="s">
        <v>1264</v>
      </c>
      <c r="I16" s="3" t="s">
        <v>1265</v>
      </c>
    </row>
    <row r="17" spans="1:9" ht="42" customHeight="1">
      <c r="A17" s="24">
        <v>13</v>
      </c>
      <c r="B17" s="17" t="s">
        <v>149</v>
      </c>
      <c r="C17" s="17" t="s">
        <v>151</v>
      </c>
      <c r="D17" s="17" t="s">
        <v>343</v>
      </c>
      <c r="E17" s="17">
        <v>200</v>
      </c>
      <c r="F17" s="20" t="s">
        <v>363</v>
      </c>
      <c r="G17" s="20" t="s">
        <v>363</v>
      </c>
      <c r="H17" s="17" t="s">
        <v>1266</v>
      </c>
      <c r="I17" s="17" t="s">
        <v>1254</v>
      </c>
    </row>
    <row r="18" spans="1:9" ht="42" customHeight="1">
      <c r="A18" s="23">
        <v>14</v>
      </c>
      <c r="B18" s="3" t="s">
        <v>153</v>
      </c>
      <c r="C18" s="3" t="s">
        <v>155</v>
      </c>
      <c r="D18" s="3" t="s">
        <v>343</v>
      </c>
      <c r="E18" s="3">
        <v>200</v>
      </c>
      <c r="F18" s="19" t="s">
        <v>365</v>
      </c>
      <c r="G18" s="19" t="s">
        <v>365</v>
      </c>
      <c r="H18" s="3" t="s">
        <v>1267</v>
      </c>
      <c r="I18" s="3" t="s">
        <v>1254</v>
      </c>
    </row>
    <row r="19" spans="1:9" ht="42" customHeight="1">
      <c r="A19" s="24">
        <v>15</v>
      </c>
      <c r="B19" s="17" t="s">
        <v>157</v>
      </c>
      <c r="C19" s="17" t="s">
        <v>159</v>
      </c>
      <c r="D19" s="17" t="s">
        <v>343</v>
      </c>
      <c r="E19" s="17">
        <v>200</v>
      </c>
      <c r="F19" s="20" t="s">
        <v>367</v>
      </c>
      <c r="G19" s="20" t="s">
        <v>367</v>
      </c>
      <c r="H19" s="17" t="s">
        <v>1268</v>
      </c>
      <c r="I19" s="17" t="s">
        <v>1254</v>
      </c>
    </row>
    <row r="20" spans="1:9" ht="42" customHeight="1">
      <c r="A20" s="23">
        <v>16</v>
      </c>
      <c r="B20" s="3" t="s">
        <v>161</v>
      </c>
      <c r="C20" s="3" t="s">
        <v>163</v>
      </c>
      <c r="D20" s="3" t="s">
        <v>343</v>
      </c>
      <c r="E20" s="3">
        <v>200</v>
      </c>
      <c r="F20" s="19" t="s">
        <v>368</v>
      </c>
      <c r="G20" s="19" t="s">
        <v>368</v>
      </c>
      <c r="H20" s="3" t="s">
        <v>1269</v>
      </c>
      <c r="I20" s="3" t="s">
        <v>1254</v>
      </c>
    </row>
    <row r="21" spans="1:9" ht="42" customHeight="1">
      <c r="A21" s="24">
        <v>17</v>
      </c>
      <c r="B21" s="17" t="s">
        <v>165</v>
      </c>
      <c r="C21" s="17" t="s">
        <v>166</v>
      </c>
      <c r="D21" s="17" t="s">
        <v>343</v>
      </c>
      <c r="E21" s="17">
        <v>200</v>
      </c>
      <c r="F21" s="20" t="s">
        <v>369</v>
      </c>
      <c r="G21" s="20" t="s">
        <v>1270</v>
      </c>
      <c r="H21" s="17" t="s">
        <v>1271</v>
      </c>
      <c r="I21" s="17" t="s">
        <v>1254</v>
      </c>
    </row>
    <row r="22" spans="1:9" ht="42" customHeight="1">
      <c r="A22" s="23">
        <v>18</v>
      </c>
      <c r="B22" s="3" t="s">
        <v>168</v>
      </c>
      <c r="C22" s="3" t="s">
        <v>169</v>
      </c>
      <c r="D22" s="3" t="s">
        <v>343</v>
      </c>
      <c r="E22" s="3">
        <v>200</v>
      </c>
      <c r="F22" s="19" t="s">
        <v>370</v>
      </c>
      <c r="G22" s="19" t="s">
        <v>370</v>
      </c>
      <c r="H22" s="3" t="s">
        <v>1272</v>
      </c>
      <c r="I22" s="3" t="s">
        <v>1254</v>
      </c>
    </row>
    <row r="23" spans="1:9" ht="42" customHeight="1">
      <c r="A23" s="24">
        <v>19</v>
      </c>
      <c r="B23" s="17" t="s">
        <v>171</v>
      </c>
      <c r="C23" s="17" t="s">
        <v>173</v>
      </c>
      <c r="D23" s="17" t="s">
        <v>343</v>
      </c>
      <c r="E23" s="17">
        <v>200</v>
      </c>
      <c r="F23" s="20" t="s">
        <v>371</v>
      </c>
      <c r="G23" s="20" t="s">
        <v>371</v>
      </c>
      <c r="H23" s="17" t="s">
        <v>1273</v>
      </c>
      <c r="I23" s="17" t="s">
        <v>1254</v>
      </c>
    </row>
    <row r="24" spans="1:9" ht="42" customHeight="1">
      <c r="A24" s="23">
        <v>20</v>
      </c>
      <c r="B24" s="3" t="s">
        <v>175</v>
      </c>
      <c r="C24" s="3" t="s">
        <v>177</v>
      </c>
      <c r="D24" s="3" t="s">
        <v>343</v>
      </c>
      <c r="E24" s="3">
        <v>200</v>
      </c>
      <c r="F24" s="19" t="s">
        <v>372</v>
      </c>
      <c r="G24" s="19" t="s">
        <v>372</v>
      </c>
      <c r="H24" s="3" t="s">
        <v>1274</v>
      </c>
      <c r="I24" s="3" t="s">
        <v>1254</v>
      </c>
    </row>
    <row r="25" spans="1:9" ht="42" customHeight="1">
      <c r="A25" s="24">
        <v>21</v>
      </c>
      <c r="B25" s="17" t="s">
        <v>179</v>
      </c>
      <c r="C25" s="17" t="s">
        <v>181</v>
      </c>
      <c r="D25" s="17" t="s">
        <v>343</v>
      </c>
      <c r="E25" s="17">
        <v>200</v>
      </c>
      <c r="F25" s="20" t="s">
        <v>373</v>
      </c>
      <c r="G25" s="20" t="s">
        <v>373</v>
      </c>
      <c r="H25" s="17" t="s">
        <v>1275</v>
      </c>
      <c r="I25" s="17" t="s">
        <v>1254</v>
      </c>
    </row>
    <row r="26" spans="1:9" ht="42" customHeight="1">
      <c r="A26" s="23">
        <v>22</v>
      </c>
      <c r="B26" s="3" t="s">
        <v>183</v>
      </c>
      <c r="C26" s="3" t="s">
        <v>185</v>
      </c>
      <c r="D26" s="3" t="s">
        <v>343</v>
      </c>
      <c r="E26" s="3">
        <v>200</v>
      </c>
      <c r="F26" s="19" t="s">
        <v>374</v>
      </c>
      <c r="G26" s="19" t="s">
        <v>1276</v>
      </c>
      <c r="H26" s="3" t="s">
        <v>1277</v>
      </c>
      <c r="I26" s="3" t="s">
        <v>1254</v>
      </c>
    </row>
    <row r="27" spans="1:9" ht="42" customHeight="1">
      <c r="A27" s="24">
        <v>23</v>
      </c>
      <c r="B27" s="17" t="s">
        <v>187</v>
      </c>
      <c r="C27" s="17" t="s">
        <v>189</v>
      </c>
      <c r="D27" s="17" t="s">
        <v>343</v>
      </c>
      <c r="E27" s="17">
        <v>200</v>
      </c>
      <c r="F27" s="20" t="s">
        <v>375</v>
      </c>
      <c r="G27" s="20" t="s">
        <v>375</v>
      </c>
      <c r="H27" s="17" t="s">
        <v>1278</v>
      </c>
      <c r="I27" s="17" t="s">
        <v>1254</v>
      </c>
    </row>
    <row r="28" spans="1:9" ht="42" customHeight="1">
      <c r="A28" s="23">
        <v>24</v>
      </c>
      <c r="B28" s="3" t="s">
        <v>191</v>
      </c>
      <c r="C28" s="3" t="s">
        <v>192</v>
      </c>
      <c r="D28" s="3" t="s">
        <v>343</v>
      </c>
      <c r="E28" s="3">
        <v>200</v>
      </c>
      <c r="F28" s="19" t="s">
        <v>376</v>
      </c>
      <c r="G28" s="19" t="s">
        <v>376</v>
      </c>
      <c r="H28" s="3" t="s">
        <v>1279</v>
      </c>
      <c r="I28" s="3" t="s">
        <v>1254</v>
      </c>
    </row>
    <row r="29" spans="1:9" ht="42" customHeight="1">
      <c r="A29" s="24">
        <v>25</v>
      </c>
      <c r="B29" s="17" t="s">
        <v>194</v>
      </c>
      <c r="C29" s="17" t="s">
        <v>195</v>
      </c>
      <c r="D29" s="17" t="s">
        <v>343</v>
      </c>
      <c r="E29" s="17">
        <v>200</v>
      </c>
      <c r="F29" s="20" t="s">
        <v>378</v>
      </c>
      <c r="G29" s="20" t="s">
        <v>378</v>
      </c>
      <c r="H29" s="17" t="s">
        <v>1280</v>
      </c>
      <c r="I29" s="17" t="s">
        <v>1254</v>
      </c>
    </row>
    <row r="30" spans="1:9" ht="42" customHeight="1">
      <c r="A30" s="23">
        <v>26</v>
      </c>
      <c r="B30" s="3" t="s">
        <v>197</v>
      </c>
      <c r="C30" s="3" t="s">
        <v>198</v>
      </c>
      <c r="D30" s="3" t="s">
        <v>343</v>
      </c>
      <c r="E30" s="3">
        <v>200</v>
      </c>
      <c r="F30" s="19" t="s">
        <v>380</v>
      </c>
      <c r="G30" s="19" t="s">
        <v>380</v>
      </c>
      <c r="H30" s="3" t="s">
        <v>1281</v>
      </c>
      <c r="I30" s="3" t="s">
        <v>1254</v>
      </c>
    </row>
    <row r="31" spans="1:9" ht="42" customHeight="1">
      <c r="A31" s="24">
        <v>27</v>
      </c>
      <c r="B31" s="17" t="s">
        <v>201</v>
      </c>
      <c r="C31" s="17" t="s">
        <v>203</v>
      </c>
      <c r="D31" s="17" t="s">
        <v>343</v>
      </c>
      <c r="E31" s="17">
        <v>200</v>
      </c>
      <c r="F31" s="20" t="s">
        <v>381</v>
      </c>
      <c r="G31" s="20" t="s">
        <v>381</v>
      </c>
      <c r="H31" s="17" t="s">
        <v>1282</v>
      </c>
      <c r="I31" s="17" t="s">
        <v>1254</v>
      </c>
    </row>
    <row r="32" spans="1:9" ht="42" customHeight="1">
      <c r="A32" s="23">
        <v>28</v>
      </c>
      <c r="B32" s="3" t="s">
        <v>206</v>
      </c>
      <c r="C32" s="3" t="s">
        <v>209</v>
      </c>
      <c r="D32" s="3" t="s">
        <v>343</v>
      </c>
      <c r="E32" s="3">
        <v>200</v>
      </c>
      <c r="F32" s="19" t="s">
        <v>382</v>
      </c>
      <c r="G32" s="19" t="s">
        <v>382</v>
      </c>
      <c r="H32" s="3" t="s">
        <v>1283</v>
      </c>
      <c r="I32" s="3" t="s">
        <v>1254</v>
      </c>
    </row>
    <row r="33" spans="1:9" ht="42" customHeight="1">
      <c r="A33" s="24">
        <v>29</v>
      </c>
      <c r="B33" s="17" t="s">
        <v>211</v>
      </c>
      <c r="C33" s="17" t="s">
        <v>144</v>
      </c>
      <c r="D33" s="17" t="s">
        <v>343</v>
      </c>
      <c r="E33" s="17">
        <v>200</v>
      </c>
      <c r="F33" s="20" t="s">
        <v>383</v>
      </c>
      <c r="G33" s="20" t="s">
        <v>383</v>
      </c>
      <c r="H33" s="17" t="s">
        <v>1284</v>
      </c>
      <c r="I33" s="17" t="s">
        <v>1254</v>
      </c>
    </row>
    <row r="34" spans="1:9" ht="42" customHeight="1">
      <c r="A34" s="23">
        <v>30</v>
      </c>
      <c r="B34" s="3" t="s">
        <v>215</v>
      </c>
      <c r="C34" s="3" t="s">
        <v>216</v>
      </c>
      <c r="D34" s="3" t="s">
        <v>343</v>
      </c>
      <c r="E34" s="3">
        <v>200</v>
      </c>
      <c r="F34" s="19" t="s">
        <v>384</v>
      </c>
      <c r="G34" s="19" t="s">
        <v>384</v>
      </c>
      <c r="H34" s="3" t="s">
        <v>1285</v>
      </c>
      <c r="I34" s="3" t="s">
        <v>1254</v>
      </c>
    </row>
    <row r="35" spans="1:9" ht="42" customHeight="1">
      <c r="A35" s="24">
        <v>49</v>
      </c>
      <c r="B35" s="17" t="s">
        <v>273</v>
      </c>
      <c r="C35" s="17" t="s">
        <v>274</v>
      </c>
      <c r="D35" s="17" t="s">
        <v>343</v>
      </c>
      <c r="E35" s="17">
        <v>200</v>
      </c>
      <c r="F35" s="20" t="s">
        <v>385</v>
      </c>
      <c r="G35" s="20" t="s">
        <v>385</v>
      </c>
      <c r="H35" s="17" t="s">
        <v>1286</v>
      </c>
      <c r="I35" s="17" t="s">
        <v>1254</v>
      </c>
    </row>
    <row r="36" spans="1:9" ht="42" customHeight="1">
      <c r="A36" s="23">
        <v>52</v>
      </c>
      <c r="B36" s="3" t="s">
        <v>219</v>
      </c>
      <c r="C36" s="3" t="s">
        <v>220</v>
      </c>
      <c r="D36" s="3" t="s">
        <v>362</v>
      </c>
      <c r="E36" s="3">
        <v>403</v>
      </c>
      <c r="F36" s="19" t="s">
        <v>388</v>
      </c>
      <c r="G36" s="19" t="s">
        <v>388</v>
      </c>
      <c r="H36" s="3" t="s">
        <v>1264</v>
      </c>
      <c r="I36" s="3" t="s">
        <v>1265</v>
      </c>
    </row>
    <row r="37" spans="1:9" ht="42" customHeight="1">
      <c r="A37" s="24">
        <v>53</v>
      </c>
      <c r="B37" s="17" t="s">
        <v>223</v>
      </c>
      <c r="C37" s="17" t="s">
        <v>224</v>
      </c>
      <c r="D37" s="17" t="s">
        <v>343</v>
      </c>
      <c r="E37" s="17">
        <v>200</v>
      </c>
      <c r="F37" s="20" t="s">
        <v>390</v>
      </c>
      <c r="G37" s="20" t="s">
        <v>390</v>
      </c>
      <c r="H37" s="17" t="s">
        <v>1287</v>
      </c>
      <c r="I37" s="17" t="s">
        <v>1254</v>
      </c>
    </row>
    <row r="38" spans="1:9" ht="42" customHeight="1">
      <c r="A38" s="23">
        <v>54</v>
      </c>
      <c r="B38" s="3" t="s">
        <v>226</v>
      </c>
      <c r="C38" s="3" t="s">
        <v>216</v>
      </c>
      <c r="D38" s="3" t="s">
        <v>343</v>
      </c>
      <c r="E38" s="3">
        <v>200</v>
      </c>
      <c r="F38" s="19" t="s">
        <v>392</v>
      </c>
      <c r="G38" s="19" t="s">
        <v>392</v>
      </c>
      <c r="H38" s="3" t="s">
        <v>1288</v>
      </c>
      <c r="I38" s="3" t="s">
        <v>1254</v>
      </c>
    </row>
    <row r="39" spans="1:9" ht="42" customHeight="1">
      <c r="A39" s="24">
        <v>55</v>
      </c>
      <c r="B39" s="17" t="s">
        <v>228</v>
      </c>
      <c r="C39" s="17" t="s">
        <v>230</v>
      </c>
      <c r="D39" s="17" t="s">
        <v>343</v>
      </c>
      <c r="E39" s="17">
        <v>200</v>
      </c>
      <c r="F39" s="20" t="s">
        <v>394</v>
      </c>
      <c r="G39" s="20" t="s">
        <v>394</v>
      </c>
      <c r="H39" s="17" t="s">
        <v>1289</v>
      </c>
      <c r="I39" s="17" t="s">
        <v>1254</v>
      </c>
    </row>
    <row r="40" spans="1:9" ht="42" customHeight="1">
      <c r="A40" s="23">
        <v>56</v>
      </c>
      <c r="B40" s="3" t="s">
        <v>232</v>
      </c>
      <c r="C40" s="3" t="s">
        <v>234</v>
      </c>
      <c r="D40" s="3" t="s">
        <v>343</v>
      </c>
      <c r="E40" s="3">
        <v>200</v>
      </c>
      <c r="F40" s="19" t="s">
        <v>396</v>
      </c>
      <c r="G40" s="19" t="s">
        <v>396</v>
      </c>
      <c r="H40" s="3" t="s">
        <v>1290</v>
      </c>
      <c r="I40" s="3" t="s">
        <v>1254</v>
      </c>
    </row>
    <row r="41" spans="1:9" ht="42" customHeight="1">
      <c r="A41" s="24">
        <v>57</v>
      </c>
      <c r="B41" s="17" t="s">
        <v>236</v>
      </c>
      <c r="C41" s="17" t="s">
        <v>238</v>
      </c>
      <c r="D41" s="17" t="s">
        <v>343</v>
      </c>
      <c r="E41" s="17">
        <v>200</v>
      </c>
      <c r="F41" s="20" t="s">
        <v>398</v>
      </c>
      <c r="G41" s="20" t="s">
        <v>398</v>
      </c>
      <c r="H41" s="17" t="s">
        <v>1291</v>
      </c>
      <c r="I41" s="17" t="s">
        <v>1254</v>
      </c>
    </row>
    <row r="42" spans="1:9" ht="42" customHeight="1">
      <c r="A42" s="23">
        <v>58</v>
      </c>
      <c r="B42" s="3" t="s">
        <v>240</v>
      </c>
      <c r="C42" s="3" t="s">
        <v>241</v>
      </c>
      <c r="D42" s="3" t="s">
        <v>343</v>
      </c>
      <c r="E42" s="3">
        <v>200</v>
      </c>
      <c r="F42" s="19" t="s">
        <v>400</v>
      </c>
      <c r="G42" s="19" t="s">
        <v>400</v>
      </c>
      <c r="H42" s="3" t="s">
        <v>1292</v>
      </c>
      <c r="I42" s="3" t="s">
        <v>1254</v>
      </c>
    </row>
    <row r="43" spans="1:9" ht="42" customHeight="1">
      <c r="A43" s="24">
        <v>59</v>
      </c>
      <c r="B43" s="17" t="s">
        <v>243</v>
      </c>
      <c r="C43" s="17" t="s">
        <v>245</v>
      </c>
      <c r="D43" s="17" t="s">
        <v>343</v>
      </c>
      <c r="E43" s="17">
        <v>200</v>
      </c>
      <c r="F43" s="20" t="s">
        <v>402</v>
      </c>
      <c r="G43" s="20" t="s">
        <v>402</v>
      </c>
      <c r="H43" s="17" t="s">
        <v>1293</v>
      </c>
      <c r="I43" s="17" t="s">
        <v>1254</v>
      </c>
    </row>
    <row r="44" spans="1:9" ht="42" customHeight="1">
      <c r="A44" s="23">
        <v>60</v>
      </c>
      <c r="B44" s="3" t="s">
        <v>247</v>
      </c>
      <c r="C44" s="3" t="s">
        <v>249</v>
      </c>
      <c r="D44" s="3" t="s">
        <v>343</v>
      </c>
      <c r="E44" s="3">
        <v>200</v>
      </c>
      <c r="F44" s="19" t="s">
        <v>404</v>
      </c>
      <c r="G44" s="19" t="s">
        <v>404</v>
      </c>
      <c r="H44" s="3" t="s">
        <v>1294</v>
      </c>
      <c r="I44" s="3" t="s">
        <v>1254</v>
      </c>
    </row>
    <row r="45" spans="1:9" ht="42" customHeight="1">
      <c r="A45" s="24">
        <v>61</v>
      </c>
      <c r="B45" s="17" t="s">
        <v>251</v>
      </c>
      <c r="C45" s="17" t="s">
        <v>163</v>
      </c>
      <c r="D45" s="17" t="s">
        <v>343</v>
      </c>
      <c r="E45" s="17">
        <v>200</v>
      </c>
      <c r="F45" s="20" t="s">
        <v>406</v>
      </c>
      <c r="G45" s="20" t="s">
        <v>406</v>
      </c>
      <c r="H45" s="17" t="s">
        <v>1295</v>
      </c>
      <c r="I45" s="17" t="s">
        <v>1254</v>
      </c>
    </row>
    <row r="46" spans="1:9" ht="42" customHeight="1">
      <c r="A46" s="23">
        <v>62</v>
      </c>
      <c r="B46" s="3" t="s">
        <v>253</v>
      </c>
      <c r="C46" s="3" t="s">
        <v>254</v>
      </c>
      <c r="D46" s="3" t="s">
        <v>343</v>
      </c>
      <c r="E46" s="3">
        <v>200</v>
      </c>
      <c r="F46" s="19" t="s">
        <v>408</v>
      </c>
      <c r="G46" s="19" t="s">
        <v>408</v>
      </c>
      <c r="H46" s="3" t="s">
        <v>1296</v>
      </c>
      <c r="I46" s="3" t="s">
        <v>1254</v>
      </c>
    </row>
    <row r="47" spans="1:9" ht="42" customHeight="1">
      <c r="A47" s="24">
        <v>63</v>
      </c>
      <c r="B47" s="17" t="s">
        <v>256</v>
      </c>
      <c r="C47" s="17" t="s">
        <v>258</v>
      </c>
      <c r="D47" s="17" t="s">
        <v>411</v>
      </c>
      <c r="E47" s="17"/>
      <c r="F47" s="20" t="s">
        <v>410</v>
      </c>
      <c r="G47" s="20"/>
      <c r="H47" s="17"/>
      <c r="I47" s="17" t="s">
        <v>1297</v>
      </c>
    </row>
    <row r="48" spans="1:9" ht="42" customHeight="1">
      <c r="A48" s="23">
        <v>64</v>
      </c>
      <c r="B48" s="3" t="s">
        <v>260</v>
      </c>
      <c r="C48" s="3" t="s">
        <v>261</v>
      </c>
      <c r="D48" s="3" t="s">
        <v>343</v>
      </c>
      <c r="E48" s="3">
        <v>200</v>
      </c>
      <c r="F48" s="19" t="s">
        <v>413</v>
      </c>
      <c r="G48" s="19" t="s">
        <v>413</v>
      </c>
      <c r="H48" s="3" t="s">
        <v>1298</v>
      </c>
      <c r="I48" s="3" t="s">
        <v>1254</v>
      </c>
    </row>
    <row r="49" spans="1:9" ht="42" customHeight="1">
      <c r="A49" s="24">
        <v>65</v>
      </c>
      <c r="B49" s="17" t="s">
        <v>263</v>
      </c>
      <c r="C49" s="17" t="s">
        <v>264</v>
      </c>
      <c r="D49" s="17" t="s">
        <v>362</v>
      </c>
      <c r="E49" s="17">
        <v>403</v>
      </c>
      <c r="F49" s="20" t="s">
        <v>415</v>
      </c>
      <c r="G49" s="20" t="s">
        <v>415</v>
      </c>
      <c r="H49" s="17" t="s">
        <v>1264</v>
      </c>
      <c r="I49" s="17" t="s">
        <v>1265</v>
      </c>
    </row>
    <row r="50" spans="1:9" ht="42" customHeight="1">
      <c r="A50" s="23">
        <v>66</v>
      </c>
      <c r="B50" s="3" t="s">
        <v>27</v>
      </c>
      <c r="C50" s="3" t="s">
        <v>267</v>
      </c>
      <c r="D50" s="3" t="s">
        <v>343</v>
      </c>
      <c r="E50" s="3">
        <v>200</v>
      </c>
      <c r="F50" s="19" t="s">
        <v>418</v>
      </c>
      <c r="G50" s="19" t="s">
        <v>418</v>
      </c>
      <c r="H50" s="3" t="s">
        <v>1299</v>
      </c>
      <c r="I50" s="3" t="s">
        <v>1254</v>
      </c>
    </row>
    <row r="51" spans="1:9" ht="42" customHeight="1">
      <c r="A51" s="24">
        <v>67</v>
      </c>
      <c r="B51" s="17" t="s">
        <v>269</v>
      </c>
      <c r="C51" s="17" t="s">
        <v>271</v>
      </c>
      <c r="D51" s="17" t="s">
        <v>411</v>
      </c>
      <c r="E51" s="17"/>
      <c r="F51" s="20" t="s">
        <v>420</v>
      </c>
      <c r="G51" s="20"/>
      <c r="H51" s="17"/>
      <c r="I51" s="17" t="s">
        <v>1297</v>
      </c>
    </row>
    <row r="52" spans="1:9" ht="42" customHeight="1">
      <c r="A52" s="23">
        <v>68</v>
      </c>
      <c r="B52" s="3" t="s">
        <v>277</v>
      </c>
      <c r="C52" s="3" t="s">
        <v>278</v>
      </c>
      <c r="D52" s="3" t="s">
        <v>343</v>
      </c>
      <c r="E52" s="3">
        <v>200</v>
      </c>
      <c r="F52" s="19" t="s">
        <v>421</v>
      </c>
      <c r="G52" s="19" t="s">
        <v>421</v>
      </c>
      <c r="H52" s="3" t="s">
        <v>1300</v>
      </c>
      <c r="I52" s="3" t="s">
        <v>1254</v>
      </c>
    </row>
    <row r="53" spans="1:9" ht="42" customHeight="1">
      <c r="A53" s="24">
        <v>69</v>
      </c>
      <c r="B53" s="17" t="s">
        <v>280</v>
      </c>
      <c r="C53" s="17" t="s">
        <v>282</v>
      </c>
      <c r="D53" s="17" t="s">
        <v>411</v>
      </c>
      <c r="E53" s="17"/>
      <c r="F53" s="20" t="s">
        <v>423</v>
      </c>
      <c r="G53" s="20"/>
      <c r="H53" s="17"/>
      <c r="I53" s="17" t="s">
        <v>1297</v>
      </c>
    </row>
    <row r="54" spans="1:9" ht="42" customHeight="1">
      <c r="A54" s="23">
        <v>70</v>
      </c>
      <c r="B54" s="3" t="s">
        <v>284</v>
      </c>
      <c r="C54" s="3" t="s">
        <v>144</v>
      </c>
      <c r="D54" s="3" t="s">
        <v>343</v>
      </c>
      <c r="E54" s="3">
        <v>200</v>
      </c>
      <c r="F54" s="19" t="s">
        <v>424</v>
      </c>
      <c r="G54" s="19" t="s">
        <v>424</v>
      </c>
      <c r="H54" s="3" t="s">
        <v>1301</v>
      </c>
      <c r="I54" s="3" t="s">
        <v>1254</v>
      </c>
    </row>
    <row r="55" spans="1:9" ht="42" customHeight="1">
      <c r="A55" s="24">
        <v>71</v>
      </c>
      <c r="B55" s="17" t="s">
        <v>288</v>
      </c>
      <c r="C55" s="17" t="s">
        <v>290</v>
      </c>
      <c r="D55" s="17" t="s">
        <v>343</v>
      </c>
      <c r="E55" s="17">
        <v>200</v>
      </c>
      <c r="F55" s="20" t="s">
        <v>426</v>
      </c>
      <c r="G55" s="20" t="s">
        <v>426</v>
      </c>
      <c r="H55" s="17" t="s">
        <v>1302</v>
      </c>
      <c r="I55" s="17" t="s">
        <v>1254</v>
      </c>
    </row>
    <row r="56" spans="1:9" ht="42" customHeight="1">
      <c r="A56" s="23">
        <v>72</v>
      </c>
      <c r="B56" s="3" t="s">
        <v>292</v>
      </c>
      <c r="C56" s="3" t="s">
        <v>295</v>
      </c>
      <c r="D56" s="3" t="s">
        <v>343</v>
      </c>
      <c r="E56" s="3">
        <v>200</v>
      </c>
      <c r="F56" s="19" t="s">
        <v>427</v>
      </c>
      <c r="G56" s="19" t="s">
        <v>427</v>
      </c>
      <c r="H56" s="3" t="s">
        <v>1303</v>
      </c>
      <c r="I56" s="3" t="s">
        <v>1254</v>
      </c>
    </row>
    <row r="57" spans="1:9" ht="42" customHeight="1">
      <c r="A57" s="24">
        <v>73</v>
      </c>
      <c r="B57" s="17" t="s">
        <v>297</v>
      </c>
      <c r="C57" s="17" t="s">
        <v>299</v>
      </c>
      <c r="D57" s="17" t="s">
        <v>343</v>
      </c>
      <c r="E57" s="17">
        <v>200</v>
      </c>
      <c r="F57" s="20" t="s">
        <v>428</v>
      </c>
      <c r="G57" s="20" t="s">
        <v>428</v>
      </c>
      <c r="H57" s="17" t="s">
        <v>1304</v>
      </c>
      <c r="I57" s="17" t="s">
        <v>1254</v>
      </c>
    </row>
    <row r="58" spans="1:9" ht="42" customHeight="1">
      <c r="A58" s="23">
        <v>74</v>
      </c>
      <c r="B58" s="3" t="s">
        <v>301</v>
      </c>
      <c r="C58" s="3" t="s">
        <v>302</v>
      </c>
      <c r="D58" s="3" t="s">
        <v>343</v>
      </c>
      <c r="E58" s="3">
        <v>200</v>
      </c>
      <c r="F58" s="19" t="s">
        <v>430</v>
      </c>
      <c r="G58" s="19" t="s">
        <v>430</v>
      </c>
      <c r="H58" s="3" t="s">
        <v>1305</v>
      </c>
      <c r="I58" s="3" t="s">
        <v>1254</v>
      </c>
    </row>
    <row r="59" spans="1:9" ht="42" customHeight="1">
      <c r="A59" s="24">
        <v>76</v>
      </c>
      <c r="B59" s="17" t="s">
        <v>304</v>
      </c>
      <c r="C59" s="17" t="s">
        <v>185</v>
      </c>
      <c r="D59" s="17" t="s">
        <v>343</v>
      </c>
      <c r="E59" s="17">
        <v>200</v>
      </c>
      <c r="F59" s="20" t="s">
        <v>432</v>
      </c>
      <c r="G59" s="20" t="s">
        <v>432</v>
      </c>
      <c r="H59" s="17" t="s">
        <v>1306</v>
      </c>
      <c r="I59" s="17" t="s">
        <v>1254</v>
      </c>
    </row>
    <row r="60" spans="1:9" ht="42" customHeight="1">
      <c r="A60" s="23">
        <v>77</v>
      </c>
      <c r="B60" s="3" t="s">
        <v>306</v>
      </c>
      <c r="C60" s="3" t="s">
        <v>308</v>
      </c>
      <c r="D60" s="3" t="s">
        <v>362</v>
      </c>
      <c r="E60" s="3">
        <v>403</v>
      </c>
      <c r="F60" s="19" t="s">
        <v>434</v>
      </c>
      <c r="G60" s="19" t="s">
        <v>434</v>
      </c>
      <c r="H60" s="3" t="s">
        <v>1264</v>
      </c>
      <c r="I60" s="3" t="s">
        <v>1265</v>
      </c>
    </row>
    <row r="61" spans="1:9" ht="42" customHeight="1">
      <c r="A61" s="24">
        <v>78</v>
      </c>
      <c r="B61" s="17" t="s">
        <v>310</v>
      </c>
      <c r="C61" s="17" t="s">
        <v>311</v>
      </c>
      <c r="D61" s="17" t="s">
        <v>343</v>
      </c>
      <c r="E61" s="17">
        <v>200</v>
      </c>
      <c r="F61" s="20" t="s">
        <v>435</v>
      </c>
      <c r="G61" s="20" t="s">
        <v>435</v>
      </c>
      <c r="H61" s="17" t="s">
        <v>1307</v>
      </c>
      <c r="I61" s="17" t="s">
        <v>1254</v>
      </c>
    </row>
    <row r="62" spans="1:9" ht="42" customHeight="1">
      <c r="A62" s="23">
        <v>79</v>
      </c>
      <c r="B62" s="3" t="s">
        <v>313</v>
      </c>
      <c r="C62" s="3" t="s">
        <v>209</v>
      </c>
      <c r="D62" s="3" t="s">
        <v>343</v>
      </c>
      <c r="E62" s="3">
        <v>200</v>
      </c>
      <c r="F62" s="19" t="s">
        <v>437</v>
      </c>
      <c r="G62" s="19" t="s">
        <v>437</v>
      </c>
      <c r="H62" s="3" t="s">
        <v>1308</v>
      </c>
      <c r="I62" s="3" t="s">
        <v>1254</v>
      </c>
    </row>
    <row r="63" spans="1:9" ht="42" customHeight="1">
      <c r="A63" s="24">
        <v>80</v>
      </c>
      <c r="B63" s="17" t="s">
        <v>315</v>
      </c>
      <c r="C63" s="17" t="s">
        <v>144</v>
      </c>
      <c r="D63" s="17" t="s">
        <v>343</v>
      </c>
      <c r="E63" s="17">
        <v>200</v>
      </c>
      <c r="F63" s="20" t="s">
        <v>438</v>
      </c>
      <c r="G63" s="20" t="s">
        <v>438</v>
      </c>
      <c r="H63" s="17" t="s">
        <v>1309</v>
      </c>
      <c r="I63" s="17" t="s">
        <v>1254</v>
      </c>
    </row>
    <row r="64" spans="1:9" ht="42" customHeight="1">
      <c r="A64" s="25">
        <v>81</v>
      </c>
      <c r="B64" s="4" t="s">
        <v>318</v>
      </c>
      <c r="C64" s="4" t="s">
        <v>319</v>
      </c>
      <c r="D64" s="4" t="s">
        <v>343</v>
      </c>
      <c r="E64" s="4">
        <v>200</v>
      </c>
      <c r="F64" s="21" t="s">
        <v>439</v>
      </c>
      <c r="G64" s="21" t="s">
        <v>439</v>
      </c>
      <c r="H64" s="4" t="s">
        <v>1310</v>
      </c>
      <c r="I64" s="4" t="s">
        <v>1254</v>
      </c>
    </row>
  </sheetData>
  <mergeCells count="2">
    <mergeCell ref="A1:I1"/>
    <mergeCell ref="A2:I2"/>
  </mergeCells>
  <phoneticPr fontId="8"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5"/>
  <sheetViews>
    <sheetView showGridLines="0" workbookViewId="0"/>
  </sheetViews>
  <sheetFormatPr defaultRowHeight="13.5"/>
  <cols>
    <col min="1" max="2" width="28" customWidth="1"/>
    <col min="3" max="3" width="35" customWidth="1"/>
    <col min="4" max="4" width="55" customWidth="1"/>
    <col min="5" max="5" width="18" customWidth="1"/>
    <col min="6" max="6" width="50" customWidth="1"/>
  </cols>
  <sheetData>
    <row r="1" spans="1:6" ht="28.05" customHeight="1">
      <c r="A1" s="31" t="s">
        <v>1311</v>
      </c>
      <c r="B1" s="31"/>
      <c r="C1" s="31"/>
      <c r="D1" s="31"/>
      <c r="E1" s="31"/>
      <c r="F1" s="31"/>
    </row>
    <row r="2" spans="1:6" ht="34.049999999999997" customHeight="1">
      <c r="A2" s="32" t="s">
        <v>1312</v>
      </c>
      <c r="B2" s="32"/>
      <c r="C2" s="32"/>
      <c r="D2" s="32"/>
      <c r="E2" s="32"/>
      <c r="F2" s="32"/>
    </row>
    <row r="4" spans="1:6" ht="38" customHeight="1">
      <c r="A4" s="13" t="s">
        <v>1313</v>
      </c>
      <c r="B4" s="14" t="s">
        <v>1314</v>
      </c>
      <c r="C4" s="14" t="s">
        <v>1315</v>
      </c>
      <c r="D4" s="14" t="s">
        <v>1316</v>
      </c>
      <c r="E4" s="14" t="s">
        <v>1317</v>
      </c>
      <c r="F4" s="15" t="s">
        <v>1318</v>
      </c>
    </row>
    <row r="5" spans="1:6" ht="38" customHeight="1">
      <c r="A5" s="16" t="s">
        <v>1319</v>
      </c>
      <c r="B5" s="16" t="s">
        <v>85</v>
      </c>
      <c r="C5" s="16" t="s">
        <v>1320</v>
      </c>
      <c r="D5" s="16" t="s">
        <v>1321</v>
      </c>
      <c r="E5" s="16" t="s">
        <v>1322</v>
      </c>
      <c r="F5" s="16" t="s">
        <v>1323</v>
      </c>
    </row>
    <row r="6" spans="1:6" ht="38" customHeight="1">
      <c r="A6" s="3" t="s">
        <v>1319</v>
      </c>
      <c r="B6" s="3" t="s">
        <v>86</v>
      </c>
      <c r="C6" s="3" t="s">
        <v>1324</v>
      </c>
      <c r="D6" s="3" t="s">
        <v>1325</v>
      </c>
      <c r="E6" s="3" t="s">
        <v>1326</v>
      </c>
      <c r="F6" s="3" t="s">
        <v>1327</v>
      </c>
    </row>
    <row r="7" spans="1:6" ht="38" customHeight="1">
      <c r="A7" s="17" t="s">
        <v>1328</v>
      </c>
      <c r="B7" s="17" t="s">
        <v>323</v>
      </c>
      <c r="C7" s="17" t="s">
        <v>1329</v>
      </c>
      <c r="D7" s="17" t="s">
        <v>1330</v>
      </c>
      <c r="E7" s="17" t="s">
        <v>1331</v>
      </c>
      <c r="F7" s="17" t="s">
        <v>1332</v>
      </c>
    </row>
    <row r="8" spans="1:6" ht="38" customHeight="1">
      <c r="A8" s="3" t="s">
        <v>1328</v>
      </c>
      <c r="B8" s="3" t="s">
        <v>90</v>
      </c>
      <c r="C8" s="3" t="s">
        <v>1333</v>
      </c>
      <c r="D8" s="3" t="s">
        <v>1334</v>
      </c>
      <c r="E8" s="3" t="s">
        <v>1331</v>
      </c>
      <c r="F8" s="3" t="s">
        <v>1335</v>
      </c>
    </row>
    <row r="9" spans="1:6" ht="38" customHeight="1">
      <c r="A9" s="17" t="s">
        <v>1328</v>
      </c>
      <c r="B9" s="17" t="s">
        <v>91</v>
      </c>
      <c r="C9" s="17" t="s">
        <v>1336</v>
      </c>
      <c r="D9" s="17" t="s">
        <v>1337</v>
      </c>
      <c r="E9" s="17" t="s">
        <v>1331</v>
      </c>
      <c r="F9" s="17" t="s">
        <v>1338</v>
      </c>
    </row>
    <row r="10" spans="1:6" ht="38" customHeight="1">
      <c r="A10" s="3" t="s">
        <v>1339</v>
      </c>
      <c r="B10" s="3" t="s">
        <v>332</v>
      </c>
      <c r="C10" s="3" t="s">
        <v>1340</v>
      </c>
      <c r="D10" s="3" t="s">
        <v>1341</v>
      </c>
      <c r="E10" s="3" t="s">
        <v>1322</v>
      </c>
      <c r="F10" s="3" t="s">
        <v>1342</v>
      </c>
    </row>
    <row r="11" spans="1:6" ht="38" customHeight="1">
      <c r="A11" s="17" t="s">
        <v>1339</v>
      </c>
      <c r="B11" s="17" t="s">
        <v>333</v>
      </c>
      <c r="C11" s="17" t="s">
        <v>1343</v>
      </c>
      <c r="D11" s="17" t="s">
        <v>1344</v>
      </c>
      <c r="E11" s="17" t="s">
        <v>1322</v>
      </c>
      <c r="F11" s="17" t="s">
        <v>1345</v>
      </c>
    </row>
    <row r="12" spans="1:6" ht="38" customHeight="1">
      <c r="A12" s="3" t="s">
        <v>1339</v>
      </c>
      <c r="B12" s="3" t="s">
        <v>336</v>
      </c>
      <c r="C12" s="3" t="s">
        <v>1346</v>
      </c>
      <c r="D12" s="3" t="s">
        <v>1347</v>
      </c>
      <c r="E12" s="3" t="s">
        <v>1322</v>
      </c>
      <c r="F12" s="3" t="s">
        <v>1348</v>
      </c>
    </row>
    <row r="13" spans="1:6" ht="38" customHeight="1">
      <c r="A13" s="17" t="s">
        <v>1349</v>
      </c>
      <c r="B13" s="17" t="s">
        <v>530</v>
      </c>
      <c r="C13" s="17" t="s">
        <v>1350</v>
      </c>
      <c r="D13" s="17" t="s">
        <v>1351</v>
      </c>
      <c r="E13" s="17" t="s">
        <v>1322</v>
      </c>
      <c r="F13" s="17" t="s">
        <v>1352</v>
      </c>
    </row>
    <row r="14" spans="1:6" ht="38" customHeight="1">
      <c r="A14" s="3" t="s">
        <v>1349</v>
      </c>
      <c r="B14" s="3" t="s">
        <v>532</v>
      </c>
      <c r="C14" s="3" t="s">
        <v>1353</v>
      </c>
      <c r="D14" s="3" t="s">
        <v>1354</v>
      </c>
      <c r="E14" s="3" t="s">
        <v>1331</v>
      </c>
      <c r="F14" s="3" t="s">
        <v>1355</v>
      </c>
    </row>
    <row r="15" spans="1:6" ht="38" customHeight="1">
      <c r="A15" s="17" t="s">
        <v>1349</v>
      </c>
      <c r="B15" s="17" t="s">
        <v>533</v>
      </c>
      <c r="C15" s="17" t="s">
        <v>1356</v>
      </c>
      <c r="D15" s="17" t="s">
        <v>1357</v>
      </c>
      <c r="E15" s="17" t="s">
        <v>1326</v>
      </c>
      <c r="F15" s="17" t="s">
        <v>1358</v>
      </c>
    </row>
    <row r="16" spans="1:6" ht="38" customHeight="1">
      <c r="A16" s="3" t="s">
        <v>1359</v>
      </c>
      <c r="B16" s="3" t="s">
        <v>593</v>
      </c>
      <c r="C16" s="3" t="s">
        <v>1360</v>
      </c>
      <c r="D16" s="3" t="s">
        <v>1361</v>
      </c>
      <c r="E16" s="3" t="s">
        <v>1322</v>
      </c>
      <c r="F16" s="3" t="s">
        <v>1362</v>
      </c>
    </row>
    <row r="17" spans="1:6" ht="38" customHeight="1">
      <c r="A17" s="17" t="s">
        <v>1359</v>
      </c>
      <c r="B17" s="17" t="s">
        <v>1363</v>
      </c>
      <c r="C17" s="17" t="s">
        <v>1364</v>
      </c>
      <c r="D17" s="17" t="s">
        <v>1365</v>
      </c>
      <c r="E17" s="17" t="s">
        <v>1326</v>
      </c>
      <c r="F17" s="17" t="s">
        <v>1366</v>
      </c>
    </row>
    <row r="18" spans="1:6" ht="38" customHeight="1">
      <c r="A18" s="3" t="s">
        <v>1367</v>
      </c>
      <c r="B18" s="3" t="s">
        <v>777</v>
      </c>
      <c r="C18" s="3" t="s">
        <v>1368</v>
      </c>
      <c r="D18" s="3" t="s">
        <v>1369</v>
      </c>
      <c r="E18" s="3" t="s">
        <v>1322</v>
      </c>
      <c r="F18" s="3" t="s">
        <v>1370</v>
      </c>
    </row>
    <row r="19" spans="1:6" ht="38" customHeight="1">
      <c r="A19" s="17" t="s">
        <v>1367</v>
      </c>
      <c r="B19" s="17" t="s">
        <v>788</v>
      </c>
      <c r="C19" s="17" t="s">
        <v>1371</v>
      </c>
      <c r="D19" s="17" t="s">
        <v>1372</v>
      </c>
      <c r="E19" s="17" t="s">
        <v>1326</v>
      </c>
      <c r="F19" s="17" t="s">
        <v>1373</v>
      </c>
    </row>
    <row r="20" spans="1:6" ht="38" customHeight="1">
      <c r="A20" s="3" t="s">
        <v>1367</v>
      </c>
      <c r="B20" s="3" t="s">
        <v>789</v>
      </c>
      <c r="C20" s="3" t="s">
        <v>1371</v>
      </c>
      <c r="D20" s="3" t="s">
        <v>1374</v>
      </c>
      <c r="E20" s="3" t="s">
        <v>1326</v>
      </c>
      <c r="F20" s="3" t="s">
        <v>1375</v>
      </c>
    </row>
    <row r="21" spans="1:6" ht="38" customHeight="1">
      <c r="A21" s="17" t="s">
        <v>1376</v>
      </c>
      <c r="B21" s="17" t="s">
        <v>950</v>
      </c>
      <c r="C21" s="17" t="s">
        <v>1377</v>
      </c>
      <c r="D21" s="17" t="s">
        <v>1378</v>
      </c>
      <c r="E21" s="17" t="s">
        <v>1331</v>
      </c>
      <c r="F21" s="17" t="s">
        <v>1379</v>
      </c>
    </row>
    <row r="22" spans="1:6" ht="38" customHeight="1">
      <c r="A22" s="3" t="s">
        <v>1376</v>
      </c>
      <c r="B22" s="3" t="s">
        <v>955</v>
      </c>
      <c r="C22" s="3" t="s">
        <v>1380</v>
      </c>
      <c r="D22" s="3" t="s">
        <v>1381</v>
      </c>
      <c r="E22" s="3" t="s">
        <v>1331</v>
      </c>
      <c r="F22" s="3" t="s">
        <v>1382</v>
      </c>
    </row>
    <row r="23" spans="1:6" ht="38" customHeight="1">
      <c r="A23" s="17" t="s">
        <v>1376</v>
      </c>
      <c r="B23" s="17" t="s">
        <v>957</v>
      </c>
      <c r="C23" s="17" t="s">
        <v>1383</v>
      </c>
      <c r="D23" s="17" t="s">
        <v>1384</v>
      </c>
      <c r="E23" s="17" t="s">
        <v>1322</v>
      </c>
      <c r="F23" s="17" t="s">
        <v>1385</v>
      </c>
    </row>
    <row r="24" spans="1:6" ht="38" customHeight="1">
      <c r="A24" s="3" t="s">
        <v>1376</v>
      </c>
      <c r="B24" s="3" t="s">
        <v>965</v>
      </c>
      <c r="C24" s="3" t="s">
        <v>1386</v>
      </c>
      <c r="D24" s="3" t="s">
        <v>1387</v>
      </c>
      <c r="E24" s="3" t="s">
        <v>1331</v>
      </c>
      <c r="F24" s="3" t="s">
        <v>1388</v>
      </c>
    </row>
    <row r="25" spans="1:6" ht="38" customHeight="1">
      <c r="A25" s="29" t="s">
        <v>1197</v>
      </c>
      <c r="B25" s="29" t="s">
        <v>1389</v>
      </c>
      <c r="C25" s="29" t="s">
        <v>1390</v>
      </c>
      <c r="D25" s="29" t="s">
        <v>1391</v>
      </c>
      <c r="E25" s="29" t="s">
        <v>1392</v>
      </c>
      <c r="F25" s="29" t="s">
        <v>1393</v>
      </c>
    </row>
  </sheetData>
  <mergeCells count="2">
    <mergeCell ref="A1:F1"/>
    <mergeCell ref="A2:F2"/>
  </mergeCells>
  <phoneticPr fontId="8"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9"/>
  <sheetViews>
    <sheetView showGridLines="0" workbookViewId="0"/>
  </sheetViews>
  <sheetFormatPr defaultRowHeight="13.5"/>
  <cols>
    <col min="1" max="1" width="38" customWidth="1"/>
    <col min="2" max="2" width="32" customWidth="1"/>
    <col min="3" max="4" width="58" customWidth="1"/>
    <col min="5" max="5" width="48" customWidth="1"/>
    <col min="6" max="6" width="16" customWidth="1"/>
  </cols>
  <sheetData>
    <row r="1" spans="1:6" ht="28.05" customHeight="1">
      <c r="A1" s="31" t="s">
        <v>1394</v>
      </c>
      <c r="B1" s="31"/>
      <c r="C1" s="31"/>
      <c r="D1" s="31"/>
      <c r="E1" s="31"/>
      <c r="F1" s="31"/>
    </row>
    <row r="2" spans="1:6" ht="34.049999999999997" customHeight="1">
      <c r="A2" s="32" t="s">
        <v>1395</v>
      </c>
      <c r="B2" s="32"/>
      <c r="C2" s="32"/>
      <c r="D2" s="32"/>
      <c r="E2" s="32"/>
      <c r="F2" s="32"/>
    </row>
    <row r="4" spans="1:6">
      <c r="A4" s="1" t="s">
        <v>1396</v>
      </c>
      <c r="B4" s="1" t="s">
        <v>1397</v>
      </c>
      <c r="C4" s="1" t="s">
        <v>1398</v>
      </c>
      <c r="D4" s="1" t="s">
        <v>1399</v>
      </c>
      <c r="E4" s="1" t="s">
        <v>1400</v>
      </c>
      <c r="F4" s="1" t="s">
        <v>1401</v>
      </c>
    </row>
    <row r="5" spans="1:6" ht="42" customHeight="1">
      <c r="A5" s="16">
        <v>1</v>
      </c>
      <c r="B5" s="16" t="s">
        <v>1402</v>
      </c>
      <c r="C5" s="16" t="s">
        <v>1403</v>
      </c>
      <c r="D5" s="16" t="s">
        <v>1404</v>
      </c>
      <c r="E5" s="16" t="s">
        <v>1201</v>
      </c>
      <c r="F5" s="16" t="s">
        <v>342</v>
      </c>
    </row>
    <row r="6" spans="1:6" ht="42" customHeight="1">
      <c r="A6" s="3">
        <v>2</v>
      </c>
      <c r="B6" s="3" t="s">
        <v>1405</v>
      </c>
      <c r="C6" s="3" t="s">
        <v>1403</v>
      </c>
      <c r="D6" s="3" t="s">
        <v>1406</v>
      </c>
      <c r="E6" s="3" t="s">
        <v>1206</v>
      </c>
      <c r="F6" s="3" t="s">
        <v>342</v>
      </c>
    </row>
    <row r="7" spans="1:6" ht="42" customHeight="1">
      <c r="A7" s="17">
        <v>3</v>
      </c>
      <c r="B7" s="17" t="s">
        <v>1407</v>
      </c>
      <c r="C7" s="17" t="s">
        <v>1408</v>
      </c>
      <c r="D7" s="17" t="s">
        <v>1409</v>
      </c>
      <c r="E7" s="17" t="s">
        <v>1410</v>
      </c>
      <c r="F7" s="17" t="s">
        <v>342</v>
      </c>
    </row>
    <row r="8" spans="1:6" ht="42" customHeight="1">
      <c r="A8" s="3">
        <v>4</v>
      </c>
      <c r="B8" s="3" t="s">
        <v>71</v>
      </c>
      <c r="C8" s="3" t="s">
        <v>1411</v>
      </c>
      <c r="D8" s="3" t="s">
        <v>1412</v>
      </c>
      <c r="E8" s="3" t="s">
        <v>1413</v>
      </c>
      <c r="F8" s="3" t="s">
        <v>342</v>
      </c>
    </row>
    <row r="9" spans="1:6" ht="42" customHeight="1">
      <c r="A9" s="17">
        <v>5</v>
      </c>
      <c r="B9" s="17" t="s">
        <v>1414</v>
      </c>
      <c r="C9" s="17" t="s">
        <v>1415</v>
      </c>
      <c r="D9" s="17" t="s">
        <v>1416</v>
      </c>
      <c r="E9" s="17" t="s">
        <v>1417</v>
      </c>
      <c r="F9" s="17" t="s">
        <v>1418</v>
      </c>
    </row>
    <row r="10" spans="1:6" ht="42" customHeight="1">
      <c r="A10" s="3">
        <v>6</v>
      </c>
      <c r="B10" s="3" t="s">
        <v>1419</v>
      </c>
      <c r="C10" s="3" t="s">
        <v>1420</v>
      </c>
      <c r="D10" s="3" t="s">
        <v>1421</v>
      </c>
      <c r="E10" s="3" t="s">
        <v>1422</v>
      </c>
      <c r="F10" s="3" t="s">
        <v>342</v>
      </c>
    </row>
    <row r="11" spans="1:6" ht="42" customHeight="1">
      <c r="A11" s="17">
        <v>7</v>
      </c>
      <c r="B11" s="17" t="s">
        <v>1423</v>
      </c>
      <c r="C11" s="17" t="s">
        <v>1424</v>
      </c>
      <c r="D11" s="17" t="s">
        <v>1425</v>
      </c>
      <c r="E11" s="17" t="s">
        <v>1426</v>
      </c>
      <c r="F11" s="17" t="s">
        <v>342</v>
      </c>
    </row>
    <row r="12" spans="1:6" ht="42" customHeight="1">
      <c r="A12" s="3">
        <v>8</v>
      </c>
      <c r="B12" s="3" t="s">
        <v>1349</v>
      </c>
      <c r="C12" s="3" t="s">
        <v>1427</v>
      </c>
      <c r="D12" s="3" t="s">
        <v>1428</v>
      </c>
      <c r="E12" s="3" t="s">
        <v>540</v>
      </c>
      <c r="F12" s="3" t="s">
        <v>342</v>
      </c>
    </row>
    <row r="13" spans="1:6" ht="42" customHeight="1">
      <c r="A13" s="17">
        <v>9</v>
      </c>
      <c r="B13" s="17" t="s">
        <v>1429</v>
      </c>
      <c r="C13" s="17" t="s">
        <v>1430</v>
      </c>
      <c r="D13" s="17" t="s">
        <v>1431</v>
      </c>
      <c r="E13" s="17" t="s">
        <v>1432</v>
      </c>
      <c r="F13" s="17" t="s">
        <v>342</v>
      </c>
    </row>
    <row r="14" spans="1:6" ht="42" customHeight="1">
      <c r="A14" s="3">
        <v>10</v>
      </c>
      <c r="B14" s="3" t="s">
        <v>1359</v>
      </c>
      <c r="C14" s="3" t="s">
        <v>1433</v>
      </c>
      <c r="D14" s="3" t="s">
        <v>1434</v>
      </c>
      <c r="E14" s="3" t="s">
        <v>614</v>
      </c>
      <c r="F14" s="3" t="s">
        <v>1418</v>
      </c>
    </row>
    <row r="15" spans="1:6" ht="42" customHeight="1">
      <c r="A15" s="17">
        <v>11</v>
      </c>
      <c r="B15" s="17" t="s">
        <v>1435</v>
      </c>
      <c r="C15" s="17" t="s">
        <v>1436</v>
      </c>
      <c r="D15" s="17" t="s">
        <v>1437</v>
      </c>
      <c r="E15" s="17" t="s">
        <v>1438</v>
      </c>
      <c r="F15" s="17" t="s">
        <v>1418</v>
      </c>
    </row>
    <row r="16" spans="1:6" ht="42" customHeight="1">
      <c r="A16" s="3">
        <v>12</v>
      </c>
      <c r="B16" s="3" t="s">
        <v>1439</v>
      </c>
      <c r="C16" s="3" t="s">
        <v>1440</v>
      </c>
      <c r="D16" s="3" t="s">
        <v>1441</v>
      </c>
      <c r="E16" s="3" t="s">
        <v>1442</v>
      </c>
      <c r="F16" s="3" t="s">
        <v>1418</v>
      </c>
    </row>
    <row r="17" spans="1:6" ht="42" customHeight="1">
      <c r="A17" s="17">
        <v>13</v>
      </c>
      <c r="B17" s="17" t="s">
        <v>1443</v>
      </c>
      <c r="C17" s="17" t="s">
        <v>1444</v>
      </c>
      <c r="D17" s="17" t="s">
        <v>1445</v>
      </c>
      <c r="E17" s="17" t="s">
        <v>1446</v>
      </c>
      <c r="F17" s="17" t="s">
        <v>342</v>
      </c>
    </row>
    <row r="18" spans="1:6" ht="42" customHeight="1">
      <c r="A18" s="4">
        <v>14</v>
      </c>
      <c r="B18" s="4" t="s">
        <v>1447</v>
      </c>
      <c r="C18" s="4" t="s">
        <v>1448</v>
      </c>
      <c r="D18" s="4" t="s">
        <v>1449</v>
      </c>
      <c r="E18" s="4" t="s">
        <v>1413</v>
      </c>
      <c r="F18" s="4" t="s">
        <v>1418</v>
      </c>
    </row>
    <row r="19" spans="1:6" ht="42" customHeight="1"/>
    <row r="20" spans="1:6" ht="42" customHeight="1">
      <c r="A20" s="1" t="s">
        <v>1450</v>
      </c>
      <c r="B20" s="1" t="s">
        <v>1451</v>
      </c>
      <c r="C20" s="1" t="s">
        <v>1452</v>
      </c>
      <c r="D20" s="1" t="s">
        <v>1453</v>
      </c>
      <c r="E20" s="1" t="s">
        <v>1454</v>
      </c>
      <c r="F20" s="1" t="s">
        <v>1189</v>
      </c>
    </row>
    <row r="21" spans="1:6" ht="42" customHeight="1">
      <c r="A21" s="16" t="s">
        <v>1455</v>
      </c>
      <c r="B21" s="16" t="s">
        <v>1456</v>
      </c>
      <c r="C21" s="16" t="s">
        <v>1457</v>
      </c>
      <c r="D21" s="16" t="s">
        <v>1458</v>
      </c>
      <c r="E21" s="16" t="s">
        <v>1459</v>
      </c>
      <c r="F21" s="16" t="s">
        <v>1212</v>
      </c>
    </row>
    <row r="22" spans="1:6" ht="42" customHeight="1">
      <c r="A22" s="3" t="s">
        <v>1460</v>
      </c>
      <c r="B22" s="3" t="s">
        <v>1461</v>
      </c>
      <c r="C22" s="3" t="s">
        <v>1462</v>
      </c>
      <c r="D22" s="3" t="s">
        <v>1463</v>
      </c>
      <c r="E22" s="3" t="s">
        <v>1464</v>
      </c>
      <c r="F22" s="3" t="s">
        <v>1225</v>
      </c>
    </row>
    <row r="23" spans="1:6" ht="42" customHeight="1">
      <c r="A23" s="17" t="s">
        <v>1465</v>
      </c>
      <c r="B23" s="17" t="s">
        <v>1466</v>
      </c>
      <c r="C23" s="17" t="s">
        <v>1467</v>
      </c>
      <c r="D23" s="17" t="s">
        <v>1468</v>
      </c>
      <c r="E23" s="17" t="s">
        <v>1469</v>
      </c>
      <c r="F23" s="17" t="s">
        <v>1212</v>
      </c>
    </row>
    <row r="24" spans="1:6" ht="42" customHeight="1">
      <c r="A24" s="3" t="s">
        <v>1470</v>
      </c>
      <c r="B24" s="3" t="s">
        <v>1471</v>
      </c>
      <c r="C24" s="3" t="s">
        <v>1472</v>
      </c>
      <c r="D24" s="3" t="s">
        <v>1473</v>
      </c>
      <c r="E24" s="3" t="s">
        <v>1474</v>
      </c>
      <c r="F24" s="3" t="s">
        <v>1212</v>
      </c>
    </row>
    <row r="25" spans="1:6" ht="42" customHeight="1">
      <c r="A25" s="17" t="s">
        <v>1475</v>
      </c>
      <c r="B25" s="17" t="s">
        <v>1476</v>
      </c>
      <c r="C25" s="17" t="s">
        <v>1477</v>
      </c>
      <c r="D25" s="17" t="s">
        <v>1478</v>
      </c>
      <c r="E25" s="17">
        <v>7</v>
      </c>
      <c r="F25" s="17" t="s">
        <v>1225</v>
      </c>
    </row>
    <row r="26" spans="1:6" ht="42" customHeight="1">
      <c r="A26" s="3" t="s">
        <v>1479</v>
      </c>
      <c r="B26" s="3" t="s">
        <v>1480</v>
      </c>
      <c r="C26" s="3" t="s">
        <v>1481</v>
      </c>
      <c r="D26" s="3" t="s">
        <v>1482</v>
      </c>
      <c r="E26" s="3" t="s">
        <v>1483</v>
      </c>
      <c r="F26" s="3" t="s">
        <v>1212</v>
      </c>
    </row>
    <row r="27" spans="1:6" ht="42" customHeight="1">
      <c r="A27" s="17" t="s">
        <v>1484</v>
      </c>
      <c r="B27" s="17" t="s">
        <v>1485</v>
      </c>
      <c r="C27" s="17" t="s">
        <v>1486</v>
      </c>
      <c r="D27" s="17" t="s">
        <v>1487</v>
      </c>
      <c r="E27" s="17">
        <v>31</v>
      </c>
      <c r="F27" s="17" t="s">
        <v>1212</v>
      </c>
    </row>
    <row r="28" spans="1:6" ht="42" customHeight="1">
      <c r="A28" s="3" t="s">
        <v>1488</v>
      </c>
      <c r="B28" s="3" t="s">
        <v>1489</v>
      </c>
      <c r="C28" s="3" t="s">
        <v>1490</v>
      </c>
      <c r="D28" s="3" t="s">
        <v>1234</v>
      </c>
      <c r="E28" s="3">
        <v>32</v>
      </c>
      <c r="F28" s="3" t="s">
        <v>1212</v>
      </c>
    </row>
    <row r="29" spans="1:6" ht="42" customHeight="1">
      <c r="A29" s="29" t="s">
        <v>1491</v>
      </c>
      <c r="B29" s="29" t="s">
        <v>1492</v>
      </c>
      <c r="C29" s="29" t="s">
        <v>1493</v>
      </c>
      <c r="D29" s="29" t="s">
        <v>1494</v>
      </c>
      <c r="E29" s="29" t="s">
        <v>1459</v>
      </c>
      <c r="F29" s="29" t="s">
        <v>1225</v>
      </c>
    </row>
  </sheetData>
  <mergeCells count="2">
    <mergeCell ref="A1:F1"/>
    <mergeCell ref="A2:F2"/>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Selection Audit</vt:lpstr>
      <vt:lpstr>Candidate Universities</vt:lpstr>
      <vt:lpstr>Program Verification</vt:lpstr>
      <vt:lpstr>QS Sustainability Top 30</vt:lpstr>
      <vt:lpstr>THE Impact 30 Additions</vt:lpstr>
      <vt:lpstr>Overlap Analysis</vt:lpstr>
      <vt:lpstr>AASHE STARS</vt:lpstr>
      <vt:lpstr>UN PRME</vt:lpstr>
      <vt:lpstr>OpenAlex 2021-2025</vt:lpstr>
      <vt:lpstr>Program Details</vt:lpstr>
      <vt:lpstr>Verification Issues</vt:lpstr>
      <vt:lpstr>URL Audit</vt:lpstr>
      <vt:lpstr>Data Dictionary</vt:lpstr>
      <vt:lpstr>Method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翟涵 龚</cp:lastModifiedBy>
  <dcterms:modified xsi:type="dcterms:W3CDTF">2026-07-20T06:49:57Z</dcterms:modified>
</cp:coreProperties>
</file>