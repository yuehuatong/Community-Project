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5613eb77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cea352f8854476"/>
    <x:sheet xmlns:r="http://schemas.openxmlformats.org/officeDocument/2006/relationships" name="Candidate Universities" sheetId="2" r:id="Rb5f8256220c34da0"/>
    <x:sheet xmlns:r="http://schemas.openxmlformats.org/officeDocument/2006/relationships" name="Program Verification" sheetId="3" r:id="R1fc2636543734714"/>
    <x:sheet xmlns:r="http://schemas.openxmlformats.org/officeDocument/2006/relationships" name="QS Sustainability Top 50" sheetId="4" r:id="R9e8cf59af59b4b77"/>
    <x:sheet xmlns:r="http://schemas.openxmlformats.org/officeDocument/2006/relationships" name="THE Impact Top 50" sheetId="5" r:id="Rb0eb51e0b8b8403a"/>
    <x:sheet xmlns:r="http://schemas.openxmlformats.org/officeDocument/2006/relationships" name="Overlap Analysis" sheetId="6" r:id="R6dfc911e007343ba"/>
    <x:sheet xmlns:r="http://schemas.openxmlformats.org/officeDocument/2006/relationships" name="AASHE STARS" sheetId="7" r:id="R9a48528844e24b7b"/>
    <x:sheet xmlns:r="http://schemas.openxmlformats.org/officeDocument/2006/relationships" name="Verification Issues" sheetId="8" r:id="R32c30e772d3a4650"/>
    <x:sheet xmlns:r="http://schemas.openxmlformats.org/officeDocument/2006/relationships" name="URL Audit" sheetId="9" r:id="Rfc5a5bfb28de47dc"/>
    <x:sheet xmlns:r="http://schemas.openxmlformats.org/officeDocument/2006/relationships" name="Method &amp; Sources" sheetId="10" r:id="Rac249381e708483b"/>
    <x:sheet xmlns:r="http://schemas.openxmlformats.org/officeDocument/2006/relationships" name="Data Dictionary" sheetId="11" r:id="Rf87356ae57ca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b/>
      <x:sz val="13"/>
      <x:color rgb="FF0F766E"/>
      <x:name val="Aptos Display"/>
    </x:font>
    <x:font>
      <x:b/>
      <x:sz val="9"/>
      <x:color rgb="FF15803D"/>
      <x:name val="Aptos"/>
    </x:font>
    <x:font>
      <x:sz val="9"/>
      <x:color rgb="FF0563C1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DDF3EE"/>
      </x:patternFill>
    </x:fill>
    <x:fill>
      <x:patternFill patternType="solid">
        <x:fgColor rgb="FF1F4E78"/>
      </x:patternFill>
    </x:fill>
    <x:fill>
      <x:patternFill patternType="solid">
        <x:fgColor rgb="FFDCFCE7"/>
      </x:patternFill>
    </x:fill>
    <x:fill>
      <x:patternFill patternType="solid">
        <x:fgColor rgb="FF6D28D9"/>
      </x:patternFill>
    </x:fill>
    <x:fill>
      <x:patternFill patternType="solid">
        <x:fgColor rgb="FFB91C1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94a493fa842ed" /><Relationship Type="http://schemas.openxmlformats.org/officeDocument/2006/relationships/theme" Target="/xl/theme/theme1.xml" Id="R215623e9772244d3" /><Relationship Type="http://schemas.openxmlformats.org/officeDocument/2006/relationships/sharedStrings" Target="/xl/sharedStrings.xml" Id="R8aa35f7fb4e34830" /><Relationship Type="http://schemas.openxmlformats.org/officeDocument/2006/relationships/worksheet" Target="/xl/worksheets/sheet1.xml" Id="R82cea352f8854476" /><Relationship Type="http://schemas.openxmlformats.org/officeDocument/2006/relationships/worksheet" Target="/xl/worksheets/sheet2.xml" Id="Rb5f8256220c34da0" /><Relationship Type="http://schemas.openxmlformats.org/officeDocument/2006/relationships/worksheet" Target="/xl/worksheets/sheet3.xml" Id="R1fc2636543734714" /><Relationship Type="http://schemas.openxmlformats.org/officeDocument/2006/relationships/worksheet" Target="/xl/worksheets/sheet4.xml" Id="R9e8cf59af59b4b77" /><Relationship Type="http://schemas.openxmlformats.org/officeDocument/2006/relationships/worksheet" Target="/xl/worksheets/sheet5.xml" Id="Rb0eb51e0b8b8403a" /><Relationship Type="http://schemas.openxmlformats.org/officeDocument/2006/relationships/worksheet" Target="/xl/worksheets/sheet6.xml" Id="R6dfc911e007343ba" /><Relationship Type="http://schemas.openxmlformats.org/officeDocument/2006/relationships/worksheet" Target="/xl/worksheets/sheet7.xml" Id="R9a48528844e24b7b" /><Relationship Type="http://schemas.openxmlformats.org/officeDocument/2006/relationships/worksheet" Target="/xl/worksheets/sheet8.xml" Id="R32c30e772d3a4650" /><Relationship Type="http://schemas.openxmlformats.org/officeDocument/2006/relationships/worksheet" Target="/xl/worksheets/sheet9.xml" Id="Rfc5a5bfb28de47dc" /><Relationship Type="http://schemas.openxmlformats.org/officeDocument/2006/relationships/worksheet" Target="/xl/worksheets/sheet10.xml" Id="Rac249381e708483b" /><Relationship Type="http://schemas.openxmlformats.org/officeDocument/2006/relationships/worksheet" Target="/xl/worksheets/sheet11.xml" Id="Rf87356ae57ca42d2" /></Relationships>
</file>

<file path=xl/tables/table1.xml><?xml version="1.0" encoding="utf-8"?>
<x:table xmlns:x="http://schemas.openxmlformats.org/spreadsheetml/2006/main" id="1" name="CandidateUniverseTable" displayName="CandidateUniverseTable" ref="A4:J101" headerRowCount="1" totalsRowCount="0" totalsRowShown="0">
  <x:autoFilter ref="A4:J101"/>
  <x:tableColumns count="10">
    <x:tableColumn id="1" name="ID"/>
    <x:tableColumn id="2" name="Institution"/>
    <x:tableColumn id="3" name="Country"/>
    <x:tableColumn id="4" name="Candidate Source"/>
    <x:tableColumn id="5" name="QS Rank"/>
    <x:tableColumn id="6" name="QS Score"/>
    <x:tableColumn id="7" name="THE Rank"/>
    <x:tableColumn id="8" name="THE Overall Score"/>
    <x:tableColumn id="9" name="QS Profile URL"/>
    <x:tableColumn id="10" name="THE Profile UR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gramVerificationTable" displayName="ProgramVerificationTable" ref="A4:L101" headerRowCount="1" totalsRowCount="0" totalsRowShown="0">
  <x:autoFilter ref="A4:L101"/>
  <x:tableColumns count="12">
    <x:tableColumn id="1" name="ID"/>
    <x:tableColumn id="2" name="Institution"/>
    <x:tableColumn id="3" name="Country"/>
    <x:tableColumn id="4" name="Candidate Source"/>
    <x:tableColumn id="5" name="Program Name"/>
    <x:tableColumn id="6" name="Match Type"/>
    <x:tableColumn id="7" name="Verification Status"/>
    <x:tableColumn id="8" name="Official Program URL"/>
    <x:tableColumn id="9" name="Verification Date"/>
    <x:tableColumn id="10" name="URL Audit"/>
    <x:tableColumn id="11" name="HTTP Status"/>
    <x:tableColumn id="12" name="Verific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SSustainabilityTable" displayName="QSSustainabilityTable" ref="A4:O55" headerRowCount="1" totalsRowCount="0" totalsRowShown="0">
  <x:autoFilter ref="A4:O55"/>
  <x:tableColumns count="15">
    <x:tableColumn id="1" name="Rank"/>
    <x:tableColumn id="2" name="Rank Number"/>
    <x:tableColumn id="3" name="University"/>
    <x:tableColumn id="4" name="Location"/>
    <x:tableColumn id="5" name="Country"/>
    <x:tableColumn id="6" name="Overall Score"/>
    <x:tableColumn id="7" name="Environmental Sustainability"/>
    <x:tableColumn id="8" name="Environmental Education"/>
    <x:tableColumn id="9" name="Environmental Research"/>
    <x:tableColumn id="10" name="Equality"/>
    <x:tableColumn id="11" name="Knowledge Exchange"/>
    <x:tableColumn id="12" name="Impact of Education"/>
    <x:tableColumn id="13" name="Employability &amp; Opportunities"/>
    <x:tableColumn id="14" name="Good Governance"/>
    <x:tableColumn id="15" name="QS Profile URL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HEImpactTable" displayName="THEImpactTable" ref="A4:H55" headerRowCount="1" totalsRowCount="0" totalsRowShown="0">
  <x:autoFilter ref="A4:H55"/>
  <x:tableColumns count="8">
    <x:tableColumn id="1" name="Rank"/>
    <x:tableColumn id="2" name="Rank Number"/>
    <x:tableColumn id="3" name="University"/>
    <x:tableColumn id="4" name="Country"/>
    <x:tableColumn id="5" name="Overall Score"/>
    <x:tableColumn id="6" name="SDG 17 Score"/>
    <x:tableColumn id="7" name="Top SDG Scores (published text)"/>
    <x:tableColumn id="8" name="THE Profile UR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verlapTable" displayName="OverlapTable" ref="A4:J9" headerRowCount="1" totalsRowCount="0" totalsRowShown="0">
  <x:autoFilter ref="A4:J9"/>
  <x:tableColumns count="10">
    <x:tableColumn id="1" name="ID"/>
    <x:tableColumn id="2" name="Canonical Institution"/>
    <x:tableColumn id="3" name="Country"/>
    <x:tableColumn id="4" name="QS Rank"/>
    <x:tableColumn id="5" name="QS Score"/>
    <x:tableColumn id="6" name="THE Rank"/>
    <x:tableColumn id="7" name="THE Score"/>
    <x:tableColumn id="8" name="QS Name"/>
    <x:tableColumn id="9" name="THE Name / Alias"/>
    <x:tableColumn id="10" name="Identity Note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AASHEMatchTable" displayName="AASHEMatchTable" ref="A4:K101" headerRowCount="1" totalsRowCount="0" totalsRowShown="0">
  <x:autoFilter ref="A4:K101"/>
  <x:tableColumns count="11">
    <x:tableColumn id="1" name="ID"/>
    <x:tableColumn id="2" name="Candidate Institution"/>
    <x:tableColumn id="3" name="AASHE Match Status"/>
    <x:tableColumn id="4" name="Matched AASHE Institution"/>
    <x:tableColumn id="5" name="Rating"/>
    <x:tableColumn id="6" name="Score"/>
    <x:tableColumn id="7" name="Valid Through"/>
    <x:tableColumn id="8" name="AASHE Profile URL"/>
    <x:tableColumn id="9" name="Latest Report URL"/>
    <x:tableColumn id="10" name="Source URL"/>
    <x:tableColumn id="11" name="Scop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rificationIssuesTable" displayName="VerificationIssuesTable" ref="A4:G14" headerRowCount="1" totalsRowCount="0" totalsRowShown="0">
  <x:autoFilter ref="A4:G14"/>
  <x:tableColumns count="7">
    <x:tableColumn id="1" name="Priority"/>
    <x:tableColumn id="2" name="Category"/>
    <x:tableColumn id="3" name="Institution"/>
    <x:tableColumn id="4" name="Issue"/>
    <x:tableColumn id="5" name="Treatment in Workbook"/>
    <x:tableColumn id="6" name="Recommended Follow-up"/>
    <x:tableColumn id="7" name="Evidence URL"/>
  </x:tableColumns>
  <x:tableStyleInfo name="TableStyleMedium10" showFirstColumn="0" showLastColumn="0" showRowStripes="1" showColumnStripes="0"/>
</x:table>
</file>

<file path=xl/tables/table8.xml><?xml version="1.0" encoding="utf-8"?>
<x:table xmlns:x="http://schemas.openxmlformats.org/spreadsheetml/2006/main" id="8" name="URLAuditTable" displayName="URLAuditTable" ref="A4:I101" headerRowCount="1" totalsRowCount="0" totalsRowShown="0">
  <x:autoFilter ref="A4:I101"/>
  <x:tableColumns count="9">
    <x:tableColumn id="1" name="ID"/>
    <x:tableColumn id="2" name="Institution"/>
    <x:tableColumn id="3" name="Program"/>
    <x:tableColumn id="4" name="Audit Result"/>
    <x:tableColumn id="5" name="HTTP Status"/>
    <x:tableColumn id="6" name="Requested URL"/>
    <x:tableColumn id="7" name="Final URL"/>
    <x:tableColumn id="8" name="Page Title"/>
    <x:tableColumn id="9" name="Audit Note"/>
  </x:tableColumns>
  <x:tableStyleInfo name="TableStyleMedium9" showFirstColumn="0" showLastColumn="0" showRowStripes="1" showColumnStripes="0"/>
</x:table>
</file>

<file path=xl/tables/table9.xml><?xml version="1.0" encoding="utf-8"?>
<x:table xmlns:x="http://schemas.openxmlformats.org/spreadsheetml/2006/main" id="9" name="DataDictionaryTable" displayName="DataDictionaryTable" ref="A4:F14" headerRowCount="1" totalsRowCount="0" totalsRowShown="0">
  <x:autoFilter ref="A4:F14"/>
  <x:tableColumns count="6">
    <x:tableColumn id="1" name="Sheet"/>
    <x:tableColumn id="2" name="Field"/>
    <x:tableColumn id="3" name="Allowed Values / Example"/>
    <x:tableColumn id="4" name="Definition"/>
    <x:tableColumn id="5" name="Type"/>
    <x:tableColumn id="6" name="Analysis 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0e335f4c146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6f2a83923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030363d6f34d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a8f2774fd247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e89aa09fdb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0ec6c7c29c4e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d504eb87284b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aa8429e60340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41936b1ec6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58" hidden="0" customWidth="1"/>
    <x:col min="4" max="4" width="18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3" t="str">
        <x:v>Corrected Sustainability Program Dataset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QS Sustainability Rankings 2026 + THE Sustainability Impact Ratings 2026 + current AASHE STARS records. Validated 18 July 2026.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3" t="str">
        <x:v>Metric</x:v>
      </x:c>
      <x:c r="B4" s="13" t="str">
        <x:v>Value</x:v>
      </x:c>
      <x:c r="C4" s="13" t="str">
        <x:v>Interpretation</x:v>
      </x:c>
      <x:c r="D4" s="13" t="str">
        <x:v>Audit rule</x:v>
      </x:c>
    </x:row>
    <x:row r="5">
      <x:c r="A5" s="17" t="str">
        <x:v>Unique candidate institutions</x:v>
      </x:c>
      <x:c r="B5" s="21" t="n">
        <x:f>COUNTA('Candidate Universities'!$B$5:$B$101)</x:f>
        <x:v>97</x:v>
      </x:c>
      <x:c r="C5" s="17" t="str">
        <x:v>Union after institutional-name reconciliation</x:v>
      </x:c>
      <x:c r="D5" s="17" t="str">
        <x:v>No duplicate institution counted twice</x:v>
      </x:c>
    </x:row>
    <x:row r="6">
      <x:c r="A6" s="17" t="str">
        <x:v>QS rank &lt;= 50 records</x:v>
      </x:c>
      <x:c r="B6" s="21" t="n">
        <x:f>COUNTA('QS Sustainability Top 50'!$A$5:$A$55)</x:f>
        <x:v>51</x:v>
      </x:c>
      <x:c r="C6" s="17" t="str">
        <x:v>51 rows because rank 50 is tied</x:v>
      </x:c>
      <x:c r="D6" s="17" t="str">
        <x:v>Numeric rank &lt;= 50; include ties</x:v>
      </x:c>
    </x:row>
    <x:row r="7">
      <x:c r="A7" s="17" t="str">
        <x:v>THE rank &lt;= 50 records</x:v>
      </x:c>
      <x:c r="B7" s="21" t="n">
        <x:f>COUNTA('THE Impact Top 50'!$A$5:$A$55)</x:f>
        <x:v>51</x:v>
      </x:c>
      <x:c r="C7" s="17" t="str">
        <x:v>51 rows because rank 49 is tied</x:v>
      </x:c>
      <x:c r="D7" s="17" t="str">
        <x:v>Numeric rank &lt;= 50; include ties</x:v>
      </x:c>
    </x:row>
    <x:row r="8">
      <x:c r="A8" s="17" t="str">
        <x:v>Institutions in both rankings</x:v>
      </x:c>
      <x:c r="B8" s="21" t="n">
        <x:f>COUNTIF('Candidate Universities'!$D$5:$D$101,"Both")</x:f>
        <x:v>5</x:v>
      </x:c>
      <x:c r="C8" s="17" t="str">
        <x:v>Manchester, Western, Glasgow, Exeter, and UNSW</x:v>
      </x:c>
      <x:c r="D8" s="17" t="str">
        <x:v>Verified same institutional identity</x:v>
      </x:c>
    </x:row>
    <x:row r="9">
      <x:c r="A9" s="17" t="str">
        <x:v>QS-only institutions</x:v>
      </x:c>
      <x:c r="B9" s="21" t="n">
        <x:f>COUNTIF('Candidate Universities'!$D$5:$D$101,"QS Sustainability")</x:f>
        <x:v>46</x:v>
      </x:c>
      <x:c r="C9" s="17" t="str">
        <x:v>In QS only</x:v>
      </x:c>
      <x:c r="D9" s="17" t="str">
        <x:v>Candidate source = QS Sustainability</x:v>
      </x:c>
    </x:row>
    <x:row r="10">
      <x:c r="A10" s="17" t="str">
        <x:v>THE-only institutions</x:v>
      </x:c>
      <x:c r="B10" s="21" t="n">
        <x:f>COUNTIF('Candidate Universities'!$D$5:$D$101,"THE Impact")</x:f>
        <x:v>46</x:v>
      </x:c>
      <x:c r="C10" s="17" t="str">
        <x:v>In THE only</x:v>
      </x:c>
      <x:c r="D10" s="17" t="str">
        <x:v>Candidate source = THE Impact</x:v>
      </x:c>
    </x:row>
    <x:row r="11">
      <x:c r="A11" s="17" t="str">
        <x:v>Programs confirmed</x:v>
      </x:c>
      <x:c r="B11" s="21" t="n">
        <x:f>COUNTIF('Program Verification'!$G$5:$G$101,"Confirmed")</x:f>
        <x:v>94</x:v>
      </x:c>
      <x:c r="C11" s="17" t="str">
        <x:v>Current master-level program or explicitly labeled best-fit path</x:v>
      </x:c>
      <x:c r="D11" s="17" t="str">
        <x:v>Official university source</x:v>
      </x:c>
    </x:row>
    <x:row r="12">
      <x:c r="A12" s="17" t="str">
        <x:v>Programs requiring manual review</x:v>
      </x:c>
      <x:c r="B12" s="21" t="n">
        <x:f>COUNTIF('Program Verification'!$G$5:$G$101,"Manual review required")</x:f>
        <x:v>3</x:v>
      </x:c>
      <x:c r="C12" s="17" t="str">
        <x:v>No qualifying standalone master's confirmed</x:v>
      </x:c>
      <x:c r="D12" s="17" t="str">
        <x:v>Manual follow-up before analysis</x:v>
      </x:c>
    </x:row>
    <x:row r="13">
      <x:c r="A13" s="17" t="str">
        <x:v>AASHE records with ratings shown</x:v>
      </x:c>
      <x:c r="B13" s="21" t="n">
        <x:f>COUNTIF('AASHE STARS'!$F$5:$F$101,"&lt;&gt;")</x:f>
        <x:v>15</x:v>
      </x:c>
      <x:c r="C13" s="17" t="str">
        <x:v>Includes one ASU scope-review match</x:v>
      </x:c>
      <x:c r="D13" s="17" t="str">
        <x:v>Strict AASHE institution/campus scope</x:v>
      </x:c>
    </x:row>
    <x:row r="14">
      <x:c r="A14" s="17" t="str">
        <x:v>Program URLs passing automated fetch</x:v>
      </x:c>
      <x:c r="B14" s="21" t="n">
        <x:f>COUNTIF('URL Audit'!$D$5:$D$101,"OK")</x:f>
        <x:v>85</x:v>
      </x:c>
      <x:c r="C14" s="17" t="str">
        <x:v>Remaining official pages block bots or failed automated fetch; no 404s remain</x:v>
      </x:c>
      <x:c r="D14" s="17" t="str">
        <x:v>HTTP 2xx/3xx follow-through</x:v>
      </x:c>
    </x:row>
    <x:row r="17" ht="36" customHeight="1">
      <x:c r="A17" s="27" t="str">
        <x:v>Correction</x:v>
      </x:c>
      <x:c r="B17" s="27" t="str">
        <x:v>Previous issue</x:v>
      </x:c>
      <x:c r="C17" s="27" t="str">
        <x:v>Correct treatment</x:v>
      </x:c>
      <x:c r="D17" s="27" t="str">
        <x:v>Status</x:v>
      </x:c>
    </x:row>
    <x:row r="18">
      <x:c r="A18" s="17" t="str">
        <x:v>Ranking family</x:v>
      </x:c>
      <x:c r="B18" s="17" t="str">
        <x:v>General QS/THE world rankings were used</x:v>
      </x:c>
      <x:c r="C18" s="17" t="str">
        <x:v>Use QS Sustainability and THE Sustainability Impact Ratings</x:v>
      </x:c>
      <x:c r="D18" s="29" t="str">
        <x:v>Corrected</x:v>
      </x:c>
    </x:row>
    <x:row r="19">
      <x:c r="A19" s="17" t="str">
        <x:v>Candidate universe</x:v>
      </x:c>
      <x:c r="B19" s="17" t="str">
        <x:v>62 institutions</x:v>
      </x:c>
      <x:c r="C19" s="17" t="str">
        <x:v>97 unique institutions after tied cutoffs and overlap</x:v>
      </x:c>
      <x:c r="D19" s="29" t="str">
        <x:v>Corrected</x:v>
      </x:c>
    </x:row>
    <x:row r="20">
      <x:c r="A20" s="17" t="str">
        <x:v>QS cutoff</x:v>
      </x:c>
      <x:c r="B20" s="17" t="str">
        <x:v>Assumed exactly 50 rows</x:v>
      </x:c>
      <x:c r="C20" s="17" t="str">
        <x:v>51 rows: rank 50 has a tie</x:v>
      </x:c>
      <x:c r="D20" s="29" t="str">
        <x:v>Corrected</x:v>
      </x:c>
    </x:row>
    <x:row r="21">
      <x:c r="A21" s="17" t="str">
        <x:v>THE cutoff</x:v>
      </x:c>
      <x:c r="B21" s="17" t="str">
        <x:v>Assumed exactly 50 rows</x:v>
      </x:c>
      <x:c r="C21" s="17" t="str">
        <x:v>51 rows: rank 49 has a tie</x:v>
      </x:c>
      <x:c r="D21" s="29" t="str">
        <x:v>Corrected</x:v>
      </x:c>
    </x:row>
    <x:row r="22">
      <x:c r="A22" s="17" t="str">
        <x:v>McGill program</x:v>
      </x:c>
      <x:c r="B22" s="17" t="str">
        <x:v>Undergraduate Sustainability, Science &amp; Society labeled as MSc</x:v>
      </x:c>
      <x:c r="C22" s="17" t="str">
        <x:v>MSc Geography with sustainability/environment research theme</x:v>
      </x:c>
      <x:c r="D22" s="29" t="str">
        <x:v>Corrected</x:v>
      </x:c>
    </x:row>
    <x:row r="23">
      <x:c r="A23" s="17" t="str">
        <x:v>UBC program</x:v>
      </x:c>
      <x:c r="B23" s="17" t="str">
        <x:v>Paused Sustainable Process Engineering MEL</x:v>
      </x:c>
      <x:c r="C23" s="17" t="str">
        <x:v>Current Clean Energy Engineering MEL</x:v>
      </x:c>
      <x:c r="D23" s="29" t="str">
        <x:v>Corrected</x:v>
      </x:c>
    </x:row>
    <x:row r="24">
      <x:c r="A24" s="17" t="str">
        <x:v>Toronto AASHE</x:v>
      </x:c>
      <x:c r="B24" s="17" t="str">
        <x:v>Mississauga campus Gold inherited by parent</x:v>
      </x:c>
      <x:c r="C24" s="17" t="str">
        <x:v>Campus-only evidence retained; parent receives no rating</x:v>
      </x:c>
      <x:c r="D24" s="29" t="str">
        <x:v>Corrected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20" hidden="0" customWidth="1"/>
    <x:col min="5" max="5" width="10" hidden="0" customWidth="1"/>
    <x:col min="6" max="6" width="11" hidden="0" customWidth="1"/>
    <x:col min="7" max="7" width="10" hidden="0" customWidth="1"/>
    <x:col min="8" max="8" width="14" hidden="0" customWidth="1"/>
    <x:col min="9" max="9" width="46" hidden="0" customWidth="1"/>
    <x:col min="10" max="10" width="46" hidden="0" customWidth="1"/>
  </x:cols>
  <x:sheetData>
    <x:row r="1" ht="28" customHeight="1">
      <x:c r="A1" s="3" t="str">
        <x:v>Candidate Universities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Union of QS Sustainability rank &lt;= 50 and THE Sustainability Impact rank &lt;= 50. Ties are included; five verified overlaps are counted once.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13" t="str">
        <x:v>ID</x:v>
      </x:c>
      <x:c r="B4" s="13" t="str">
        <x:v>Institution</x:v>
      </x:c>
      <x:c r="C4" s="13" t="str">
        <x:v>Country</x:v>
      </x:c>
      <x:c r="D4" s="13" t="str">
        <x:v>Candidate Source</x:v>
      </x:c>
      <x:c r="E4" s="13" t="str">
        <x:v>QS Rank</x:v>
      </x:c>
      <x:c r="F4" s="13" t="str">
        <x:v>QS Score</x:v>
      </x:c>
      <x:c r="G4" s="13" t="str">
        <x:v>THE Rank</x:v>
      </x:c>
      <x:c r="H4" s="13" t="str">
        <x:v>THE Overall Score</x:v>
      </x:c>
      <x:c r="I4" s="13" t="str">
        <x:v>QS Profile URL</x:v>
      </x:c>
      <x:c r="J4" s="13" t="str">
        <x:v>THE Profile URL</x:v>
      </x:c>
    </x:row>
    <x:row r="5">
      <x:c r="A5" s="17" t="n">
        <x:v>1</x:v>
      </x:c>
      <x:c r="B5" s="17" t="str">
        <x:v>Lund University</x:v>
      </x:c>
      <x:c r="C5" s="17" t="str">
        <x:v>Sweden</x:v>
      </x:c>
      <x:c r="D5" s="17" t="str">
        <x:v>QS Sustainability</x:v>
      </x:c>
      <x:c r="E5" s="17" t="str">
        <x:v>1</x:v>
      </x:c>
      <x:c r="F5" s="31" t="n">
        <x:v>100</x:v>
      </x:c>
      <x:c r="G5" s="17" t="str"/>
      <x:c r="H5" s="31"/>
      <x:c r="I5" s="30" t="str">
        <x:v>https://www.topuniversities.com/universities/lund-university</x:v>
      </x:c>
      <x:c r="J5" s="30" t="str"/>
    </x:row>
    <x:row r="6">
      <x:c r="A6" s="17" t="n">
        <x:v>2</x:v>
      </x:c>
      <x:c r="B6" s="17" t="str">
        <x:v>University of Toronto</x:v>
      </x:c>
      <x:c r="C6" s="17" t="str">
        <x:v>Canada</x:v>
      </x:c>
      <x:c r="D6" s="17" t="str">
        <x:v>QS Sustainability</x:v>
      </x:c>
      <x:c r="E6" s="17" t="str">
        <x:v>2</x:v>
      </x:c>
      <x:c r="F6" s="31" t="n">
        <x:v>99.8</x:v>
      </x:c>
      <x:c r="G6" s="17" t="str"/>
      <x:c r="H6" s="31"/>
      <x:c r="I6" s="30" t="str">
        <x:v>https://www.topuniversities.com/universities/university-toronto</x:v>
      </x:c>
      <x:c r="J6" s="30" t="str"/>
    </x:row>
    <x:row r="7">
      <x:c r="A7" s="17" t="n">
        <x:v>3</x:v>
      </x:c>
      <x:c r="B7" s="17" t="str">
        <x:v>UCL</x:v>
      </x:c>
      <x:c r="C7" s="17" t="str">
        <x:v>United Kingdom</x:v>
      </x:c>
      <x:c r="D7" s="17" t="str">
        <x:v>QS Sustainability</x:v>
      </x:c>
      <x:c r="E7" s="17" t="str">
        <x:v>3</x:v>
      </x:c>
      <x:c r="F7" s="31" t="n">
        <x:v>99</x:v>
      </x:c>
      <x:c r="G7" s="17" t="str"/>
      <x:c r="H7" s="31"/>
      <x:c r="I7" s="30" t="str">
        <x:v>https://www.topuniversities.com/universities/ucl</x:v>
      </x:c>
      <x:c r="J7" s="30" t="str"/>
    </x:row>
    <x:row r="8">
      <x:c r="A8" s="17" t="n">
        <x:v>4</x:v>
      </x:c>
      <x:c r="B8" s="17" t="str">
        <x:v>The University of Edinburgh</x:v>
      </x:c>
      <x:c r="C8" s="17" t="str">
        <x:v>United Kingdom</x:v>
      </x:c>
      <x:c r="D8" s="17" t="str">
        <x:v>QS Sustainability</x:v>
      </x:c>
      <x:c r="E8" s="17" t="str">
        <x:v>4</x:v>
      </x:c>
      <x:c r="F8" s="31" t="n">
        <x:v>98.7</x:v>
      </x:c>
      <x:c r="G8" s="17" t="str"/>
      <x:c r="H8" s="31"/>
      <x:c r="I8" s="30" t="str">
        <x:v>https://www.topuniversities.com/universities/university-edinburgh</x:v>
      </x:c>
      <x:c r="J8" s="30" t="str"/>
    </x:row>
    <x:row r="9">
      <x:c r="A9" s="17" t="n">
        <x:v>5</x:v>
      </x:c>
      <x:c r="B9" s="17" t="str">
        <x:v>University of British Columbia</x:v>
      </x:c>
      <x:c r="C9" s="17" t="str">
        <x:v>Canada</x:v>
      </x:c>
      <x:c r="D9" s="17" t="str">
        <x:v>QS Sustainability</x:v>
      </x:c>
      <x:c r="E9" s="17" t="str">
        <x:v>5</x:v>
      </x:c>
      <x:c r="F9" s="31" t="n">
        <x:v>98.6</x:v>
      </x:c>
      <x:c r="G9" s="17" t="str"/>
      <x:c r="H9" s="31"/>
      <x:c r="I9" s="30" t="str">
        <x:v>https://www.topuniversities.com/universities/university-british-columbia</x:v>
      </x:c>
      <x:c r="J9" s="30" t="str"/>
    </x:row>
    <x:row r="10">
      <x:c r="A10" s="17" t="n">
        <x:v>6</x:v>
      </x:c>
      <x:c r="B10" s="17" t="str">
        <x:v>The London School of Economics and Political Science (LSE)</x:v>
      </x:c>
      <x:c r="C10" s="17" t="str">
        <x:v>United Kingdom</x:v>
      </x:c>
      <x:c r="D10" s="17" t="str">
        <x:v>QS Sustainability</x:v>
      </x:c>
      <x:c r="E10" s="17" t="str">
        <x:v>6</x:v>
      </x:c>
      <x:c r="F10" s="31" t="n">
        <x:v>98.5</x:v>
      </x:c>
      <x:c r="G10" s="17" t="str"/>
      <x:c r="H10" s="31"/>
      <x:c r="I10" s="30" t="str">
        <x:v>https://www.topuniversities.com/universities/london-school-economics-political-science-lse</x:v>
      </x:c>
      <x:c r="J10" s="30" t="str"/>
    </x:row>
    <x:row r="11">
      <x:c r="A11" s="17" t="n">
        <x:v>7</x:v>
      </x:c>
      <x:c r="B11" s="17" t="str">
        <x:v>Imperial College London</x:v>
      </x:c>
      <x:c r="C11" s="17" t="str">
        <x:v>United Kingdom</x:v>
      </x:c>
      <x:c r="D11" s="17" t="str">
        <x:v>QS Sustainability</x:v>
      </x:c>
      <x:c r="E11" s="17" t="n">
        <x:f>7</x:f>
        <x:v>7</x:v>
      </x:c>
      <x:c r="F11" s="31" t="n">
        <x:v>98.2</x:v>
      </x:c>
      <x:c r="G11" s="17" t="str"/>
      <x:c r="H11" s="31"/>
      <x:c r="I11" s="30" t="str">
        <x:v>https://www.topuniversities.com/universities/imperial-college-london</x:v>
      </x:c>
      <x:c r="J11" s="30" t="str"/>
    </x:row>
    <x:row r="12">
      <x:c r="A12" s="17" t="n">
        <x:v>8</x:v>
      </x:c>
      <x:c r="B12" s="17" t="str">
        <x:v>The University of New South Wales (UNSW Sydney)</x:v>
      </x:c>
      <x:c r="C12" s="17" t="str">
        <x:v>Australia</x:v>
      </x:c>
      <x:c r="D12" s="17" t="str">
        <x:v>Both</x:v>
      </x:c>
      <x:c r="E12" s="17" t="n">
        <x:f>7</x:f>
        <x:v>7</x:v>
      </x:c>
      <x:c r="F12" s="31" t="n">
        <x:v>98.2</x:v>
      </x:c>
      <x:c r="G12" s="17" t="n">
        <x:f>41</x:f>
        <x:v>41</x:v>
      </x:c>
      <x:c r="H12" s="31" t="n">
        <x:v>93.2</x:v>
      </x:c>
      <x:c r="I12" s="30" t="str">
        <x:v>https://www.topuniversities.com/universities/university-new-south-wales-unsw-sydney</x:v>
      </x:c>
      <x:c r="J12" s="30" t="str">
        <x:v>https://www.timeshighereducation.com/world-university-rankings/unsw-sydney</x:v>
      </x:c>
    </x:row>
    <x:row r="13">
      <x:c r="A13" s="17" t="n">
        <x:v>9</x:v>
      </x:c>
      <x:c r="B13" s="17" t="str">
        <x:v>McGill University</x:v>
      </x:c>
      <x:c r="C13" s="17" t="str">
        <x:v>Canada</x:v>
      </x:c>
      <x:c r="D13" s="17" t="str">
        <x:v>QS Sustainability</x:v>
      </x:c>
      <x:c r="E13" s="17" t="str">
        <x:v>9</x:v>
      </x:c>
      <x:c r="F13" s="31" t="n">
        <x:v>98.1</x:v>
      </x:c>
      <x:c r="G13" s="17" t="str"/>
      <x:c r="H13" s="31"/>
      <x:c r="I13" s="30" t="str">
        <x:v>https://www.topuniversities.com/universities/mcgill-university</x:v>
      </x:c>
      <x:c r="J13" s="30" t="str"/>
    </x:row>
    <x:row r="14">
      <x:c r="A14" s="17" t="n">
        <x:v>10</x:v>
      </x:c>
      <x:c r="B14" s="17" t="str">
        <x:v>The University of Manchester</x:v>
      </x:c>
      <x:c r="C14" s="17" t="str">
        <x:v>United Kingdom</x:v>
      </x:c>
      <x:c r="D14" s="17" t="str">
        <x:v>Both</x:v>
      </x:c>
      <x:c r="E14" s="17" t="str">
        <x:v>10</x:v>
      </x:c>
      <x:c r="F14" s="31" t="n">
        <x:v>98</x:v>
      </x:c>
      <x:c r="G14" s="17" t="str">
        <x:v>1</x:v>
      </x:c>
      <x:c r="H14" s="31" t="n">
        <x:v>98.5</x:v>
      </x:c>
      <x:c r="I14" s="30" t="str">
        <x:v>https://www.topuniversities.com/universities/university-manchester</x:v>
      </x:c>
      <x:c r="J14" s="30" t="str">
        <x:v>https://www.timeshighereducation.com/world-university-rankings/university-manchester</x:v>
      </x:c>
    </x:row>
    <x:row r="15">
      <x:c r="A15" s="17" t="n">
        <x:v>11</x:v>
      </x:c>
      <x:c r="B15" s="17" t="str">
        <x:v>ETH Zurich</x:v>
      </x:c>
      <x:c r="C15" s="17" t="str">
        <x:v>Switzerland</x:v>
      </x:c>
      <x:c r="D15" s="17" t="str">
        <x:v>QS Sustainability</x:v>
      </x:c>
      <x:c r="E15" s="17" t="n">
        <x:f>11</x:f>
        <x:v>11</x:v>
      </x:c>
      <x:c r="F15" s="31" t="n">
        <x:v>97.9</x:v>
      </x:c>
      <x:c r="G15" s="17" t="str"/>
      <x:c r="H15" s="31"/>
      <x:c r="I15" s="30" t="str">
        <x:v>https://www.topuniversities.com/universities/eth-zurich</x:v>
      </x:c>
      <x:c r="J15" s="30" t="str"/>
    </x:row>
    <x:row r="16">
      <x:c r="A16" s="17" t="n">
        <x:v>12</x:v>
      </x:c>
      <x:c r="B16" s="17" t="str">
        <x:v>The University of Melbourne</x:v>
      </x:c>
      <x:c r="C16" s="17" t="str">
        <x:v>Australia</x:v>
      </x:c>
      <x:c r="D16" s="17" t="str">
        <x:v>QS Sustainability</x:v>
      </x:c>
      <x:c r="E16" s="17" t="n">
        <x:f>11</x:f>
        <x:v>11</x:v>
      </x:c>
      <x:c r="F16" s="31" t="n">
        <x:v>97.9</x:v>
      </x:c>
      <x:c r="G16" s="17" t="str"/>
      <x:c r="H16" s="31"/>
      <x:c r="I16" s="30" t="str">
        <x:v>https://www.topuniversities.com/universities/university-melbourne</x:v>
      </x:c>
      <x:c r="J16" s="30" t="str"/>
    </x:row>
    <x:row r="17">
      <x:c r="A17" s="17" t="n">
        <x:v>13</x:v>
      </x:c>
      <x:c r="B17" s="17" t="str">
        <x:v>University of California, Berkeley (UCB)</x:v>
      </x:c>
      <x:c r="C17" s="17" t="str">
        <x:v>United States</x:v>
      </x:c>
      <x:c r="D17" s="17" t="str">
        <x:v>QS Sustainability</x:v>
      </x:c>
      <x:c r="E17" s="17" t="n">
        <x:f>11</x:f>
        <x:v>11</x:v>
      </x:c>
      <x:c r="F17" s="31" t="n">
        <x:v>97.9</x:v>
      </x:c>
      <x:c r="G17" s="17" t="str"/>
      <x:c r="H17" s="31"/>
      <x:c r="I17" s="30" t="str">
        <x:v>https://www.topuniversities.com/universities/university-california-berkeley-ucb</x:v>
      </x:c>
      <x:c r="J17" s="30" t="str"/>
    </x:row>
    <x:row r="18">
      <x:c r="A18" s="17" t="n">
        <x:v>14</x:v>
      </x:c>
      <x:c r="B18" s="17" t="str">
        <x:v>Stanford University</x:v>
      </x:c>
      <x:c r="C18" s="17" t="str">
        <x:v>United States</x:v>
      </x:c>
      <x:c r="D18" s="17" t="str">
        <x:v>QS Sustainability</x:v>
      </x:c>
      <x:c r="E18" s="17" t="str">
        <x:v>13</x:v>
      </x:c>
      <x:c r="F18" s="31" t="n">
        <x:v>97.8</x:v>
      </x:c>
      <x:c r="G18" s="17" t="str"/>
      <x:c r="H18" s="31"/>
      <x:c r="I18" s="30" t="str">
        <x:v>https://www.topuniversities.com/universities/stanford-university</x:v>
      </x:c>
      <x:c r="J18" s="30" t="str"/>
    </x:row>
    <x:row r="19">
      <x:c r="A19" s="17" t="n">
        <x:v>15</x:v>
      </x:c>
      <x:c r="B19" s="17" t="str">
        <x:v>University of Oxford</x:v>
      </x:c>
      <x:c r="C19" s="17" t="str">
        <x:v>United Kingdom</x:v>
      </x:c>
      <x:c r="D19" s="17" t="str">
        <x:v>QS Sustainability</x:v>
      </x:c>
      <x:c r="E19" s="17" t="str">
        <x:v>14</x:v>
      </x:c>
      <x:c r="F19" s="31" t="n">
        <x:v>97.7</x:v>
      </x:c>
      <x:c r="G19" s="17" t="str"/>
      <x:c r="H19" s="31"/>
      <x:c r="I19" s="30" t="str">
        <x:v>https://www.topuniversities.com/universities/university-oxford</x:v>
      </x:c>
      <x:c r="J19" s="30" t="str"/>
    </x:row>
    <x:row r="20">
      <x:c r="A20" s="17" t="n">
        <x:v>16</x:v>
      </x:c>
      <x:c r="B20" s="17" t="str">
        <x:v>The University of Sydney</x:v>
      </x:c>
      <x:c r="C20" s="17" t="str">
        <x:v>Australia</x:v>
      </x:c>
      <x:c r="D20" s="17" t="str">
        <x:v>QS Sustainability</x:v>
      </x:c>
      <x:c r="E20" s="17" t="str">
        <x:v>15</x:v>
      </x:c>
      <x:c r="F20" s="31" t="n">
        <x:v>97.3</x:v>
      </x:c>
      <x:c r="G20" s="17" t="str"/>
      <x:c r="H20" s="31"/>
      <x:c r="I20" s="30" t="str">
        <x:v>https://www.topuniversities.com/universities/university-sydney</x:v>
      </x:c>
      <x:c r="J20" s="30" t="str"/>
    </x:row>
    <x:row r="21">
      <x:c r="A21" s="17" t="n">
        <x:v>17</x:v>
      </x:c>
      <x:c r="B21" s="17" t="str">
        <x:v>Australian National University (ANU)</x:v>
      </x:c>
      <x:c r="C21" s="17" t="str">
        <x:v>Australia</x:v>
      </x:c>
      <x:c r="D21" s="17" t="str">
        <x:v>QS Sustainability</x:v>
      </x:c>
      <x:c r="E21" s="17" t="n">
        <x:f>16</x:f>
        <x:v>16</x:v>
      </x:c>
      <x:c r="F21" s="31" t="n">
        <x:v>97.2</x:v>
      </x:c>
      <x:c r="G21" s="17" t="str"/>
      <x:c r="H21" s="31"/>
      <x:c r="I21" s="30" t="str">
        <x:v>https://www.topuniversities.com/universities/australian-national-university-anu</x:v>
      </x:c>
      <x:c r="J21" s="30" t="str"/>
    </x:row>
    <x:row r="22">
      <x:c r="A22" s="17" t="n">
        <x:v>18</x:v>
      </x:c>
      <x:c r="B22" s="17" t="str">
        <x:v>King's College London</x:v>
      </x:c>
      <x:c r="C22" s="17" t="str">
        <x:v>United Kingdom</x:v>
      </x:c>
      <x:c r="D22" s="17" t="str">
        <x:v>QS Sustainability</x:v>
      </x:c>
      <x:c r="E22" s="17" t="n">
        <x:f>16</x:f>
        <x:v>16</x:v>
      </x:c>
      <x:c r="F22" s="31" t="n">
        <x:v>97.2</x:v>
      </x:c>
      <x:c r="G22" s="17" t="str"/>
      <x:c r="H22" s="31"/>
      <x:c r="I22" s="30" t="str">
        <x:v>https://www.topuniversities.com/universities/kings-college-london</x:v>
      </x:c>
      <x:c r="J22" s="30" t="str"/>
    </x:row>
    <x:row r="23">
      <x:c r="A23" s="17" t="n">
        <x:v>19</x:v>
      </x:c>
      <x:c r="B23" s="17" t="str">
        <x:v>University of Bristol</x:v>
      </x:c>
      <x:c r="C23" s="17" t="str">
        <x:v>United Kingdom</x:v>
      </x:c>
      <x:c r="D23" s="17" t="str">
        <x:v>QS Sustainability</x:v>
      </x:c>
      <x:c r="E23" s="17" t="str">
        <x:v>19</x:v>
      </x:c>
      <x:c r="F23" s="31" t="n">
        <x:v>96.9</x:v>
      </x:c>
      <x:c r="G23" s="17" t="str"/>
      <x:c r="H23" s="31"/>
      <x:c r="I23" s="30" t="str">
        <x:v>https://www.topuniversities.com/universities/university-bristol</x:v>
      </x:c>
      <x:c r="J23" s="30" t="str"/>
    </x:row>
    <x:row r="24">
      <x:c r="A24" s="17" t="n">
        <x:v>20</x:v>
      </x:c>
      <x:c r="B24" s="17" t="str">
        <x:v>New York University (NYU)</x:v>
      </x:c>
      <x:c r="C24" s="17" t="str">
        <x:v>United States</x:v>
      </x:c>
      <x:c r="D24" s="17" t="str">
        <x:v>QS Sustainability</x:v>
      </x:c>
      <x:c r="E24" s="17" t="str">
        <x:v>20</x:v>
      </x:c>
      <x:c r="F24" s="31" t="n">
        <x:v>96.3</x:v>
      </x:c>
      <x:c r="G24" s="17" t="str"/>
      <x:c r="H24" s="31"/>
      <x:c r="I24" s="30" t="str">
        <x:v>https://www.topuniversities.com/universities/new-york-university-nyu</x:v>
      </x:c>
      <x:c r="J24" s="30" t="str"/>
    </x:row>
    <x:row r="25">
      <x:c r="A25" s="17" t="n">
        <x:v>21</x:v>
      </x:c>
      <x:c r="B25" s="17" t="str">
        <x:v>Pennsylvania State University</x:v>
      </x:c>
      <x:c r="C25" s="17" t="str">
        <x:v>United States</x:v>
      </x:c>
      <x:c r="D25" s="17" t="str">
        <x:v>QS Sustainability</x:v>
      </x:c>
      <x:c r="E25" s="17" t="str">
        <x:v>21</x:v>
      </x:c>
      <x:c r="F25" s="31" t="n">
        <x:v>96.1</x:v>
      </x:c>
      <x:c r="G25" s="17" t="str"/>
      <x:c r="H25" s="31"/>
      <x:c r="I25" s="30" t="str">
        <x:v>https://www.topuniversities.com/universities/pennsylvania-state-university</x:v>
      </x:c>
      <x:c r="J25" s="30" t="str"/>
    </x:row>
    <x:row r="26">
      <x:c r="A26" s="17" t="n">
        <x:v>22</x:v>
      </x:c>
      <x:c r="B26" s="17" t="str">
        <x:v>KU Leuven</x:v>
      </x:c>
      <x:c r="C26" s="17" t="str">
        <x:v>Belgium</x:v>
      </x:c>
      <x:c r="D26" s="17" t="str">
        <x:v>QS Sustainability</x:v>
      </x:c>
      <x:c r="E26" s="17" t="n">
        <x:f>22</x:f>
        <x:v>22</x:v>
      </x:c>
      <x:c r="F26" s="31" t="n">
        <x:v>95.9</x:v>
      </x:c>
      <x:c r="G26" s="17" t="str"/>
      <x:c r="H26" s="31"/>
      <x:c r="I26" s="30" t="str">
        <x:v>https://www.topuniversities.com/universities/ku-leuven</x:v>
      </x:c>
      <x:c r="J26" s="30" t="str"/>
    </x:row>
    <x:row r="27">
      <x:c r="A27" s="17" t="n">
        <x:v>23</x:v>
      </x:c>
      <x:c r="B27" s="17" t="str">
        <x:v>University of Helsinki</x:v>
      </x:c>
      <x:c r="C27" s="17" t="str">
        <x:v>Finland</x:v>
      </x:c>
      <x:c r="D27" s="17" t="str">
        <x:v>QS Sustainability</x:v>
      </x:c>
      <x:c r="E27" s="17" t="n">
        <x:f>22</x:f>
        <x:v>22</x:v>
      </x:c>
      <x:c r="F27" s="31" t="n">
        <x:v>95.9</x:v>
      </x:c>
      <x:c r="G27" s="17" t="str"/>
      <x:c r="H27" s="31"/>
      <x:c r="I27" s="30" t="str">
        <x:v>https://www.topuniversities.com/universities/university-helsinki</x:v>
      </x:c>
      <x:c r="J27" s="30" t="str"/>
    </x:row>
    <x:row r="28">
      <x:c r="A28" s="17" t="n">
        <x:v>24</x:v>
      </x:c>
      <x:c r="B28" s="17" t="str">
        <x:v>Durham University</x:v>
      </x:c>
      <x:c r="C28" s="17" t="str">
        <x:v>United Kingdom</x:v>
      </x:c>
      <x:c r="D28" s="17" t="str">
        <x:v>QS Sustainability</x:v>
      </x:c>
      <x:c r="E28" s="17" t="n">
        <x:f>24</x:f>
        <x:v>24</x:v>
      </x:c>
      <x:c r="F28" s="31" t="n">
        <x:v>95.8</x:v>
      </x:c>
      <x:c r="G28" s="17" t="str"/>
      <x:c r="H28" s="31"/>
      <x:c r="I28" s="30" t="str">
        <x:v>https://www.topuniversities.com/universities/durham-university</x:v>
      </x:c>
      <x:c r="J28" s="30" t="str"/>
    </x:row>
    <x:row r="29">
      <x:c r="A29" s="17" t="n">
        <x:v>25</x:v>
      </x:c>
      <x:c r="B29" s="17" t="str">
        <x:v>University of Leeds</x:v>
      </x:c>
      <x:c r="C29" s="17" t="str">
        <x:v>United Kingdom</x:v>
      </x:c>
      <x:c r="D29" s="17" t="str">
        <x:v>QS Sustainability</x:v>
      </x:c>
      <x:c r="E29" s="17" t="n">
        <x:f>24</x:f>
        <x:v>24</x:v>
      </x:c>
      <x:c r="F29" s="31" t="n">
        <x:v>95.8</x:v>
      </x:c>
      <x:c r="G29" s="17" t="str"/>
      <x:c r="H29" s="31"/>
      <x:c r="I29" s="30" t="str">
        <x:v>https://www.topuniversities.com/universities/university-leeds</x:v>
      </x:c>
      <x:c r="J29" s="30" t="str"/>
    </x:row>
    <x:row r="30">
      <x:c r="A30" s="17" t="n">
        <x:v>26</x:v>
      </x:c>
      <x:c r="B30" s="17" t="str">
        <x:v>Western University</x:v>
      </x:c>
      <x:c r="C30" s="17" t="str">
        <x:v>Canada</x:v>
      </x:c>
      <x:c r="D30" s="17" t="str">
        <x:v>Both</x:v>
      </x:c>
      <x:c r="E30" s="17" t="n">
        <x:f>24</x:f>
        <x:v>24</x:v>
      </x:c>
      <x:c r="F30" s="31" t="n">
        <x:v>95.8</x:v>
      </x:c>
      <x:c r="G30" s="17" t="n">
        <x:f>12</x:f>
        <x:v>12</x:v>
      </x:c>
      <x:c r="H30" s="31" t="n">
        <x:v>95.9</x:v>
      </x:c>
      <x:c r="I30" s="30" t="str">
        <x:v>https://www.topuniversities.com/universities/western-university</x:v>
      </x:c>
      <x:c r="J30" s="30" t="str">
        <x:v>https://www.timeshighereducation.com/world-university-rankings/western-university</x:v>
      </x:c>
    </x:row>
    <x:row r="31">
      <x:c r="A31" s="17" t="n">
        <x:v>27</x:v>
      </x:c>
      <x:c r="B31" s="17" t="str">
        <x:v>University of Glasgow</x:v>
      </x:c>
      <x:c r="C31" s="17" t="str">
        <x:v>United Kingdom</x:v>
      </x:c>
      <x:c r="D31" s="17" t="str">
        <x:v>Both</x:v>
      </x:c>
      <x:c r="E31" s="17" t="str">
        <x:v>27</x:v>
      </x:c>
      <x:c r="F31" s="31" t="n">
        <x:v>95.7</x:v>
      </x:c>
      <x:c r="G31" s="17" t="str">
        <x:v>14</x:v>
      </x:c>
      <x:c r="H31" s="31" t="n">
        <x:v>95.8</x:v>
      </x:c>
      <x:c r="I31" s="30" t="str">
        <x:v>https://www.topuniversities.com/universities/university-glasgow</x:v>
      </x:c>
      <x:c r="J31" s="30" t="str">
        <x:v>https://www.timeshighereducation.com/world-university-rankings/university-glasgow</x:v>
      </x:c>
    </x:row>
    <x:row r="32">
      <x:c r="A32" s="17" t="n">
        <x:v>28</x:v>
      </x:c>
      <x:c r="B32" s="17" t="str">
        <x:v>The University of Auckland</x:v>
      </x:c>
      <x:c r="C32" s="17" t="str">
        <x:v>New Zealand</x:v>
      </x:c>
      <x:c r="D32" s="17" t="str">
        <x:v>QS Sustainability</x:v>
      </x:c>
      <x:c r="E32" s="17" t="str">
        <x:v>28</x:v>
      </x:c>
      <x:c r="F32" s="31" t="n">
        <x:v>95.5</x:v>
      </x:c>
      <x:c r="G32" s="17" t="str"/>
      <x:c r="H32" s="31"/>
      <x:c r="I32" s="30" t="str">
        <x:v>https://www.topuniversities.com/universities/university-auckland</x:v>
      </x:c>
      <x:c r="J32" s="30" t="str"/>
    </x:row>
    <x:row r="33">
      <x:c r="A33" s="17" t="n">
        <x:v>29</x:v>
      </x:c>
      <x:c r="B33" s="17" t="str">
        <x:v>Trinity College Dublin, The University of Dublin</x:v>
      </x:c>
      <x:c r="C33" s="17" t="str">
        <x:v>Ireland</x:v>
      </x:c>
      <x:c r="D33" s="17" t="str">
        <x:v>QS Sustainability</x:v>
      </x:c>
      <x:c r="E33" s="17" t="str">
        <x:v>29</x:v>
      </x:c>
      <x:c r="F33" s="31" t="n">
        <x:v>95.4</x:v>
      </x:c>
      <x:c r="G33" s="17" t="str"/>
      <x:c r="H33" s="31"/>
      <x:c r="I33" s="30" t="str">
        <x:v>https://www.topuniversities.com/universities/trinity-college-dublin-university-dublin</x:v>
      </x:c>
      <x:c r="J33" s="30" t="str"/>
    </x:row>
    <x:row r="34">
      <x:c r="A34" s="17" t="n">
        <x:v>30</x:v>
      </x:c>
      <x:c r="B34" s="17" t="str">
        <x:v>University of Pennsylvania</x:v>
      </x:c>
      <x:c r="C34" s="17" t="str">
        <x:v>United States</x:v>
      </x:c>
      <x:c r="D34" s="17" t="str">
        <x:v>QS Sustainability</x:v>
      </x:c>
      <x:c r="E34" s="17" t="n">
        <x:f>30</x:f>
        <x:v>30</x:v>
      </x:c>
      <x:c r="F34" s="31" t="n">
        <x:v>95.3</x:v>
      </x:c>
      <x:c r="G34" s="17" t="str"/>
      <x:c r="H34" s="31"/>
      <x:c r="I34" s="30" t="str">
        <x:v>https://www.topuniversities.com/universities/university-pennsylvania</x:v>
      </x:c>
      <x:c r="J34" s="30" t="str"/>
    </x:row>
    <x:row r="35">
      <x:c r="A35" s="17" t="n">
        <x:v>31</x:v>
      </x:c>
      <x:c r="B35" s="17" t="str">
        <x:v>University of Reading</x:v>
      </x:c>
      <x:c r="C35" s="17" t="str">
        <x:v>United Kingdom</x:v>
      </x:c>
      <x:c r="D35" s="17" t="str">
        <x:v>QS Sustainability</x:v>
      </x:c>
      <x:c r="E35" s="17" t="n">
        <x:f>30</x:f>
        <x:v>30</x:v>
      </x:c>
      <x:c r="F35" s="31" t="n">
        <x:v>95.3</x:v>
      </x:c>
      <x:c r="G35" s="17" t="str"/>
      <x:c r="H35" s="31"/>
      <x:c r="I35" s="30" t="str">
        <x:v>https://www.topuniversities.com/universities/university-reading</x:v>
      </x:c>
      <x:c r="J35" s="30" t="str"/>
    </x:row>
    <x:row r="36">
      <x:c r="A36" s="17" t="n">
        <x:v>32</x:v>
      </x:c>
      <x:c r="B36" s="17" t="str">
        <x:v>Uppsala University</x:v>
      </x:c>
      <x:c r="C36" s="17" t="str">
        <x:v>Sweden</x:v>
      </x:c>
      <x:c r="D36" s="17" t="str">
        <x:v>QS Sustainability</x:v>
      </x:c>
      <x:c r="E36" s="17" t="str">
        <x:v>32</x:v>
      </x:c>
      <x:c r="F36" s="31" t="n">
        <x:v>95.1</x:v>
      </x:c>
      <x:c r="G36" s="17" t="str"/>
      <x:c r="H36" s="31"/>
      <x:c r="I36" s="30" t="str">
        <x:v>https://www.topuniversities.com/universities/uppsala-university</x:v>
      </x:c>
      <x:c r="J36" s="30" t="str"/>
    </x:row>
    <x:row r="37">
      <x:c r="A37" s="17" t="n">
        <x:v>33</x:v>
      </x:c>
      <x:c r="B37" s="17" t="str">
        <x:v>Ghent University</x:v>
      </x:c>
      <x:c r="C37" s="17" t="str">
        <x:v>Belgium</x:v>
      </x:c>
      <x:c r="D37" s="17" t="str">
        <x:v>QS Sustainability</x:v>
      </x:c>
      <x:c r="E37" s="17" t="n">
        <x:f>33</x:f>
        <x:v>33</x:v>
      </x:c>
      <x:c r="F37" s="31" t="n">
        <x:v>94.9</x:v>
      </x:c>
      <x:c r="G37" s="17" t="str"/>
      <x:c r="H37" s="31"/>
      <x:c r="I37" s="30" t="str">
        <x:v>https://www.topuniversities.com/universities/ghent-university</x:v>
      </x:c>
      <x:c r="J37" s="30" t="str"/>
    </x:row>
    <x:row r="38">
      <x:c r="A38" s="17" t="n">
        <x:v>34</x:v>
      </x:c>
      <x:c r="B38" s="17" t="str">
        <x:v>The University of Sheffield</x:v>
      </x:c>
      <x:c r="C38" s="17" t="str">
        <x:v>United Kingdom</x:v>
      </x:c>
      <x:c r="D38" s="17" t="str">
        <x:v>QS Sustainability</x:v>
      </x:c>
      <x:c r="E38" s="17" t="n">
        <x:f>33</x:f>
        <x:v>33</x:v>
      </x:c>
      <x:c r="F38" s="31" t="n">
        <x:v>94.9</x:v>
      </x:c>
      <x:c r="G38" s="17" t="str"/>
      <x:c r="H38" s="31"/>
      <x:c r="I38" s="30" t="str">
        <x:v>https://www.topuniversities.com/universities/university-sheffield</x:v>
      </x:c>
      <x:c r="J38" s="30" t="str"/>
    </x:row>
    <x:row r="39">
      <x:c r="A39" s="17" t="n">
        <x:v>35</x:v>
      </x:c>
      <x:c r="B39" s="17" t="str">
        <x:v>Delft University of Technology</x:v>
      </x:c>
      <x:c r="C39" s="17" t="str">
        <x:v>Netherlands</x:v>
      </x:c>
      <x:c r="D39" s="17" t="str">
        <x:v>QS Sustainability</x:v>
      </x:c>
      <x:c r="E39" s="17" t="n">
        <x:f>35</x:f>
        <x:v>35</x:v>
      </x:c>
      <x:c r="F39" s="31" t="n">
        <x:v>94.8</x:v>
      </x:c>
      <x:c r="G39" s="17" t="str"/>
      <x:c r="H39" s="31"/>
      <x:c r="I39" s="30" t="str">
        <x:v>https://www.topuniversities.com/universities/delft-university-technology</x:v>
      </x:c>
      <x:c r="J39" s="30" t="str"/>
    </x:row>
    <x:row r="40">
      <x:c r="A40" s="17" t="n">
        <x:v>36</x:v>
      </x:c>
      <x:c r="B40" s="17" t="str">
        <x:v>Michigan State University</x:v>
      </x:c>
      <x:c r="C40" s="17" t="str">
        <x:v>United States</x:v>
      </x:c>
      <x:c r="D40" s="17" t="str">
        <x:v>QS Sustainability</x:v>
      </x:c>
      <x:c r="E40" s="17" t="n">
        <x:f>35</x:f>
        <x:v>35</x:v>
      </x:c>
      <x:c r="F40" s="31" t="n">
        <x:v>94.8</x:v>
      </x:c>
      <x:c r="G40" s="17" t="str"/>
      <x:c r="H40" s="31"/>
      <x:c r="I40" s="30" t="str">
        <x:v>https://www.topuniversities.com/universities/michigan-state-university</x:v>
      </x:c>
      <x:c r="J40" s="30" t="str"/>
    </x:row>
    <x:row r="41">
      <x:c r="A41" s="17" t="n">
        <x:v>37</x:v>
      </x:c>
      <x:c r="B41" s="17" t="str">
        <x:v>Monash University</x:v>
      </x:c>
      <x:c r="C41" s="17" t="str">
        <x:v>Australia</x:v>
      </x:c>
      <x:c r="D41" s="17" t="str">
        <x:v>QS Sustainability</x:v>
      </x:c>
      <x:c r="E41" s="17" t="str">
        <x:v>37</x:v>
      </x:c>
      <x:c r="F41" s="31" t="n">
        <x:v>94.6</x:v>
      </x:c>
      <x:c r="G41" s="17" t="str"/>
      <x:c r="H41" s="31"/>
      <x:c r="I41" s="30" t="str">
        <x:v>https://www.topuniversities.com/universities/monash-university</x:v>
      </x:c>
      <x:c r="J41" s="30" t="str"/>
    </x:row>
    <x:row r="42">
      <x:c r="A42" s="17" t="n">
        <x:v>38</x:v>
      </x:c>
      <x:c r="B42" s="17" t="str">
        <x:v>Seoul National University</x:v>
      </x:c>
      <x:c r="C42" s="17" t="str">
        <x:v>South Korea</x:v>
      </x:c>
      <x:c r="D42" s="17" t="str">
        <x:v>QS Sustainability</x:v>
      </x:c>
      <x:c r="E42" s="17" t="n">
        <x:f>37</x:f>
        <x:v>37</x:v>
      </x:c>
      <x:c r="F42" s="31" t="n">
        <x:v>94.5</x:v>
      </x:c>
      <x:c r="G42" s="17" t="str"/>
      <x:c r="H42" s="31"/>
      <x:c r="I42" s="30" t="str">
        <x:v>https://www.topuniversities.com/universities/seoul-national-university</x:v>
      </x:c>
      <x:c r="J42" s="30" t="str"/>
    </x:row>
    <x:row r="43">
      <x:c r="A43" s="17" t="n">
        <x:v>39</x:v>
      </x:c>
      <x:c r="B43" s="17" t="str">
        <x:v>University of Nottingham</x:v>
      </x:c>
      <x:c r="C43" s="17" t="str">
        <x:v>United Kingdom</x:v>
      </x:c>
      <x:c r="D43" s="17" t="str">
        <x:v>QS Sustainability</x:v>
      </x:c>
      <x:c r="E43" s="17" t="n">
        <x:f>37</x:f>
        <x:v>37</x:v>
      </x:c>
      <x:c r="F43" s="31" t="n">
        <x:v>94.5</x:v>
      </x:c>
      <x:c r="G43" s="17" t="str"/>
      <x:c r="H43" s="31"/>
      <x:c r="I43" s="30" t="str">
        <x:v>https://www.topuniversities.com/universities/university-nottingham</x:v>
      </x:c>
      <x:c r="J43" s="30" t="str"/>
    </x:row>
    <x:row r="44">
      <x:c r="A44" s="17" t="n">
        <x:v>40</x:v>
      </x:c>
      <x:c r="B44" s="17" t="str">
        <x:v>University of York</x:v>
      </x:c>
      <x:c r="C44" s="17" t="str">
        <x:v>United Kingdom</x:v>
      </x:c>
      <x:c r="D44" s="17" t="str">
        <x:v>QS Sustainability</x:v>
      </x:c>
      <x:c r="E44" s="17" t="str">
        <x:v>39</x:v>
      </x:c>
      <x:c r="F44" s="31" t="n">
        <x:v>94.2</x:v>
      </x:c>
      <x:c r="G44" s="17" t="str"/>
      <x:c r="H44" s="31"/>
      <x:c r="I44" s="30" t="str">
        <x:v>https://www.topuniversities.com/universities/university-york</x:v>
      </x:c>
      <x:c r="J44" s="30" t="str"/>
    </x:row>
    <x:row r="45">
      <x:c r="A45" s="17" t="n">
        <x:v>41</x:v>
      </x:c>
      <x:c r="B45" s="17" t="str">
        <x:v>Boston University</x:v>
      </x:c>
      <x:c r="C45" s="17" t="str">
        <x:v>United States</x:v>
      </x:c>
      <x:c r="D45" s="17" t="str">
        <x:v>QS Sustainability</x:v>
      </x:c>
      <x:c r="E45" s="17" t="str">
        <x:v>40</x:v>
      </x:c>
      <x:c r="F45" s="31" t="n">
        <x:v>94.1</x:v>
      </x:c>
      <x:c r="G45" s="17" t="str"/>
      <x:c r="H45" s="31"/>
      <x:c r="I45" s="30" t="str">
        <x:v>https://www.topuniversities.com/universities/boston-university</x:v>
      </x:c>
      <x:c r="J45" s="30" t="str"/>
    </x:row>
    <x:row r="46">
      <x:c r="A46" s="17" t="n">
        <x:v>42</x:v>
      </x:c>
      <x:c r="B46" s="17" t="str">
        <x:v>Johns Hopkins University</x:v>
      </x:c>
      <x:c r="C46" s="17" t="str">
        <x:v>United States</x:v>
      </x:c>
      <x:c r="D46" s="17" t="str">
        <x:v>QS Sustainability</x:v>
      </x:c>
      <x:c r="E46" s="17" t="n">
        <x:f>41</x:f>
        <x:v>41</x:v>
      </x:c>
      <x:c r="F46" s="31" t="n">
        <x:v>94</x:v>
      </x:c>
      <x:c r="G46" s="17" t="str"/>
      <x:c r="H46" s="31"/>
      <x:c r="I46" s="30" t="str">
        <x:v>https://www.topuniversities.com/universities/johns-hopkins-university</x:v>
      </x:c>
      <x:c r="J46" s="30" t="str"/>
    </x:row>
    <x:row r="47">
      <x:c r="A47" s="17" t="n">
        <x:v>43</x:v>
      </x:c>
      <x:c r="B47" s="17" t="str">
        <x:v>Massachusetts Institute of Technology (MIT)</x:v>
      </x:c>
      <x:c r="C47" s="17" t="str">
        <x:v>United States</x:v>
      </x:c>
      <x:c r="D47" s="17" t="str">
        <x:v>QS Sustainability</x:v>
      </x:c>
      <x:c r="E47" s="17" t="n">
        <x:f>43</x:f>
        <x:v>43</x:v>
      </x:c>
      <x:c r="F47" s="31" t="n">
        <x:v>93.9</x:v>
      </x:c>
      <x:c r="G47" s="17" t="str"/>
      <x:c r="H47" s="31"/>
      <x:c r="I47" s="30" t="str">
        <x:v>https://www.topuniversities.com/universities/massachusetts-institute-technology-mit</x:v>
      </x:c>
      <x:c r="J47" s="30" t="str"/>
    </x:row>
    <x:row r="48">
      <x:c r="A48" s="17" t="n">
        <x:v>44</x:v>
      </x:c>
      <x:c r="B48" s="17" t="str">
        <x:v>University of Birmingham</x:v>
      </x:c>
      <x:c r="C48" s="17" t="str">
        <x:v>United Kingdom</x:v>
      </x:c>
      <x:c r="D48" s="17" t="str">
        <x:v>QS Sustainability</x:v>
      </x:c>
      <x:c r="E48" s="17" t="n">
        <x:f>43</x:f>
        <x:v>43</x:v>
      </x:c>
      <x:c r="F48" s="31" t="n">
        <x:v>93.9</x:v>
      </x:c>
      <x:c r="G48" s="17" t="str"/>
      <x:c r="H48" s="31"/>
      <x:c r="I48" s="30" t="str">
        <x:v>https://www.topuniversities.com/universities/university-birmingham</x:v>
      </x:c>
      <x:c r="J48" s="30" t="str"/>
    </x:row>
    <x:row r="49">
      <x:c r="A49" s="17" t="n">
        <x:v>45</x:v>
      </x:c>
      <x:c r="B49" s="17" t="str">
        <x:v>Université Paris-Saclay</x:v>
      </x:c>
      <x:c r="C49" s="17" t="str">
        <x:v>France</x:v>
      </x:c>
      <x:c r="D49" s="17" t="str">
        <x:v>QS Sustainability</x:v>
      </x:c>
      <x:c r="E49" s="17" t="str">
        <x:v>45</x:v>
      </x:c>
      <x:c r="F49" s="31" t="n">
        <x:v>93.8</x:v>
      </x:c>
      <x:c r="G49" s="17" t="str"/>
      <x:c r="H49" s="31"/>
      <x:c r="I49" s="30" t="str">
        <x:v>https://www.topuniversities.com/universities/universite-paris-saclay</x:v>
      </x:c>
      <x:c r="J49" s="30" t="str"/>
    </x:row>
    <x:row r="50">
      <x:c r="A50" s="17" t="n">
        <x:v>46</x:v>
      </x:c>
      <x:c r="B50" s="17" t="str">
        <x:v>Universität Hamburg</x:v>
      </x:c>
      <x:c r="C50" s="17" t="str">
        <x:v>Germany</x:v>
      </x:c>
      <x:c r="D50" s="17" t="str">
        <x:v>QS Sustainability</x:v>
      </x:c>
      <x:c r="E50" s="17" t="str">
        <x:v>46</x:v>
      </x:c>
      <x:c r="F50" s="31" t="n">
        <x:v>93.7</x:v>
      </x:c>
      <x:c r="G50" s="17" t="str"/>
      <x:c r="H50" s="31"/>
      <x:c r="I50" s="30" t="str">
        <x:v>https://www.topuniversities.com/universities/universitat-hamburg</x:v>
      </x:c>
      <x:c r="J50" s="30" t="str"/>
    </x:row>
    <x:row r="51">
      <x:c r="A51" s="17" t="n">
        <x:v>47</x:v>
      </x:c>
      <x:c r="B51" s="17" t="str">
        <x:v>University College Dublin</x:v>
      </x:c>
      <x:c r="C51" s="17" t="str">
        <x:v>Ireland</x:v>
      </x:c>
      <x:c r="D51" s="17" t="str">
        <x:v>QS Sustainability</x:v>
      </x:c>
      <x:c r="E51" s="17" t="str">
        <x:v>47</x:v>
      </x:c>
      <x:c r="F51" s="31" t="n">
        <x:v>93.6</x:v>
      </x:c>
      <x:c r="G51" s="17" t="str"/>
      <x:c r="H51" s="31"/>
      <x:c r="I51" s="30" t="str">
        <x:v>https://www.topuniversities.com/universities/university-college-dublin</x:v>
      </x:c>
      <x:c r="J51" s="30" t="str"/>
    </x:row>
    <x:row r="52">
      <x:c r="A52" s="17" t="n">
        <x:v>48</x:v>
      </x:c>
      <x:c r="B52" s="17" t="str">
        <x:v>The University of Tokyo</x:v>
      </x:c>
      <x:c r="C52" s="17" t="str">
        <x:v>Japan</x:v>
      </x:c>
      <x:c r="D52" s="17" t="str">
        <x:v>QS Sustainability</x:v>
      </x:c>
      <x:c r="E52" s="17" t="n">
        <x:f>48</x:f>
        <x:v>48</x:v>
      </x:c>
      <x:c r="F52" s="31" t="n">
        <x:v>93.5</x:v>
      </x:c>
      <x:c r="G52" s="17" t="str"/>
      <x:c r="H52" s="31"/>
      <x:c r="I52" s="30" t="str">
        <x:v>https://www.topuniversities.com/universities/university-tokyo</x:v>
      </x:c>
      <x:c r="J52" s="30" t="str"/>
    </x:row>
    <x:row r="53">
      <x:c r="A53" s="17" t="n">
        <x:v>49</x:v>
      </x:c>
      <x:c r="B53" s="17" t="str">
        <x:v>University of Exeter</x:v>
      </x:c>
      <x:c r="C53" s="17" t="str">
        <x:v>United Kingdom</x:v>
      </x:c>
      <x:c r="D53" s="17" t="str">
        <x:v>Both</x:v>
      </x:c>
      <x:c r="E53" s="17" t="n">
        <x:f>48</x:f>
        <x:v>48</x:v>
      </x:c>
      <x:c r="F53" s="31" t="n">
        <x:v>93.5</x:v>
      </x:c>
      <x:c r="G53" s="17" t="n">
        <x:f>20</x:f>
        <x:v>20</x:v>
      </x:c>
      <x:c r="H53" s="31" t="n">
        <x:v>95.3</x:v>
      </x:c>
      <x:c r="I53" s="30" t="str">
        <x:v>https://www.topuniversities.com/universities/university-exeter</x:v>
      </x:c>
      <x:c r="J53" s="30" t="str">
        <x:v>https://www.timeshighereducation.com/world-university-rankings/university-exeter</x:v>
      </x:c>
    </x:row>
    <x:row r="54">
      <x:c r="A54" s="17" t="n">
        <x:v>50</x:v>
      </x:c>
      <x:c r="B54" s="17" t="str">
        <x:v>The University of Queensland</x:v>
      </x:c>
      <x:c r="C54" s="17" t="str">
        <x:v>Australia</x:v>
      </x:c>
      <x:c r="D54" s="17" t="str">
        <x:v>QS Sustainability</x:v>
      </x:c>
      <x:c r="E54" s="17" t="n">
        <x:f>50</x:f>
        <x:v>50</x:v>
      </x:c>
      <x:c r="F54" s="31" t="n">
        <x:v>93.3</x:v>
      </x:c>
      <x:c r="G54" s="17" t="str"/>
      <x:c r="H54" s="31"/>
      <x:c r="I54" s="30" t="str">
        <x:v>https://www.topuniversities.com/universities/university-queensland</x:v>
      </x:c>
      <x:c r="J54" s="30" t="str"/>
    </x:row>
    <x:row r="55">
      <x:c r="A55" s="17" t="n">
        <x:v>51</x:v>
      </x:c>
      <x:c r="B55" s="17" t="str">
        <x:v>University of Gothenburg</x:v>
      </x:c>
      <x:c r="C55" s="17" t="str">
        <x:v>Sweden</x:v>
      </x:c>
      <x:c r="D55" s="17" t="str">
        <x:v>QS Sustainability</x:v>
      </x:c>
      <x:c r="E55" s="17" t="n">
        <x:f>50</x:f>
        <x:v>50</x:v>
      </x:c>
      <x:c r="F55" s="31" t="n">
        <x:v>93.3</x:v>
      </x:c>
      <x:c r="G55" s="17" t="str"/>
      <x:c r="H55" s="31"/>
      <x:c r="I55" s="30" t="str">
        <x:v>https://www.topuniversities.com/universities/university-gothenburg</x:v>
      </x:c>
      <x:c r="J55" s="30" t="str"/>
    </x:row>
    <x:row r="56">
      <x:c r="A56" s="17" t="n">
        <x:v>52</x:v>
      </x:c>
      <x:c r="B56" s="17" t="str">
        <x:v>Griffith University</x:v>
      </x:c>
      <x:c r="C56" s="17" t="str">
        <x:v>Australia</x:v>
      </x:c>
      <x:c r="D56" s="17" t="str">
        <x:v>THE Impact</x:v>
      </x:c>
      <x:c r="E56" s="17" t="str"/>
      <x:c r="F56" s="31"/>
      <x:c r="G56" s="17" t="str">
        <x:v>2</x:v>
      </x:c>
      <x:c r="H56" s="31" t="n">
        <x:v>97.9</x:v>
      </x:c>
      <x:c r="I56" s="30" t="str"/>
      <x:c r="J56" s="30" t="str">
        <x:v>https://www.timeshighereducation.com/world-university-rankings/griffith-university</x:v>
      </x:c>
    </x:row>
    <x:row r="57">
      <x:c r="A57" s="17" t="n">
        <x:v>53</x:v>
      </x:c>
      <x:c r="B57" s="17" t="str">
        <x:v>Western Sydney University</x:v>
      </x:c>
      <x:c r="C57" s="17" t="str">
        <x:v>Australia</x:v>
      </x:c>
      <x:c r="D57" s="17" t="str">
        <x:v>THE Impact</x:v>
      </x:c>
      <x:c r="E57" s="17" t="str"/>
      <x:c r="F57" s="31"/>
      <x:c r="G57" s="17" t="str">
        <x:v>3</x:v>
      </x:c>
      <x:c r="H57" s="31" t="n">
        <x:v>97.8</x:v>
      </x:c>
      <x:c r="I57" s="30" t="str"/>
      <x:c r="J57" s="30" t="str">
        <x:v>https://www.timeshighereducation.com/world-university-rankings/western-sydney-university</x:v>
      </x:c>
    </x:row>
    <x:row r="58">
      <x:c r="A58" s="17" t="n">
        <x:v>54</x:v>
      </x:c>
      <x:c r="B58" s="17" t="str">
        <x:v>Queen's University</x:v>
      </x:c>
      <x:c r="C58" s="17" t="str">
        <x:v>Canada</x:v>
      </x:c>
      <x:c r="D58" s="17" t="str">
        <x:v>THE Impact</x:v>
      </x:c>
      <x:c r="E58" s="17" t="str"/>
      <x:c r="F58" s="31"/>
      <x:c r="G58" s="17" t="str">
        <x:v>4</x:v>
      </x:c>
      <x:c r="H58" s="31" t="n">
        <x:v>97.5</x:v>
      </x:c>
      <x:c r="I58" s="30" t="str"/>
      <x:c r="J58" s="30" t="str">
        <x:v>https://www.timeshighereducation.com/world-university-rankings/queens-university</x:v>
      </x:c>
    </x:row>
    <x:row r="59">
      <x:c r="A59" s="17" t="n">
        <x:v>55</x:v>
      </x:c>
      <x:c r="B59" s="17" t="str">
        <x:v>Universiti Sains Malaysia</x:v>
      </x:c>
      <x:c r="C59" s="17" t="str">
        <x:v>Malaysia</x:v>
      </x:c>
      <x:c r="D59" s="17" t="str">
        <x:v>THE Impact</x:v>
      </x:c>
      <x:c r="E59" s="17" t="str"/>
      <x:c r="F59" s="31"/>
      <x:c r="G59" s="17" t="str">
        <x:v>5</x:v>
      </x:c>
      <x:c r="H59" s="31" t="n">
        <x:v>97.3</x:v>
      </x:c>
      <x:c r="I59" s="30" t="str"/>
      <x:c r="J59" s="30" t="str">
        <x:v>https://www.timeshighereducation.com/world-university-rankings/universiti-sains-malaysia</x:v>
      </x:c>
    </x:row>
    <x:row r="60">
      <x:c r="A60" s="17" t="n">
        <x:v>56</x:v>
      </x:c>
      <x:c r="B60" s="17" t="str">
        <x:v>Hanyang University</x:v>
      </x:c>
      <x:c r="C60" s="17" t="str">
        <x:v>South Korea</x:v>
      </x:c>
      <x:c r="D60" s="17" t="str">
        <x:v>THE Impact</x:v>
      </x:c>
      <x:c r="E60" s="17" t="str"/>
      <x:c r="F60" s="31"/>
      <x:c r="G60" s="17" t="str">
        <x:v>6</x:v>
      </x:c>
      <x:c r="H60" s="31" t="n">
        <x:v>96.8</x:v>
      </x:c>
      <x:c r="I60" s="30" t="str"/>
      <x:c r="J60" s="30" t="str">
        <x:v>https://www.timeshighereducation.com/world-university-rankings/hanyang-university</x:v>
      </x:c>
    </x:row>
    <x:row r="61">
      <x:c r="A61" s="17" t="n">
        <x:v>57</x:v>
      </x:c>
      <x:c r="B61" s="17" t="str">
        <x:v>Hokkaido University</x:v>
      </x:c>
      <x:c r="C61" s="17" t="str">
        <x:v>Japan</x:v>
      </x:c>
      <x:c r="D61" s="17" t="str">
        <x:v>THE Impact</x:v>
      </x:c>
      <x:c r="E61" s="17" t="str"/>
      <x:c r="F61" s="31"/>
      <x:c r="G61" s="17" t="n">
        <x:f>7</x:f>
        <x:v>7</x:v>
      </x:c>
      <x:c r="H61" s="31" t="n">
        <x:v>96.3</x:v>
      </x:c>
      <x:c r="I61" s="30" t="str"/>
      <x:c r="J61" s="30" t="str">
        <x:v>https://www.timeshighereducation.com/world-university-rankings/hokkaido-university</x:v>
      </x:c>
    </x:row>
    <x:row r="62">
      <x:c r="A62" s="17" t="n">
        <x:v>58</x:v>
      </x:c>
      <x:c r="B62" s="17" t="str">
        <x:v>Universiti Kebangsaan Malaysia</x:v>
      </x:c>
      <x:c r="C62" s="17" t="str">
        <x:v>Malaysia</x:v>
      </x:c>
      <x:c r="D62" s="17" t="str">
        <x:v>THE Impact</x:v>
      </x:c>
      <x:c r="E62" s="17" t="str"/>
      <x:c r="F62" s="31"/>
      <x:c r="G62" s="17" t="n">
        <x:f>7</x:f>
        <x:v>7</x:v>
      </x:c>
      <x:c r="H62" s="31" t="n">
        <x:v>96.3</x:v>
      </x:c>
      <x:c r="I62" s="30" t="str"/>
      <x:c r="J62" s="30" t="str">
        <x:v>https://www.timeshighereducation.com/world-university-rankings/universiti-kebangsaan-malaysia</x:v>
      </x:c>
    </x:row>
    <x:row r="63">
      <x:c r="A63" s="17" t="n">
        <x:v>59</x:v>
      </x:c>
      <x:c r="B63" s="17" t="str">
        <x:v>Institut Agro</x:v>
      </x:c>
      <x:c r="C63" s="17" t="str">
        <x:v>France</x:v>
      </x:c>
      <x:c r="D63" s="17" t="str">
        <x:v>THE Impact</x:v>
      </x:c>
      <x:c r="E63" s="17" t="str"/>
      <x:c r="F63" s="31"/>
      <x:c r="G63" s="17" t="str">
        <x:v>9</x:v>
      </x:c>
      <x:c r="H63" s="31" t="n">
        <x:v>96.1</x:v>
      </x:c>
      <x:c r="I63" s="30" t="str"/>
      <x:c r="J63" s="30" t="str">
        <x:v>https://www.timeshighereducation.com/world-university-rankings/institut-agro</x:v>
      </x:c>
    </x:row>
    <x:row r="64">
      <x:c r="A64" s="17" t="n">
        <x:v>60</x:v>
      </x:c>
      <x:c r="B64" s="17" t="str">
        <x:v>National Taiwan University (NTU)</x:v>
      </x:c>
      <x:c r="C64" s="17" t="str">
        <x:v>Taiwan</x:v>
      </x:c>
      <x:c r="D64" s="17" t="str">
        <x:v>THE Impact</x:v>
      </x:c>
      <x:c r="E64" s="17" t="str"/>
      <x:c r="F64" s="31"/>
      <x:c r="G64" s="17" t="n">
        <x:f>10</x:f>
        <x:v>10</x:v>
      </x:c>
      <x:c r="H64" s="31" t="n">
        <x:v>96</x:v>
      </x:c>
      <x:c r="I64" s="30" t="str"/>
      <x:c r="J64" s="30" t="str">
        <x:v>https://www.timeshighereducation.com/world-university-rankings/national-taiwan-university-ntu</x:v>
      </x:c>
    </x:row>
    <x:row r="65">
      <x:c r="A65" s="17" t="n">
        <x:v>61</x:v>
      </x:c>
      <x:c r="B65" s="17" t="str">
        <x:v>University of Alberta</x:v>
      </x:c>
      <x:c r="C65" s="17" t="str">
        <x:v>Canada</x:v>
      </x:c>
      <x:c r="D65" s="17" t="str">
        <x:v>THE Impact</x:v>
      </x:c>
      <x:c r="E65" s="17" t="str"/>
      <x:c r="F65" s="31"/>
      <x:c r="G65" s="17" t="n">
        <x:f>10</x:f>
        <x:v>10</x:v>
      </x:c>
      <x:c r="H65" s="31" t="n">
        <x:v>96</x:v>
      </x:c>
      <x:c r="I65" s="30" t="str"/>
      <x:c r="J65" s="30" t="str">
        <x:v>https://www.timeshighereducation.com/world-university-rankings/university-alberta</x:v>
      </x:c>
    </x:row>
    <x:row r="66">
      <x:c r="A66" s="17" t="n">
        <x:v>62</x:v>
      </x:c>
      <x:c r="B66" s="17" t="str">
        <x:v>Korea University</x:v>
      </x:c>
      <x:c r="C66" s="17" t="str">
        <x:v>South Korea</x:v>
      </x:c>
      <x:c r="D66" s="17" t="str">
        <x:v>THE Impact</x:v>
      </x:c>
      <x:c r="E66" s="17" t="str"/>
      <x:c r="F66" s="31"/>
      <x:c r="G66" s="17" t="n">
        <x:f>12</x:f>
        <x:v>12</x:v>
      </x:c>
      <x:c r="H66" s="31" t="n">
        <x:v>95.9</x:v>
      </x:c>
      <x:c r="I66" s="30" t="str"/>
      <x:c r="J66" s="30" t="str">
        <x:v>https://www.timeshighereducation.com/world-university-rankings/korea-university</x:v>
      </x:c>
    </x:row>
    <x:row r="67">
      <x:c r="A67" s="17" t="n">
        <x:v>63</x:v>
      </x:c>
      <x:c r="B67" s="17" t="str">
        <x:v>Universitas Airlangga</x:v>
      </x:c>
      <x:c r="C67" s="17" t="str">
        <x:v>Indonesia</x:v>
      </x:c>
      <x:c r="D67" s="17" t="str">
        <x:v>THE Impact</x:v>
      </x:c>
      <x:c r="E67" s="17" t="str"/>
      <x:c r="F67" s="31"/>
      <x:c r="G67" s="17" t="str">
        <x:v>15</x:v>
      </x:c>
      <x:c r="H67" s="31" t="n">
        <x:v>95.7</x:v>
      </x:c>
      <x:c r="I67" s="30" t="str"/>
      <x:c r="J67" s="30" t="str">
        <x:v>https://www.timeshighereducation.com/world-university-rankings/universitas-airlangga</x:v>
      </x:c>
    </x:row>
    <x:row r="68">
      <x:c r="A68" s="17" t="n">
        <x:v>64</x:v>
      </x:c>
      <x:c r="B68" s="17" t="str">
        <x:v>Pusan National University</x:v>
      </x:c>
      <x:c r="C68" s="17" t="str">
        <x:v>South Korea</x:v>
      </x:c>
      <x:c r="D68" s="17" t="str">
        <x:v>THE Impact</x:v>
      </x:c>
      <x:c r="E68" s="17" t="str"/>
      <x:c r="F68" s="31"/>
      <x:c r="G68" s="17" t="n">
        <x:f>16</x:f>
        <x:v>16</x:v>
      </x:c>
      <x:c r="H68" s="31" t="n">
        <x:v>95.6</x:v>
      </x:c>
      <x:c r="I68" s="30" t="str"/>
      <x:c r="J68" s="30" t="str">
        <x:v>https://www.timeshighereducation.com/world-university-rankings/pusan-national-university</x:v>
      </x:c>
    </x:row>
    <x:row r="69">
      <x:c r="A69" s="17" t="n">
        <x:v>65</x:v>
      </x:c>
      <x:c r="B69" s="17" t="str">
        <x:v>University of Tasmania</x:v>
      </x:c>
      <x:c r="C69" s="17" t="str">
        <x:v>Australia</x:v>
      </x:c>
      <x:c r="D69" s="17" t="str">
        <x:v>THE Impact</x:v>
      </x:c>
      <x:c r="E69" s="17" t="str"/>
      <x:c r="F69" s="31"/>
      <x:c r="G69" s="17" t="n">
        <x:f>16</x:f>
        <x:v>16</x:v>
      </x:c>
      <x:c r="H69" s="31" t="n">
        <x:v>95.6</x:v>
      </x:c>
      <x:c r="I69" s="30" t="str"/>
      <x:c r="J69" s="30" t="str">
        <x:v>https://www.timeshighereducation.com/world-university-rankings/university-tasmania</x:v>
      </x:c>
    </x:row>
    <x:row r="70">
      <x:c r="A70" s="17" t="n">
        <x:v>66</x:v>
      </x:c>
      <x:c r="B70" s="17" t="str">
        <x:v>McMaster University</x:v>
      </x:c>
      <x:c r="C70" s="17" t="str">
        <x:v>Canada</x:v>
      </x:c>
      <x:c r="D70" s="17" t="str">
        <x:v>THE Impact</x:v>
      </x:c>
      <x:c r="E70" s="17" t="str"/>
      <x:c r="F70" s="31"/>
      <x:c r="G70" s="17" t="str">
        <x:v>18</x:v>
      </x:c>
      <x:c r="H70" s="31" t="n">
        <x:v>95.5</x:v>
      </x:c>
      <x:c r="I70" s="30" t="str"/>
      <x:c r="J70" s="30" t="str">
        <x:v>https://www.timeshighereducation.com/world-university-rankings/mcmaster-university</x:v>
      </x:c>
    </x:row>
    <x:row r="71">
      <x:c r="A71" s="17" t="n">
        <x:v>67</x:v>
      </x:c>
      <x:c r="B71" s="17" t="str">
        <x:v>Chulalongkorn University</x:v>
      </x:c>
      <x:c r="C71" s="17" t="str">
        <x:v>Thailand</x:v>
      </x:c>
      <x:c r="D71" s="17" t="str">
        <x:v>THE Impact</x:v>
      </x:c>
      <x:c r="E71" s="17" t="str"/>
      <x:c r="F71" s="31"/>
      <x:c r="G71" s="17" t="str">
        <x:v>19</x:v>
      </x:c>
      <x:c r="H71" s="31" t="n">
        <x:v>95.4</x:v>
      </x:c>
      <x:c r="I71" s="30" t="str"/>
      <x:c r="J71" s="30" t="str">
        <x:v>https://www.timeshighereducation.com/world-university-rankings/chulalongkorn-university</x:v>
      </x:c>
    </x:row>
    <x:row r="72">
      <x:c r="A72" s="17" t="n">
        <x:v>68</x:v>
      </x:c>
      <x:c r="B72" s="17" t="str">
        <x:v>Kyungpook National University (KNU)</x:v>
      </x:c>
      <x:c r="C72" s="17" t="str">
        <x:v>South Korea</x:v>
      </x:c>
      <x:c r="D72" s="17" t="str">
        <x:v>THE Impact</x:v>
      </x:c>
      <x:c r="E72" s="17" t="str"/>
      <x:c r="F72" s="31"/>
      <x:c r="G72" s="17" t="n">
        <x:f>20</x:f>
        <x:v>20</x:v>
      </x:c>
      <x:c r="H72" s="31" t="n">
        <x:v>95.3</x:v>
      </x:c>
      <x:c r="I72" s="30" t="str"/>
      <x:c r="J72" s="30" t="str">
        <x:v>https://www.timeshighereducation.com/world-university-rankings/kyungpook-national-university-knu</x:v>
      </x:c>
    </x:row>
    <x:row r="73">
      <x:c r="A73" s="17" t="n">
        <x:v>69</x:v>
      </x:c>
      <x:c r="B73" s="17" t="str">
        <x:v>The Hong Kong University of Science and Technology</x:v>
      </x:c>
      <x:c r="C73" s="17" t="str">
        <x:v>Hong Kong</x:v>
      </x:c>
      <x:c r="D73" s="17" t="str">
        <x:v>THE Impact</x:v>
      </x:c>
      <x:c r="E73" s="17" t="str"/>
      <x:c r="F73" s="31"/>
      <x:c r="G73" s="17" t="n">
        <x:f>20</x:f>
        <x:v>20</x:v>
      </x:c>
      <x:c r="H73" s="31" t="n">
        <x:v>95.3</x:v>
      </x:c>
      <x:c r="I73" s="30" t="str"/>
      <x:c r="J73" s="30" t="str">
        <x:v>https://www.timeshighereducation.com/world-university-rankings/hong-kong-university-science-and-technology</x:v>
      </x:c>
    </x:row>
    <x:row r="74">
      <x:c r="A74" s="17" t="n">
        <x:v>70</x:v>
      </x:c>
      <x:c r="B74" s="17" t="str">
        <x:v>Lovely Professional University</x:v>
      </x:c>
      <x:c r="C74" s="17" t="str">
        <x:v>India</x:v>
      </x:c>
      <x:c r="D74" s="17" t="str">
        <x:v>THE Impact</x:v>
      </x:c>
      <x:c r="E74" s="17" t="str"/>
      <x:c r="F74" s="31"/>
      <x:c r="G74" s="17" t="str">
        <x:v>23</x:v>
      </x:c>
      <x:c r="H74" s="31" t="n">
        <x:v>95.2</x:v>
      </x:c>
      <x:c r="I74" s="30" t="str"/>
      <x:c r="J74" s="30" t="str">
        <x:v>https://www.timeshighereducation.com/world-university-rankings/lovely-professional-university</x:v>
      </x:c>
    </x:row>
    <x:row r="75">
      <x:c r="A75" s="17" t="n">
        <x:v>71</x:v>
      </x:c>
      <x:c r="B75" s="17" t="str">
        <x:v>University of Malaya</x:v>
      </x:c>
      <x:c r="C75" s="17" t="str">
        <x:v>Malaysia</x:v>
      </x:c>
      <x:c r="D75" s="17" t="str">
        <x:v>THE Impact</x:v>
      </x:c>
      <x:c r="E75" s="17" t="str"/>
      <x:c r="F75" s="31"/>
      <x:c r="G75" s="17" t="str">
        <x:v>24</x:v>
      </x:c>
      <x:c r="H75" s="31" t="n">
        <x:v>95</x:v>
      </x:c>
      <x:c r="I75" s="30" t="str"/>
      <x:c r="J75" s="30" t="str">
        <x:v>https://www.timeshighereducation.com/world-university-rankings/university-malaya</x:v>
      </x:c>
    </x:row>
    <x:row r="76">
      <x:c r="A76" s="17" t="n">
        <x:v>72</x:v>
      </x:c>
      <x:c r="B76" s="17" t="str">
        <x:v>Aalborg University</x:v>
      </x:c>
      <x:c r="C76" s="17" t="str">
        <x:v>Denmark</x:v>
      </x:c>
      <x:c r="D76" s="17" t="str">
        <x:v>THE Impact</x:v>
      </x:c>
      <x:c r="E76" s="17" t="str"/>
      <x:c r="F76" s="31"/>
      <x:c r="G76" s="17" t="str">
        <x:v>25</x:v>
      </x:c>
      <x:c r="H76" s="31" t="n">
        <x:v>94.9</x:v>
      </x:c>
      <x:c r="I76" s="30" t="str"/>
      <x:c r="J76" s="30" t="str">
        <x:v>https://www.timeshighereducation.com/world-university-rankings/aalborg-university</x:v>
      </x:c>
    </x:row>
    <x:row r="77">
      <x:c r="A77" s="17" t="n">
        <x:v>73</x:v>
      </x:c>
      <x:c r="B77" s="17" t="str">
        <x:v>Kyung Hee University</x:v>
      </x:c>
      <x:c r="C77" s="17" t="str">
        <x:v>South Korea</x:v>
      </x:c>
      <x:c r="D77" s="17" t="str">
        <x:v>THE Impact</x:v>
      </x:c>
      <x:c r="E77" s="17" t="str"/>
      <x:c r="F77" s="31"/>
      <x:c r="G77" s="17" t="str">
        <x:v>26</x:v>
      </x:c>
      <x:c r="H77" s="31" t="n">
        <x:v>94.7</x:v>
      </x:c>
      <x:c r="I77" s="30" t="str"/>
      <x:c r="J77" s="30" t="str">
        <x:v>https://www.timeshighereducation.com/world-university-rankings/kyung-hee-university</x:v>
      </x:c>
    </x:row>
    <x:row r="78">
      <x:c r="A78" s="17" t="n">
        <x:v>74</x:v>
      </x:c>
      <x:c r="B78" s="17" t="str">
        <x:v>University of Victoria</x:v>
      </x:c>
      <x:c r="C78" s="17" t="str">
        <x:v>Canada</x:v>
      </x:c>
      <x:c r="D78" s="17" t="str">
        <x:v>THE Impact</x:v>
      </x:c>
      <x:c r="E78" s="17" t="str"/>
      <x:c r="F78" s="31"/>
      <x:c r="G78" s="17" t="str">
        <x:v>27</x:v>
      </x:c>
      <x:c r="H78" s="31" t="n">
        <x:v>94.6</x:v>
      </x:c>
      <x:c r="I78" s="30" t="str"/>
      <x:c r="J78" s="30" t="str">
        <x:v>https://www.timeshighereducation.com/world-university-rankings/university-victoria</x:v>
      </x:c>
    </x:row>
    <x:row r="79">
      <x:c r="A79" s="17" t="n">
        <x:v>75</x:v>
      </x:c>
      <x:c r="B79" s="17" t="str">
        <x:v>Al-Ahliyya Amman University</x:v>
      </x:c>
      <x:c r="C79" s="17" t="str">
        <x:v>Jordan</x:v>
      </x:c>
      <x:c r="D79" s="17" t="str">
        <x:v>THE Impact</x:v>
      </x:c>
      <x:c r="E79" s="17" t="str"/>
      <x:c r="F79" s="31"/>
      <x:c r="G79" s="17" t="str">
        <x:v>28</x:v>
      </x:c>
      <x:c r="H79" s="31" t="n">
        <x:v>94.4</x:v>
      </x:c>
      <x:c r="I79" s="30" t="str"/>
      <x:c r="J79" s="30" t="str">
        <x:v>https://www.timeshighereducation.com/world-university-rankings/al-ahliyya-amman-university</x:v>
      </x:c>
    </x:row>
    <x:row r="80">
      <x:c r="A80" s="17" t="n">
        <x:v>76</x:v>
      </x:c>
      <x:c r="B80" s="17" t="str">
        <x:v>Central Queensland University</x:v>
      </x:c>
      <x:c r="C80" s="17" t="str">
        <x:v>Australia</x:v>
      </x:c>
      <x:c r="D80" s="17" t="str">
        <x:v>THE Impact</x:v>
      </x:c>
      <x:c r="E80" s="17" t="str"/>
      <x:c r="F80" s="31"/>
      <x:c r="G80" s="17" t="str">
        <x:v>29</x:v>
      </x:c>
      <x:c r="H80" s="31" t="n">
        <x:v>94.3</x:v>
      </x:c>
      <x:c r="I80" s="30" t="str"/>
      <x:c r="J80" s="30" t="str">
        <x:v>https://www.timeshighereducation.com/world-university-rankings/central-queensland-university</x:v>
      </x:c>
    </x:row>
    <x:row r="81">
      <x:c r="A81" s="17" t="n">
        <x:v>77</x:v>
      </x:c>
      <x:c r="B81" s="17" t="str">
        <x:v>University of Newcastle</x:v>
      </x:c>
      <x:c r="C81" s="17" t="str">
        <x:v>Australia</x:v>
      </x:c>
      <x:c r="D81" s="17" t="str">
        <x:v>THE Impact</x:v>
      </x:c>
      <x:c r="E81" s="17" t="str"/>
      <x:c r="F81" s="31"/>
      <x:c r="G81" s="17" t="str">
        <x:v>30</x:v>
      </x:c>
      <x:c r="H81" s="31" t="n">
        <x:v>94.1</x:v>
      </x:c>
      <x:c r="I81" s="30" t="str"/>
      <x:c r="J81" s="30" t="str">
        <x:v>https://www.timeshighereducation.com/world-university-rankings/university-newcastle</x:v>
      </x:c>
    </x:row>
    <x:row r="82">
      <x:c r="A82" s="17" t="n">
        <x:v>78</x:v>
      </x:c>
      <x:c r="B82" s="17" t="str">
        <x:v>Northumbria University</x:v>
      </x:c>
      <x:c r="C82" s="17" t="str">
        <x:v>United Kingdom</x:v>
      </x:c>
      <x:c r="D82" s="17" t="str">
        <x:v>THE Impact</x:v>
      </x:c>
      <x:c r="E82" s="17" t="str"/>
      <x:c r="F82" s="31"/>
      <x:c r="G82" s="17" t="n">
        <x:f>31</x:f>
        <x:v>31</x:v>
      </x:c>
      <x:c r="H82" s="31" t="n">
        <x:v>94</x:v>
      </x:c>
      <x:c r="I82" s="30" t="str"/>
      <x:c r="J82" s="30" t="str">
        <x:v>https://www.timeshighereducation.com/world-university-rankings/northumbria-university</x:v>
      </x:c>
    </x:row>
    <x:row r="83">
      <x:c r="A83" s="17" t="n">
        <x:v>79</x:v>
      </x:c>
      <x:c r="B83" s="17" t="str">
        <x:v>University of Indonesia</x:v>
      </x:c>
      <x:c r="C83" s="17" t="str">
        <x:v>Indonesia</x:v>
      </x:c>
      <x:c r="D83" s="17" t="str">
        <x:v>THE Impact</x:v>
      </x:c>
      <x:c r="E83" s="17" t="str"/>
      <x:c r="F83" s="31"/>
      <x:c r="G83" s="17" t="n">
        <x:f>31</x:f>
        <x:v>31</x:v>
      </x:c>
      <x:c r="H83" s="31" t="n">
        <x:v>94</x:v>
      </x:c>
      <x:c r="I83" s="30" t="str"/>
      <x:c r="J83" s="30" t="str">
        <x:v>https://www.timeshighereducation.com/world-university-rankings/university-indonesia</x:v>
      </x:c>
    </x:row>
    <x:row r="84">
      <x:c r="A84" s="17" t="n">
        <x:v>80</x:v>
      </x:c>
      <x:c r="B84" s="17" t="str">
        <x:v>An-Najah National University</x:v>
      </x:c>
      <x:c r="C84" s="17" t="str">
        <x:v>Palestine</x:v>
      </x:c>
      <x:c r="D84" s="17" t="str">
        <x:v>THE Impact</x:v>
      </x:c>
      <x:c r="E84" s="17" t="str"/>
      <x:c r="F84" s="31"/>
      <x:c r="G84" s="17" t="n">
        <x:f>33</x:f>
        <x:v>33</x:v>
      </x:c>
      <x:c r="H84" s="31" t="n">
        <x:v>93.9</x:v>
      </x:c>
      <x:c r="I84" s="30" t="str"/>
      <x:c r="J84" s="30" t="str">
        <x:v>https://www.timeshighereducation.com/world-university-rankings/najah-national-university</x:v>
      </x:c>
    </x:row>
    <x:row r="85">
      <x:c r="A85" s="17" t="n">
        <x:v>81</x:v>
      </x:c>
      <x:c r="B85" s="17" t="str">
        <x:v>Arizona State University (Tempe)</x:v>
      </x:c>
      <x:c r="C85" s="17" t="str">
        <x:v>United States</x:v>
      </x:c>
      <x:c r="D85" s="17" t="str">
        <x:v>THE Impact</x:v>
      </x:c>
      <x:c r="E85" s="17" t="str"/>
      <x:c r="F85" s="31"/>
      <x:c r="G85" s="17" t="n">
        <x:f>33</x:f>
        <x:v>33</x:v>
      </x:c>
      <x:c r="H85" s="31" t="n">
        <x:v>93.9</x:v>
      </x:c>
      <x:c r="I85" s="30" t="str"/>
      <x:c r="J85" s="30" t="str">
        <x:v>https://www.timeshighereducation.com/world-university-rankings/arizona-state-university-tempe</x:v>
      </x:c>
    </x:row>
    <x:row r="86">
      <x:c r="A86" s="17" t="n">
        <x:v>82</x:v>
      </x:c>
      <x:c r="B86" s="17" t="str">
        <x:v>King Faisal University</x:v>
      </x:c>
      <x:c r="C86" s="17" t="str">
        <x:v>Saudi Arabia</x:v>
      </x:c>
      <x:c r="D86" s="17" t="str">
        <x:v>THE Impact</x:v>
      </x:c>
      <x:c r="E86" s="17" t="str"/>
      <x:c r="F86" s="31"/>
      <x:c r="G86" s="17" t="str">
        <x:v>35</x:v>
      </x:c>
      <x:c r="H86" s="31" t="n">
        <x:v>93.8</x:v>
      </x:c>
      <x:c r="I86" s="30" t="str"/>
      <x:c r="J86" s="30" t="str">
        <x:v>https://www.timeshighereducation.com/world-university-rankings/king-faisal-university</x:v>
      </x:c>
    </x:row>
    <x:row r="87">
      <x:c r="A87" s="17" t="n">
        <x:v>83</x:v>
      </x:c>
      <x:c r="B87" s="17" t="str">
        <x:v>Flinders University</x:v>
      </x:c>
      <x:c r="C87" s="17" t="str">
        <x:v>Australia</x:v>
      </x:c>
      <x:c r="D87" s="17" t="str">
        <x:v>THE Impact</x:v>
      </x:c>
      <x:c r="E87" s="17" t="str"/>
      <x:c r="F87" s="31"/>
      <x:c r="G87" s="17" t="str">
        <x:v>36</x:v>
      </x:c>
      <x:c r="H87" s="31" t="n">
        <x:v>93.6</x:v>
      </x:c>
      <x:c r="I87" s="30" t="str"/>
      <x:c r="J87" s="30" t="str">
        <x:v>https://www.timeshighereducation.com/world-university-rankings/flinders-university</x:v>
      </x:c>
    </x:row>
    <x:row r="88">
      <x:c r="A88" s="17" t="n">
        <x:v>84</x:v>
      </x:c>
      <x:c r="B88" s="17" t="str">
        <x:v>Amrita Vishwa Vidyapeetham</x:v>
      </x:c>
      <x:c r="C88" s="17" t="str">
        <x:v>India</x:v>
      </x:c>
      <x:c r="D88" s="17" t="str">
        <x:v>THE Impact</x:v>
      </x:c>
      <x:c r="E88" s="17" t="str"/>
      <x:c r="F88" s="31"/>
      <x:c r="G88" s="17" t="n">
        <x:f>37</x:f>
        <x:v>37</x:v>
      </x:c>
      <x:c r="H88" s="31" t="n">
        <x:v>93.4</x:v>
      </x:c>
      <x:c r="I88" s="30" t="str"/>
      <x:c r="J88" s="30" t="str">
        <x:v>https://www.timeshighereducation.com/world-university-rankings/amrita-vishwa-vidyapeetham</x:v>
      </x:c>
    </x:row>
    <x:row r="89">
      <x:c r="A89" s="17" t="n">
        <x:v>85</x:v>
      </x:c>
      <x:c r="B89" s="17" t="str">
        <x:v>Queen's University Belfast</x:v>
      </x:c>
      <x:c r="C89" s="17" t="str">
        <x:v>United Kingdom</x:v>
      </x:c>
      <x:c r="D89" s="17" t="str">
        <x:v>THE Impact</x:v>
      </x:c>
      <x:c r="E89" s="17" t="str"/>
      <x:c r="F89" s="31"/>
      <x:c r="G89" s="17" t="n">
        <x:f>37</x:f>
        <x:v>37</x:v>
      </x:c>
      <x:c r="H89" s="31" t="n">
        <x:v>93.4</x:v>
      </x:c>
      <x:c r="I89" s="30" t="str"/>
      <x:c r="J89" s="30" t="str">
        <x:v>https://www.timeshighereducation.com/world-university-rankings/queens-university-belfast</x:v>
      </x:c>
    </x:row>
    <x:row r="90">
      <x:c r="A90" s="17" t="n">
        <x:v>86</x:v>
      </x:c>
      <x:c r="B90" s="17" t="str">
        <x:v>Near East University</x:v>
      </x:c>
      <x:c r="C90" s="17" t="str">
        <x:v>Northern Cyprus</x:v>
      </x:c>
      <x:c r="D90" s="17" t="str">
        <x:v>THE Impact</x:v>
      </x:c>
      <x:c r="E90" s="17" t="str"/>
      <x:c r="F90" s="31"/>
      <x:c r="G90" s="17" t="n">
        <x:f>39</x:f>
        <x:v>39</x:v>
      </x:c>
      <x:c r="H90" s="31" t="n">
        <x:v>93.3</x:v>
      </x:c>
      <x:c r="I90" s="30" t="str"/>
      <x:c r="J90" s="30" t="str">
        <x:v>https://www.timeshighereducation.com/world-university-rankings/near-east-university</x:v>
      </x:c>
    </x:row>
    <x:row r="91">
      <x:c r="A91" s="17" t="n">
        <x:v>87</x:v>
      </x:c>
      <x:c r="B91" s="17" t="str">
        <x:v>University of Johannesburg</x:v>
      </x:c>
      <x:c r="C91" s="17" t="str">
        <x:v>South Africa</x:v>
      </x:c>
      <x:c r="D91" s="17" t="str">
        <x:v>THE Impact</x:v>
      </x:c>
      <x:c r="E91" s="17" t="str"/>
      <x:c r="F91" s="31"/>
      <x:c r="G91" s="17" t="n">
        <x:f>39</x:f>
        <x:v>39</x:v>
      </x:c>
      <x:c r="H91" s="31" t="n">
        <x:v>93.3</x:v>
      </x:c>
      <x:c r="I91" s="30" t="str"/>
      <x:c r="J91" s="30" t="str">
        <x:v>https://www.timeshighereducation.com/world-university-rankings/university-johannesburg</x:v>
      </x:c>
    </x:row>
    <x:row r="92">
      <x:c r="A92" s="17" t="n">
        <x:v>88</x:v>
      </x:c>
      <x:c r="B92" s="17" t="str">
        <x:v>Universitas Gadjah Mada</x:v>
      </x:c>
      <x:c r="C92" s="17" t="str">
        <x:v>Indonesia</x:v>
      </x:c>
      <x:c r="D92" s="17" t="str">
        <x:v>THE Impact</x:v>
      </x:c>
      <x:c r="E92" s="17" t="str"/>
      <x:c r="F92" s="31"/>
      <x:c r="G92" s="17" t="n">
        <x:f>41</x:f>
        <x:v>41</x:v>
      </x:c>
      <x:c r="H92" s="31" t="n">
        <x:v>93.2</x:v>
      </x:c>
      <x:c r="I92" s="30" t="str"/>
      <x:c r="J92" s="30" t="str">
        <x:v>https://www.timeshighereducation.com/world-university-rankings/universitas-gadjah-mada</x:v>
      </x:c>
    </x:row>
    <x:row r="93">
      <x:c r="A93" s="17" t="n">
        <x:v>89</x:v>
      </x:c>
      <x:c r="B93" s="17" t="str">
        <x:v>University of Wollongong</x:v>
      </x:c>
      <x:c r="C93" s="17" t="str">
        <x:v>Australia</x:v>
      </x:c>
      <x:c r="D93" s="17" t="str">
        <x:v>THE Impact</x:v>
      </x:c>
      <x:c r="E93" s="17" t="str"/>
      <x:c r="F93" s="31"/>
      <x:c r="G93" s="17" t="n">
        <x:f>41</x:f>
        <x:v>41</x:v>
      </x:c>
      <x:c r="H93" s="31" t="n">
        <x:v>93.2</x:v>
      </x:c>
      <x:c r="I93" s="30" t="str"/>
      <x:c r="J93" s="30" t="str">
        <x:v>https://www.timeshighereducation.com/world-university-rankings/university-wollongong</x:v>
      </x:c>
    </x:row>
    <x:row r="94">
      <x:c r="A94" s="17" t="n">
        <x:v>90</x:v>
      </x:c>
      <x:c r="B94" s="17" t="str">
        <x:v>Yonsei University (Seoul campus)</x:v>
      </x:c>
      <x:c r="C94" s="17" t="str">
        <x:v>South Korea</x:v>
      </x:c>
      <x:c r="D94" s="17" t="str">
        <x:v>THE Impact</x:v>
      </x:c>
      <x:c r="E94" s="17" t="str"/>
      <x:c r="F94" s="31"/>
      <x:c r="G94" s="17" t="n">
        <x:f>41</x:f>
        <x:v>41</x:v>
      </x:c>
      <x:c r="H94" s="31" t="n">
        <x:v>93.2</x:v>
      </x:c>
      <x:c r="I94" s="30" t="str"/>
      <x:c r="J94" s="30" t="str">
        <x:v>https://www.timeshighereducation.com/world-university-rankings/yonsei-university-seoul-campus</x:v>
      </x:c>
    </x:row>
    <x:row r="95">
      <x:c r="A95" s="17" t="n">
        <x:v>91</x:v>
      </x:c>
      <x:c r="B95" s="17" t="str">
        <x:v>Sunway University</x:v>
      </x:c>
      <x:c r="C95" s="17" t="str">
        <x:v>Malaysia</x:v>
      </x:c>
      <x:c r="D95" s="17" t="str">
        <x:v>THE Impact</x:v>
      </x:c>
      <x:c r="E95" s="17" t="str"/>
      <x:c r="F95" s="31"/>
      <x:c r="G95" s="17" t="str">
        <x:v>45</x:v>
      </x:c>
      <x:c r="H95" s="31" t="n">
        <x:v>93</x:v>
      </x:c>
      <x:c r="I95" s="30" t="str"/>
      <x:c r="J95" s="30" t="str">
        <x:v>https://www.timeshighereducation.com/world-university-rankings/sunway-university</x:v>
      </x:c>
    </x:row>
    <x:row r="96">
      <x:c r="A96" s="17" t="n">
        <x:v>92</x:v>
      </x:c>
      <x:c r="B96" s="17" t="str">
        <x:v>Thammasat University</x:v>
      </x:c>
      <x:c r="C96" s="17" t="str">
        <x:v>Thailand</x:v>
      </x:c>
      <x:c r="D96" s="17" t="str">
        <x:v>THE Impact</x:v>
      </x:c>
      <x:c r="E96" s="17" t="str"/>
      <x:c r="F96" s="31"/>
      <x:c r="G96" s="17" t="str">
        <x:v>46</x:v>
      </x:c>
      <x:c r="H96" s="31" t="n">
        <x:v>92.9</x:v>
      </x:c>
      <x:c r="I96" s="30" t="str"/>
      <x:c r="J96" s="30" t="str">
        <x:v>https://www.timeshighereducation.com/world-university-rankings/thammasat-university</x:v>
      </x:c>
    </x:row>
    <x:row r="97">
      <x:c r="A97" s="17" t="n">
        <x:v>93</x:v>
      </x:c>
      <x:c r="B97" s="17" t="str">
        <x:v>Walailak University</x:v>
      </x:c>
      <x:c r="C97" s="17" t="str">
        <x:v>Thailand</x:v>
      </x:c>
      <x:c r="D97" s="17" t="str">
        <x:v>THE Impact</x:v>
      </x:c>
      <x:c r="E97" s="17" t="str"/>
      <x:c r="F97" s="31"/>
      <x:c r="G97" s="17" t="str">
        <x:v>47</x:v>
      </x:c>
      <x:c r="H97" s="31" t="n">
        <x:v>92.8</x:v>
      </x:c>
      <x:c r="I97" s="30" t="str"/>
      <x:c r="J97" s="30" t="str">
        <x:v>https://www.timeshighereducation.com/world-university-rankings/walailak-university</x:v>
      </x:c>
    </x:row>
    <x:row r="98">
      <x:c r="A98" s="17" t="n">
        <x:v>94</x:v>
      </x:c>
      <x:c r="B98" s="17" t="str">
        <x:v>King Abdullah University of Science and Technology (KAUST)</x:v>
      </x:c>
      <x:c r="C98" s="17" t="str">
        <x:v>Saudi Arabia</x:v>
      </x:c>
      <x:c r="D98" s="17" t="str">
        <x:v>THE Impact</x:v>
      </x:c>
      <x:c r="E98" s="17" t="str"/>
      <x:c r="F98" s="31"/>
      <x:c r="G98" s="17" t="str">
        <x:v>48</x:v>
      </x:c>
      <x:c r="H98" s="31" t="n">
        <x:v>92.6</x:v>
      </x:c>
      <x:c r="I98" s="30" t="str"/>
      <x:c r="J98" s="30" t="str">
        <x:v>https://www.timeshighereducation.com/world-university-rankings/king-abdullah-university-science-and-technology-kaust</x:v>
      </x:c>
    </x:row>
    <x:row r="99">
      <x:c r="A99" s="17" t="n">
        <x:v>95</x:v>
      </x:c>
      <x:c r="B99" s="17" t="str">
        <x:v>Chiang Mai University</x:v>
      </x:c>
      <x:c r="C99" s="17" t="str">
        <x:v>Thailand</x:v>
      </x:c>
      <x:c r="D99" s="17" t="str">
        <x:v>THE Impact</x:v>
      </x:c>
      <x:c r="E99" s="17" t="str"/>
      <x:c r="F99" s="31"/>
      <x:c r="G99" s="17" t="n">
        <x:f>49</x:f>
        <x:v>49</x:v>
      </x:c>
      <x:c r="H99" s="31" t="n">
        <x:v>92.5</x:v>
      </x:c>
      <x:c r="I99" s="30" t="str"/>
      <x:c r="J99" s="30" t="str">
        <x:v>https://www.timeshighereducation.com/world-university-rankings/chiang-mai-university</x:v>
      </x:c>
    </x:row>
    <x:row r="100">
      <x:c r="A100" s="17" t="n">
        <x:v>96</x:v>
      </x:c>
      <x:c r="B100" s="17" t="str">
        <x:v>Jeonbuk National University</x:v>
      </x:c>
      <x:c r="C100" s="17" t="str">
        <x:v>South Korea</x:v>
      </x:c>
      <x:c r="D100" s="17" t="str">
        <x:v>THE Impact</x:v>
      </x:c>
      <x:c r="E100" s="17" t="str"/>
      <x:c r="F100" s="31"/>
      <x:c r="G100" s="17" t="n">
        <x:f>49</x:f>
        <x:v>49</x:v>
      </x:c>
      <x:c r="H100" s="31" t="n">
        <x:v>92.5</x:v>
      </x:c>
      <x:c r="I100" s="30" t="str"/>
      <x:c r="J100" s="30" t="str">
        <x:v>https://www.timeshighereducation.com/world-university-rankings/jeonbuk-national-university</x:v>
      </x:c>
    </x:row>
    <x:row r="101">
      <x:c r="A101" s="17" t="n">
        <x:v>97</x:v>
      </x:c>
      <x:c r="B101" s="17" t="str">
        <x:v>National Yang Ming Chiao Tung University (NYCU Taiwan)</x:v>
      </x:c>
      <x:c r="C101" s="17" t="str">
        <x:v>Taiwan</x:v>
      </x:c>
      <x:c r="D101" s="17" t="str">
        <x:v>THE Impact</x:v>
      </x:c>
      <x:c r="E101" s="17" t="str"/>
      <x:c r="F101" s="31"/>
      <x:c r="G101" s="17" t="n">
        <x:f>49</x:f>
        <x:v>49</x:v>
      </x:c>
      <x:c r="H101" s="31" t="n">
        <x:v>92.5</x:v>
      </x:c>
      <x:c r="I101" s="30" t="str"/>
      <x:c r="J101" s="30" t="str">
        <x:v>https://www.timeshighereducation.com/world-university-rankings/national-yang-ming-chiao-tung-university-nycu-taiwan</x:v>
      </x:c>
    </x:row>
  </x:sheetData>
  <x:mergeCells>
    <x:mergeCell ref="A1:J1"/>
    <x:mergeCell ref="A2:J2"/>
  </x:mergeCells>
  <x:conditionalFormatting sqref="D5:D101">
    <x:cfRule type="containsText" dxfId="0" priority="1" operator="containsText" text="Both"/>
  </x:conditionalFormatting>
  <x:pageMargins left="0.7" right="0.7" top="0.75" bottom="0.75" header="0.3" footer="0.3"/>
  <x:tableParts count="1">
    <x:tablePart xmlns:r="http://schemas.openxmlformats.org/officeDocument/2006/relationships" r:id="Rebb0e335f4c146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18" hidden="0" customWidth="1"/>
    <x:col min="5" max="5" width="48" hidden="0" customWidth="1"/>
    <x:col min="6" max="6" width="16" hidden="0" customWidth="1"/>
    <x:col min="7" max="7" width="22" hidden="0" customWidth="1"/>
    <x:col min="8" max="8" width="52" hidden="0" customWidth="1"/>
    <x:col min="9" max="9" width="14" hidden="0" customWidth="1"/>
    <x:col min="10" max="10" width="23" hidden="0" customWidth="1"/>
    <x:col min="11" max="11" width="11" hidden="0" customWidth="1"/>
    <x:col min="12" max="12" width="56" hidden="0" customWidth="1"/>
  </x:cols>
  <x:sheetData>
    <x:row r="1" ht="28" customHeight="1">
      <x:c r="A1" s="3" t="str">
        <x:v>Program Verification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One current sustainability/environment-related master's program or explicitly labeled best-fit path per candidate institution. Official university URLs are supplied for all 97 rows.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6" customHeight="1">
      <x:c r="A4" s="13" t="str">
        <x:v>ID</x:v>
      </x:c>
      <x:c r="B4" s="13" t="str">
        <x:v>Institution</x:v>
      </x:c>
      <x:c r="C4" s="13" t="str">
        <x:v>Country</x:v>
      </x:c>
      <x:c r="D4" s="13" t="str">
        <x:v>Candidate Source</x:v>
      </x:c>
      <x:c r="E4" s="13" t="str">
        <x:v>Program Name</x:v>
      </x:c>
      <x:c r="F4" s="13" t="str">
        <x:v>Match Type</x:v>
      </x:c>
      <x:c r="G4" s="13" t="str">
        <x:v>Verification Status</x:v>
      </x:c>
      <x:c r="H4" s="13" t="str">
        <x:v>Official Program URL</x:v>
      </x:c>
      <x:c r="I4" s="13" t="str">
        <x:v>Verification Date</x:v>
      </x:c>
      <x:c r="J4" s="13" t="str">
        <x:v>URL Audit</x:v>
      </x:c>
      <x:c r="K4" s="13" t="str">
        <x:v>HTTP Status</x:v>
      </x:c>
      <x:c r="L4" s="13" t="str">
        <x:v>Verification Note</x:v>
      </x:c>
    </x:row>
    <x:row r="5">
      <x:c r="A5" s="17" t="n">
        <x:v>1</x:v>
      </x:c>
      <x:c r="B5" s="17" t="str">
        <x:v>Lund University</x:v>
      </x:c>
      <x:c r="C5" s="17" t="str">
        <x:v>Sweden</x:v>
      </x:c>
      <x:c r="D5" s="17" t="str">
        <x:v>QS Sustainability</x:v>
      </x:c>
      <x:c r="E5" s="17" t="str">
        <x:v>MSc Environmental Studies and Sustainability Science (LUMES)</x:v>
      </x:c>
      <x:c r="F5" s="17" t="str">
        <x:v>Direct</x:v>
      </x:c>
      <x:c r="G5" s="17" t="str">
        <x:v>Confirmed</x:v>
      </x:c>
      <x:c r="H5" s="30" t="str">
        <x:v>https://www.lunduniversity.lu.se/study/environmental-studies-and-sustainability-science-master-of-science-programme-SAESS</x:v>
      </x:c>
      <x:c r="I5" s="17" t="str">
        <x:v>2026-07-18</x:v>
      </x:c>
      <x:c r="J5" s="17" t="str">
        <x:v>OK</x:v>
      </x:c>
      <x:c r="K5" s="17" t="n">
        <x:v>200</x:v>
      </x:c>
      <x:c r="L5" s="17" t="str">
        <x:v>Current official degree page.</x:v>
      </x:c>
    </x:row>
    <x:row r="6">
      <x:c r="A6" s="17" t="n">
        <x:v>2</x:v>
      </x:c>
      <x:c r="B6" s="17" t="str">
        <x:v>University of Toronto</x:v>
      </x:c>
      <x:c r="C6" s="17" t="str">
        <x:v>Canada</x:v>
      </x:c>
      <x:c r="D6" s="17" t="str">
        <x:v>QS Sustainability</x:v>
      </x:c>
      <x:c r="E6" s="17" t="str">
        <x:v>Master of Environment &amp; Sustainability</x:v>
      </x:c>
      <x:c r="F6" s="17" t="str">
        <x:v>Direct</x:v>
      </x:c>
      <x:c r="G6" s="17" t="str">
        <x:v>Confirmed</x:v>
      </x:c>
      <x:c r="H6" s="30" t="str">
        <x:v>https://www.environment.utoronto.ca/graduate/mes</x:v>
      </x:c>
      <x:c r="I6" s="17" t="str">
        <x:v>2026-07-18</x:v>
      </x:c>
      <x:c r="J6" s="17" t="str">
        <x:v>OK</x:v>
      </x:c>
      <x:c r="K6" s="17" t="n">
        <x:v>200</x:v>
      </x:c>
      <x:c r="L6" s="17" t="str">
        <x:v>Carried forward and included for URL recheck.</x:v>
      </x:c>
    </x:row>
    <x:row r="7">
      <x:c r="A7" s="17" t="n">
        <x:v>3</x:v>
      </x:c>
      <x:c r="B7" s="17" t="str">
        <x:v>UCL</x:v>
      </x:c>
      <x:c r="C7" s="17" t="str">
        <x:v>United Kingdom</x:v>
      </x:c>
      <x:c r="D7" s="17" t="str">
        <x:v>QS Sustainability</x:v>
      </x:c>
      <x:c r="E7" s="17" t="str">
        <x:v>Sustainable Resources: Economics, Policy and Transitions MSc</x:v>
      </x:c>
      <x:c r="F7" s="17" t="str">
        <x:v>Direct</x:v>
      </x:c>
      <x:c r="G7" s="17" t="str">
        <x:v>Confirmed</x:v>
      </x:c>
      <x:c r="H7" s="30" t="str">
        <x:v>https://www.ucl.ac.uk/prospective-students/graduate/taught-degrees/sustainable-resources-economics-policy-and-transitions-msc</x:v>
      </x:c>
      <x:c r="I7" s="17" t="str">
        <x:v>2026-07-18</x:v>
      </x:c>
      <x:c r="J7" s="17" t="str">
        <x:v>OK</x:v>
      </x:c>
      <x:c r="K7" s="17" t="n">
        <x:v>200</x:v>
      </x:c>
      <x:c r="L7" s="17" t="str">
        <x:v>Carried forward and included for URL recheck.</x:v>
      </x:c>
    </x:row>
    <x:row r="8">
      <x:c r="A8" s="17" t="n">
        <x:v>4</x:v>
      </x:c>
      <x:c r="B8" s="17" t="str">
        <x:v>The University of Edinburgh</x:v>
      </x:c>
      <x:c r="C8" s="17" t="str">
        <x:v>United Kingdom</x:v>
      </x:c>
      <x:c r="D8" s="17" t="str">
        <x:v>QS Sustainability</x:v>
      </x:c>
      <x:c r="E8" s="17" t="str">
        <x:v>MSc Global Strategy and Sustainability</x:v>
      </x:c>
      <x:c r="F8" s="17" t="str">
        <x:v>Direct</x:v>
      </x:c>
      <x:c r="G8" s="17" t="str">
        <x:v>Confirmed</x:v>
      </x:c>
      <x:c r="H8" s="30" t="str">
        <x:v>https://www.business-school.ed.ac.uk/msc/global-strategy-sustainability</x:v>
      </x:c>
      <x:c r="I8" s="17" t="str">
        <x:v>2026-07-18</x:v>
      </x:c>
      <x:c r="J8" s="17" t="str">
        <x:v>OK</x:v>
      </x:c>
      <x:c r="K8" s="17" t="n">
        <x:v>200</x:v>
      </x:c>
      <x:c r="L8" s="17" t="str">
        <x:v>Carried forward and included for URL recheck.</x:v>
      </x:c>
    </x:row>
    <x:row r="9">
      <x:c r="A9" s="17" t="n">
        <x:v>5</x:v>
      </x:c>
      <x:c r="B9" s="17" t="str">
        <x:v>University of British Columbia</x:v>
      </x:c>
      <x:c r="C9" s="17" t="str">
        <x:v>Canada</x:v>
      </x:c>
      <x:c r="D9" s="17" t="str">
        <x:v>QS Sustainability</x:v>
      </x:c>
      <x:c r="E9" s="17" t="str">
        <x:v>Master of Engineering Leadership in Clean Energy Engineering</x:v>
      </x:c>
      <x:c r="F9" s="17" t="str">
        <x:v>Direct</x:v>
      </x:c>
      <x:c r="G9" s="17" t="str">
        <x:v>Confirmed</x:v>
      </x:c>
      <x:c r="H9" s="30" t="str">
        <x:v>https://apscpp.ubc.ca/programs/mel/clean-energy-engineering</x:v>
      </x:c>
      <x:c r="I9" s="17" t="str">
        <x:v>2026-07-18</x:v>
      </x:c>
      <x:c r="J9" s="17" t="str">
        <x:v>OK</x:v>
      </x:c>
      <x:c r="K9" s="17" t="n">
        <x:v>200</x:v>
      </x:c>
      <x:c r="L9" s="17" t="str">
        <x:v>Replaced the paused Sustainable Process Engineering MEL with the current Clean Energy Engineering MEL.</x:v>
      </x:c>
    </x:row>
    <x:row r="10">
      <x:c r="A10" s="17" t="n">
        <x:v>6</x:v>
      </x:c>
      <x:c r="B10" s="17" t="str">
        <x:v>The London School of Economics and Political Science (LSE)</x:v>
      </x:c>
      <x:c r="C10" s="17" t="str">
        <x:v>United Kingdom</x:v>
      </x:c>
      <x:c r="D10" s="17" t="str">
        <x:v>QS Sustainability</x:v>
      </x:c>
      <x:c r="E10" s="17" t="str">
        <x:v>MSc Environmental Policy and Regulation</x:v>
      </x:c>
      <x:c r="F10" s="17" t="str">
        <x:v>Direct</x:v>
      </x:c>
      <x:c r="G10" s="17" t="str">
        <x:v>Confirmed</x:v>
      </x:c>
      <x:c r="H10" s="30" t="str">
        <x:v>https://www.lse.ac.uk/study-at-lse/graduate/msc-environmental-policy-and-regulation</x:v>
      </x:c>
      <x:c r="I10" s="17" t="str">
        <x:v>2026-07-18</x:v>
      </x:c>
      <x:c r="J10" s="17" t="str">
        <x:v>OK</x:v>
      </x:c>
      <x:c r="K10" s="17" t="n">
        <x:v>200</x:v>
      </x:c>
      <x:c r="L10" s="17" t="str">
        <x:v>Current official degree page.</x:v>
      </x:c>
    </x:row>
    <x:row r="11">
      <x:c r="A11" s="17" t="n">
        <x:v>7</x:v>
      </x:c>
      <x:c r="B11" s="17" t="str">
        <x:v>Imperial College London</x:v>
      </x:c>
      <x:c r="C11" s="17" t="str">
        <x:v>United Kingdom</x:v>
      </x:c>
      <x:c r="D11" s="17" t="str">
        <x:v>QS Sustainability</x:v>
      </x:c>
      <x:c r="E11" s="17" t="str">
        <x:v>MSc Climate Change, Management &amp; Finance</x:v>
      </x:c>
      <x:c r="F11" s="17" t="str">
        <x:v>Direct</x:v>
      </x:c>
      <x:c r="G11" s="17" t="str">
        <x:v>Confirmed</x:v>
      </x:c>
      <x:c r="H11" s="30" t="str">
        <x:v>https://www.imperial.ac.uk/business-school/masters/climate-change-management-finance/</x:v>
      </x:c>
      <x:c r="I11" s="17" t="str">
        <x:v>2026-07-18</x:v>
      </x:c>
      <x:c r="J11" s="17" t="str">
        <x:v>OK</x:v>
      </x:c>
      <x:c r="K11" s="17" t="n">
        <x:v>200</x:v>
      </x:c>
      <x:c r="L11" s="17" t="str">
        <x:v>Carried forward and included for URL recheck.</x:v>
      </x:c>
    </x:row>
    <x:row r="12">
      <x:c r="A12" s="17" t="n">
        <x:v>8</x:v>
      </x:c>
      <x:c r="B12" s="17" t="str">
        <x:v>The University of New South Wales (UNSW Sydney)</x:v>
      </x:c>
      <x:c r="C12" s="17" t="str">
        <x:v>Australia</x:v>
      </x:c>
      <x:c r="D12" s="17" t="str">
        <x:v>Both</x:v>
      </x:c>
      <x:c r="E12" s="17" t="str">
        <x:v>Master of Environmental Management</x:v>
      </x:c>
      <x:c r="F12" s="17" t="str">
        <x:v>Direct</x:v>
      </x:c>
      <x:c r="G12" s="17" t="str">
        <x:v>Confirmed</x:v>
      </x:c>
      <x:c r="H12" s="30" t="str">
        <x:v>https://www.unsw.edu.au/study/postgraduate/master-of-environmental-management</x:v>
      </x:c>
      <x:c r="I12" s="17" t="str">
        <x:v>2026-07-18</x:v>
      </x:c>
      <x:c r="J12" s="17" t="str">
        <x:v>OK</x:v>
      </x:c>
      <x:c r="K12" s="17" t="n">
        <x:v>200</x:v>
      </x:c>
      <x:c r="L12" s="17" t="str">
        <x:v>Carried forward and included for URL recheck.</x:v>
      </x:c>
    </x:row>
    <x:row r="13">
      <x:c r="A13" s="17" t="n">
        <x:v>9</x:v>
      </x:c>
      <x:c r="B13" s="17" t="str">
        <x:v>McGill University</x:v>
      </x:c>
      <x:c r="C13" s="17" t="str">
        <x:v>Canada</x:v>
      </x:c>
      <x:c r="D13" s="17" t="str">
        <x:v>QS Sustainability</x:v>
      </x:c>
      <x:c r="E13" s="17" t="str">
        <x:v>MSc Geography - Sustainability Science and Environmental Management research theme</x:v>
      </x:c>
      <x:c r="F13" s="17" t="str">
        <x:v>Research</x:v>
      </x:c>
      <x:c r="G13" s="17" t="str">
        <x:v>Confirmed</x:v>
      </x:c>
      <x:c r="H13" s="30" t="str">
        <x:v>https://www.mcgill.ca/gradapplicants/program/geography-msc</x:v>
      </x:c>
      <x:c r="I13" s="17" t="str">
        <x:v>2026-07-18</x:v>
      </x:c>
      <x:c r="J13" s="17" t="str">
        <x:v>OK</x:v>
      </x:c>
      <x:c r="K13" s="17" t="n">
        <x:v>200</x:v>
      </x:c>
      <x:c r="L13" s="17" t="str">
        <x:v>The previous Sustainability, Science &amp; Society entry was an undergraduate program. The current Geography MSc includes Sustainability Science and Environmental Management as a thematic area.</x:v>
      </x:c>
    </x:row>
    <x:row r="14">
      <x:c r="A14" s="17" t="n">
        <x:v>10</x:v>
      </x:c>
      <x:c r="B14" s="17" t="str">
        <x:v>The University of Manchester</x:v>
      </x:c>
      <x:c r="C14" s="17" t="str">
        <x:v>United Kingdom</x:v>
      </x:c>
      <x:c r="D14" s="17" t="str">
        <x:v>Both</x:v>
      </x:c>
      <x:c r="E14" s="17" t="str">
        <x:v>MSc Environmental Governance</x:v>
      </x:c>
      <x:c r="F14" s="17" t="str">
        <x:v>Direct</x:v>
      </x:c>
      <x:c r="G14" s="17" t="str">
        <x:v>Confirmed</x:v>
      </x:c>
      <x:c r="H14" s="30" t="str">
        <x:v>https://www.manchester.ac.uk/study/masters/courses/list/06967/msc-environmental-governance/</x:v>
      </x:c>
      <x:c r="I14" s="17" t="str">
        <x:v>2026-07-18</x:v>
      </x:c>
      <x:c r="J14" s="17" t="str">
        <x:v>OK</x:v>
      </x:c>
      <x:c r="K14" s="17" t="n">
        <x:v>200</x:v>
      </x:c>
      <x:c r="L14" s="17" t="str">
        <x:v>Updated to the current 2026 course identifier and URL.</x:v>
      </x:c>
    </x:row>
    <x:row r="15">
      <x:c r="A15" s="17" t="n">
        <x:v>11</x:v>
      </x:c>
      <x:c r="B15" s="17" t="str">
        <x:v>ETH Zurich</x:v>
      </x:c>
      <x:c r="C15" s="17" t="str">
        <x:v>Switzerland</x:v>
      </x:c>
      <x:c r="D15" s="17" t="str">
        <x:v>QS Sustainability</x:v>
      </x:c>
      <x:c r="E15" s="17" t="str">
        <x:v>MSc Environmental Sciences</x:v>
      </x:c>
      <x:c r="F15" s="17" t="str">
        <x:v>Direct</x:v>
      </x:c>
      <x:c r="G15" s="17" t="str">
        <x:v>Confirmed</x:v>
      </x:c>
      <x:c r="H15" s="30" t="str">
        <x:v>https://ethz.ch/en/studies/master/degree-programmes/system-oriented-natural-sciences/environmental-sciences.html</x:v>
      </x:c>
      <x:c r="I15" s="17" t="str">
        <x:v>2026-07-18</x:v>
      </x:c>
      <x:c r="J15" s="17" t="str">
        <x:v>OK</x:v>
      </x:c>
      <x:c r="K15" s="17" t="n">
        <x:v>200</x:v>
      </x:c>
      <x:c r="L15" s="17" t="str">
        <x:v>Updated to the current ETH degree-program URL.</x:v>
      </x:c>
    </x:row>
    <x:row r="16">
      <x:c r="A16" s="17" t="n">
        <x:v>12</x:v>
      </x:c>
      <x:c r="B16" s="17" t="str">
        <x:v>The University of Melbourne</x:v>
      </x:c>
      <x:c r="C16" s="17" t="str">
        <x:v>Australia</x:v>
      </x:c>
      <x:c r="D16" s="17" t="str">
        <x:v>QS Sustainability</x:v>
      </x:c>
      <x:c r="E16" s="17" t="str">
        <x:v>Master of Environment</x:v>
      </x:c>
      <x:c r="F16" s="17" t="str">
        <x:v>Direct</x:v>
      </x:c>
      <x:c r="G16" s="17" t="str">
        <x:v>Confirmed</x:v>
      </x:c>
      <x:c r="H16" s="30" t="str">
        <x:v>https://study.unimelb.edu.au/find/courses/graduate/master-of-environment/</x:v>
      </x:c>
      <x:c r="I16" s="17" t="str">
        <x:v>2026-07-18</x:v>
      </x:c>
      <x:c r="J16" s="17" t="str">
        <x:v>Blocked by site (403)</x:v>
      </x:c>
      <x:c r="K16" s="17" t="n">
        <x:v>403</x:v>
      </x:c>
      <x:c r="L16" s="17" t="str">
        <x:v>Carried forward and included for URL recheck.</x:v>
      </x:c>
    </x:row>
    <x:row r="17">
      <x:c r="A17" s="17" t="n">
        <x:v>13</x:v>
      </x:c>
      <x:c r="B17" s="17" t="str">
        <x:v>University of California, Berkeley (UCB)</x:v>
      </x:c>
      <x:c r="C17" s="17" t="str">
        <x:v>United States</x:v>
      </x:c>
      <x:c r="D17" s="17" t="str">
        <x:v>QS Sustainability</x:v>
      </x:c>
      <x:c r="E17" s="17" t="str">
        <x:v>Master of Climate Solutions</x:v>
      </x:c>
      <x:c r="F17" s="17" t="str">
        <x:v>Direct</x:v>
      </x:c>
      <x:c r="G17" s="17" t="str">
        <x:v>Confirmed</x:v>
      </x:c>
      <x:c r="H17" s="30" t="str">
        <x:v>https://climatesolutions.berkeley.edu/</x:v>
      </x:c>
      <x:c r="I17" s="17" t="str">
        <x:v>2026-07-18</x:v>
      </x:c>
      <x:c r="J17" s="17" t="str">
        <x:v>OK</x:v>
      </x:c>
      <x:c r="K17" s="17" t="n">
        <x:v>200</x:v>
      </x:c>
      <x:c r="L17" s="17" t="str">
        <x:v>Carried forward and included for URL recheck.</x:v>
      </x:c>
    </x:row>
    <x:row r="18">
      <x:c r="A18" s="17" t="n">
        <x:v>14</x:v>
      </x:c>
      <x:c r="B18" s="17" t="str">
        <x:v>Stanford University</x:v>
      </x:c>
      <x:c r="C18" s="17" t="str">
        <x:v>United States</x:v>
      </x:c>
      <x:c r="D18" s="17" t="str">
        <x:v>QS Sustainability</x:v>
      </x:c>
      <x:c r="E18" s="17" t="str">
        <x:v>MS Sustainability Science and Practice</x:v>
      </x:c>
      <x:c r="F18" s="17" t="str">
        <x:v>Restricted</x:v>
      </x:c>
      <x:c r="G18" s="17" t="str">
        <x:v>Confirmed</x:v>
      </x:c>
      <x:c r="H18" s="30" t="str">
        <x:v>https://bulletin.stanford.edu/programs/SUSTSCI-MS/general-aoYks</x:v>
      </x:c>
      <x:c r="I18" s="17" t="str">
        <x:v>2026-07-18</x:v>
      </x:c>
      <x:c r="J18" s="17" t="str">
        <x:v>OK</x:v>
      </x:c>
      <x:c r="K18" s="17" t="n">
        <x:v>200</x:v>
      </x:c>
      <x:c r="L18" s="17" t="str">
        <x:v>Current interdisciplinary sustainability master's, but it is a coterminal program for Stanford students.</x:v>
      </x:c>
    </x:row>
    <x:row r="19">
      <x:c r="A19" s="17" t="n">
        <x:v>15</x:v>
      </x:c>
      <x:c r="B19" s="17" t="str">
        <x:v>University of Oxford</x:v>
      </x:c>
      <x:c r="C19" s="17" t="str">
        <x:v>United Kingdom</x:v>
      </x:c>
      <x:c r="D19" s="17" t="str">
        <x:v>QS Sustainability</x:v>
      </x:c>
      <x:c r="E19" s="17" t="str">
        <x:v>MSc in Sustainability, Enterprise and the Environment</x:v>
      </x:c>
      <x:c r="F19" s="17" t="str">
        <x:v>Direct</x:v>
      </x:c>
      <x:c r="G19" s="17" t="str">
        <x:v>Confirmed</x:v>
      </x:c>
      <x:c r="H19" s="30" t="str">
        <x:v>https://www.smithschool.ox.ac.uk/course/msc-sustainability-enterprise-and-environment</x:v>
      </x:c>
      <x:c r="I19" s="17" t="str">
        <x:v>2026-07-18</x:v>
      </x:c>
      <x:c r="J19" s="17" t="str">
        <x:v>OK</x:v>
      </x:c>
      <x:c r="K19" s="17" t="n">
        <x:v>200</x:v>
      </x:c>
      <x:c r="L19" s="17" t="str">
        <x:v>Carried forward and included for URL recheck.</x:v>
      </x:c>
    </x:row>
    <x:row r="20">
      <x:c r="A20" s="17" t="n">
        <x:v>16</x:v>
      </x:c>
      <x:c r="B20" s="17" t="str">
        <x:v>The University of Sydney</x:v>
      </x:c>
      <x:c r="C20" s="17" t="str">
        <x:v>Australia</x:v>
      </x:c>
      <x:c r="D20" s="17" t="str">
        <x:v>QS Sustainability</x:v>
      </x:c>
      <x:c r="E20" s="17" t="str">
        <x:v>Master of Sustainability</x:v>
      </x:c>
      <x:c r="F20" s="17" t="str">
        <x:v>Direct</x:v>
      </x:c>
      <x:c r="G20" s="17" t="str">
        <x:v>Confirmed</x:v>
      </x:c>
      <x:c r="H20" s="30" t="str">
        <x:v>https://www.sydney.edu.au/courses/courses/pc/master-of-sustainability.html</x:v>
      </x:c>
      <x:c r="I20" s="17" t="str">
        <x:v>2026-07-18</x:v>
      </x:c>
      <x:c r="J20" s="17" t="str">
        <x:v>OK</x:v>
      </x:c>
      <x:c r="K20" s="17" t="n">
        <x:v>200</x:v>
      </x:c>
      <x:c r="L20" s="17" t="str">
        <x:v>Carried forward and included for URL recheck.</x:v>
      </x:c>
    </x:row>
    <x:row r="21">
      <x:c r="A21" s="17" t="n">
        <x:v>17</x:v>
      </x:c>
      <x:c r="B21" s="17" t="str">
        <x:v>Australian National University (ANU)</x:v>
      </x:c>
      <x:c r="C21" s="17" t="str">
        <x:v>Australia</x:v>
      </x:c>
      <x:c r="D21" s="17" t="str">
        <x:v>QS Sustainability</x:v>
      </x:c>
      <x:c r="E21" s="17" t="str">
        <x:v>Master of Climate Change</x:v>
      </x:c>
      <x:c r="F21" s="17" t="str">
        <x:v>Direct</x:v>
      </x:c>
      <x:c r="G21" s="17" t="str">
        <x:v>Confirmed</x:v>
      </x:c>
      <x:c r="H21" s="30" t="str">
        <x:v>https://programsandcourses.anu.edu.au/program/MCLCH</x:v>
      </x:c>
      <x:c r="I21" s="17" t="str">
        <x:v>2026-07-18</x:v>
      </x:c>
      <x:c r="J21" s="17" t="str">
        <x:v>OK</x:v>
      </x:c>
      <x:c r="K21" s="17" t="n">
        <x:v>200</x:v>
      </x:c>
      <x:c r="L21" s="17" t="str">
        <x:v>Carried forward and included for URL recheck.</x:v>
      </x:c>
    </x:row>
    <x:row r="22">
      <x:c r="A22" s="17" t="n">
        <x:v>18</x:v>
      </x:c>
      <x:c r="B22" s="17" t="str">
        <x:v>King's College London</x:v>
      </x:c>
      <x:c r="C22" s="17" t="str">
        <x:v>United Kingdom</x:v>
      </x:c>
      <x:c r="D22" s="17" t="str">
        <x:v>QS Sustainability</x:v>
      </x:c>
      <x:c r="E22" s="17" t="str">
        <x:v>Environment, Politics and Development MSc</x:v>
      </x:c>
      <x:c r="F22" s="17" t="str">
        <x:v>Direct</x:v>
      </x:c>
      <x:c r="G22" s="17" t="str">
        <x:v>Confirmed</x:v>
      </x:c>
      <x:c r="H22" s="30" t="str">
        <x:v>https://www.kcl.ac.uk/study/postgraduate-taught/courses/environment-politics-and-development-msc</x:v>
      </x:c>
      <x:c r="I22" s="17" t="str">
        <x:v>2026-07-18</x:v>
      </x:c>
      <x:c r="J22" s="17" t="str">
        <x:v>OK</x:v>
      </x:c>
      <x:c r="K22" s="17" t="n">
        <x:v>200</x:v>
      </x:c>
      <x:c r="L22" s="17" t="str">
        <x:v>Carried forward and included for URL recheck.</x:v>
      </x:c>
    </x:row>
    <x:row r="23">
      <x:c r="A23" s="17" t="n">
        <x:v>19</x:v>
      </x:c>
      <x:c r="B23" s="17" t="str">
        <x:v>University of Bristol</x:v>
      </x:c>
      <x:c r="C23" s="17" t="str">
        <x:v>United Kingdom</x:v>
      </x:c>
      <x:c r="D23" s="17" t="str">
        <x:v>QS Sustainability</x:v>
      </x:c>
      <x:c r="E23" s="17" t="str">
        <x:v>MSc Environmental Policy and Management</x:v>
      </x:c>
      <x:c r="F23" s="17" t="str">
        <x:v>Direct</x:v>
      </x:c>
      <x:c r="G23" s="17" t="str">
        <x:v>Confirmed</x:v>
      </x:c>
      <x:c r="H23" s="30" t="str">
        <x:v>https://www.bristol.ac.uk/study/postgraduate/taught/msc-environmental-policy-and-management/</x:v>
      </x:c>
      <x:c r="I23" s="17" t="str">
        <x:v>2026-07-18</x:v>
      </x:c>
      <x:c r="J23" s="17" t="str">
        <x:v>OK</x:v>
      </x:c>
      <x:c r="K23" s="17" t="n">
        <x:v>200</x:v>
      </x:c>
      <x:c r="L23" s="17" t="str">
        <x:v>Current official degree page.</x:v>
      </x:c>
    </x:row>
    <x:row r="24">
      <x:c r="A24" s="17" t="n">
        <x:v>20</x:v>
      </x:c>
      <x:c r="B24" s="17" t="str">
        <x:v>New York University (NYU)</x:v>
      </x:c>
      <x:c r="C24" s="17" t="str">
        <x:v>United States</x:v>
      </x:c>
      <x:c r="D24" s="17" t="str">
        <x:v>QS Sustainability</x:v>
      </x:c>
      <x:c r="E24" s="17" t="str">
        <x:v>MS in Environmental Policy and Sustainability Management</x:v>
      </x:c>
      <x:c r="F24" s="17" t="str">
        <x:v>Direct</x:v>
      </x:c>
      <x:c r="G24" s="17" t="str">
        <x:v>Confirmed</x:v>
      </x:c>
      <x:c r="H24" s="30" t="str">
        <x:v>https://www.sps.nyu.edu/homepage/academics/masters-degrees/ms-in-environmental-policy-and-sustainability-management.html</x:v>
      </x:c>
      <x:c r="I24" s="17" t="str">
        <x:v>2026-07-18</x:v>
      </x:c>
      <x:c r="J24" s="17" t="str">
        <x:v>OK</x:v>
      </x:c>
      <x:c r="K24" s="17" t="n">
        <x:v>200</x:v>
      </x:c>
      <x:c r="L24" s="17" t="str">
        <x:v>Carried forward and included for URL recheck.</x:v>
      </x:c>
    </x:row>
    <x:row r="25">
      <x:c r="A25" s="17" t="n">
        <x:v>21</x:v>
      </x:c>
      <x:c r="B25" s="17" t="str">
        <x:v>Pennsylvania State University</x:v>
      </x:c>
      <x:c r="C25" s="17" t="str">
        <x:v>United States</x:v>
      </x:c>
      <x:c r="D25" s="17" t="str">
        <x:v>QS Sustainability</x:v>
      </x:c>
      <x:c r="E25" s="17" t="str">
        <x:v>Master of Professional Studies in Renewable Energy and Sustainability Systems</x:v>
      </x:c>
      <x:c r="F25" s="17" t="str">
        <x:v>Direct</x:v>
      </x:c>
      <x:c r="G25" s="17" t="str">
        <x:v>Confirmed</x:v>
      </x:c>
      <x:c r="H25" s="30" t="str">
        <x:v>https://www.ems.psu.edu/academics/find-program-study/renewable-energy-and-sustainability-systems-mps</x:v>
      </x:c>
      <x:c r="I25" s="17" t="str">
        <x:v>2026-07-18</x:v>
      </x:c>
      <x:c r="J25" s="17" t="str">
        <x:v>OK</x:v>
      </x:c>
      <x:c r="K25" s="17" t="n">
        <x:v>200</x:v>
      </x:c>
      <x:c r="L25" s="17" t="str">
        <x:v>Current official degree page.</x:v>
      </x:c>
    </x:row>
    <x:row r="26">
      <x:c r="A26" s="17" t="n">
        <x:v>22</x:v>
      </x:c>
      <x:c r="B26" s="17" t="str">
        <x:v>KU Leuven</x:v>
      </x:c>
      <x:c r="C26" s="17" t="str">
        <x:v>Belgium</x:v>
      </x:c>
      <x:c r="D26" s="17" t="str">
        <x:v>QS Sustainability</x:v>
      </x:c>
      <x:c r="E26" s="17" t="str">
        <x:v>Master of Sustainable Development</x:v>
      </x:c>
      <x:c r="F26" s="17" t="str">
        <x:v>Direct</x:v>
      </x:c>
      <x:c r="G26" s="17" t="str">
        <x:v>Confirmed</x:v>
      </x:c>
      <x:c r="H26" s="30" t="str">
        <x:v>https://www.kuleuven.be/programmes/master-sustainable-development</x:v>
      </x:c>
      <x:c r="I26" s="17" t="str">
        <x:v>2026-07-18</x:v>
      </x:c>
      <x:c r="J26" s="17" t="str">
        <x:v>OK</x:v>
      </x:c>
      <x:c r="K26" s="17" t="n">
        <x:v>200</x:v>
      </x:c>
      <x:c r="L26" s="17" t="str">
        <x:v>Carried forward and included for URL recheck.</x:v>
      </x:c>
    </x:row>
    <x:row r="27">
      <x:c r="A27" s="17" t="n">
        <x:v>23</x:v>
      </x:c>
      <x:c r="B27" s="17" t="str">
        <x:v>University of Helsinki</x:v>
      </x:c>
      <x:c r="C27" s="17" t="str">
        <x:v>Finland</x:v>
      </x:c>
      <x:c r="D27" s="17" t="str">
        <x:v>QS Sustainability</x:v>
      </x:c>
      <x:c r="E27" s="17" t="str">
        <x:v>Master's Programme in Environmental Change and Global Sustainability</x:v>
      </x:c>
      <x:c r="F27" s="17" t="str">
        <x:v>Direct</x:v>
      </x:c>
      <x:c r="G27" s="17" t="str">
        <x:v>Confirmed</x:v>
      </x:c>
      <x:c r="H27" s="30" t="str">
        <x:v>https://www.helsinki.fi/en/degree-programmes/environmental-change-and-global-sustainability-masters-programme</x:v>
      </x:c>
      <x:c r="I27" s="17" t="str">
        <x:v>2026-07-18</x:v>
      </x:c>
      <x:c r="J27" s="17" t="str">
        <x:v>OK</x:v>
      </x:c>
      <x:c r="K27" s="17" t="n">
        <x:v>200</x:v>
      </x:c>
      <x:c r="L27" s="17" t="str">
        <x:v>Current official degree page.</x:v>
      </x:c>
    </x:row>
    <x:row r="28">
      <x:c r="A28" s="17" t="n">
        <x:v>24</x:v>
      </x:c>
      <x:c r="B28" s="17" t="str">
        <x:v>Durham University</x:v>
      </x:c>
      <x:c r="C28" s="17" t="str">
        <x:v>United Kingdom</x:v>
      </x:c>
      <x:c r="D28" s="17" t="str">
        <x:v>QS Sustainability</x:v>
      </x:c>
      <x:c r="E28" s="17" t="str">
        <x:v>MSc Climate Change, Environmental Processes and Sustainable Futures</x:v>
      </x:c>
      <x:c r="F28" s="17" t="str">
        <x:v>Direct</x:v>
      </x:c>
      <x:c r="G28" s="17" t="str">
        <x:v>Confirmed</x:v>
      </x:c>
      <x:c r="H28" s="30" t="str">
        <x:v>https://www.durham.ac.uk/departments/academic/geography/postgraduate-study/taught-masters/</x:v>
      </x:c>
      <x:c r="I28" s="17" t="str">
        <x:v>2026-07-18</x:v>
      </x:c>
      <x:c r="J28" s="17" t="str">
        <x:v>OK</x:v>
      </x:c>
      <x:c r="K28" s="17" t="n">
        <x:v>200</x:v>
      </x:c>
      <x:c r="L28" s="17" t="str">
        <x:v>Official taught-master's listing; the program is new for 2026.</x:v>
      </x:c>
    </x:row>
    <x:row r="29">
      <x:c r="A29" s="17" t="n">
        <x:v>25</x:v>
      </x:c>
      <x:c r="B29" s="17" t="str">
        <x:v>University of Leeds</x:v>
      </x:c>
      <x:c r="C29" s="17" t="str">
        <x:v>United Kingdom</x:v>
      </x:c>
      <x:c r="D29" s="17" t="str">
        <x:v>QS Sustainability</x:v>
      </x:c>
      <x:c r="E29" s="17" t="str">
        <x:v>MSc Sustainability, Environment and Development</x:v>
      </x:c>
      <x:c r="F29" s="17" t="str">
        <x:v>Direct</x:v>
      </x:c>
      <x:c r="G29" s="17" t="str">
        <x:v>Confirmed</x:v>
      </x:c>
      <x:c r="H29" s="30" t="str">
        <x:v>https://courses.leeds.ac.uk/j985/sustainability-environment-and-development-msc</x:v>
      </x:c>
      <x:c r="I29" s="17" t="str">
        <x:v>2026-07-18</x:v>
      </x:c>
      <x:c r="J29" s="17" t="str">
        <x:v>OK</x:v>
      </x:c>
      <x:c r="K29" s="17" t="n">
        <x:v>200</x:v>
      </x:c>
      <x:c r="L29" s="17" t="str">
        <x:v>Official 2026 entry page.</x:v>
      </x:c>
    </x:row>
    <x:row r="30">
      <x:c r="A30" s="17" t="n">
        <x:v>26</x:v>
      </x:c>
      <x:c r="B30" s="17" t="str">
        <x:v>Western University</x:v>
      </x:c>
      <x:c r="C30" s="17" t="str">
        <x:v>Canada</x:v>
      </x:c>
      <x:c r="D30" s="17" t="str">
        <x:v>Both</x:v>
      </x:c>
      <x:c r="E30" s="17" t="str">
        <x:v>Master of Environment and Sustainability</x:v>
      </x:c>
      <x:c r="F30" s="17" t="str">
        <x:v>Direct</x:v>
      </x:c>
      <x:c r="G30" s="17" t="str">
        <x:v>Confirmed</x:v>
      </x:c>
      <x:c r="H30" s="30" t="str">
        <x:v>https://www.uwo.ca/mes/</x:v>
      </x:c>
      <x:c r="I30" s="17" t="str">
        <x:v>2026-07-18</x:v>
      </x:c>
      <x:c r="J30" s="17" t="str">
        <x:v>OK</x:v>
      </x:c>
      <x:c r="K30" s="17" t="n">
        <x:v>200</x:v>
      </x:c>
      <x:c r="L30" s="17" t="str">
        <x:v>Current official degree page.</x:v>
      </x:c>
    </x:row>
    <x:row r="31">
      <x:c r="A31" s="17" t="n">
        <x:v>27</x:v>
      </x:c>
      <x:c r="B31" s="17" t="str">
        <x:v>University of Glasgow</x:v>
      </x:c>
      <x:c r="C31" s="17" t="str">
        <x:v>United Kingdom</x:v>
      </x:c>
      <x:c r="D31" s="17" t="str">
        <x:v>Both</x:v>
      </x:c>
      <x:c r="E31" s="17" t="str">
        <x:v>MSc Environment &amp; Sustainable Development</x:v>
      </x:c>
      <x:c r="F31" s="17" t="str">
        <x:v>Direct</x:v>
      </x:c>
      <x:c r="G31" s="17" t="str">
        <x:v>Confirmed</x:v>
      </x:c>
      <x:c r="H31" s="30" t="str">
        <x:v>https://www.gla.ac.uk/postgraduate/taught/environmentsustainabledevelopment/</x:v>
      </x:c>
      <x:c r="I31" s="17" t="str">
        <x:v>2026-07-18</x:v>
      </x:c>
      <x:c r="J31" s="17" t="str">
        <x:v>OK</x:v>
      </x:c>
      <x:c r="K31" s="17" t="n">
        <x:v>200</x:v>
      </x:c>
      <x:c r="L31" s="17" t="str">
        <x:v>Current official degree page.</x:v>
      </x:c>
    </x:row>
    <x:row r="32">
      <x:c r="A32" s="17" t="n">
        <x:v>28</x:v>
      </x:c>
      <x:c r="B32" s="17" t="str">
        <x:v>The University of Auckland</x:v>
      </x:c>
      <x:c r="C32" s="17" t="str">
        <x:v>New Zealand</x:v>
      </x:c>
      <x:c r="D32" s="17" t="str">
        <x:v>QS Sustainability</x:v>
      </x:c>
      <x:c r="E32" s="17" t="str">
        <x:v>Master of Environmental Science</x:v>
      </x:c>
      <x:c r="F32" s="17" t="str">
        <x:v>Direct</x:v>
      </x:c>
      <x:c r="G32" s="17" t="str">
        <x:v>Confirmed</x:v>
      </x:c>
      <x:c r="H32" s="30" t="str">
        <x:v>https://www.auckland.ac.nz/en/study/study-options/find-a-study-option/master-of-environmental-science-menvsci.html</x:v>
      </x:c>
      <x:c r="I32" s="17" t="str">
        <x:v>2026-07-18</x:v>
      </x:c>
      <x:c r="J32" s="17" t="str">
        <x:v>OK</x:v>
      </x:c>
      <x:c r="K32" s="17" t="n">
        <x:v>200</x:v>
      </x:c>
      <x:c r="L32" s="17" t="str">
        <x:v>Current official degree page.</x:v>
      </x:c>
    </x:row>
    <x:row r="33">
      <x:c r="A33" s="17" t="n">
        <x:v>29</x:v>
      </x:c>
      <x:c r="B33" s="17" t="str">
        <x:v>Trinity College Dublin, The University of Dublin</x:v>
      </x:c>
      <x:c r="C33" s="17" t="str">
        <x:v>Ireland</x:v>
      </x:c>
      <x:c r="D33" s="17" t="str">
        <x:v>QS Sustainability</x:v>
      </x:c>
      <x:c r="E33" s="17" t="str">
        <x:v>MSc Environmental Sciences</x:v>
      </x:c>
      <x:c r="F33" s="17" t="str">
        <x:v>Direct</x:v>
      </x:c>
      <x:c r="G33" s="17" t="str">
        <x:v>Confirmed</x:v>
      </x:c>
      <x:c r="H33" s="30" t="str">
        <x:v>https://www.tcd.ie/courses/postgraduate/courses/environmental-sciences-msc--pgraddip/</x:v>
      </x:c>
      <x:c r="I33" s="17" t="str">
        <x:v>2026-07-18</x:v>
      </x:c>
      <x:c r="J33" s="17" t="str">
        <x:v>OK</x:v>
      </x:c>
      <x:c r="K33" s="17" t="n">
        <x:v>200</x:v>
      </x:c>
      <x:c r="L33" s="17" t="str">
        <x:v>Current official degree page.</x:v>
      </x:c>
    </x:row>
    <x:row r="34">
      <x:c r="A34" s="17" t="n">
        <x:v>30</x:v>
      </x:c>
      <x:c r="B34" s="17" t="str">
        <x:v>University of Pennsylvania</x:v>
      </x:c>
      <x:c r="C34" s="17" t="str">
        <x:v>United States</x:v>
      </x:c>
      <x:c r="D34" s="17" t="str">
        <x:v>QS Sustainability</x:v>
      </x:c>
      <x:c r="E34" s="17" t="str">
        <x:v>Master of Environmental Studies</x:v>
      </x:c>
      <x:c r="F34" s="17" t="str">
        <x:v>Direct</x:v>
      </x:c>
      <x:c r="G34" s="17" t="str">
        <x:v>Confirmed</x:v>
      </x:c>
      <x:c r="H34" s="30" t="str">
        <x:v>https://www.lps.upenn.edu/degree-programs/mes</x:v>
      </x:c>
      <x:c r="I34" s="17" t="str">
        <x:v>2026-07-18</x:v>
      </x:c>
      <x:c r="J34" s="17" t="str">
        <x:v>OK</x:v>
      </x:c>
      <x:c r="K34" s="17" t="n">
        <x:v>200</x:v>
      </x:c>
      <x:c r="L34" s="17" t="str">
        <x:v>Carried forward and included for URL recheck.</x:v>
      </x:c>
    </x:row>
    <x:row r="35">
      <x:c r="A35" s="17" t="n">
        <x:v>31</x:v>
      </x:c>
      <x:c r="B35" s="17" t="str">
        <x:v>University of Reading</x:v>
      </x:c>
      <x:c r="C35" s="17" t="str">
        <x:v>United Kingdom</x:v>
      </x:c>
      <x:c r="D35" s="17" t="str">
        <x:v>QS Sustainability</x:v>
      </x:c>
      <x:c r="E35" s="17" t="str">
        <x:v>MSc Environment, Climate Change and Development</x:v>
      </x:c>
      <x:c r="F35" s="17" t="str">
        <x:v>Direct</x:v>
      </x:c>
      <x:c r="G35" s="17" t="str">
        <x:v>Confirmed</x:v>
      </x:c>
      <x:c r="H35" s="30" t="str">
        <x:v>https://www.reading.ac.uk/ready-to-study/study/2026/international-development-and-applied-economics-pg/msc-climate-change-and-development</x:v>
      </x:c>
      <x:c r="I35" s="17" t="str">
        <x:v>2026-07-18</x:v>
      </x:c>
      <x:c r="J35" s="17" t="str">
        <x:v>OK</x:v>
      </x:c>
      <x:c r="K35" s="17" t="n">
        <x:v>200</x:v>
      </x:c>
      <x:c r="L35" s="17" t="str">
        <x:v>Official 2026 entry page.</x:v>
      </x:c>
    </x:row>
    <x:row r="36">
      <x:c r="A36" s="17" t="n">
        <x:v>32</x:v>
      </x:c>
      <x:c r="B36" s="17" t="str">
        <x:v>Uppsala University</x:v>
      </x:c>
      <x:c r="C36" s="17" t="str">
        <x:v>Sweden</x:v>
      </x:c>
      <x:c r="D36" s="17" t="str">
        <x:v>QS Sustainability</x:v>
      </x:c>
      <x:c r="E36" s="17" t="str">
        <x:v>Master's Programme in Sustainable Development</x:v>
      </x:c>
      <x:c r="F36" s="17" t="str">
        <x:v>Direct</x:v>
      </x:c>
      <x:c r="G36" s="17" t="str">
        <x:v>Confirmed</x:v>
      </x:c>
      <x:c r="H36" s="30" t="str">
        <x:v>https://www.uu.se/en/study/programme/masters-programme-sustainable-development.html</x:v>
      </x:c>
      <x:c r="I36" s="17" t="str">
        <x:v>2026-07-18</x:v>
      </x:c>
      <x:c r="J36" s="17" t="str">
        <x:v>OK</x:v>
      </x:c>
      <x:c r="K36" s="17" t="n">
        <x:v>200</x:v>
      </x:c>
      <x:c r="L36" s="17" t="str">
        <x:v>Current official degree page.</x:v>
      </x:c>
    </x:row>
    <x:row r="37">
      <x:c r="A37" s="17" t="n">
        <x:v>33</x:v>
      </x:c>
      <x:c r="B37" s="17" t="str">
        <x:v>Ghent University</x:v>
      </x:c>
      <x:c r="C37" s="17" t="str">
        <x:v>Belgium</x:v>
      </x:c>
      <x:c r="D37" s="17" t="str">
        <x:v>QS Sustainability</x:v>
      </x:c>
      <x:c r="E37" s="17" t="str">
        <x:v>International MSc in Sustainable and Innovative Natural Resource Management (SINReM)</x:v>
      </x:c>
      <x:c r="F37" s="17" t="str">
        <x:v>Direct</x:v>
      </x:c>
      <x:c r="G37" s="17" t="str">
        <x:v>Confirmed</x:v>
      </x:c>
      <x:c r="H37" s="30" t="str">
        <x:v>https://studiekiezer.ugent.be/infobrochure/en/IMSINR/2026</x:v>
      </x:c>
      <x:c r="I37" s="17" t="str">
        <x:v>2026-07-18</x:v>
      </x:c>
      <x:c r="J37" s="17" t="str">
        <x:v>OK</x:v>
      </x:c>
      <x:c r="K37" s="17" t="n">
        <x:v>200</x:v>
      </x:c>
      <x:c r="L37" s="17" t="str">
        <x:v>Official 2026 program brochure page.</x:v>
      </x:c>
    </x:row>
    <x:row r="38">
      <x:c r="A38" s="17" t="n">
        <x:v>34</x:v>
      </x:c>
      <x:c r="B38" s="17" t="str">
        <x:v>The University of Sheffield</x:v>
      </x:c>
      <x:c r="C38" s="17" t="str">
        <x:v>United Kingdom</x:v>
      </x:c>
      <x:c r="D38" s="17" t="str">
        <x:v>QS Sustainability</x:v>
      </x:c>
      <x:c r="E38" s="17" t="str">
        <x:v>MSc Environmental Change and International Development</x:v>
      </x:c>
      <x:c r="F38" s="17" t="str">
        <x:v>Direct</x:v>
      </x:c>
      <x:c r="G38" s="17" t="str">
        <x:v>Confirmed</x:v>
      </x:c>
      <x:c r="H38" s="30" t="str">
        <x:v>https://www.sheffield.ac.uk/postgraduate/taught/courses/2026/environmental-change-and-international-development-msc</x:v>
      </x:c>
      <x:c r="I38" s="17" t="str">
        <x:v>2026-07-18</x:v>
      </x:c>
      <x:c r="J38" s="17" t="str">
        <x:v>OK</x:v>
      </x:c>
      <x:c r="K38" s="17" t="n">
        <x:v>200</x:v>
      </x:c>
      <x:c r="L38" s="17" t="str">
        <x:v>Official 2026 course URL.</x:v>
      </x:c>
    </x:row>
    <x:row r="39">
      <x:c r="A39" s="17" t="n">
        <x:v>35</x:v>
      </x:c>
      <x:c r="B39" s="17" t="str">
        <x:v>Delft University of Technology</x:v>
      </x:c>
      <x:c r="C39" s="17" t="str">
        <x:v>Netherlands</x:v>
      </x:c>
      <x:c r="D39" s="17" t="str">
        <x:v>QS Sustainability</x:v>
      </x:c>
      <x:c r="E39" s="17" t="str">
        <x:v>MSc Industrial Ecology (joint Leiden University-TU Delft)</x:v>
      </x:c>
      <x:c r="F39" s="17" t="str">
        <x:v>Joint degree</x:v>
      </x:c>
      <x:c r="G39" s="17" t="str">
        <x:v>Confirmed</x:v>
      </x:c>
      <x:c r="H39" s="30" t="str">
        <x:v>https://www.universiteitleiden.nl/en/education/study-programmes/master/industrial-ecology/about-the-programme/programme-structure</x:v>
      </x:c>
      <x:c r="I39" s="17" t="str">
        <x:v>2026-07-18</x:v>
      </x:c>
      <x:c r="J39" s="17" t="str">
        <x:v>OK</x:v>
      </x:c>
      <x:c r="K39" s="17" t="n">
        <x:v>200</x:v>
      </x:c>
      <x:c r="L39" s="17" t="str">
        <x:v>Current joint Leiden University-TU Delft MSc; the official Leiden program page is used because the former TU Delft URL is retired.</x:v>
      </x:c>
    </x:row>
    <x:row r="40">
      <x:c r="A40" s="17" t="n">
        <x:v>36</x:v>
      </x:c>
      <x:c r="B40" s="17" t="str">
        <x:v>Michigan State University</x:v>
      </x:c>
      <x:c r="C40" s="17" t="str">
        <x:v>United States</x:v>
      </x:c>
      <x:c r="D40" s="17" t="str">
        <x:v>QS Sustainability</x:v>
      </x:c>
      <x:c r="E40" s="17" t="str">
        <x:v>MS Community Sustainability</x:v>
      </x:c>
      <x:c r="F40" s="17" t="str">
        <x:v>Direct</x:v>
      </x:c>
      <x:c r="G40" s="17" t="str">
        <x:v>Confirmed</x:v>
      </x:c>
      <x:c r="H40" s="30" t="str">
        <x:v>https://www.canr.msu.edu/csus/graduate/programs/</x:v>
      </x:c>
      <x:c r="I40" s="17" t="str">
        <x:v>2026-07-18</x:v>
      </x:c>
      <x:c r="J40" s="17" t="str">
        <x:v>OK</x:v>
      </x:c>
      <x:c r="K40" s="17" t="n">
        <x:v>200</x:v>
      </x:c>
      <x:c r="L40" s="17" t="str">
        <x:v>Official department graduate-program page.</x:v>
      </x:c>
    </x:row>
    <x:row r="41">
      <x:c r="A41" s="17" t="n">
        <x:v>37</x:v>
      </x:c>
      <x:c r="B41" s="17" t="str">
        <x:v>Monash University</x:v>
      </x:c>
      <x:c r="C41" s="17" t="str">
        <x:v>Australia</x:v>
      </x:c>
      <x:c r="D41" s="17" t="str">
        <x:v>QS Sustainability</x:v>
      </x:c>
      <x:c r="E41" s="17" t="str">
        <x:v>Master of Environment and Sustainability</x:v>
      </x:c>
      <x:c r="F41" s="17" t="str">
        <x:v>Direct</x:v>
      </x:c>
      <x:c r="G41" s="17" t="str">
        <x:v>Confirmed</x:v>
      </x:c>
      <x:c r="H41" s="30" t="str">
        <x:v>https://www.monash.edu/study/courses/find-a-course/environment-and-sustainability-s6002</x:v>
      </x:c>
      <x:c r="I41" s="17" t="str">
        <x:v>2026-07-18</x:v>
      </x:c>
      <x:c r="J41" s="17" t="str">
        <x:v>Blocked by site (403)</x:v>
      </x:c>
      <x:c r="K41" s="17" t="n">
        <x:v>403</x:v>
      </x:c>
      <x:c r="L41" s="17" t="str">
        <x:v>Carried forward and included for URL recheck.</x:v>
      </x:c>
    </x:row>
    <x:row r="42">
      <x:c r="A42" s="17" t="n">
        <x:v>38</x:v>
      </x:c>
      <x:c r="B42" s="17" t="str">
        <x:v>Seoul National University</x:v>
      </x:c>
      <x:c r="C42" s="17" t="str">
        <x:v>South Korea</x:v>
      </x:c>
      <x:c r="D42" s="17" t="str">
        <x:v>QS Sustainability</x:v>
      </x:c>
      <x:c r="E42" s="17" t="str">
        <x:v>Graduate School of Environmental Studies - Environmental Management</x:v>
      </x:c>
      <x:c r="F42" s="17" t="str">
        <x:v>Best-fit</x:v>
      </x:c>
      <x:c r="G42" s="17" t="str">
        <x:v>Confirmed</x:v>
      </x:c>
      <x:c r="H42" s="30" t="str">
        <x:v>https://gses.snu.ac.kr/</x:v>
      </x:c>
      <x:c r="I42" s="17" t="str">
        <x:v>2026-07-18</x:v>
      </x:c>
      <x:c r="J42" s="17" t="str">
        <x:v>OK</x:v>
      </x:c>
      <x:c r="K42" s="17" t="n">
        <x:v>200</x:v>
      </x:c>
      <x:c r="L42" s="17" t="str">
        <x:v>Official graduate-school page; Environmental Management is a field within GSES.</x:v>
      </x:c>
    </x:row>
    <x:row r="43">
      <x:c r="A43" s="17" t="n">
        <x:v>39</x:v>
      </x:c>
      <x:c r="B43" s="17" t="str">
        <x:v>University of Nottingham</x:v>
      </x:c>
      <x:c r="C43" s="17" t="str">
        <x:v>United Kingdom</x:v>
      </x:c>
      <x:c r="D43" s="17" t="str">
        <x:v>QS Sustainability</x:v>
      </x:c>
      <x:c r="E43" s="17" t="str">
        <x:v>MSc Environmental Leadership and Management</x:v>
      </x:c>
      <x:c r="F43" s="17" t="str">
        <x:v>Direct</x:v>
      </x:c>
      <x:c r="G43" s="17" t="str">
        <x:v>Confirmed</x:v>
      </x:c>
      <x:c r="H43" s="30" t="str">
        <x:v>https://www.nottingham.ac.uk/pgstudy/course/taught/environmental-leadership-and-management-msc</x:v>
      </x:c>
      <x:c r="I43" s="17" t="str">
        <x:v>2026-07-18</x:v>
      </x:c>
      <x:c r="J43" s="17" t="str">
        <x:v>OK</x:v>
      </x:c>
      <x:c r="K43" s="17" t="n">
        <x:v>200</x:v>
      </x:c>
      <x:c r="L43" s="17" t="str">
        <x:v>Current official degree page.</x:v>
      </x:c>
    </x:row>
    <x:row r="44">
      <x:c r="A44" s="17" t="n">
        <x:v>40</x:v>
      </x:c>
      <x:c r="B44" s="17" t="str">
        <x:v>University of York</x:v>
      </x:c>
      <x:c r="C44" s="17" t="str">
        <x:v>United Kingdom</x:v>
      </x:c>
      <x:c r="D44" s="17" t="str">
        <x:v>QS Sustainability</x:v>
      </x:c>
      <x:c r="E44" s="17" t="str">
        <x:v>MSc Corporate Sustainability and Environmental Management</x:v>
      </x:c>
      <x:c r="F44" s="17" t="str">
        <x:v>Direct</x:v>
      </x:c>
      <x:c r="G44" s="17" t="str">
        <x:v>Confirmed</x:v>
      </x:c>
      <x:c r="H44" s="30" t="str">
        <x:v>https://www.york.ac.uk/study/postgraduate-taught/courses/msc-corporate-sustainability-environment/</x:v>
      </x:c>
      <x:c r="I44" s="17" t="str">
        <x:v>2026-07-18</x:v>
      </x:c>
      <x:c r="J44" s="17" t="str">
        <x:v>OK</x:v>
      </x:c>
      <x:c r="K44" s="17" t="n">
        <x:v>200</x:v>
      </x:c>
      <x:c r="L44" s="17" t="str">
        <x:v>Current official degree page.</x:v>
      </x:c>
    </x:row>
    <x:row r="45">
      <x:c r="A45" s="17" t="n">
        <x:v>41</x:v>
      </x:c>
      <x:c r="B45" s="17" t="str">
        <x:v>Boston University</x:v>
      </x:c>
      <x:c r="C45" s="17" t="str">
        <x:v>United States</x:v>
      </x:c>
      <x:c r="D45" s="17" t="str">
        <x:v>QS Sustainability</x:v>
      </x:c>
      <x:c r="E45" s="17" t="str">
        <x:v>MS Innovation &amp; Entrepreneurship - Sustainability concentration</x:v>
      </x:c>
      <x:c r="F45" s="17" t="str">
        <x:v>Concentration</x:v>
      </x:c>
      <x:c r="G45" s="17" t="str">
        <x:v>Confirmed</x:v>
      </x:c>
      <x:c r="H45" s="30" t="str">
        <x:v>https://www.bu.edu/met/degrees-certificates/ms-innovation-entrepreneurship-sustainability/</x:v>
      </x:c>
      <x:c r="I45" s="17" t="str">
        <x:v>2026-07-18</x:v>
      </x:c>
      <x:c r="J45" s="17" t="str">
        <x:v>OK</x:v>
      </x:c>
      <x:c r="K45" s="17" t="n">
        <x:v>200</x:v>
      </x:c>
      <x:c r="L45" s="17" t="str">
        <x:v>A current sustainability concentration, not a standalone sustainability degree.</x:v>
      </x:c>
    </x:row>
    <x:row r="46">
      <x:c r="A46" s="17" t="n">
        <x:v>42</x:v>
      </x:c>
      <x:c r="B46" s="17" t="str">
        <x:v>Johns Hopkins University</x:v>
      </x:c>
      <x:c r="C46" s="17" t="str">
        <x:v>United States</x:v>
      </x:c>
      <x:c r="D46" s="17" t="str">
        <x:v>QS Sustainability</x:v>
      </x:c>
      <x:c r="E46" s="17" t="str">
        <x:v>MS in Energy Policy and Climate</x:v>
      </x:c>
      <x:c r="F46" s="17" t="str">
        <x:v>Direct</x:v>
      </x:c>
      <x:c r="G46" s="17" t="str">
        <x:v>Confirmed</x:v>
      </x:c>
      <x:c r="H46" s="30" t="str">
        <x:v>https://advanced.jhu.edu/academics/graduate/ms-energy-policy-climate/</x:v>
      </x:c>
      <x:c r="I46" s="17" t="str">
        <x:v>2026-07-18</x:v>
      </x:c>
      <x:c r="J46" s="17" t="str">
        <x:v>Blocked by site (403)</x:v>
      </x:c>
      <x:c r="K46" s="17" t="n">
        <x:v>403</x:v>
      </x:c>
      <x:c r="L46" s="17" t="str">
        <x:v>Carried forward and included for URL recheck.</x:v>
      </x:c>
    </x:row>
    <x:row r="47">
      <x:c r="A47" s="17" t="n">
        <x:v>43</x:v>
      </x:c>
      <x:c r="B47" s="17" t="str">
        <x:v>Massachusetts Institute of Technology (MIT)</x:v>
      </x:c>
      <x:c r="C47" s="17" t="str">
        <x:v>United States</x:v>
      </x:c>
      <x:c r="D47" s="17" t="str">
        <x:v>QS Sustainability</x:v>
      </x:c>
      <x:c r="E47" s="17" t="str">
        <x:v>Master in City Planning - Environmental Policy and Planning focus</x:v>
      </x:c>
      <x:c r="F47" s="17" t="str">
        <x:v>Concentration</x:v>
      </x:c>
      <x:c r="G47" s="17" t="str">
        <x:v>Confirmed</x:v>
      </x:c>
      <x:c r="H47" s="30" t="str">
        <x:v>https://dusp.mit.edu/masters</x:v>
      </x:c>
      <x:c r="I47" s="17" t="str">
        <x:v>2026-07-18</x:v>
      </x:c>
      <x:c r="J47" s="17" t="str">
        <x:v>OK</x:v>
      </x:c>
      <x:c r="K47" s="17" t="n">
        <x:v>200</x:v>
      </x:c>
      <x:c r="L47" s="17" t="str">
        <x:v>Environmental Policy and Planning is a focus within the Master in City Planning; URL updated to the current DUSP master's page.</x:v>
      </x:c>
    </x:row>
    <x:row r="48">
      <x:c r="A48" s="17" t="n">
        <x:v>44</x:v>
      </x:c>
      <x:c r="B48" s="17" t="str">
        <x:v>University of Birmingham</x:v>
      </x:c>
      <x:c r="C48" s="17" t="str">
        <x:v>United Kingdom</x:v>
      </x:c>
      <x:c r="D48" s="17" t="str">
        <x:v>QS Sustainability</x:v>
      </x:c>
      <x:c r="E48" s="17" t="str">
        <x:v>MSc Environment, Development and Politics</x:v>
      </x:c>
      <x:c r="F48" s="17" t="str">
        <x:v>Direct</x:v>
      </x:c>
      <x:c r="G48" s="17" t="str">
        <x:v>Confirmed</x:v>
      </x:c>
      <x:c r="H48" s="30" t="str">
        <x:v>https://www.birmingham.ac.uk/study/postgraduate/subjects/politics-development-and-international-relations-courses/environment-development-and-politics-msc</x:v>
      </x:c>
      <x:c r="I48" s="17" t="str">
        <x:v>2026-07-18</x:v>
      </x:c>
      <x:c r="J48" s="17" t="str">
        <x:v>OK</x:v>
      </x:c>
      <x:c r="K48" s="17" t="n">
        <x:v>200</x:v>
      </x:c>
      <x:c r="L48" s="17" t="str">
        <x:v>Current official degree page.</x:v>
      </x:c>
    </x:row>
    <x:row r="49">
      <x:c r="A49" s="17" t="n">
        <x:v>45</x:v>
      </x:c>
      <x:c r="B49" s="17" t="str">
        <x:v>Université Paris-Saclay</x:v>
      </x:c>
      <x:c r="C49" s="17" t="str">
        <x:v>France</x:v>
      </x:c>
      <x:c r="D49" s="17" t="str">
        <x:v>QS Sustainability</x:v>
      </x:c>
      <x:c r="E49" s="17" t="str">
        <x:v>M1 Corporate Social Responsibility and Environment</x:v>
      </x:c>
      <x:c r="F49" s="17" t="str">
        <x:v>Direct</x:v>
      </x:c>
      <x:c r="G49" s="17" t="str">
        <x:v>Confirmed</x:v>
      </x:c>
      <x:c r="H49" s="30" t="str">
        <x:v>https://www.universite-paris-saclay.fr/en/education/masters-degree/science-de-la-durabilite/m1-responsabilite-societale-des-entreprises-et-environnement-rsee</x:v>
      </x:c>
      <x:c r="I49" s="17" t="str">
        <x:v>2026-07-18</x:v>
      </x:c>
      <x:c r="J49" s="17" t="str">
        <x:v>OK</x:v>
      </x:c>
      <x:c r="K49" s="17" t="n">
        <x:v>200</x:v>
      </x:c>
      <x:c r="L49" s="17" t="str">
        <x:v>Official Sustainability Science master's pathway page.</x:v>
      </x:c>
    </x:row>
    <x:row r="50">
      <x:c r="A50" s="17" t="n">
        <x:v>46</x:v>
      </x:c>
      <x:c r="B50" s="17" t="str">
        <x:v>Universität Hamburg</x:v>
      </x:c>
      <x:c r="C50" s="17" t="str">
        <x:v>Germany</x:v>
      </x:c>
      <x:c r="D50" s="17" t="str">
        <x:v>QS Sustainability</x:v>
      </x:c>
      <x:c r="E50" s="17" t="str">
        <x:v>MSc Integrated Climate System Sciences</x:v>
      </x:c>
      <x:c r="F50" s="17" t="str">
        <x:v>Direct</x:v>
      </x:c>
      <x:c r="G50" s="17" t="str">
        <x:v>Confirmed</x:v>
      </x:c>
      <x:c r="H50" s="30" t="str">
        <x:v>https://www.geo.uni-hamburg.de/en/studium/master/msc-icss.html</x:v>
      </x:c>
      <x:c r="I50" s="17" t="str">
        <x:v>2026-07-18</x:v>
      </x:c>
      <x:c r="J50" s="17" t="str">
        <x:v>OK</x:v>
      </x:c>
      <x:c r="K50" s="17" t="n">
        <x:v>200</x:v>
      </x:c>
      <x:c r="L50" s="17" t="str">
        <x:v>Current official degree page.</x:v>
      </x:c>
    </x:row>
    <x:row r="51">
      <x:c r="A51" s="17" t="n">
        <x:v>47</x:v>
      </x:c>
      <x:c r="B51" s="17" t="str">
        <x:v>University College Dublin</x:v>
      </x:c>
      <x:c r="C51" s="17" t="str">
        <x:v>Ireland</x:v>
      </x:c>
      <x:c r="D51" s="17" t="str">
        <x:v>QS Sustainability</x:v>
      </x:c>
      <x:c r="E51" s="17" t="str">
        <x:v>MSc Environmental Policy, Strategy &amp; Leadership</x:v>
      </x:c>
      <x:c r="F51" s="17" t="str">
        <x:v>Direct</x:v>
      </x:c>
      <x:c r="G51" s="17" t="str">
        <x:v>Confirmed</x:v>
      </x:c>
      <x:c r="H51" s="30" t="str">
        <x:v>https://www.ucd.ie/envpolicy/study/</x:v>
      </x:c>
      <x:c r="I51" s="17" t="str">
        <x:v>2026-07-18</x:v>
      </x:c>
      <x:c r="J51" s="17" t="str">
        <x:v>OK</x:v>
      </x:c>
      <x:c r="K51" s="17" t="n">
        <x:v>200</x:v>
      </x:c>
      <x:c r="L51" s="17" t="str">
        <x:v>Official UCD Environmental Policy program page.</x:v>
      </x:c>
    </x:row>
    <x:row r="52">
      <x:c r="A52" s="17" t="n">
        <x:v>48</x:v>
      </x:c>
      <x:c r="B52" s="17" t="str">
        <x:v>The University of Tokyo</x:v>
      </x:c>
      <x:c r="C52" s="17" t="str">
        <x:v>Japan</x:v>
      </x:c>
      <x:c r="D52" s="17" t="str">
        <x:v>QS Sustainability</x:v>
      </x:c>
      <x:c r="E52" s="17" t="str">
        <x:v>Graduate Program in Sustainability Science - Global Leadership Initiative</x:v>
      </x:c>
      <x:c r="F52" s="17" t="str">
        <x:v>Direct</x:v>
      </x:c>
      <x:c r="G52" s="17" t="str">
        <x:v>Confirmed</x:v>
      </x:c>
      <x:c r="H52" s="30" t="str">
        <x:v>https://www.sustainability.k.u-tokyo.ac.jp/</x:v>
      </x:c>
      <x:c r="I52" s="17" t="str">
        <x:v>2026-07-18</x:v>
      </x:c>
      <x:c r="J52" s="17" t="str">
        <x:v>OK</x:v>
      </x:c>
      <x:c r="K52" s="17" t="n">
        <x:v>200</x:v>
      </x:c>
      <x:c r="L52" s="17" t="str">
        <x:v>Carried forward and included for URL recheck.</x:v>
      </x:c>
    </x:row>
    <x:row r="53">
      <x:c r="A53" s="17" t="n">
        <x:v>49</x:v>
      </x:c>
      <x:c r="B53" s="17" t="str">
        <x:v>University of Exeter</x:v>
      </x:c>
      <x:c r="C53" s="17" t="str">
        <x:v>United Kingdom</x:v>
      </x:c>
      <x:c r="D53" s="17" t="str">
        <x:v>Both</x:v>
      </x:c>
      <x:c r="E53" s="17" t="str">
        <x:v>MSc Global Sustainability Solutions</x:v>
      </x:c>
      <x:c r="F53" s="17" t="str">
        <x:v>Direct</x:v>
      </x:c>
      <x:c r="G53" s="17" t="str">
        <x:v>Confirmed</x:v>
      </x:c>
      <x:c r="H53" s="30" t="str">
        <x:v>https://www.exeter.ac.uk/masters-degrees/msc-global-sustainability-solutions/</x:v>
      </x:c>
      <x:c r="I53" s="17" t="str">
        <x:v>2026-07-18</x:v>
      </x:c>
      <x:c r="J53" s="17" t="str">
        <x:v>OK</x:v>
      </x:c>
      <x:c r="K53" s="17" t="n">
        <x:v>200</x:v>
      </x:c>
      <x:c r="L53" s="17" t="str">
        <x:v>Current official 2026 entry page.</x:v>
      </x:c>
    </x:row>
    <x:row r="54">
      <x:c r="A54" s="17" t="n">
        <x:v>50</x:v>
      </x:c>
      <x:c r="B54" s="17" t="str">
        <x:v>The University of Queensland</x:v>
      </x:c>
      <x:c r="C54" s="17" t="str">
        <x:v>Australia</x:v>
      </x:c>
      <x:c r="D54" s="17" t="str">
        <x:v>QS Sustainability</x:v>
      </x:c>
      <x:c r="E54" s="17" t="str">
        <x:v>Master of Environmental Management</x:v>
      </x:c>
      <x:c r="F54" s="17" t="str">
        <x:v>Direct</x:v>
      </x:c>
      <x:c r="G54" s="17" t="str">
        <x:v>Confirmed</x:v>
      </x:c>
      <x:c r="H54" s="30" t="str">
        <x:v>https://study.uq.edu.au/study-options/programs/master-environmental-management-5609</x:v>
      </x:c>
      <x:c r="I54" s="17" t="str">
        <x:v>2026-07-18</x:v>
      </x:c>
      <x:c r="J54" s="17" t="str">
        <x:v>OK</x:v>
      </x:c>
      <x:c r="K54" s="17" t="n">
        <x:v>200</x:v>
      </x:c>
      <x:c r="L54" s="17" t="str">
        <x:v>Carried forward and included for URL recheck.</x:v>
      </x:c>
    </x:row>
    <x:row r="55">
      <x:c r="A55" s="17" t="n">
        <x:v>51</x:v>
      </x:c>
      <x:c r="B55" s="17" t="str">
        <x:v>University of Gothenburg</x:v>
      </x:c>
      <x:c r="C55" s="17" t="str">
        <x:v>Sweden</x:v>
      </x:c>
      <x:c r="D55" s="17" t="str">
        <x:v>QS Sustainability</x:v>
      </x:c>
      <x:c r="E55" s="17" t="str">
        <x:v>Master's Programme in Environmental Sciences</x:v>
      </x:c>
      <x:c r="F55" s="17" t="str">
        <x:v>Direct</x:v>
      </x:c>
      <x:c r="G55" s="17" t="str">
        <x:v>Confirmed</x:v>
      </x:c>
      <x:c r="H55" s="30" t="str">
        <x:v>https://www.gu.se/en/study-gothenburg/environmental-sciences-n2mvn</x:v>
      </x:c>
      <x:c r="I55" s="17" t="str">
        <x:v>2026-07-18</x:v>
      </x:c>
      <x:c r="J55" s="17" t="str">
        <x:v>OK</x:v>
      </x:c>
      <x:c r="K55" s="17" t="n">
        <x:v>200</x:v>
      </x:c>
      <x:c r="L55" s="17" t="str">
        <x:v>Current official degree page.</x:v>
      </x:c>
    </x:row>
    <x:row r="56">
      <x:c r="A56" s="17" t="n">
        <x:v>52</x:v>
      </x:c>
      <x:c r="B56" s="17" t="str">
        <x:v>Griffith University</x:v>
      </x:c>
      <x:c r="C56" s="17" t="str">
        <x:v>Australia</x:v>
      </x:c>
      <x:c r="D56" s="17" t="str">
        <x:v>THE Impact</x:v>
      </x:c>
      <x:c r="E56" s="17" t="str">
        <x:v>Master of Global Development - Sustainable Development major</x:v>
      </x:c>
      <x:c r="F56" s="17" t="str">
        <x:v>Major</x:v>
      </x:c>
      <x:c r="G56" s="17" t="str">
        <x:v>Confirmed</x:v>
      </x:c>
      <x:c r="H56" s="30" t="str">
        <x:v>https://www.griffith.edu.au/study/degrees/master-of-global-development-5724</x:v>
      </x:c>
      <x:c r="I56" s="17" t="str">
        <x:v>2026-07-18</x:v>
      </x:c>
      <x:c r="J56" s="17" t="str">
        <x:v>Blocked by site (403)</x:v>
      </x:c>
      <x:c r="K56" s="17" t="n">
        <x:v>403</x:v>
      </x:c>
      <x:c r="L56" s="17" t="str">
        <x:v>Sustainability is a named major within the degree.</x:v>
      </x:c>
    </x:row>
    <x:row r="57">
      <x:c r="A57" s="17" t="n">
        <x:v>53</x:v>
      </x:c>
      <x:c r="B57" s="17" t="str">
        <x:v>Western Sydney University</x:v>
      </x:c>
      <x:c r="C57" s="17" t="str">
        <x:v>Australia</x:v>
      </x:c>
      <x:c r="D57" s="17" t="str">
        <x:v>THE Impact</x:v>
      </x:c>
      <x:c r="E57" s="17" t="str">
        <x:v>Master of Sustainable Tourism, Hospitality and Event Management</x:v>
      </x:c>
      <x:c r="F57" s="17" t="str">
        <x:v>Direct</x:v>
      </x:c>
      <x:c r="G57" s="17" t="str">
        <x:v>Confirmed</x:v>
      </x:c>
      <x:c r="H57" s="30" t="str">
        <x:v>https://www.westernsydney.edu.au/future/study/courses/postgraduate/master-of-sustainable-tourism-hospitality-and-event-management</x:v>
      </x:c>
      <x:c r="I57" s="17" t="str">
        <x:v>2026-07-18</x:v>
      </x:c>
      <x:c r="J57" s="17" t="str">
        <x:v>OK</x:v>
      </x:c>
      <x:c r="K57" s="17" t="n">
        <x:v>200</x:v>
      </x:c>
      <x:c r="L57" s="17" t="str">
        <x:v>Current official degree page; domain-specific sustainability program.</x:v>
      </x:c>
    </x:row>
    <x:row r="58">
      <x:c r="A58" s="17" t="n">
        <x:v>54</x:v>
      </x:c>
      <x:c r="B58" s="17" t="str">
        <x:v>Queen's University</x:v>
      </x:c>
      <x:c r="C58" s="17" t="str">
        <x:v>Canada</x:v>
      </x:c>
      <x:c r="D58" s="17" t="str">
        <x:v>THE Impact</x:v>
      </x:c>
      <x:c r="E58" s="17" t="str">
        <x:v>Master of Environmental Studies</x:v>
      </x:c>
      <x:c r="F58" s="17" t="str">
        <x:v>Direct</x:v>
      </x:c>
      <x:c r="G58" s="17" t="str">
        <x:v>Confirmed</x:v>
      </x:c>
      <x:c r="H58" s="30" t="str">
        <x:v>https://www.queensu.ca/ensc/graduate/programs-overview</x:v>
      </x:c>
      <x:c r="I58" s="17" t="str">
        <x:v>2026-07-18</x:v>
      </x:c>
      <x:c r="J58" s="17" t="str">
        <x:v>OK</x:v>
      </x:c>
      <x:c r="K58" s="17" t="n">
        <x:v>200</x:v>
      </x:c>
      <x:c r="L58" s="17" t="str">
        <x:v>Official graduate-program overview.</x:v>
      </x:c>
    </x:row>
    <x:row r="59">
      <x:c r="A59" s="17" t="n">
        <x:v>55</x:v>
      </x:c>
      <x:c r="B59" s="17" t="str">
        <x:v>Universiti Sains Malaysia</x:v>
      </x:c>
      <x:c r="C59" s="17" t="str">
        <x:v>Malaysia</x:v>
      </x:c>
      <x:c r="D59" s="17" t="str">
        <x:v>THE Impact</x:v>
      </x:c>
      <x:c r="E59" s="17" t="str">
        <x:v>Master in Sustainable Development Practice</x:v>
      </x:c>
      <x:c r="F59" s="17" t="str">
        <x:v>Direct</x:v>
      </x:c>
      <x:c r="G59" s="17" t="str">
        <x:v>Confirmed</x:v>
      </x:c>
      <x:c r="H59" s="30" t="str">
        <x:v>https://cgss.usm.my/programmes/postgraduate/coursework/masters-in-sustainable-development-practice-msdp</x:v>
      </x:c>
      <x:c r="I59" s="17" t="str">
        <x:v>2026-07-18</x:v>
      </x:c>
      <x:c r="J59" s="17" t="str">
        <x:v>OK</x:v>
      </x:c>
      <x:c r="K59" s="17" t="n">
        <x:v>200</x:v>
      </x:c>
      <x:c r="L59" s="17" t="str">
        <x:v>Current official degree page.</x:v>
      </x:c>
    </x:row>
    <x:row r="60">
      <x:c r="A60" s="17" t="n">
        <x:v>56</x:v>
      </x:c>
      <x:c r="B60" s="17" t="str">
        <x:v>Hanyang University</x:v>
      </x:c>
      <x:c r="C60" s="17" t="str">
        <x:v>South Korea</x:v>
      </x:c>
      <x:c r="D60" s="17" t="str">
        <x:v>THE Impact</x:v>
      </x:c>
      <x:c r="E60" s="17" t="str">
        <x:v>Master's majors in Global Climate and Environmental Studies</x:v>
      </x:c>
      <x:c r="F60" s="17" t="str">
        <x:v>Best-fit</x:v>
      </x:c>
      <x:c r="G60" s="17" t="str">
        <x:v>Confirmed</x:v>
      </x:c>
      <x:c r="H60" s="30" t="str">
        <x:v>https://hygce.hanyang.ac.kr/-eng-1</x:v>
      </x:c>
      <x:c r="I60" s="17" t="str">
        <x:v>2026-07-18</x:v>
      </x:c>
      <x:c r="J60" s="17" t="str">
        <x:v>OK</x:v>
      </x:c>
      <x:c r="K60" s="17" t="n">
        <x:v>200</x:v>
      </x:c>
      <x:c r="L60" s="17" t="str">
        <x:v>Official graduate-school page; several environment/climate majors rather than one generic degree.</x:v>
      </x:c>
    </x:row>
    <x:row r="61">
      <x:c r="A61" s="17" t="n">
        <x:v>57</x:v>
      </x:c>
      <x:c r="B61" s="17" t="str">
        <x:v>Hokkaido University</x:v>
      </x:c>
      <x:c r="C61" s="17" t="str">
        <x:v>Japan</x:v>
      </x:c>
      <x:c r="D61" s="17" t="str">
        <x:v>THE Impact</x:v>
      </x:c>
      <x:c r="E61" s="17" t="str">
        <x:v>Master's Program, Graduate School of Environmental Science</x:v>
      </x:c>
      <x:c r="F61" s="17" t="str">
        <x:v>Best-fit</x:v>
      </x:c>
      <x:c r="G61" s="17" t="str">
        <x:v>Confirmed</x:v>
      </x:c>
      <x:c r="H61" s="30" t="str">
        <x:v>https://www.ees.hokudai.ac.jp/?lang=en</x:v>
      </x:c>
      <x:c r="I61" s="17" t="str">
        <x:v>2026-07-18</x:v>
      </x:c>
      <x:c r="J61" s="17" t="str">
        <x:v>OK</x:v>
      </x:c>
      <x:c r="K61" s="17" t="n">
        <x:v>200</x:v>
      </x:c>
      <x:c r="L61" s="17" t="str">
        <x:v>Official graduate school page; select a division before analysis.</x:v>
      </x:c>
    </x:row>
    <x:row r="62">
      <x:c r="A62" s="17" t="n">
        <x:v>58</x:v>
      </x:c>
      <x:c r="B62" s="17" t="str">
        <x:v>Universiti Kebangsaan Malaysia</x:v>
      </x:c>
      <x:c r="C62" s="17" t="str">
        <x:v>Malaysia</x:v>
      </x:c>
      <x:c r="D62" s="17" t="str">
        <x:v>THE Impact</x:v>
      </x:c>
      <x:c r="E62" s="17" t="str">
        <x:v>Master of Science / Master of Arts in Environment and Development</x:v>
      </x:c>
      <x:c r="F62" s="17" t="str">
        <x:v>Research</x:v>
      </x:c>
      <x:c r="G62" s="17" t="str">
        <x:v>Confirmed</x:v>
      </x:c>
      <x:c r="H62" s="30" t="str">
        <x:v>https://www.ukm.my/lestari/program-siswazah/</x:v>
      </x:c>
      <x:c r="I62" s="17" t="str">
        <x:v>2026-07-18</x:v>
      </x:c>
      <x:c r="J62" s="17" t="str">
        <x:v>OK</x:v>
      </x:c>
      <x:c r="K62" s="17" t="n">
        <x:v>200</x:v>
      </x:c>
      <x:c r="L62" s="17" t="str">
        <x:v>Official LESTARI research-master's page.</x:v>
      </x:c>
    </x:row>
    <x:row r="63">
      <x:c r="A63" s="17" t="n">
        <x:v>59</x:v>
      </x:c>
      <x:c r="B63" s="17" t="str">
        <x:v>Institut Agro</x:v>
      </x:c>
      <x:c r="C63" s="17" t="str">
        <x:v>France</x:v>
      </x:c>
      <x:c r="D63" s="17" t="str">
        <x:v>THE Impact</x:v>
      </x:c>
      <x:c r="E63" s="17" t="str">
        <x:v>Master's pathway: Transitions in Environmental and Agrifood Systems Management</x:v>
      </x:c>
      <x:c r="F63" s="17" t="str">
        <x:v>Best-fit</x:v>
      </x:c>
      <x:c r="G63" s="17" t="str">
        <x:v>Confirmed</x:v>
      </x:c>
      <x:c r="H63" s="30" t="str">
        <x:v>https://www.institut-agro.fr/fr/nos-formations</x:v>
      </x:c>
      <x:c r="I63" s="17" t="str">
        <x:v>2026-07-18</x:v>
      </x:c>
      <x:c r="J63" s="17" t="str">
        <x:v>OK</x:v>
      </x:c>
      <x:c r="K63" s="17" t="n">
        <x:v>200</x:v>
      </x:c>
      <x:c r="L63" s="17" t="str">
        <x:v>Official program catalogue; pathway is delivered within the national master's structure.</x:v>
      </x:c>
    </x:row>
    <x:row r="64">
      <x:c r="A64" s="17" t="n">
        <x:v>60</x:v>
      </x:c>
      <x:c r="B64" s="17" t="str">
        <x:v>National Taiwan University (NTU)</x:v>
      </x:c>
      <x:c r="C64" s="17" t="str">
        <x:v>Taiwan</x:v>
      </x:c>
      <x:c r="D64" s="17" t="str">
        <x:v>THE Impact</x:v>
      </x:c>
      <x:c r="E64" s="17" t="str">
        <x:v>Master's Program in Biodiversity</x:v>
      </x:c>
      <x:c r="F64" s="17" t="str">
        <x:v>Direct</x:v>
      </x:c>
      <x:c r="G64" s="17" t="str">
        <x:v>Confirmed</x:v>
      </x:c>
      <x:c r="H64" s="30" t="str">
        <x:v>https://mpb.ntu.edu.tw/about/overview</x:v>
      </x:c>
      <x:c r="I64" s="17" t="str">
        <x:v>2026-07-18</x:v>
      </x:c>
      <x:c r="J64" s="17" t="str">
        <x:v>OK</x:v>
      </x:c>
      <x:c r="K64" s="17" t="n">
        <x:v>200</x:v>
      </x:c>
      <x:c r="L64" s="17" t="str">
        <x:v>English-taught program with a Biodiversity Conservation and Sustainability theme.</x:v>
      </x:c>
    </x:row>
    <x:row r="65">
      <x:c r="A65" s="17" t="n">
        <x:v>61</x:v>
      </x:c>
      <x:c r="B65" s="17" t="str">
        <x:v>University of Alberta</x:v>
      </x:c>
      <x:c r="C65" s="17" t="str">
        <x:v>Canada</x:v>
      </x:c>
      <x:c r="D65" s="17" t="str">
        <x:v>THE Impact</x:v>
      </x:c>
      <x:c r="E65" s="17" t="str">
        <x:v>Master of Sustainability</x:v>
      </x:c>
      <x:c r="F65" s="17" t="str">
        <x:v>Direct</x:v>
      </x:c>
      <x:c r="G65" s="17" t="str">
        <x:v>Confirmed</x:v>
      </x:c>
      <x:c r="H65" s="30" t="str">
        <x:v>https://apps.ualberta.ca/catalogue/course/sust</x:v>
      </x:c>
      <x:c r="I65" s="17" t="str">
        <x:v>2026-07-18</x:v>
      </x:c>
      <x:c r="J65" s="17" t="str">
        <x:v>OK</x:v>
      </x:c>
      <x:c r="K65" s="17" t="n">
        <x:v>200</x:v>
      </x:c>
      <x:c r="L65" s="17" t="str">
        <x:v>Official catalogue confirms the course-based Master of Sustainability and capstone.</x:v>
      </x:c>
    </x:row>
    <x:row r="66">
      <x:c r="A66" s="17" t="n">
        <x:v>62</x:v>
      </x:c>
      <x:c r="B66" s="17" t="str">
        <x:v>Korea University</x:v>
      </x:c>
      <x:c r="C66" s="17" t="str">
        <x:v>South Korea</x:v>
      </x:c>
      <x:c r="D66" s="17" t="str">
        <x:v>THE Impact</x:v>
      </x:c>
      <x:c r="E66" s="17" t="str">
        <x:v>Master's in Climatic Environment</x:v>
      </x:c>
      <x:c r="F66" s="17" t="str">
        <x:v>Best-fit</x:v>
      </x:c>
      <x:c r="G66" s="17" t="str">
        <x:v>Confirmed</x:v>
      </x:c>
      <x:c r="H66" s="30" t="str">
        <x:v>https://gsles.korea.edu/gsles_en/master/subject07.do</x:v>
      </x:c>
      <x:c r="I66" s="17" t="str">
        <x:v>2026-07-18</x:v>
      </x:c>
      <x:c r="J66" s="17" t="str">
        <x:v>OK</x:v>
      </x:c>
      <x:c r="K66" s="17" t="n">
        <x:v>200</x:v>
      </x:c>
      <x:c r="L66" s="17" t="str">
        <x:v>Official graduate-school major page.</x:v>
      </x:c>
    </x:row>
    <x:row r="67">
      <x:c r="A67" s="17" t="n">
        <x:v>63</x:v>
      </x:c>
      <x:c r="B67" s="17" t="str">
        <x:v>Universitas Airlangga</x:v>
      </x:c>
      <x:c r="C67" s="17" t="str">
        <x:v>Indonesia</x:v>
      </x:c>
      <x:c r="D67" s="17" t="str">
        <x:v>THE Impact</x:v>
      </x:c>
      <x:c r="E67" s="17" t="str">
        <x:v>Master of Environmental Health</x:v>
      </x:c>
      <x:c r="F67" s="17" t="str">
        <x:v>Direct</x:v>
      </x:c>
      <x:c r="G67" s="17" t="str">
        <x:v>Confirmed</x:v>
      </x:c>
      <x:c r="H67" s="30" t="str">
        <x:v>https://s2kesling.fkm.unair.ac.id/</x:v>
      </x:c>
      <x:c r="I67" s="17" t="str">
        <x:v>2026-07-18</x:v>
      </x:c>
      <x:c r="J67" s="17" t="str">
        <x:v>Automated fetch failed</x:v>
      </x:c>
      <x:c r="K67" s="17" t="str"/>
      <x:c r="L67" s="17" t="str">
        <x:v>Official program site.</x:v>
      </x:c>
    </x:row>
    <x:row r="68">
      <x:c r="A68" s="17" t="n">
        <x:v>64</x:v>
      </x:c>
      <x:c r="B68" s="17" t="str">
        <x:v>Pusan National University</x:v>
      </x:c>
      <x:c r="C68" s="17" t="str">
        <x:v>South Korea</x:v>
      </x:c>
      <x:c r="D68" s="17" t="str">
        <x:v>THE Impact</x:v>
      </x:c>
      <x:c r="E68" s="17" t="str">
        <x:v>Master's programs, Graduate School of Environment</x:v>
      </x:c>
      <x:c r="F68" s="17" t="str">
        <x:v>Best-fit</x:v>
      </x:c>
      <x:c r="G68" s="17" t="str">
        <x:v>Confirmed</x:v>
      </x:c>
      <x:c r="H68" s="30" t="str">
        <x:v>https://www.pusan.ac.kr/eng/CMS/OrganizationMgr/SpecialGraduateInfo.do?gc_code=280000&amp;gc_parent_code=NONE-009&amp;mCode=MN021</x:v>
      </x:c>
      <x:c r="I68" s="17" t="str">
        <x:v>2026-07-18</x:v>
      </x:c>
      <x:c r="J68" s="17" t="str">
        <x:v>OK</x:v>
      </x:c>
      <x:c r="K68" s="17" t="n">
        <x:v>200</x:v>
      </x:c>
      <x:c r="L68" s="17" t="str">
        <x:v>Official graduate-school page; choose the relevant environmental major.</x:v>
      </x:c>
    </x:row>
    <x:row r="69">
      <x:c r="A69" s="17" t="n">
        <x:v>65</x:v>
      </x:c>
      <x:c r="B69" s="17" t="str">
        <x:v>University of Tasmania</x:v>
      </x:c>
      <x:c r="C69" s="17" t="str">
        <x:v>Australia</x:v>
      </x:c>
      <x:c r="D69" s="17" t="str">
        <x:v>THE Impact</x:v>
      </x:c>
      <x:c r="E69" s="17" t="str">
        <x:v>Master of Environmental Geospatial Science</x:v>
      </x:c>
      <x:c r="F69" s="17" t="str">
        <x:v>Direct</x:v>
      </x:c>
      <x:c r="G69" s="17" t="str">
        <x:v>Confirmed</x:v>
      </x:c>
      <x:c r="H69" s="30" t="str">
        <x:v>https://www.utas.edu.au/courses/cse/courses/p7b-master-of-environmental-geospatial-science</x:v>
      </x:c>
      <x:c r="I69" s="17" t="str">
        <x:v>2026-07-18</x:v>
      </x:c>
      <x:c r="J69" s="17" t="str">
        <x:v>Blocked by site (403)</x:v>
      </x:c>
      <x:c r="K69" s="17" t="n">
        <x:v>403</x:v>
      </x:c>
      <x:c r="L69" s="17" t="str">
        <x:v>Current official degree page.</x:v>
      </x:c>
    </x:row>
    <x:row r="70">
      <x:c r="A70" s="17" t="n">
        <x:v>66</x:v>
      </x:c>
      <x:c r="B70" s="17" t="str">
        <x:v>McMaster University</x:v>
      </x:c>
      <x:c r="C70" s="17" t="str">
        <x:v>Canada</x:v>
      </x:c>
      <x:c r="D70" s="17" t="str">
        <x:v>THE Impact</x:v>
      </x:c>
      <x:c r="E70" s="17" t="str">
        <x:v>No directly qualifying sustainability/environment master's confirmed</x:v>
      </x:c>
      <x:c r="F70" s="17" t="str">
        <x:v>Unresolved</x:v>
      </x:c>
      <x:c r="G70" s="17" t="str">
        <x:v>Manual review required</x:v>
      </x:c>
      <x:c r="H70" s="30" t="str">
        <x:v>https://continuing.mcmaster.ca/programs/business/sustainability/</x:v>
      </x:c>
      <x:c r="I70" s="17" t="str">
        <x:v>2026-07-18</x:v>
      </x:c>
      <x:c r="J70" s="17" t="str">
        <x:v>OK</x:v>
      </x:c>
      <x:c r="K70" s="17" t="n">
        <x:v>200</x:v>
      </x:c>
      <x:c r="L70" s="17" t="str">
        <x:v>The official page found is a continuing-education sustainability certificate/diploma, not a master's degree.</x:v>
      </x:c>
    </x:row>
    <x:row r="71">
      <x:c r="A71" s="17" t="n">
        <x:v>67</x:v>
      </x:c>
      <x:c r="B71" s="17" t="str">
        <x:v>Chulalongkorn University</x:v>
      </x:c>
      <x:c r="C71" s="17" t="str">
        <x:v>Thailand</x:v>
      </x:c>
      <x:c r="D71" s="17" t="str">
        <x:v>THE Impact</x:v>
      </x:c>
      <x:c r="E71" s="17" t="str">
        <x:v>MA Environment, Development and Sustainability</x:v>
      </x:c>
      <x:c r="F71" s="17" t="str">
        <x:v>Direct</x:v>
      </x:c>
      <x:c r="G71" s="17" t="str">
        <x:v>Confirmed</x:v>
      </x:c>
      <x:c r="H71" s="30" t="str">
        <x:v>https://www.eds.grad.chula.ac.th/academics/degree-program/</x:v>
      </x:c>
      <x:c r="I71" s="17" t="str">
        <x:v>2026-07-18</x:v>
      </x:c>
      <x:c r="J71" s="17" t="str">
        <x:v>Automated fetch failed</x:v>
      </x:c>
      <x:c r="K71" s="17" t="str"/>
      <x:c r="L71" s="17" t="str">
        <x:v>Current official degree page.</x:v>
      </x:c>
    </x:row>
    <x:row r="72">
      <x:c r="A72" s="17" t="n">
        <x:v>68</x:v>
      </x:c>
      <x:c r="B72" s="17" t="str">
        <x:v>Kyungpook National University (KNU)</x:v>
      </x:c>
      <x:c r="C72" s="17" t="str">
        <x:v>South Korea</x:v>
      </x:c>
      <x:c r="D72" s="17" t="str">
        <x:v>THE Impact</x:v>
      </x:c>
      <x:c r="E72" s="17" t="str">
        <x:v>Graduate major in Environmental and Energy Engineering</x:v>
      </x:c>
      <x:c r="F72" s="17" t="str">
        <x:v>Best-fit</x:v>
      </x:c>
      <x:c r="G72" s="17" t="str">
        <x:v>Confirmed</x:v>
      </x:c>
      <x:c r="H72" s="30" t="str">
        <x:v>https://en.knu.ac.kr/admission/foreign02_inc.htm</x:v>
      </x:c>
      <x:c r="I72" s="17" t="str">
        <x:v>2026-07-18</x:v>
      </x:c>
      <x:c r="J72" s="17" t="str">
        <x:v>OK</x:v>
      </x:c>
      <x:c r="K72" s="17" t="n">
        <x:v>200</x:v>
      </x:c>
      <x:c r="L72" s="17" t="str">
        <x:v>Official graduate admissions listing; dedicated English program page was not located.</x:v>
      </x:c>
    </x:row>
    <x:row r="73">
      <x:c r="A73" s="17" t="n">
        <x:v>69</x:v>
      </x:c>
      <x:c r="B73" s="17" t="str">
        <x:v>The Hong Kong University of Science and Technology</x:v>
      </x:c>
      <x:c r="C73" s="17" t="str">
        <x:v>Hong Kong</x:v>
      </x:c>
      <x:c r="D73" s="17" t="str">
        <x:v>THE Impact</x:v>
      </x:c>
      <x:c r="E73" s="17" t="str">
        <x:v>MSc in Environmental Engineering and Management</x:v>
      </x:c>
      <x:c r="F73" s="17" t="str">
        <x:v>Direct</x:v>
      </x:c>
      <x:c r="G73" s="17" t="str">
        <x:v>Confirmed</x:v>
      </x:c>
      <x:c r="H73" s="30" t="str">
        <x:v>https://cee.hkust.edu.hk/msc-environmental-engineering-and-management</x:v>
      </x:c>
      <x:c r="I73" s="17" t="str">
        <x:v>2026-07-18</x:v>
      </x:c>
      <x:c r="J73" s="17" t="str">
        <x:v>Automated fetch failed</x:v>
      </x:c>
      <x:c r="K73" s="17" t="str"/>
      <x:c r="L73" s="17" t="str">
        <x:v>Carried forward and included for URL recheck.</x:v>
      </x:c>
    </x:row>
    <x:row r="74">
      <x:c r="A74" s="17" t="n">
        <x:v>70</x:v>
      </x:c>
      <x:c r="B74" s="17" t="str">
        <x:v>Lovely Professional University</x:v>
      </x:c>
      <x:c r="C74" s="17" t="str">
        <x:v>India</x:v>
      </x:c>
      <x:c r="D74" s="17" t="str">
        <x:v>THE Impact</x:v>
      </x:c>
      <x:c r="E74" s="17" t="str">
        <x:v>MSc Environmental Sciences</x:v>
      </x:c>
      <x:c r="F74" s="17" t="str">
        <x:v>Direct</x:v>
      </x:c>
      <x:c r="G74" s="17" t="str">
        <x:v>Confirmed</x:v>
      </x:c>
      <x:c r="H74" s="30" t="str">
        <x:v>https://www.lpu.in/international/programmes/msc-environmental-sciences</x:v>
      </x:c>
      <x:c r="I74" s="17" t="str">
        <x:v>2026-07-18</x:v>
      </x:c>
      <x:c r="J74" s="17" t="str">
        <x:v>OK</x:v>
      </x:c>
      <x:c r="K74" s="17" t="n">
        <x:v>200</x:v>
      </x:c>
      <x:c r="L74" s="17" t="str">
        <x:v>Current official international-program page.</x:v>
      </x:c>
    </x:row>
    <x:row r="75">
      <x:c r="A75" s="17" t="n">
        <x:v>71</x:v>
      </x:c>
      <x:c r="B75" s="17" t="str">
        <x:v>University of Malaya</x:v>
      </x:c>
      <x:c r="C75" s="17" t="str">
        <x:v>Malaysia</x:v>
      </x:c>
      <x:c r="D75" s="17" t="str">
        <x:v>THE Impact</x:v>
      </x:c>
      <x:c r="E75" s="17" t="str">
        <x:v>Master of Sustainability Science</x:v>
      </x:c>
      <x:c r="F75" s="17" t="str">
        <x:v>Direct</x:v>
      </x:c>
      <x:c r="G75" s="17" t="str">
        <x:v>Confirmed</x:v>
      </x:c>
      <x:c r="H75" s="30" t="str">
        <x:v>https://sts.um.edu.my/master-of-sustainability-science.html</x:v>
      </x:c>
      <x:c r="I75" s="17" t="str">
        <x:v>2026-07-18</x:v>
      </x:c>
      <x:c r="J75" s="17" t="str">
        <x:v>OK</x:v>
      </x:c>
      <x:c r="K75" s="17" t="n">
        <x:v>200</x:v>
      </x:c>
      <x:c r="L75" s="17" t="str">
        <x:v>Current official degree page.</x:v>
      </x:c>
    </x:row>
    <x:row r="76">
      <x:c r="A76" s="17" t="n">
        <x:v>72</x:v>
      </x:c>
      <x:c r="B76" s="17" t="str">
        <x:v>Aalborg University</x:v>
      </x:c>
      <x:c r="C76" s="17" t="str">
        <x:v>Denmark</x:v>
      </x:c>
      <x:c r="D76" s="17" t="str">
        <x:v>THE Impact</x:v>
      </x:c>
      <x:c r="E76" s="17" t="str">
        <x:v>MSc Engineering in Sustainable Cities</x:v>
      </x:c>
      <x:c r="F76" s="17" t="str">
        <x:v>Direct</x:v>
      </x:c>
      <x:c r="G76" s="17" t="str">
        <x:v>Confirmed</x:v>
      </x:c>
      <x:c r="H76" s="30" t="str">
        <x:v>https://www.en.aau.dk/education/master/sustainable-cities</x:v>
      </x:c>
      <x:c r="I76" s="17" t="str">
        <x:v>2026-07-18</x:v>
      </x:c>
      <x:c r="J76" s="17" t="str">
        <x:v>OK</x:v>
      </x:c>
      <x:c r="K76" s="17" t="n">
        <x:v>200</x:v>
      </x:c>
      <x:c r="L76" s="17" t="str">
        <x:v>Current official degree page.</x:v>
      </x:c>
    </x:row>
    <x:row r="77">
      <x:c r="A77" s="17" t="n">
        <x:v>73</x:v>
      </x:c>
      <x:c r="B77" s="17" t="str">
        <x:v>Kyung Hee University</x:v>
      </x:c>
      <x:c r="C77" s="17" t="str">
        <x:v>South Korea</x:v>
      </x:c>
      <x:c r="D77" s="17" t="str">
        <x:v>THE Impact</x:v>
      </x:c>
      <x:c r="E77" s="17" t="str">
        <x:v>Graduate pathway in Environmental Science and Engineering</x:v>
      </x:c>
      <x:c r="F77" s="17" t="str">
        <x:v>Best-fit</x:v>
      </x:c>
      <x:c r="G77" s="17" t="str">
        <x:v>Confirmed</x:v>
      </x:c>
      <x:c r="H77" s="30" t="str">
        <x:v>https://eng.khu.ac.kr/eng_eng/user/contents/view.do?menuNo=17200012</x:v>
      </x:c>
      <x:c r="I77" s="17" t="str">
        <x:v>2026-07-18</x:v>
      </x:c>
      <x:c r="J77" s="17" t="str">
        <x:v>OK</x:v>
      </x:c>
      <x:c r="K77" s="17" t="n">
        <x:v>200</x:v>
      </x:c>
      <x:c r="L77" s="17" t="str">
        <x:v>Official department page; not a standalone sustainability master's page.</x:v>
      </x:c>
    </x:row>
    <x:row r="78">
      <x:c r="A78" s="17" t="n">
        <x:v>74</x:v>
      </x:c>
      <x:c r="B78" s="17" t="str">
        <x:v>University of Victoria</x:v>
      </x:c>
      <x:c r="C78" s="17" t="str">
        <x:v>Canada</x:v>
      </x:c>
      <x:c r="D78" s="17" t="str">
        <x:v>THE Impact</x:v>
      </x:c>
      <x:c r="E78" s="17" t="str">
        <x:v>MA/MSc Environmental Studies</x:v>
      </x:c>
      <x:c r="F78" s="17" t="str">
        <x:v>Research</x:v>
      </x:c>
      <x:c r="G78" s="17" t="str">
        <x:v>Confirmed</x:v>
      </x:c>
      <x:c r="H78" s="30" t="str">
        <x:v>https://www.uvic.ca/socialsciences/environmental/programs/graduate/index.php</x:v>
      </x:c>
      <x:c r="I78" s="17" t="str">
        <x:v>2026-07-18</x:v>
      </x:c>
      <x:c r="J78" s="17" t="str">
        <x:v>OK</x:v>
      </x:c>
      <x:c r="K78" s="17" t="n">
        <x:v>200</x:v>
      </x:c>
      <x:c r="L78" s="17" t="str">
        <x:v>Official research-master's page.</x:v>
      </x:c>
    </x:row>
    <x:row r="79">
      <x:c r="A79" s="17" t="n">
        <x:v>75</x:v>
      </x:c>
      <x:c r="B79" s="17" t="str">
        <x:v>Al-Ahliyya Amman University</x:v>
      </x:c>
      <x:c r="C79" s="17" t="str">
        <x:v>Jordan</x:v>
      </x:c>
      <x:c r="D79" s="17" t="str">
        <x:v>THE Impact</x:v>
      </x:c>
      <x:c r="E79" s="17" t="str">
        <x:v>No directly qualifying sustainability/environment master's confirmed</x:v>
      </x:c>
      <x:c r="F79" s="17" t="str">
        <x:v>Unresolved</x:v>
      </x:c>
      <x:c r="G79" s="17" t="str">
        <x:v>Manual review required</x:v>
      </x:c>
      <x:c r="H79" s="30" t="str">
        <x:v>https://www.ammanu.edu.jo/sdo/sdg-focused-courses-1742/</x:v>
      </x:c>
      <x:c r="I79" s="17" t="str">
        <x:v>2026-07-18</x:v>
      </x:c>
      <x:c r="J79" s="17" t="str">
        <x:v>OK</x:v>
      </x:c>
      <x:c r="K79" s="17" t="n">
        <x:v>200</x:v>
      </x:c>
      <x:c r="L79" s="17" t="str">
        <x:v>Official sustainability education page did not confirm a current qualifying master's program.</x:v>
      </x:c>
    </x:row>
    <x:row r="80">
      <x:c r="A80" s="17" t="n">
        <x:v>76</x:v>
      </x:c>
      <x:c r="B80" s="17" t="str">
        <x:v>Central Queensland University</x:v>
      </x:c>
      <x:c r="C80" s="17" t="str">
        <x:v>Australia</x:v>
      </x:c>
      <x:c r="D80" s="17" t="str">
        <x:v>THE Impact</x:v>
      </x:c>
      <x:c r="E80" s="17" t="str">
        <x:v>Master of Sustainable Development</x:v>
      </x:c>
      <x:c r="F80" s="17" t="str">
        <x:v>Direct</x:v>
      </x:c>
      <x:c r="G80" s="17" t="str">
        <x:v>Confirmed</x:v>
      </x:c>
      <x:c r="H80" s="30" t="str">
        <x:v>https://handbook.cqu.edu.au/he/courses/view/CM82/HT1/2025</x:v>
      </x:c>
      <x:c r="I80" s="17" t="str">
        <x:v>2026-07-18</x:v>
      </x:c>
      <x:c r="J80" s="17" t="str">
        <x:v>OK</x:v>
      </x:c>
      <x:c r="K80" s="17" t="n">
        <x:v>200</x:v>
      </x:c>
      <x:c r="L80" s="17" t="str">
        <x:v>Official handbook page; the page shows current course information and 2026 fees.</x:v>
      </x:c>
    </x:row>
    <x:row r="81">
      <x:c r="A81" s="17" t="n">
        <x:v>77</x:v>
      </x:c>
      <x:c r="B81" s="17" t="str">
        <x:v>University of Newcastle</x:v>
      </x:c>
      <x:c r="C81" s="17" t="str">
        <x:v>Australia</x:v>
      </x:c>
      <x:c r="D81" s="17" t="str">
        <x:v>THE Impact</x:v>
      </x:c>
      <x:c r="E81" s="17" t="str">
        <x:v>Master of Environmental Management and Sustainability</x:v>
      </x:c>
      <x:c r="F81" s="17" t="str">
        <x:v>Direct</x:v>
      </x:c>
      <x:c r="G81" s="17" t="str">
        <x:v>Confirmed</x:v>
      </x:c>
      <x:c r="H81" s="30" t="str">
        <x:v>https://www.newcastle.edu.au/degrees/master-environmental-management-sustainability</x:v>
      </x:c>
      <x:c r="I81" s="17" t="str">
        <x:v>2026-07-18</x:v>
      </x:c>
      <x:c r="J81" s="17" t="str">
        <x:v>Blocked by site (403)</x:v>
      </x:c>
      <x:c r="K81" s="17" t="n">
        <x:v>403</x:v>
      </x:c>
      <x:c r="L81" s="17" t="str">
        <x:v>Current official degree page.</x:v>
      </x:c>
    </x:row>
    <x:row r="82">
      <x:c r="A82" s="17" t="n">
        <x:v>78</x:v>
      </x:c>
      <x:c r="B82" s="17" t="str">
        <x:v>Northumbria University</x:v>
      </x:c>
      <x:c r="C82" s="17" t="str">
        <x:v>United Kingdom</x:v>
      </x:c>
      <x:c r="D82" s="17" t="str">
        <x:v>THE Impact</x:v>
      </x:c>
      <x:c r="E82" s="17" t="str">
        <x:v>MSc Disaster Management and Sustainable Development</x:v>
      </x:c>
      <x:c r="F82" s="17" t="str">
        <x:v>Direct</x:v>
      </x:c>
      <x:c r="G82" s="17" t="str">
        <x:v>Confirmed</x:v>
      </x:c>
      <x:c r="H82" s="30" t="str">
        <x:v>https://www.northumbria.ac.uk/study-at-northumbria/courses/disaster-management-and-sustainable-development-with-advanced-practice-msc-ft-dtsdds6/</x:v>
      </x:c>
      <x:c r="I82" s="17" t="str">
        <x:v>2026-07-18</x:v>
      </x:c>
      <x:c r="J82" s="17" t="str">
        <x:v>OK</x:v>
      </x:c>
      <x:c r="K82" s="17" t="n">
        <x:v>200</x:v>
      </x:c>
      <x:c r="L82" s="17" t="str">
        <x:v>Current official 2026 program page.</x:v>
      </x:c>
    </x:row>
    <x:row r="83">
      <x:c r="A83" s="17" t="n">
        <x:v>79</x:v>
      </x:c>
      <x:c r="B83" s="17" t="str">
        <x:v>University of Indonesia</x:v>
      </x:c>
      <x:c r="C83" s="17" t="str">
        <x:v>Indonesia</x:v>
      </x:c>
      <x:c r="D83" s="17" t="str">
        <x:v>THE Impact</x:v>
      </x:c>
      <x:c r="E83" s="17" t="str">
        <x:v>Master of Environmental Science</x:v>
      </x:c>
      <x:c r="F83" s="17" t="str">
        <x:v>Direct</x:v>
      </x:c>
      <x:c r="G83" s="17" t="str">
        <x:v>Confirmed</x:v>
      </x:c>
      <x:c r="H83" s="30" t="str">
        <x:v>https://sil.ui.ac.id/en/master-of-environmental-science/</x:v>
      </x:c>
      <x:c r="I83" s="17" t="str">
        <x:v>2026-07-18</x:v>
      </x:c>
      <x:c r="J83" s="17" t="str">
        <x:v>OK</x:v>
      </x:c>
      <x:c r="K83" s="17" t="n">
        <x:v>200</x:v>
      </x:c>
      <x:c r="L83" s="17" t="str">
        <x:v>Current official degree page.</x:v>
      </x:c>
    </x:row>
    <x:row r="84">
      <x:c r="A84" s="17" t="n">
        <x:v>80</x:v>
      </x:c>
      <x:c r="B84" s="17" t="str">
        <x:v>An-Najah National University</x:v>
      </x:c>
      <x:c r="C84" s="17" t="str">
        <x:v>Palestine</x:v>
      </x:c>
      <x:c r="D84" s="17" t="str">
        <x:v>THE Impact</x:v>
      </x:c>
      <x:c r="E84" s="17" t="str">
        <x:v>MSc Environmental Sciences</x:v>
      </x:c>
      <x:c r="F84" s="17" t="str">
        <x:v>Direct</x:v>
      </x:c>
      <x:c r="G84" s="17" t="str">
        <x:v>Confirmed</x:v>
      </x:c>
      <x:c r="H84" s="30" t="str">
        <x:v>https://www.najah.edu/en/academic/postgraduate-programs/program/environmental-sciences/info-card/</x:v>
      </x:c>
      <x:c r="I84" s="17" t="str">
        <x:v>2026-07-18</x:v>
      </x:c>
      <x:c r="J84" s="17" t="str">
        <x:v>OK</x:v>
      </x:c>
      <x:c r="K84" s="17" t="n">
        <x:v>200</x:v>
      </x:c>
      <x:c r="L84" s="17" t="str">
        <x:v>Current official degree page.</x:v>
      </x:c>
    </x:row>
    <x:row r="85">
      <x:c r="A85" s="17" t="n">
        <x:v>81</x:v>
      </x:c>
      <x:c r="B85" s="17" t="str">
        <x:v>Arizona State University (Tempe)</x:v>
      </x:c>
      <x:c r="C85" s="17" t="str">
        <x:v>United States</x:v>
      </x:c>
      <x:c r="D85" s="17" t="str">
        <x:v>THE Impact</x:v>
      </x:c>
      <x:c r="E85" s="17" t="str">
        <x:v>Master of Sustainability Solutions</x:v>
      </x:c>
      <x:c r="F85" s="17" t="str">
        <x:v>Direct</x:v>
      </x:c>
      <x:c r="G85" s="17" t="str">
        <x:v>Confirmed</x:v>
      </x:c>
      <x:c r="H85" s="30" t="str">
        <x:v>https://degrees.apps.asu.edu/masters-phd/major/ASU00/SUSUSOMSUS/sustainability-solutions-msus?init=false&amp;nopassive=true</x:v>
      </x:c>
      <x:c r="I85" s="17" t="str">
        <x:v>2026-07-18</x:v>
      </x:c>
      <x:c r="J85" s="17" t="str">
        <x:v>OK</x:v>
      </x:c>
      <x:c r="K85" s="17" t="n">
        <x:v>200</x:v>
      </x:c>
      <x:c r="L85" s="17" t="str">
        <x:v>Official degree-search page for the Tempe program.</x:v>
      </x:c>
    </x:row>
    <x:row r="86">
      <x:c r="A86" s="17" t="n">
        <x:v>82</x:v>
      </x:c>
      <x:c r="B86" s="17" t="str">
        <x:v>King Faisal University</x:v>
      </x:c>
      <x:c r="C86" s="17" t="str">
        <x:v>Saudi Arabia</x:v>
      </x:c>
      <x:c r="D86" s="17" t="str">
        <x:v>THE Impact</x:v>
      </x:c>
      <x:c r="E86" s="17" t="str">
        <x:v>MSc Agricultural Systems Engineering - Environmental Systems discipline</x:v>
      </x:c>
      <x:c r="F86" s="17" t="str">
        <x:v>Specialization</x:v>
      </x:c>
      <x:c r="G86" s="17" t="str">
        <x:v>Confirmed</x:v>
      </x:c>
      <x:c r="H86" s="30" t="str">
        <x:v>https://www.kfu.edu.sa/ar/Deans/HigherStudies/Documents/custompages/studyplans/MSc_Agriculture_Engineering_Information.pdf</x:v>
      </x:c>
      <x:c r="I86" s="17" t="str">
        <x:v>2026-07-18</x:v>
      </x:c>
      <x:c r="J86" s="17" t="str">
        <x:v>Automated fetch failed</x:v>
      </x:c>
      <x:c r="K86" s="17" t="str"/>
      <x:c r="L86" s="17" t="str">
        <x:v>Official study plan; sustainability/environment is a discipline within a broader engineering master's.</x:v>
      </x:c>
    </x:row>
    <x:row r="87">
      <x:c r="A87" s="17" t="n">
        <x:v>83</x:v>
      </x:c>
      <x:c r="B87" s="17" t="str">
        <x:v>Flinders University</x:v>
      </x:c>
      <x:c r="C87" s="17" t="str">
        <x:v>Australia</x:v>
      </x:c>
      <x:c r="D87" s="17" t="str">
        <x:v>THE Impact</x:v>
      </x:c>
      <x:c r="E87" s="17" t="str">
        <x:v>Master of Environmental Management and Sustainability</x:v>
      </x:c>
      <x:c r="F87" s="17" t="str">
        <x:v>Direct</x:v>
      </x:c>
      <x:c r="G87" s="17" t="str">
        <x:v>Confirmed</x:v>
      </x:c>
      <x:c r="H87" s="30" t="str">
        <x:v>https://www.flinders.edu.au/study/courses/postgraduate-environmental-management-sustainability</x:v>
      </x:c>
      <x:c r="I87" s="17" t="str">
        <x:v>2026-07-18</x:v>
      </x:c>
      <x:c r="J87" s="17" t="str">
        <x:v>OK</x:v>
      </x:c>
      <x:c r="K87" s="17" t="n">
        <x:v>200</x:v>
      </x:c>
      <x:c r="L87" s="17" t="str">
        <x:v>Current official degree page.</x:v>
      </x:c>
    </x:row>
    <x:row r="88">
      <x:c r="A88" s="17" t="n">
        <x:v>84</x:v>
      </x:c>
      <x:c r="B88" s="17" t="str">
        <x:v>Amrita Vishwa Vidyapeetham</x:v>
      </x:c>
      <x:c r="C88" s="17" t="str">
        <x:v>India</x:v>
      </x:c>
      <x:c r="D88" s="17" t="str">
        <x:v>THE Impact</x:v>
      </x:c>
      <x:c r="E88" s="17" t="str">
        <x:v>No standalone sustainability/environment master's confirmed</x:v>
      </x:c>
      <x:c r="F88" s="17" t="str">
        <x:v>Unresolved</x:v>
      </x:c>
      <x:c r="G88" s="17" t="str">
        <x:v>Manual review required</x:v>
      </x:c>
      <x:c r="H88" s="30" t="str">
        <x:v>https://www.amrita.edu/course/environmental-science-and-sustainability-6/</x:v>
      </x:c>
      <x:c r="I88" s="17" t="str">
        <x:v>2026-07-18</x:v>
      </x:c>
      <x:c r="J88" s="17" t="str">
        <x:v>OK</x:v>
      </x:c>
      <x:c r="K88" s="17" t="n">
        <x:v>200</x:v>
      </x:c>
      <x:c r="L88" s="17" t="str">
        <x:v>The official page found is a course within other programs, not a standalone master's degree.</x:v>
      </x:c>
    </x:row>
    <x:row r="89">
      <x:c r="A89" s="17" t="n">
        <x:v>85</x:v>
      </x:c>
      <x:c r="B89" s="17" t="str">
        <x:v>Queen's University Belfast</x:v>
      </x:c>
      <x:c r="C89" s="17" t="str">
        <x:v>United Kingdom</x:v>
      </x:c>
      <x:c r="D89" s="17" t="str">
        <x:v>THE Impact</x:v>
      </x:c>
      <x:c r="E89" s="17" t="str">
        <x:v>MSc Leadership for Sustainable Development</x:v>
      </x:c>
      <x:c r="F89" s="17" t="str">
        <x:v>Direct</x:v>
      </x:c>
      <x:c r="G89" s="17" t="str">
        <x:v>Confirmed</x:v>
      </x:c>
      <x:c r="H89" s="30" t="str">
        <x:v>https://www.qub.ac.uk/courses/postgraduate-taught/leadership-sustainable-development-msc/</x:v>
      </x:c>
      <x:c r="I89" s="17" t="str">
        <x:v>2026-07-18</x:v>
      </x:c>
      <x:c r="J89" s="17" t="str">
        <x:v>OK</x:v>
      </x:c>
      <x:c r="K89" s="17" t="n">
        <x:v>200</x:v>
      </x:c>
      <x:c r="L89" s="17" t="str">
        <x:v>Current official degree page.</x:v>
      </x:c>
    </x:row>
    <x:row r="90">
      <x:c r="A90" s="17" t="n">
        <x:v>86</x:v>
      </x:c>
      <x:c r="B90" s="17" t="str">
        <x:v>Near East University</x:v>
      </x:c>
      <x:c r="C90" s="17" t="str">
        <x:v>Northern Cyprus</x:v>
      </x:c>
      <x:c r="D90" s="17" t="str">
        <x:v>THE Impact</x:v>
      </x:c>
      <x:c r="E90" s="17" t="str">
        <x:v>Master's in Environmental Education</x:v>
      </x:c>
      <x:c r="F90" s="17" t="str">
        <x:v>Best-fit</x:v>
      </x:c>
      <x:c r="G90" s="17" t="str">
        <x:v>Confirmed</x:v>
      </x:c>
      <x:c r="H90" s="30" t="str">
        <x:v>https://sustainability.neu.edu.tr/education/sustainability-programmes/</x:v>
      </x:c>
      <x:c r="I90" s="17" t="str">
        <x:v>2026-07-18</x:v>
      </x:c>
      <x:c r="J90" s="17" t="str">
        <x:v>Blocked by site (403)</x:v>
      </x:c>
      <x:c r="K90" s="17" t="n">
        <x:v>403</x:v>
      </x:c>
      <x:c r="L90" s="17" t="str">
        <x:v>Official sustainability-program listing; verify language and current admissions manually.</x:v>
      </x:c>
    </x:row>
    <x:row r="91">
      <x:c r="A91" s="17" t="n">
        <x:v>87</x:v>
      </x:c>
      <x:c r="B91" s="17" t="str">
        <x:v>University of Johannesburg</x:v>
      </x:c>
      <x:c r="C91" s="17" t="str">
        <x:v>South Africa</x:v>
      </x:c>
      <x:c r="D91" s="17" t="str">
        <x:v>THE Impact</x:v>
      </x:c>
      <x:c r="E91" s="17" t="str">
        <x:v>Master's in Sustainability Management</x:v>
      </x:c>
      <x:c r="F91" s="17" t="str">
        <x:v>Direct</x:v>
      </x:c>
      <x:c r="G91" s="17" t="str">
        <x:v>Confirmed</x:v>
      </x:c>
      <x:c r="H91" s="30" t="str">
        <x:v>https://www.uj.ac.za/university-courses/masters-in-sustainability-management/</x:v>
      </x:c>
      <x:c r="I91" s="17" t="str">
        <x:v>2026-07-18</x:v>
      </x:c>
      <x:c r="J91" s="17" t="str">
        <x:v>Blocked by site (403)</x:v>
      </x:c>
      <x:c r="K91" s="17" t="n">
        <x:v>403</x:v>
      </x:c>
      <x:c r="L91" s="17" t="str">
        <x:v>Official 2026 program page.</x:v>
      </x:c>
    </x:row>
    <x:row r="92">
      <x:c r="A92" s="17" t="n">
        <x:v>88</x:v>
      </x:c>
      <x:c r="B92" s="17" t="str">
        <x:v>Universitas Gadjah Mada</x:v>
      </x:c>
      <x:c r="C92" s="17" t="str">
        <x:v>Indonesia</x:v>
      </x:c>
      <x:c r="D92" s="17" t="str">
        <x:v>THE Impact</x:v>
      </x:c>
      <x:c r="E92" s="17" t="str">
        <x:v>Master in Environmental Science</x:v>
      </x:c>
      <x:c r="F92" s="17" t="str">
        <x:v>Direct</x:v>
      </x:c>
      <x:c r="G92" s="17" t="str">
        <x:v>Confirmed</x:v>
      </x:c>
      <x:c r="H92" s="30" t="str">
        <x:v>https://admissions.ugm.ac.id/v26/program-studi/magister-ilmu-lingkungan-master-in-environmental-science/</x:v>
      </x:c>
      <x:c r="I92" s="17" t="str">
        <x:v>2026-07-18</x:v>
      </x:c>
      <x:c r="J92" s="17" t="str">
        <x:v>OK</x:v>
      </x:c>
      <x:c r="K92" s="17" t="n">
        <x:v>200</x:v>
      </x:c>
      <x:c r="L92" s="17" t="str">
        <x:v>Current official admissions page.</x:v>
      </x:c>
    </x:row>
    <x:row r="93">
      <x:c r="A93" s="17" t="n">
        <x:v>89</x:v>
      </x:c>
      <x:c r="B93" s="17" t="str">
        <x:v>University of Wollongong</x:v>
      </x:c>
      <x:c r="C93" s="17" t="str">
        <x:v>Australia</x:v>
      </x:c>
      <x:c r="D93" s="17" t="str">
        <x:v>THE Impact</x:v>
      </x:c>
      <x:c r="E93" s="17" t="str">
        <x:v>Master of Earth and Environmental Sciences</x:v>
      </x:c>
      <x:c r="F93" s="17" t="str">
        <x:v>Direct</x:v>
      </x:c>
      <x:c r="G93" s="17" t="str">
        <x:v>Confirmed</x:v>
      </x:c>
      <x:c r="H93" s="30" t="str">
        <x:v>https://www.uow.edu.au/study/courses/master-of-earth-and-environmental-sciences/</x:v>
      </x:c>
      <x:c r="I93" s="17" t="str">
        <x:v>2026-07-18</x:v>
      </x:c>
      <x:c r="J93" s="17" t="str">
        <x:v>OK</x:v>
      </x:c>
      <x:c r="K93" s="17" t="n">
        <x:v>200</x:v>
      </x:c>
      <x:c r="L93" s="17" t="str">
        <x:v>Current official degree page.</x:v>
      </x:c>
    </x:row>
    <x:row r="94">
      <x:c r="A94" s="17" t="n">
        <x:v>90</x:v>
      </x:c>
      <x:c r="B94" s="17" t="str">
        <x:v>Yonsei University (Seoul campus)</x:v>
      </x:c>
      <x:c r="C94" s="17" t="str">
        <x:v>South Korea</x:v>
      </x:c>
      <x:c r="D94" s="17" t="str">
        <x:v>THE Impact</x:v>
      </x:c>
      <x:c r="E94" s="17" t="str">
        <x:v>Master of Global Civic Studies - Global Citizenship and Sustainable Development</x:v>
      </x:c>
      <x:c r="F94" s="17" t="str">
        <x:v>Major</x:v>
      </x:c>
      <x:c r="G94" s="17" t="str">
        <x:v>Confirmed</x:v>
      </x:c>
      <x:c r="H94" s="30" t="str">
        <x:v>https://lawschool.yonsei.ac.kr/gsis/intro/status.do</x:v>
      </x:c>
      <x:c r="I94" s="17" t="str">
        <x:v>2026-07-18</x:v>
      </x:c>
      <x:c r="J94" s="17" t="str">
        <x:v>OK</x:v>
      </x:c>
      <x:c r="K94" s="17" t="n">
        <x:v>200</x:v>
      </x:c>
      <x:c r="L94" s="17" t="str">
        <x:v>Current GSIS degree/major is Global Citizenship and Sustainable Development; the previous program name and URL were retired.</x:v>
      </x:c>
    </x:row>
    <x:row r="95">
      <x:c r="A95" s="17" t="n">
        <x:v>91</x:v>
      </x:c>
      <x:c r="B95" s="17" t="str">
        <x:v>Sunway University</x:v>
      </x:c>
      <x:c r="C95" s="17" t="str">
        <x:v>Malaysia</x:v>
      </x:c>
      <x:c r="D95" s="17" t="str">
        <x:v>THE Impact</x:v>
      </x:c>
      <x:c r="E95" s="17" t="str">
        <x:v>Master in Sustainable Development Management</x:v>
      </x:c>
      <x:c r="F95" s="17" t="str">
        <x:v>Direct</x:v>
      </x:c>
      <x:c r="G95" s="17" t="str">
        <x:v>Confirmed</x:v>
      </x:c>
      <x:c r="H95" s="30" t="str">
        <x:v>https://sunwayuniversity.edu.my/jsc/courses/master-sustainable-development-management-0</x:v>
      </x:c>
      <x:c r="I95" s="17" t="str">
        <x:v>2026-07-18</x:v>
      </x:c>
      <x:c r="J95" s="17" t="str">
        <x:v>OK</x:v>
      </x:c>
      <x:c r="K95" s="17" t="n">
        <x:v>200</x:v>
      </x:c>
      <x:c r="L95" s="17" t="str">
        <x:v>Current official degree page.</x:v>
      </x:c>
    </x:row>
    <x:row r="96">
      <x:c r="A96" s="17" t="n">
        <x:v>92</x:v>
      </x:c>
      <x:c r="B96" s="17" t="str">
        <x:v>Thammasat University</x:v>
      </x:c>
      <x:c r="C96" s="17" t="str">
        <x:v>Thailand</x:v>
      </x:c>
      <x:c r="D96" s="17" t="str">
        <x:v>THE Impact</x:v>
      </x:c>
      <x:c r="E96" s="17" t="str">
        <x:v>MA Social Innovation and Sustainability</x:v>
      </x:c>
      <x:c r="F96" s="17" t="str">
        <x:v>Direct</x:v>
      </x:c>
      <x:c r="G96" s="17" t="str">
        <x:v>Confirmed</x:v>
      </x:c>
      <x:c r="H96" s="30" t="str">
        <x:v>https://sgs.tu.ac.th/ma-program/</x:v>
      </x:c>
      <x:c r="I96" s="17" t="str">
        <x:v>2026-07-18</x:v>
      </x:c>
      <x:c r="J96" s="17" t="str">
        <x:v>OK</x:v>
      </x:c>
      <x:c r="K96" s="17" t="n">
        <x:v>200</x:v>
      </x:c>
      <x:c r="L96" s="17" t="str">
        <x:v>Current official degree page and 2026 curriculum.</x:v>
      </x:c>
    </x:row>
    <x:row r="97">
      <x:c r="A97" s="17" t="n">
        <x:v>93</x:v>
      </x:c>
      <x:c r="B97" s="17" t="str">
        <x:v>Walailak University</x:v>
      </x:c>
      <x:c r="C97" s="17" t="str">
        <x:v>Thailand</x:v>
      </x:c>
      <x:c r="D97" s="17" t="str">
        <x:v>THE Impact</x:v>
      </x:c>
      <x:c r="E97" s="17" t="str">
        <x:v>MSc Environmental, Safety Technology and Health</x:v>
      </x:c>
      <x:c r="F97" s="17" t="str">
        <x:v>Best-fit</x:v>
      </x:c>
      <x:c r="G97" s="17" t="str">
        <x:v>Confirmed</x:v>
      </x:c>
      <x:c r="H97" s="30" t="str">
        <x:v>https://www.wu.ac.th/en/news/21010/School-College</x:v>
      </x:c>
      <x:c r="I97" s="17" t="str">
        <x:v>2026-07-18</x:v>
      </x:c>
      <x:c r="J97" s="17" t="str">
        <x:v>OK</x:v>
      </x:c>
      <x:c r="K97" s="17" t="n">
        <x:v>200</x:v>
      </x:c>
      <x:c r="L97" s="17" t="str">
        <x:v>Official university listing for the international master's; a dedicated current program page was not located.</x:v>
      </x:c>
    </x:row>
    <x:row r="98">
      <x:c r="A98" s="17" t="n">
        <x:v>94</x:v>
      </x:c>
      <x:c r="B98" s="17" t="str">
        <x:v>King Abdullah University of Science and Technology (KAUST)</x:v>
      </x:c>
      <x:c r="C98" s="17" t="str">
        <x:v>Saudi Arabia</x:v>
      </x:c>
      <x:c r="D98" s="17" t="str">
        <x:v>THE Impact</x:v>
      </x:c>
      <x:c r="E98" s="17" t="str">
        <x:v>MS Environmental Science and Engineering</x:v>
      </x:c>
      <x:c r="F98" s="17" t="str">
        <x:v>Direct</x:v>
      </x:c>
      <x:c r="G98" s="17" t="str">
        <x:v>Confirmed</x:v>
      </x:c>
      <x:c r="H98" s="30" t="str">
        <x:v>https://bese.kaust.edu.sa/study/academic-programs/ense</x:v>
      </x:c>
      <x:c r="I98" s="17" t="str">
        <x:v>2026-07-18</x:v>
      </x:c>
      <x:c r="J98" s="17" t="str">
        <x:v>OK</x:v>
      </x:c>
      <x:c r="K98" s="17" t="n">
        <x:v>200</x:v>
      </x:c>
      <x:c r="L98" s="17" t="str">
        <x:v>Current official degree page.</x:v>
      </x:c>
    </x:row>
    <x:row r="99">
      <x:c r="A99" s="17" t="n">
        <x:v>95</x:v>
      </x:c>
      <x:c r="B99" s="17" t="str">
        <x:v>Chiang Mai University</x:v>
      </x:c>
      <x:c r="C99" s="17" t="str">
        <x:v>Thailand</x:v>
      </x:c>
      <x:c r="D99" s="17" t="str">
        <x:v>THE Impact</x:v>
      </x:c>
      <x:c r="E99" s="17" t="str">
        <x:v>MSc Environmental Science</x:v>
      </x:c>
      <x:c r="F99" s="17" t="str">
        <x:v>Direct</x:v>
      </x:c>
      <x:c r="G99" s="17" t="str">
        <x:v>Confirmed</x:v>
      </x:c>
      <x:c r="H99" s="30" t="str">
        <x:v>https://www.science.cmu.ac.th/english/master.php</x:v>
      </x:c>
      <x:c r="I99" s="17" t="str">
        <x:v>2026-07-18</x:v>
      </x:c>
      <x:c r="J99" s="17" t="str">
        <x:v>OK</x:v>
      </x:c>
      <x:c r="K99" s="17" t="n">
        <x:v>200</x:v>
      </x:c>
      <x:c r="L99" s="17" t="str">
        <x:v>Official Faculty of Science master's-program listing.</x:v>
      </x:c>
    </x:row>
    <x:row r="100">
      <x:c r="A100" s="17" t="n">
        <x:v>96</x:v>
      </x:c>
      <x:c r="B100" s="17" t="str">
        <x:v>Jeonbuk National University</x:v>
      </x:c>
      <x:c r="C100" s="17" t="str">
        <x:v>South Korea</x:v>
      </x:c>
      <x:c r="D100" s="17" t="str">
        <x:v>THE Impact</x:v>
      </x:c>
      <x:c r="E100" s="17" t="str">
        <x:v>Master of Engineering in Environmental Engineering</x:v>
      </x:c>
      <x:c r="F100" s="17" t="str">
        <x:v>Direct</x:v>
      </x:c>
      <x:c r="G100" s="17" t="str">
        <x:v>Confirmed</x:v>
      </x:c>
      <x:c r="H100" s="30" t="str">
        <x:v>https://gse.jbnu.ac.kr/gse/1394/subview.do</x:v>
      </x:c>
      <x:c r="I100" s="17" t="str">
        <x:v>2026-07-18</x:v>
      </x:c>
      <x:c r="J100" s="17" t="str">
        <x:v>OK</x:v>
      </x:c>
      <x:c r="K100" s="17" t="n">
        <x:v>200</x:v>
      </x:c>
      <x:c r="L100" s="17" t="str">
        <x:v>Official graduate program page.</x:v>
      </x:c>
    </x:row>
    <x:row r="101">
      <x:c r="A101" s="17" t="n">
        <x:v>97</x:v>
      </x:c>
      <x:c r="B101" s="17" t="str">
        <x:v>National Yang Ming Chiao Tung University (NYCU Taiwan)</x:v>
      </x:c>
      <x:c r="C101" s="17" t="str">
        <x:v>Taiwan</x:v>
      </x:c>
      <x:c r="D101" s="17" t="str">
        <x:v>THE Impact</x:v>
      </x:c>
      <x:c r="E101" s="17" t="str">
        <x:v>Master Program in Environmental Engineering</x:v>
      </x:c>
      <x:c r="F101" s="17" t="str">
        <x:v>Best-fit</x:v>
      </x:c>
      <x:c r="G101" s="17" t="str">
        <x:v>Confirmed</x:v>
      </x:c>
      <x:c r="H101" s="30" t="str">
        <x:v>https://sdgs.nycu.edu.tw/archives/27449/</x:v>
      </x:c>
      <x:c r="I101" s="17" t="str">
        <x:v>2026-07-18</x:v>
      </x:c>
      <x:c r="J101" s="17" t="str">
        <x:v>OK</x:v>
      </x:c>
      <x:c r="K101" s="17" t="n">
        <x:v>200</x:v>
      </x:c>
      <x:c r="L101" s="17" t="str">
        <x:v>Official NYCU SDG evidence page links the master's program; dedicated English program page was not located.</x:v>
      </x:c>
    </x:row>
  </x:sheetData>
  <x:mergeCells>
    <x:mergeCell ref="A1:L1"/>
    <x:mergeCell ref="A2:L2"/>
  </x:mergeCells>
  <x:conditionalFormatting sqref="G5:G101">
    <x:cfRule type="containsText" dxfId="1" priority="1" operator="containsText" text="Manual review"/>
  </x:conditionalFormatting>
  <x:conditionalFormatting sqref="J5:J101">
    <x:cfRule type="containsText" dxfId="2" priority="2" operator="containsText" text="OK"/>
    <x:cfRule type="containsText" dxfId="3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eef6f2a8392342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36" hidden="0" customWidth="1"/>
    <x:col min="4" max="4" width="27" hidden="0" customWidth="1"/>
    <x:col min="5" max="5" width="18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1" hidden="0" customWidth="1"/>
    <x:col min="11" max="11" width="16" hidden="0" customWidth="1"/>
    <x:col min="12" max="12" width="16" hidden="0" customWidth="1"/>
    <x:col min="13" max="13" width="21" hidden="0" customWidth="1"/>
    <x:col min="14" max="14" width="15" hidden="0" customWidth="1"/>
    <x:col min="15" max="15" width="48" hidden="0" customWidth="1"/>
  </x:cols>
  <x:sheetData>
    <x:row r="1" ht="28" customHeight="1">
      <x:c r="A1" s="3" t="str">
        <x:v>QS Sustainability Rankings 2026 - Rank &lt;= 50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6" customHeight="1">
      <x:c r="A2" s="7" t="str">
        <x:v>Core rank and overall score are complete for 51 records (rank 50 is tied). Optional component columns contain only fields exposed in the rendered official cards; blanks were not imputed.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6" customHeight="1">
      <x:c r="A4" s="13" t="str">
        <x:v>Rank</x:v>
      </x:c>
      <x:c r="B4" s="13" t="str">
        <x:v>Rank Number</x:v>
      </x:c>
      <x:c r="C4" s="13" t="str">
        <x:v>University</x:v>
      </x:c>
      <x:c r="D4" s="13" t="str">
        <x:v>Location</x:v>
      </x:c>
      <x:c r="E4" s="13" t="str">
        <x:v>Country</x:v>
      </x:c>
      <x:c r="F4" s="13" t="str">
        <x:v>Overall Score</x:v>
      </x:c>
      <x:c r="G4" s="13" t="str">
        <x:v>Environmental Sustainability</x:v>
      </x:c>
      <x:c r="H4" s="13" t="str">
        <x:v>Environmental Education</x:v>
      </x:c>
      <x:c r="I4" s="13" t="str">
        <x:v>Environmental Research</x:v>
      </x:c>
      <x:c r="J4" s="13" t="str">
        <x:v>Equality</x:v>
      </x:c>
      <x:c r="K4" s="13" t="str">
        <x:v>Knowledge Exchange</x:v>
      </x:c>
      <x:c r="L4" s="13" t="str">
        <x:v>Impact of Education</x:v>
      </x:c>
      <x:c r="M4" s="13" t="str">
        <x:v>Employability &amp; Opportunities</x:v>
      </x:c>
      <x:c r="N4" s="13" t="str">
        <x:v>Good Governance</x:v>
      </x:c>
      <x:c r="O4" s="13" t="str">
        <x:v>QS Profile URL</x:v>
      </x:c>
    </x:row>
    <x:row r="5">
      <x:c r="A5" s="17" t="str">
        <x:v>1</x:v>
      </x:c>
      <x:c r="B5" s="17" t="n">
        <x:v>1</x:v>
      </x:c>
      <x:c r="C5" s="17" t="str">
        <x:v>Lund University</x:v>
      </x:c>
      <x:c r="D5" s="17" t="str">
        <x:v>Lund, Sweden</x:v>
      </x:c>
      <x:c r="E5" s="17" t="str">
        <x:v>Sweden</x:v>
      </x:c>
      <x:c r="F5" s="31" t="n">
        <x:v>100</x:v>
      </x:c>
      <x:c r="G5" s="31" t="n">
        <x:v>99.8</x:v>
      </x:c>
      <x:c r="H5" s="31" t="n">
        <x:v>98.7</x:v>
      </x:c>
      <x:c r="I5" s="31" t="n">
        <x:v>99.8</x:v>
      </x:c>
      <x:c r="J5" s="31"/>
      <x:c r="K5" s="31"/>
      <x:c r="L5" s="31"/>
      <x:c r="M5" s="31"/>
      <x:c r="N5" s="31"/>
      <x:c r="O5" s="30" t="str">
        <x:v>https://www.topuniversities.com/universities/lund-university</x:v>
      </x:c>
    </x:row>
    <x:row r="6">
      <x:c r="A6" s="17" t="str">
        <x:v>2</x:v>
      </x:c>
      <x:c r="B6" s="17" t="n">
        <x:v>2</x:v>
      </x:c>
      <x:c r="C6" s="17" t="str">
        <x:v>University of Toronto</x:v>
      </x:c>
      <x:c r="D6" s="17" t="str">
        <x:v>Toronto, Canada</x:v>
      </x:c>
      <x:c r="E6" s="17" t="str">
        <x:v>Canada</x:v>
      </x:c>
      <x:c r="F6" s="31" t="n">
        <x:v>99.8</x:v>
      </x:c>
      <x:c r="G6" s="31" t="n">
        <x:v>95.1</x:v>
      </x:c>
      <x:c r="H6" s="31" t="n">
        <x:v>99.9</x:v>
      </x:c>
      <x:c r="I6" s="31" t="n">
        <x:v>98.8</x:v>
      </x:c>
      <x:c r="J6" s="31"/>
      <x:c r="K6" s="31"/>
      <x:c r="L6" s="31"/>
      <x:c r="M6" s="31"/>
      <x:c r="N6" s="31"/>
      <x:c r="O6" s="30" t="str">
        <x:v>https://www.topuniversities.com/universities/university-toronto</x:v>
      </x:c>
    </x:row>
    <x:row r="7">
      <x:c r="A7" s="17" t="str">
        <x:v>3</x:v>
      </x:c>
      <x:c r="B7" s="17" t="n">
        <x:v>3</x:v>
      </x:c>
      <x:c r="C7" s="17" t="str">
        <x:v>UCL</x:v>
      </x:c>
      <x:c r="D7" s="17" t="str">
        <x:v>London, United Kingdom</x:v>
      </x:c>
      <x:c r="E7" s="17" t="str">
        <x:v>United Kingdom</x:v>
      </x:c>
      <x:c r="F7" s="31" t="n">
        <x:v>99</x:v>
      </x:c>
      <x:c r="G7" s="31" t="n">
        <x:v>95.8</x:v>
      </x:c>
      <x:c r="H7" s="31" t="n">
        <x:v>95.5</x:v>
      </x:c>
      <x:c r="I7" s="31" t="n">
        <x:v>98.1</x:v>
      </x:c>
      <x:c r="J7" s="31"/>
      <x:c r="K7" s="31"/>
      <x:c r="L7" s="31"/>
      <x:c r="M7" s="31"/>
      <x:c r="N7" s="31"/>
      <x:c r="O7" s="30" t="str">
        <x:v>https://www.topuniversities.com/universities/ucl</x:v>
      </x:c>
    </x:row>
    <x:row r="8">
      <x:c r="A8" s="17" t="str">
        <x:v>4</x:v>
      </x:c>
      <x:c r="B8" s="17" t="n">
        <x:v>4</x:v>
      </x:c>
      <x:c r="C8" s="17" t="str">
        <x:v>The University of Edinburgh</x:v>
      </x:c>
      <x:c r="D8" s="17" t="str">
        <x:v>Edinburgh, United Kingdom</x:v>
      </x:c>
      <x:c r="E8" s="17" t="str">
        <x:v>United Kingdom</x:v>
      </x:c>
      <x:c r="F8" s="31" t="n">
        <x:v>98.7</x:v>
      </x:c>
      <x:c r="G8" s="31" t="n">
        <x:v>90.5</x:v>
      </x:c>
      <x:c r="H8" s="31" t="n">
        <x:v>98.7</x:v>
      </x:c>
      <x:c r="I8" s="31" t="n">
        <x:v>97.8</x:v>
      </x:c>
      <x:c r="J8" s="31"/>
      <x:c r="K8" s="31"/>
      <x:c r="L8" s="31"/>
      <x:c r="M8" s="31"/>
      <x:c r="N8" s="31"/>
      <x:c r="O8" s="30" t="str">
        <x:v>https://www.topuniversities.com/universities/university-edinburgh</x:v>
      </x:c>
    </x:row>
    <x:row r="9">
      <x:c r="A9" s="17" t="str">
        <x:v>5</x:v>
      </x:c>
      <x:c r="B9" s="17" t="n">
        <x:v>5</x:v>
      </x:c>
      <x:c r="C9" s="17" t="str">
        <x:v>University of British Columbia</x:v>
      </x:c>
      <x:c r="D9" s="17" t="str">
        <x:v>Vancouver, Canada</x:v>
      </x:c>
      <x:c r="E9" s="17" t="str">
        <x:v>Canada</x:v>
      </x:c>
      <x:c r="F9" s="31" t="n">
        <x:v>98.6</x:v>
      </x:c>
      <x:c r="G9" s="31" t="n">
        <x:v>88.1</x:v>
      </x:c>
      <x:c r="H9" s="31" t="n">
        <x:v>99.5</x:v>
      </x:c>
      <x:c r="I9" s="31" t="n">
        <x:v>98.8</x:v>
      </x:c>
      <x:c r="J9" s="31"/>
      <x:c r="K9" s="31"/>
      <x:c r="L9" s="31"/>
      <x:c r="M9" s="31"/>
      <x:c r="N9" s="31"/>
      <x:c r="O9" s="30" t="str">
        <x:v>https://www.topuniversities.com/universities/university-british-columbia</x:v>
      </x:c>
    </x:row>
    <x:row r="10">
      <x:c r="A10" s="17" t="str">
        <x:v>6</x:v>
      </x:c>
      <x:c r="B10" s="17" t="n">
        <x:v>6</x:v>
      </x:c>
      <x:c r="C10" s="17" t="str">
        <x:v>The London School of Economics and Political Science (LSE)</x:v>
      </x:c>
      <x:c r="D10" s="17" t="str">
        <x:v>London, United Kingdom</x:v>
      </x:c>
      <x:c r="E10" s="17" t="str">
        <x:v>United Kingdom</x:v>
      </x:c>
      <x:c r="F10" s="31" t="n">
        <x:v>98.5</x:v>
      </x:c>
      <x:c r="G10" s="31" t="n">
        <x:v>95.2</x:v>
      </x:c>
      <x:c r="H10" s="31" t="n">
        <x:v>96.1</x:v>
      </x:c>
      <x:c r="I10" s="31" t="n">
        <x:v>95.7</x:v>
      </x:c>
      <x:c r="J10" s="31"/>
      <x:c r="K10" s="31"/>
      <x:c r="L10" s="31"/>
      <x:c r="M10" s="31"/>
      <x:c r="N10" s="31"/>
      <x:c r="O10" s="30" t="str">
        <x:v>https://www.topuniversities.com/universities/london-school-economics-political-science-lse</x:v>
      </x:c>
    </x:row>
    <x:row r="11">
      <x:c r="A11" s="17" t="n">
        <x:f>7</x:f>
        <x:v>7</x:v>
      </x:c>
      <x:c r="B11" s="17" t="n">
        <x:v>7</x:v>
      </x:c>
      <x:c r="C11" s="17" t="str">
        <x:v>Imperial College London</x:v>
      </x:c>
      <x:c r="D11" s="17" t="str">
        <x:v>London, United Kingdom</x:v>
      </x:c>
      <x:c r="E11" s="17" t="str">
        <x:v>United Kingdom</x:v>
      </x:c>
      <x:c r="F11" s="31" t="n">
        <x:v>98.2</x:v>
      </x:c>
      <x:c r="G11" s="31" t="n">
        <x:v>92.6</x:v>
      </x:c>
      <x:c r="H11" s="31" t="n">
        <x:v>99.8</x:v>
      </x:c>
      <x:c r="I11" s="31" t="n">
        <x:v>98</x:v>
      </x:c>
      <x:c r="J11" s="31"/>
      <x:c r="K11" s="31"/>
      <x:c r="L11" s="31"/>
      <x:c r="M11" s="31"/>
      <x:c r="N11" s="31"/>
      <x:c r="O11" s="30" t="str">
        <x:v>https://www.topuniversities.com/universities/imperial-college-london</x:v>
      </x:c>
    </x:row>
    <x:row r="12">
      <x:c r="A12" s="17" t="n">
        <x:f>7</x:f>
        <x:v>7</x:v>
      </x:c>
      <x:c r="B12" s="17" t="n">
        <x:v>7</x:v>
      </x:c>
      <x:c r="C12" s="17" t="str">
        <x:v>The University of New South Wales (UNSW Sydney)</x:v>
      </x:c>
      <x:c r="D12" s="17" t="str">
        <x:v>Sydney, Australia</x:v>
      </x:c>
      <x:c r="E12" s="17" t="str">
        <x:v>Australia</x:v>
      </x:c>
      <x:c r="F12" s="31" t="n">
        <x:v>98.2</x:v>
      </x:c>
      <x:c r="G12" s="31" t="n">
        <x:v>89.9</x:v>
      </x:c>
      <x:c r="H12" s="31" t="n">
        <x:v>99</x:v>
      </x:c>
      <x:c r="I12" s="31" t="n">
        <x:v>92.3</x:v>
      </x:c>
      <x:c r="J12" s="31"/>
      <x:c r="K12" s="31"/>
      <x:c r="L12" s="31"/>
      <x:c r="M12" s="31"/>
      <x:c r="N12" s="31"/>
      <x:c r="O12" s="30" t="str">
        <x:v>https://www.topuniversities.com/universities/university-new-south-wales-unsw-sydney</x:v>
      </x:c>
    </x:row>
    <x:row r="13">
      <x:c r="A13" s="17" t="str">
        <x:v>9</x:v>
      </x:c>
      <x:c r="B13" s="17" t="n">
        <x:v>9</x:v>
      </x:c>
      <x:c r="C13" s="17" t="str">
        <x:v>McGill University</x:v>
      </x:c>
      <x:c r="D13" s="17" t="str">
        <x:v>Montreal, Canada</x:v>
      </x:c>
      <x:c r="E13" s="17" t="str">
        <x:v>Canada</x:v>
      </x:c>
      <x:c r="F13" s="31" t="n">
        <x:v>98.1</x:v>
      </x:c>
      <x:c r="G13" s="31" t="n">
        <x:v>91.6</x:v>
      </x:c>
      <x:c r="H13" s="31" t="n">
        <x:v>99.7</x:v>
      </x:c>
      <x:c r="I13" s="31" t="n">
        <x:v>98.7</x:v>
      </x:c>
      <x:c r="J13" s="31"/>
      <x:c r="K13" s="31"/>
      <x:c r="L13" s="31"/>
      <x:c r="M13" s="31"/>
      <x:c r="N13" s="31"/>
      <x:c r="O13" s="30" t="str">
        <x:v>https://www.topuniversities.com/universities/mcgill-university</x:v>
      </x:c>
    </x:row>
    <x:row r="14">
      <x:c r="A14" s="17" t="str">
        <x:v>10</x:v>
      </x:c>
      <x:c r="B14" s="17" t="n">
        <x:v>10</x:v>
      </x:c>
      <x:c r="C14" s="17" t="str">
        <x:v>The University of Manchester</x:v>
      </x:c>
      <x:c r="D14" s="17" t="str">
        <x:v>Manchester, United Kingdom</x:v>
      </x:c>
      <x:c r="E14" s="17" t="str">
        <x:v>United Kingdom</x:v>
      </x:c>
      <x:c r="F14" s="31" t="n">
        <x:v>98</x:v>
      </x:c>
      <x:c r="G14" s="31" t="n">
        <x:v>85.6</x:v>
      </x:c>
      <x:c r="H14" s="31" t="n">
        <x:v>99.4</x:v>
      </x:c>
      <x:c r="I14" s="31" t="n">
        <x:v>98</x:v>
      </x:c>
      <x:c r="J14" s="31"/>
      <x:c r="K14" s="31"/>
      <x:c r="L14" s="31"/>
      <x:c r="M14" s="31"/>
      <x:c r="N14" s="31"/>
      <x:c r="O14" s="30" t="str">
        <x:v>https://www.topuniversities.com/universities/university-manchester</x:v>
      </x:c>
    </x:row>
    <x:row r="15">
      <x:c r="A15" s="17" t="n">
        <x:f>11</x:f>
        <x:v>11</x:v>
      </x:c>
      <x:c r="B15" s="17" t="n">
        <x:v>11</x:v>
      </x:c>
      <x:c r="C15" s="17" t="str">
        <x:v>ETH Zurich</x:v>
      </x:c>
      <x:c r="D15" s="17" t="str">
        <x:v>Zürich, Switzerland</x:v>
      </x:c>
      <x:c r="E15" s="17" t="str">
        <x:v>Switzerland</x:v>
      </x:c>
      <x:c r="F15" s="31" t="n">
        <x:v>97.9</x:v>
      </x:c>
      <x:c r="G15" s="31" t="n">
        <x:v>92.1</x:v>
      </x:c>
      <x:c r="H15" s="31" t="n">
        <x:v>99.8</x:v>
      </x:c>
      <x:c r="I15" s="31" t="n">
        <x:v>99.5</x:v>
      </x:c>
      <x:c r="J15" s="31"/>
      <x:c r="K15" s="31"/>
      <x:c r="L15" s="31"/>
      <x:c r="M15" s="31"/>
      <x:c r="N15" s="31"/>
      <x:c r="O15" s="30" t="str">
        <x:v>https://www.topuniversities.com/universities/eth-zurich</x:v>
      </x:c>
    </x:row>
    <x:row r="16">
      <x:c r="A16" s="17" t="n">
        <x:f>11</x:f>
        <x:v>11</x:v>
      </x:c>
      <x:c r="B16" s="17" t="n">
        <x:v>11</x:v>
      </x:c>
      <x:c r="C16" s="17" t="str">
        <x:v>The University of Melbourne</x:v>
      </x:c>
      <x:c r="D16" s="17" t="str">
        <x:v>Melbourne, Australia</x:v>
      </x:c>
      <x:c r="E16" s="17" t="str">
        <x:v>Australia</x:v>
      </x:c>
      <x:c r="F16" s="31" t="n">
        <x:v>97.9</x:v>
      </x:c>
      <x:c r="G16" s="31" t="n">
        <x:v>89</x:v>
      </x:c>
      <x:c r="H16" s="31" t="n">
        <x:v>98.3</x:v>
      </x:c>
      <x:c r="I16" s="31" t="n">
        <x:v>92.2</x:v>
      </x:c>
      <x:c r="J16" s="31"/>
      <x:c r="K16" s="31"/>
      <x:c r="L16" s="31"/>
      <x:c r="M16" s="31"/>
      <x:c r="N16" s="31"/>
      <x:c r="O16" s="30" t="str">
        <x:v>https://www.topuniversities.com/universities/university-melbourne</x:v>
      </x:c>
    </x:row>
    <x:row r="17">
      <x:c r="A17" s="17" t="n">
        <x:f>11</x:f>
        <x:v>11</x:v>
      </x:c>
      <x:c r="B17" s="17" t="n">
        <x:v>11</x:v>
      </x:c>
      <x:c r="C17" s="17" t="str">
        <x:v>University of California, Berkeley (UCB)</x:v>
      </x:c>
      <x:c r="D17" s="17" t="str">
        <x:v>Berkeley, United States</x:v>
      </x:c>
      <x:c r="E17" s="17" t="str">
        <x:v>United States</x:v>
      </x:c>
      <x:c r="F17" s="31" t="n">
        <x:v>97.9</x:v>
      </x:c>
      <x:c r="G17" s="31" t="n">
        <x:v>94.5</x:v>
      </x:c>
      <x:c r="H17" s="31" t="n">
        <x:v>100</x:v>
      </x:c>
      <x:c r="I17" s="31" t="n">
        <x:v>98.4</x:v>
      </x:c>
      <x:c r="J17" s="31"/>
      <x:c r="K17" s="31"/>
      <x:c r="L17" s="31"/>
      <x:c r="M17" s="31"/>
      <x:c r="N17" s="31"/>
      <x:c r="O17" s="30" t="str">
        <x:v>https://www.topuniversities.com/universities/university-california-berkeley-ucb</x:v>
      </x:c>
    </x:row>
    <x:row r="18">
      <x:c r="A18" s="17" t="str">
        <x:v>13</x:v>
      </x:c>
      <x:c r="B18" s="17" t="n">
        <x:v>13</x:v>
      </x:c>
      <x:c r="C18" s="17" t="str">
        <x:v>Stanford University</x:v>
      </x:c>
      <x:c r="D18" s="17" t="str">
        <x:v>Stanford, United States</x:v>
      </x:c>
      <x:c r="E18" s="17" t="str">
        <x:v>United States</x:v>
      </x:c>
      <x:c r="F18" s="31" t="n">
        <x:v>97.8</x:v>
      </x:c>
      <x:c r="G18" s="31" t="n">
        <x:v>93.3</x:v>
      </x:c>
      <x:c r="H18" s="31" t="n">
        <x:v>100</x:v>
      </x:c>
      <x:c r="I18" s="31" t="n">
        <x:v>98.5</x:v>
      </x:c>
      <x:c r="J18" s="31"/>
      <x:c r="K18" s="31"/>
      <x:c r="L18" s="31"/>
      <x:c r="M18" s="31"/>
      <x:c r="N18" s="31"/>
      <x:c r="O18" s="30" t="str">
        <x:v>https://www.topuniversities.com/universities/stanford-university</x:v>
      </x:c>
    </x:row>
    <x:row r="19">
      <x:c r="A19" s="17" t="str">
        <x:v>14</x:v>
      </x:c>
      <x:c r="B19" s="17" t="n">
        <x:v>14</x:v>
      </x:c>
      <x:c r="C19" s="17" t="str">
        <x:v>University of Oxford</x:v>
      </x:c>
      <x:c r="D19" s="17" t="str">
        <x:v>Oxford, United Kingdom</x:v>
      </x:c>
      <x:c r="E19" s="17" t="str">
        <x:v>United Kingdom</x:v>
      </x:c>
      <x:c r="F19" s="31" t="n">
        <x:v>97.7</x:v>
      </x:c>
      <x:c r="G19" s="31" t="n">
        <x:v>97.7</x:v>
      </x:c>
      <x:c r="H19" s="31" t="n">
        <x:v>100</x:v>
      </x:c>
      <x:c r="I19" s="31" t="n">
        <x:v>98.1</x:v>
      </x:c>
      <x:c r="J19" s="31"/>
      <x:c r="K19" s="31"/>
      <x:c r="L19" s="31"/>
      <x:c r="M19" s="31"/>
      <x:c r="N19" s="31"/>
      <x:c r="O19" s="30" t="str">
        <x:v>https://www.topuniversities.com/universities/university-oxford</x:v>
      </x:c>
    </x:row>
    <x:row r="20">
      <x:c r="A20" s="17" t="str">
        <x:v>15</x:v>
      </x:c>
      <x:c r="B20" s="17" t="n">
        <x:v>15</x:v>
      </x:c>
      <x:c r="C20" s="17" t="str">
        <x:v>The University of Sydney</x:v>
      </x:c>
      <x:c r="D20" s="17" t="str">
        <x:v>Sydney, Australia</x:v>
      </x:c>
      <x:c r="E20" s="17" t="str">
        <x:v>Australia</x:v>
      </x:c>
      <x:c r="F20" s="31" t="n">
        <x:v>97.3</x:v>
      </x:c>
      <x:c r="G20" s="31" t="n">
        <x:v>86</x:v>
      </x:c>
      <x:c r="H20" s="31" t="n">
        <x:v>99.5</x:v>
      </x:c>
      <x:c r="I20" s="31" t="n">
        <x:v>92.2</x:v>
      </x:c>
      <x:c r="J20" s="31"/>
      <x:c r="K20" s="31"/>
      <x:c r="L20" s="31"/>
      <x:c r="M20" s="31"/>
      <x:c r="N20" s="31"/>
      <x:c r="O20" s="30" t="str">
        <x:v>https://www.topuniversities.com/universities/university-sydney</x:v>
      </x:c>
    </x:row>
    <x:row r="21">
      <x:c r="A21" s="17" t="n">
        <x:f>16</x:f>
        <x:v>16</x:v>
      </x:c>
      <x:c r="B21" s="17" t="n">
        <x:v>16</x:v>
      </x:c>
      <x:c r="C21" s="17" t="str">
        <x:v>Australian National University (ANU)</x:v>
      </x:c>
      <x:c r="D21" s="17" t="str">
        <x:v>Canberra, Australia</x:v>
      </x:c>
      <x:c r="E21" s="17" t="str">
        <x:v>Australia</x:v>
      </x:c>
      <x:c r="F21" s="31" t="n">
        <x:v>97.2</x:v>
      </x:c>
      <x:c r="G21" s="31" t="n">
        <x:v>89.7</x:v>
      </x:c>
      <x:c r="H21" s="31" t="n">
        <x:v>94.8</x:v>
      </x:c>
      <x:c r="I21" s="31" t="n">
        <x:v>92.1</x:v>
      </x:c>
      <x:c r="J21" s="31"/>
      <x:c r="K21" s="31"/>
      <x:c r="L21" s="31"/>
      <x:c r="M21" s="31"/>
      <x:c r="N21" s="31"/>
      <x:c r="O21" s="30" t="str">
        <x:v>https://www.topuniversities.com/universities/australian-national-university-anu</x:v>
      </x:c>
    </x:row>
    <x:row r="22">
      <x:c r="A22" s="17" t="n">
        <x:f>16</x:f>
        <x:v>16</x:v>
      </x:c>
      <x:c r="B22" s="17" t="n">
        <x:v>16</x:v>
      </x:c>
      <x:c r="C22" s="17" t="str">
        <x:v>King's College London</x:v>
      </x:c>
      <x:c r="D22" s="17" t="str">
        <x:v>London, United Kingdom</x:v>
      </x:c>
      <x:c r="E22" s="17" t="str">
        <x:v>United Kingdom</x:v>
      </x:c>
      <x:c r="F22" s="31" t="n">
        <x:v>97.2</x:v>
      </x:c>
      <x:c r="G22" s="31" t="n">
        <x:v>89.7</x:v>
      </x:c>
      <x:c r="H22" s="31" t="n">
        <x:v>94.4</x:v>
      </x:c>
      <x:c r="I22" s="31" t="n">
        <x:v>96.9</x:v>
      </x:c>
      <x:c r="J22" s="31"/>
      <x:c r="K22" s="31"/>
      <x:c r="L22" s="31"/>
      <x:c r="M22" s="31"/>
      <x:c r="N22" s="31"/>
      <x:c r="O22" s="30" t="str">
        <x:v>https://www.topuniversities.com/universities/kings-college-london</x:v>
      </x:c>
    </x:row>
    <x:row r="23">
      <x:c r="A23" s="17" t="str">
        <x:v>19</x:v>
      </x:c>
      <x:c r="B23" s="17" t="n">
        <x:v>19</x:v>
      </x:c>
      <x:c r="C23" s="17" t="str">
        <x:v>University of Bristol</x:v>
      </x:c>
      <x:c r="D23" s="17" t="str">
        <x:v>Bristol, United Kingdom</x:v>
      </x:c>
      <x:c r="E23" s="17" t="str">
        <x:v>United Kingdom</x:v>
      </x:c>
      <x:c r="F23" s="31" t="n">
        <x:v>96.9</x:v>
      </x:c>
      <x:c r="G23" s="31" t="n">
        <x:v>79</x:v>
      </x:c>
      <x:c r="H23" s="31" t="n">
        <x:v>96.7</x:v>
      </x:c>
      <x:c r="I23" s="31" t="n">
        <x:v>97.6</x:v>
      </x:c>
      <x:c r="J23" s="31"/>
      <x:c r="K23" s="31"/>
      <x:c r="L23" s="31"/>
      <x:c r="M23" s="31"/>
      <x:c r="N23" s="31"/>
      <x:c r="O23" s="30" t="str">
        <x:v>https://www.topuniversities.com/universities/university-bristol</x:v>
      </x:c>
    </x:row>
    <x:row r="24">
      <x:c r="A24" s="17" t="str">
        <x:v>20</x:v>
      </x:c>
      <x:c r="B24" s="17" t="n">
        <x:v>20</x:v>
      </x:c>
      <x:c r="C24" s="17" t="str">
        <x:v>New York University (NYU)</x:v>
      </x:c>
      <x:c r="D24" s="17" t="str">
        <x:v>New York City, United States</x:v>
      </x:c>
      <x:c r="E24" s="17" t="str">
        <x:v>United States</x:v>
      </x:c>
      <x:c r="F24" s="31" t="n">
        <x:v>96.3</x:v>
      </x:c>
      <x:c r="G24" s="31" t="n">
        <x:v>97.5</x:v>
      </x:c>
      <x:c r="H24" s="31" t="n">
        <x:v>94.5</x:v>
      </x:c>
      <x:c r="I24" s="31" t="n">
        <x:v>96.5</x:v>
      </x:c>
      <x:c r="J24" s="31"/>
      <x:c r="K24" s="31"/>
      <x:c r="L24" s="31"/>
      <x:c r="M24" s="31"/>
      <x:c r="N24" s="31"/>
      <x:c r="O24" s="30" t="str">
        <x:v>https://www.topuniversities.com/universities/new-york-university-nyu</x:v>
      </x:c>
    </x:row>
    <x:row r="25">
      <x:c r="A25" s="17" t="str">
        <x:v>21</x:v>
      </x:c>
      <x:c r="B25" s="17" t="n">
        <x:v>21</x:v>
      </x:c>
      <x:c r="C25" s="17" t="str">
        <x:v>Pennsylvania State University</x:v>
      </x:c>
      <x:c r="D25" s="17" t="str">
        <x:v>University Park, United States</x:v>
      </x:c>
      <x:c r="E25" s="17" t="str">
        <x:v>United States</x:v>
      </x:c>
      <x:c r="F25" s="31" t="n">
        <x:v>96.1</x:v>
      </x:c>
      <x:c r="G25" s="31" t="n">
        <x:v>85.1</x:v>
      </x:c>
      <x:c r="H25" s="31" t="n">
        <x:v>95.3</x:v>
      </x:c>
      <x:c r="I25" s="31" t="n">
        <x:v>98.2</x:v>
      </x:c>
      <x:c r="J25" s="31"/>
      <x:c r="K25" s="31"/>
      <x:c r="L25" s="31"/>
      <x:c r="M25" s="31"/>
      <x:c r="N25" s="31"/>
      <x:c r="O25" s="30" t="str">
        <x:v>https://www.topuniversities.com/universities/pennsylvania-state-university</x:v>
      </x:c>
    </x:row>
    <x:row r="26">
      <x:c r="A26" s="17" t="n">
        <x:f>22</x:f>
        <x:v>22</x:v>
      </x:c>
      <x:c r="B26" s="17" t="n">
        <x:v>22</x:v>
      </x:c>
      <x:c r="C26" s="17" t="str">
        <x:v>KU Leuven</x:v>
      </x:c>
      <x:c r="D26" s="17" t="str">
        <x:v>Leuven, Belgium</x:v>
      </x:c>
      <x:c r="E26" s="17" t="str">
        <x:v>Belgium</x:v>
      </x:c>
      <x:c r="F26" s="31" t="n">
        <x:v>95.9</x:v>
      </x:c>
      <x:c r="G26" s="31" t="n">
        <x:v>87</x:v>
      </x:c>
      <x:c r="H26" s="31" t="n">
        <x:v>87.9</x:v>
      </x:c>
      <x:c r="I26" s="31" t="n">
        <x:v>99.2</x:v>
      </x:c>
      <x:c r="J26" s="31"/>
      <x:c r="K26" s="31"/>
      <x:c r="L26" s="31"/>
      <x:c r="M26" s="31"/>
      <x:c r="N26" s="31"/>
      <x:c r="O26" s="30" t="str">
        <x:v>https://www.topuniversities.com/universities/ku-leuven</x:v>
      </x:c>
    </x:row>
    <x:row r="27">
      <x:c r="A27" s="17" t="n">
        <x:f>22</x:f>
        <x:v>22</x:v>
      </x:c>
      <x:c r="B27" s="17" t="n">
        <x:v>22</x:v>
      </x:c>
      <x:c r="C27" s="17" t="str">
        <x:v>University of Helsinki</x:v>
      </x:c>
      <x:c r="D27" s="17" t="str">
        <x:v>Helsinki, Finland</x:v>
      </x:c>
      <x:c r="E27" s="17" t="str">
        <x:v>Finland</x:v>
      </x:c>
      <x:c r="F27" s="31" t="n">
        <x:v>95.9</x:v>
      </x:c>
      <x:c r="G27" s="31" t="n">
        <x:v>87.9</x:v>
      </x:c>
      <x:c r="H27" s="31" t="n">
        <x:v>91.4</x:v>
      </x:c>
      <x:c r="I27" s="31" t="n">
        <x:v>99.6</x:v>
      </x:c>
      <x:c r="J27" s="31"/>
      <x:c r="K27" s="31"/>
      <x:c r="L27" s="31"/>
      <x:c r="M27" s="31"/>
      <x:c r="N27" s="31"/>
      <x:c r="O27" s="30" t="str">
        <x:v>https://www.topuniversities.com/universities/university-helsinki</x:v>
      </x:c>
    </x:row>
    <x:row r="28">
      <x:c r="A28" s="17" t="n">
        <x:f>24</x:f>
        <x:v>24</x:v>
      </x:c>
      <x:c r="B28" s="17" t="n">
        <x:v>24</x:v>
      </x:c>
      <x:c r="C28" s="17" t="str">
        <x:v>Durham University</x:v>
      </x:c>
      <x:c r="D28" s="17" t="str">
        <x:v>Durham, United Kingdom</x:v>
      </x:c>
      <x:c r="E28" s="17" t="str">
        <x:v>United Kingdom</x:v>
      </x:c>
      <x:c r="F28" s="31" t="n">
        <x:v>95.8</x:v>
      </x:c>
      <x:c r="G28" s="31" t="n">
        <x:v>82.2</x:v>
      </x:c>
      <x:c r="H28" s="31" t="n">
        <x:v>94.9</x:v>
      </x:c>
      <x:c r="I28" s="31" t="n">
        <x:v>96.7</x:v>
      </x:c>
      <x:c r="J28" s="31"/>
      <x:c r="K28" s="31"/>
      <x:c r="L28" s="31"/>
      <x:c r="M28" s="31"/>
      <x:c r="N28" s="31"/>
      <x:c r="O28" s="30" t="str">
        <x:v>https://www.topuniversities.com/universities/durham-university</x:v>
      </x:c>
    </x:row>
    <x:row r="29">
      <x:c r="A29" s="17" t="n">
        <x:f>24</x:f>
        <x:v>24</x:v>
      </x:c>
      <x:c r="B29" s="17" t="n">
        <x:v>24</x:v>
      </x:c>
      <x:c r="C29" s="17" t="str">
        <x:v>University of Leeds</x:v>
      </x:c>
      <x:c r="D29" s="17" t="str">
        <x:v>Leeds, United Kingdom</x:v>
      </x:c>
      <x:c r="E29" s="17" t="str">
        <x:v>United Kingdom</x:v>
      </x:c>
      <x:c r="F29" s="31" t="n">
        <x:v>95.8</x:v>
      </x:c>
      <x:c r="G29" s="31" t="n">
        <x:v>78.2</x:v>
      </x:c>
      <x:c r="H29" s="31" t="n">
        <x:v>95.4</x:v>
      </x:c>
      <x:c r="I29" s="31" t="n">
        <x:v>98</x:v>
      </x:c>
      <x:c r="J29" s="31"/>
      <x:c r="K29" s="31"/>
      <x:c r="L29" s="31"/>
      <x:c r="M29" s="31"/>
      <x:c r="N29" s="31"/>
      <x:c r="O29" s="30" t="str">
        <x:v>https://www.topuniversities.com/universities/university-leeds</x:v>
      </x:c>
    </x:row>
    <x:row r="30">
      <x:c r="A30" s="17" t="n">
        <x:f>24</x:f>
        <x:v>24</x:v>
      </x:c>
      <x:c r="B30" s="17" t="n">
        <x:v>24</x:v>
      </x:c>
      <x:c r="C30" s="17" t="str">
        <x:v>Western University</x:v>
      </x:c>
      <x:c r="D30" s="17" t="str">
        <x:v>London, Canada</x:v>
      </x:c>
      <x:c r="E30" s="17" t="str">
        <x:v>Canada</x:v>
      </x:c>
      <x:c r="F30" s="31" t="n">
        <x:v>95.8</x:v>
      </x:c>
      <x:c r="G30" s="31" t="n">
        <x:v>83.5</x:v>
      </x:c>
      <x:c r="H30" s="31" t="n">
        <x:v>96.2</x:v>
      </x:c>
      <x:c r="I30" s="31" t="n">
        <x:v>97.8</x:v>
      </x:c>
      <x:c r="J30" s="31"/>
      <x:c r="K30" s="31"/>
      <x:c r="L30" s="31"/>
      <x:c r="M30" s="31"/>
      <x:c r="N30" s="31"/>
      <x:c r="O30" s="30" t="str">
        <x:v>https://www.topuniversities.com/universities/western-university</x:v>
      </x:c>
    </x:row>
    <x:row r="31">
      <x:c r="A31" s="17" t="str">
        <x:v>27</x:v>
      </x:c>
      <x:c r="B31" s="17" t="n">
        <x:v>27</x:v>
      </x:c>
      <x:c r="C31" s="17" t="str">
        <x:v>University of Glasgow</x:v>
      </x:c>
      <x:c r="D31" s="17" t="str">
        <x:v>Glasgow, United Kingdom</x:v>
      </x:c>
      <x:c r="E31" s="17" t="str">
        <x:v>United Kingdom</x:v>
      </x:c>
      <x:c r="F31" s="31" t="n">
        <x:v>95.7</x:v>
      </x:c>
      <x:c r="G31" s="31" t="n">
        <x:v>77.4</x:v>
      </x:c>
      <x:c r="H31" s="31" t="n">
        <x:v>96</x:v>
      </x:c>
      <x:c r="I31" s="31" t="n">
        <x:v>97.4</x:v>
      </x:c>
      <x:c r="J31" s="31"/>
      <x:c r="K31" s="31"/>
      <x:c r="L31" s="31"/>
      <x:c r="M31" s="31"/>
      <x:c r="N31" s="31"/>
      <x:c r="O31" s="30" t="str">
        <x:v>https://www.topuniversities.com/universities/university-glasgow</x:v>
      </x:c>
    </x:row>
    <x:row r="32">
      <x:c r="A32" s="17" t="str">
        <x:v>28</x:v>
      </x:c>
      <x:c r="B32" s="17" t="n">
        <x:v>28</x:v>
      </x:c>
      <x:c r="C32" s="17" t="str">
        <x:v>The University of Auckland</x:v>
      </x:c>
      <x:c r="D32" s="17" t="str">
        <x:v>Auckland, New Zealand</x:v>
      </x:c>
      <x:c r="E32" s="17" t="str">
        <x:v>New Zealand</x:v>
      </x:c>
      <x:c r="F32" s="31" t="n">
        <x:v>95.5</x:v>
      </x:c>
      <x:c r="G32" s="31" t="n">
        <x:v>76.4</x:v>
      </x:c>
      <x:c r="H32" s="31" t="n">
        <x:v>99</x:v>
      </x:c>
      <x:c r="I32" s="31" t="n">
        <x:v>98.1</x:v>
      </x:c>
      <x:c r="J32" s="31"/>
      <x:c r="K32" s="31"/>
      <x:c r="L32" s="31"/>
      <x:c r="M32" s="31"/>
      <x:c r="N32" s="31"/>
      <x:c r="O32" s="30" t="str">
        <x:v>https://www.topuniversities.com/universities/university-auckland</x:v>
      </x:c>
    </x:row>
    <x:row r="33">
      <x:c r="A33" s="17" t="str">
        <x:v>29</x:v>
      </x:c>
      <x:c r="B33" s="17" t="n">
        <x:v>29</x:v>
      </x:c>
      <x:c r="C33" s="17" t="str">
        <x:v>Trinity College Dublin, The University of Dublin</x:v>
      </x:c>
      <x:c r="D33" s="17" t="str">
        <x:v>Dublin, Ireland</x:v>
      </x:c>
      <x:c r="E33" s="17" t="str">
        <x:v>Ireland</x:v>
      </x:c>
      <x:c r="F33" s="31" t="n">
        <x:v>95.4</x:v>
      </x:c>
      <x:c r="G33" s="31" t="n">
        <x:v>77.3</x:v>
      </x:c>
      <x:c r="H33" s="31" t="n">
        <x:v>97.4</x:v>
      </x:c>
      <x:c r="I33" s="31" t="n">
        <x:v>97.5</x:v>
      </x:c>
      <x:c r="J33" s="31"/>
      <x:c r="K33" s="31"/>
      <x:c r="L33" s="31"/>
      <x:c r="M33" s="31"/>
      <x:c r="N33" s="31"/>
      <x:c r="O33" s="30" t="str">
        <x:v>https://www.topuniversities.com/universities/trinity-college-dublin-university-dublin</x:v>
      </x:c>
    </x:row>
    <x:row r="34">
      <x:c r="A34" s="17" t="n">
        <x:f>30</x:f>
        <x:v>30</x:v>
      </x:c>
      <x:c r="B34" s="17" t="n">
        <x:v>30</x:v>
      </x:c>
      <x:c r="C34" s="17" t="str">
        <x:v>University of Pennsylvania</x:v>
      </x:c>
      <x:c r="D34" s="17" t="str">
        <x:v>Philadelphia, United States</x:v>
      </x:c>
      <x:c r="E34" s="17" t="str">
        <x:v>United States</x:v>
      </x:c>
      <x:c r="F34" s="31" t="n">
        <x:v>95.3</x:v>
      </x:c>
      <x:c r="G34" s="31" t="n">
        <x:v>93.6</x:v>
      </x:c>
      <x:c r="H34" s="31" t="n">
        <x:v>99</x:v>
      </x:c>
      <x:c r="I34" s="31" t="n">
        <x:v>81</x:v>
      </x:c>
      <x:c r="J34" s="31"/>
      <x:c r="K34" s="31"/>
      <x:c r="L34" s="31"/>
      <x:c r="M34" s="31"/>
      <x:c r="N34" s="31"/>
      <x:c r="O34" s="30" t="str">
        <x:v>https://www.topuniversities.com/universities/university-pennsylvania</x:v>
      </x:c>
    </x:row>
    <x:row r="35">
      <x:c r="A35" s="17" t="n">
        <x:f>30</x:f>
        <x:v>30</x:v>
      </x:c>
      <x:c r="B35" s="17" t="n">
        <x:v>30</x:v>
      </x:c>
      <x:c r="C35" s="17" t="str">
        <x:v>University of Reading</x:v>
      </x:c>
      <x:c r="D35" s="17" t="str">
        <x:v>Reading, United Kingdom</x:v>
      </x:c>
      <x:c r="E35" s="17" t="str">
        <x:v>United Kingdom</x:v>
      </x:c>
      <x:c r="F35" s="31" t="n">
        <x:v>95.3</x:v>
      </x:c>
      <x:c r="G35" s="31" t="n">
        <x:v>82.4</x:v>
      </x:c>
      <x:c r="H35" s="31" t="n">
        <x:v>97.5</x:v>
      </x:c>
      <x:c r="I35" s="31" t="n">
        <x:v>97.5</x:v>
      </x:c>
      <x:c r="J35" s="31" t="n">
        <x:v>96.4</x:v>
      </x:c>
      <x:c r="K35" s="31" t="n">
        <x:v>97.8</x:v>
      </x:c>
      <x:c r="L35" s="31" t="n">
        <x:v>88.6</x:v>
      </x:c>
      <x:c r="M35" s="31" t="n">
        <x:v>90.1</x:v>
      </x:c>
      <x:c r="N35" s="31" t="n">
        <x:v>99.3</x:v>
      </x:c>
      <x:c r="O35" s="30" t="str">
        <x:v>https://www.topuniversities.com/universities/university-reading</x:v>
      </x:c>
    </x:row>
    <x:row r="36">
      <x:c r="A36" s="17" t="str">
        <x:v>32</x:v>
      </x:c>
      <x:c r="B36" s="17" t="n">
        <x:v>32</x:v>
      </x:c>
      <x:c r="C36" s="17" t="str">
        <x:v>Uppsala University</x:v>
      </x:c>
      <x:c r="D36" s="17" t="str">
        <x:v>Uppsala, Sweden</x:v>
      </x:c>
      <x:c r="E36" s="17" t="str">
        <x:v>Sweden</x:v>
      </x:c>
      <x:c r="F36" s="31" t="n">
        <x:v>95.1</x:v>
      </x:c>
      <x:c r="G36" s="31" t="n">
        <x:v>75.5</x:v>
      </x:c>
      <x:c r="H36" s="31" t="n">
        <x:v>99.1</x:v>
      </x:c>
      <x:c r="I36" s="31" t="n">
        <x:v>99.5</x:v>
      </x:c>
      <x:c r="J36" s="31" t="n">
        <x:v>95.3</x:v>
      </x:c>
      <x:c r="K36" s="31" t="n">
        <x:v>97.7</x:v>
      </x:c>
      <x:c r="L36" s="31" t="n">
        <x:v>97</x:v>
      </x:c>
      <x:c r="M36" s="31" t="n">
        <x:v>90</x:v>
      </x:c>
      <x:c r="N36" s="31" t="n">
        <x:v>99.4</x:v>
      </x:c>
      <x:c r="O36" s="30" t="str">
        <x:v>https://www.topuniversities.com/universities/uppsala-university</x:v>
      </x:c>
    </x:row>
    <x:row r="37">
      <x:c r="A37" s="17" t="n">
        <x:f>33</x:f>
        <x:v>33</x:v>
      </x:c>
      <x:c r="B37" s="17" t="n">
        <x:v>33</x:v>
      </x:c>
      <x:c r="C37" s="17" t="str">
        <x:v>Ghent University</x:v>
      </x:c>
      <x:c r="D37" s="17" t="str">
        <x:v>Ghent, Belgium</x:v>
      </x:c>
      <x:c r="E37" s="17" t="str">
        <x:v>Belgium</x:v>
      </x:c>
      <x:c r="F37" s="31" t="n">
        <x:v>94.9</x:v>
      </x:c>
      <x:c r="G37" s="31" t="n">
        <x:v>80.5</x:v>
      </x:c>
      <x:c r="H37" s="31" t="n">
        <x:v>96.9</x:v>
      </x:c>
      <x:c r="I37" s="31" t="n">
        <x:v>99.5</x:v>
      </x:c>
      <x:c r="J37" s="31" t="n">
        <x:v>94.6</x:v>
      </x:c>
      <x:c r="K37" s="31" t="n">
        <x:v>99.5</x:v>
      </x:c>
      <x:c r="L37" s="31" t="n">
        <x:v>98.4</x:v>
      </x:c>
      <x:c r="M37" s="31" t="n">
        <x:v>90.7</x:v>
      </x:c>
      <x:c r="N37" s="31" t="n">
        <x:v>88.1</x:v>
      </x:c>
      <x:c r="O37" s="30" t="str">
        <x:v>https://www.topuniversities.com/universities/ghent-university</x:v>
      </x:c>
    </x:row>
    <x:row r="38">
      <x:c r="A38" s="17" t="n">
        <x:f>33</x:f>
        <x:v>33</x:v>
      </x:c>
      <x:c r="B38" s="17" t="n">
        <x:v>33</x:v>
      </x:c>
      <x:c r="C38" s="17" t="str">
        <x:v>The University of Sheffield</x:v>
      </x:c>
      <x:c r="D38" s="17" t="str">
        <x:v>Sheffield,, United Kingdom</x:v>
      </x:c>
      <x:c r="E38" s="17" t="str">
        <x:v>United Kingdom</x:v>
      </x:c>
      <x:c r="F38" s="31" t="n">
        <x:v>94.9</x:v>
      </x:c>
      <x:c r="G38" s="31" t="n">
        <x:v>71.8</x:v>
      </x:c>
      <x:c r="H38" s="31" t="n">
        <x:v>94.1</x:v>
      </x:c>
      <x:c r="I38" s="31" t="n">
        <x:v>97.6</x:v>
      </x:c>
      <x:c r="J38" s="31" t="n">
        <x:v>99.5</x:v>
      </x:c>
      <x:c r="K38" s="31" t="n">
        <x:v>99</x:v>
      </x:c>
      <x:c r="L38" s="31" t="n">
        <x:v>92.9</x:v>
      </x:c>
      <x:c r="M38" s="31" t="n">
        <x:v>97.1</x:v>
      </x:c>
      <x:c r="N38" s="31" t="n">
        <x:v>99.7</x:v>
      </x:c>
      <x:c r="O38" s="30" t="str">
        <x:v>https://www.topuniversities.com/universities/university-sheffield</x:v>
      </x:c>
    </x:row>
    <x:row r="39">
      <x:c r="A39" s="17" t="n">
        <x:f>35</x:f>
        <x:v>35</x:v>
      </x:c>
      <x:c r="B39" s="17" t="n">
        <x:v>35</x:v>
      </x:c>
      <x:c r="C39" s="17" t="str">
        <x:v>Delft University of Technology</x:v>
      </x:c>
      <x:c r="D39" s="17" t="str">
        <x:v>Delft, Netherlands</x:v>
      </x:c>
      <x:c r="E39" s="17" t="str">
        <x:v>Netherlands</x:v>
      </x:c>
      <x:c r="F39" s="31" t="n">
        <x:v>94.8</x:v>
      </x:c>
      <x:c r="G39" s="31" t="n">
        <x:v>83.9</x:v>
      </x:c>
      <x:c r="H39" s="31" t="n">
        <x:v>96.9</x:v>
      </x:c>
      <x:c r="I39" s="31" t="n">
        <x:v>99</x:v>
      </x:c>
      <x:c r="J39" s="31" t="n">
        <x:v>89.4</x:v>
      </x:c>
      <x:c r="K39" s="31" t="n">
        <x:v>96.8</x:v>
      </x:c>
      <x:c r="L39" s="31" t="n">
        <x:v>93.8</x:v>
      </x:c>
      <x:c r="M39" s="31" t="n">
        <x:v>99.4</x:v>
      </x:c>
      <x:c r="N39" s="31" t="n">
        <x:v>89</x:v>
      </x:c>
      <x:c r="O39" s="30" t="str">
        <x:v>https://www.topuniversities.com/universities/delft-university-technology</x:v>
      </x:c>
    </x:row>
    <x:row r="40">
      <x:c r="A40" s="17" t="n">
        <x:f>35</x:f>
        <x:v>35</x:v>
      </x:c>
      <x:c r="B40" s="17" t="n">
        <x:v>35</x:v>
      </x:c>
      <x:c r="C40" s="17" t="str">
        <x:v>Michigan State University</x:v>
      </x:c>
      <x:c r="D40" s="17" t="str">
        <x:v>East Lansing, United States</x:v>
      </x:c>
      <x:c r="E40" s="17" t="str">
        <x:v>United States</x:v>
      </x:c>
      <x:c r="F40" s="31" t="n">
        <x:v>94.8</x:v>
      </x:c>
      <x:c r="G40" s="31" t="n">
        <x:v>75.8</x:v>
      </x:c>
      <x:c r="H40" s="31" t="n">
        <x:v>96</x:v>
      </x:c>
      <x:c r="I40" s="31" t="n">
        <x:v>97.9</x:v>
      </x:c>
      <x:c r="J40" s="31" t="n">
        <x:v>98.1</x:v>
      </x:c>
      <x:c r="K40" s="31" t="n">
        <x:v>99.5</x:v>
      </x:c>
      <x:c r="L40" s="31" t="n">
        <x:v>86.1</x:v>
      </x:c>
      <x:c r="M40" s="31" t="n">
        <x:v>97.2</x:v>
      </x:c>
      <x:c r="N40" s="31" t="n">
        <x:v>96.9</x:v>
      </x:c>
      <x:c r="O40" s="30" t="str">
        <x:v>https://www.topuniversities.com/universities/michigan-state-university</x:v>
      </x:c>
    </x:row>
    <x:row r="41">
      <x:c r="A41" s="17" t="str">
        <x:v>37</x:v>
      </x:c>
      <x:c r="B41" s="17" t="n">
        <x:v>37</x:v>
      </x:c>
      <x:c r="C41" s="17" t="str">
        <x:v>Monash University</x:v>
      </x:c>
      <x:c r="D41" s="17" t="str">
        <x:v>Melbourne, Australia</x:v>
      </x:c>
      <x:c r="E41" s="17" t="str">
        <x:v>Australia</x:v>
      </x:c>
      <x:c r="F41" s="31" t="n">
        <x:v>94.6</x:v>
      </x:c>
      <x:c r="G41" s="31" t="n">
        <x:v>77.2</x:v>
      </x:c>
      <x:c r="H41" s="31" t="n">
        <x:v>93.9</x:v>
      </x:c>
      <x:c r="I41" s="31" t="n">
        <x:v>92.3</x:v>
      </x:c>
      <x:c r="J41" s="31" t="n">
        <x:v>94.3</x:v>
      </x:c>
      <x:c r="K41" s="31" t="n">
        <x:v>98.1</x:v>
      </x:c>
      <x:c r="L41" s="31" t="n">
        <x:v>97.8</x:v>
      </x:c>
      <x:c r="M41" s="31" t="n">
        <x:v>98.9</x:v>
      </x:c>
      <x:c r="N41" s="31" t="n">
        <x:v>98.9</x:v>
      </x:c>
      <x:c r="O41" s="30" t="str">
        <x:v>https://www.topuniversities.com/universities/monash-university</x:v>
      </x:c>
    </x:row>
    <x:row r="42">
      <x:c r="A42" s="17" t="n">
        <x:f>37</x:f>
        <x:v>37</x:v>
      </x:c>
      <x:c r="B42" s="17" t="n">
        <x:v>37</x:v>
      </x:c>
      <x:c r="C42" s="17" t="str">
        <x:v>Seoul National University</x:v>
      </x:c>
      <x:c r="D42" s="17" t="str">
        <x:v>Seoul, South Korea</x:v>
      </x:c>
      <x:c r="E42" s="17" t="str">
        <x:v>South Korea</x:v>
      </x:c>
      <x:c r="F42" s="31" t="n">
        <x:v>94.5</x:v>
      </x:c>
      <x:c r="G42" s="31" t="n">
        <x:v>90.9</x:v>
      </x:c>
      <x:c r="H42" s="31" t="n">
        <x:v>98.4</x:v>
      </x:c>
      <x:c r="I42" s="31" t="n">
        <x:v>98.5</x:v>
      </x:c>
      <x:c r="J42" s="31" t="n">
        <x:v>75.5</x:v>
      </x:c>
      <x:c r="K42" s="31" t="n">
        <x:v>93.9</x:v>
      </x:c>
      <x:c r="L42" s="31" t="n">
        <x:v>93.6</x:v>
      </x:c>
      <x:c r="M42" s="31" t="n">
        <x:v>99.4</x:v>
      </x:c>
      <x:c r="N42" s="31" t="n">
        <x:v>94.5</x:v>
      </x:c>
      <x:c r="O42" s="30" t="str">
        <x:v>https://www.topuniversities.com/universities/seoul-national-university</x:v>
      </x:c>
    </x:row>
    <x:row r="43">
      <x:c r="A43" s="17" t="n">
        <x:f>37</x:f>
        <x:v>37</x:v>
      </x:c>
      <x:c r="B43" s="17" t="n">
        <x:v>37</x:v>
      </x:c>
      <x:c r="C43" s="17" t="str">
        <x:v>University of Nottingham</x:v>
      </x:c>
      <x:c r="D43" s="17" t="str">
        <x:v>Nottingham, United Kingdom</x:v>
      </x:c>
      <x:c r="E43" s="17" t="str">
        <x:v>United Kingdom</x:v>
      </x:c>
      <x:c r="F43" s="31" t="n">
        <x:v>94.5</x:v>
      </x:c>
      <x:c r="G43" s="31" t="n">
        <x:v>70.2</x:v>
      </x:c>
      <x:c r="H43" s="31" t="n">
        <x:v>93.2</x:v>
      </x:c>
      <x:c r="I43" s="31" t="n">
        <x:v>97.4</x:v>
      </x:c>
      <x:c r="J43" s="31" t="n">
        <x:v>99.4</x:v>
      </x:c>
      <x:c r="K43" s="31" t="n">
        <x:v>98.7</x:v>
      </x:c>
      <x:c r="L43" s="31" t="n">
        <x:v>93.1</x:v>
      </x:c>
      <x:c r="M43" s="31" t="n">
        <x:v>98.4</x:v>
      </x:c>
      <x:c r="N43" s="31" t="n">
        <x:v>99.5</x:v>
      </x:c>
      <x:c r="O43" s="30" t="str">
        <x:v>https://www.topuniversities.com/universities/university-nottingham</x:v>
      </x:c>
    </x:row>
    <x:row r="44">
      <x:c r="A44" s="17" t="str">
        <x:v>39</x:v>
      </x:c>
      <x:c r="B44" s="17" t="n">
        <x:v>39</x:v>
      </x:c>
      <x:c r="C44" s="17" t="str">
        <x:v>University of York</x:v>
      </x:c>
      <x:c r="D44" s="17" t="str">
        <x:v>York, United Kingdom</x:v>
      </x:c>
      <x:c r="E44" s="17" t="str">
        <x:v>United Kingdom</x:v>
      </x:c>
      <x:c r="F44" s="31" t="n">
        <x:v>94.2</x:v>
      </x:c>
      <x:c r="G44" s="31" t="n">
        <x:v>73.1</x:v>
      </x:c>
      <x:c r="H44" s="31" t="n">
        <x:v>93.7</x:v>
      </x:c>
      <x:c r="I44" s="31" t="n">
        <x:v>97.5</x:v>
      </x:c>
      <x:c r="J44" s="31" t="n">
        <x:v>96.8</x:v>
      </x:c>
      <x:c r="K44" s="31" t="n">
        <x:v>99.9</x:v>
      </x:c>
      <x:c r="L44" s="31" t="n">
        <x:v>93.1</x:v>
      </x:c>
      <x:c r="M44" s="31" t="n">
        <x:v>92.7</x:v>
      </x:c>
      <x:c r="N44" s="31" t="n">
        <x:v>100</x:v>
      </x:c>
      <x:c r="O44" s="30" t="str">
        <x:v>https://www.topuniversities.com/universities/university-york</x:v>
      </x:c>
    </x:row>
    <x:row r="45">
      <x:c r="A45" s="17" t="str">
        <x:v>40</x:v>
      </x:c>
      <x:c r="B45" s="17" t="n">
        <x:v>40</x:v>
      </x:c>
      <x:c r="C45" s="17" t="str">
        <x:v>Boston University</x:v>
      </x:c>
      <x:c r="D45" s="17" t="str">
        <x:v>Boston, United States</x:v>
      </x:c>
      <x:c r="E45" s="17" t="str">
        <x:v>United States</x:v>
      </x:c>
      <x:c r="F45" s="31" t="n">
        <x:v>94.1</x:v>
      </x:c>
      <x:c r="G45" s="31" t="n">
        <x:v>85.6</x:v>
      </x:c>
      <x:c r="H45" s="31" t="n">
        <x:v>97</x:v>
      </x:c>
      <x:c r="I45" s="31" t="n">
        <x:v>97.8</x:v>
      </x:c>
      <x:c r="J45" s="31" t="n">
        <x:v>95.5</x:v>
      </x:c>
      <x:c r="K45" s="31" t="n">
        <x:v>96.7</x:v>
      </x:c>
      <x:c r="L45" s="31" t="n">
        <x:v>86.1</x:v>
      </x:c>
      <x:c r="M45" s="31" t="n">
        <x:v>98.7</x:v>
      </x:c>
      <x:c r="N45" s="31" t="n">
        <x:v>79</x:v>
      </x:c>
      <x:c r="O45" s="30" t="str">
        <x:v>https://www.topuniversities.com/universities/boston-university</x:v>
      </x:c>
    </x:row>
    <x:row r="46">
      <x:c r="A46" s="17" t="n">
        <x:f>41</x:f>
        <x:v>41</x:v>
      </x:c>
      <x:c r="B46" s="17" t="n">
        <x:v>41</x:v>
      </x:c>
      <x:c r="C46" s="17" t="str">
        <x:v>Johns Hopkins University</x:v>
      </x:c>
      <x:c r="D46" s="17" t="str">
        <x:v>Baltimore, United States</x:v>
      </x:c>
      <x:c r="E46" s="17" t="str">
        <x:v>United States</x:v>
      </x:c>
      <x:c r="F46" s="31" t="n">
        <x:v>94</x:v>
      </x:c>
      <x:c r="G46" s="31" t="n">
        <x:v>74.8</x:v>
      </x:c>
      <x:c r="H46" s="31" t="n">
        <x:v>97.6</x:v>
      </x:c>
      <x:c r="I46" s="31" t="n">
        <x:v>97</x:v>
      </x:c>
      <x:c r="J46" s="31" t="n">
        <x:v>95.3</x:v>
      </x:c>
      <x:c r="K46" s="31" t="n">
        <x:v>99.5</x:v>
      </x:c>
      <x:c r="L46" s="31" t="n">
        <x:v>88.1</x:v>
      </x:c>
      <x:c r="M46" s="31" t="n">
        <x:v>98.3</x:v>
      </x:c>
      <x:c r="N46" s="31" t="n">
        <x:v>89.5</x:v>
      </x:c>
      <x:c r="O46" s="30" t="str">
        <x:v>https://www.topuniversities.com/universities/johns-hopkins-university</x:v>
      </x:c>
    </x:row>
    <x:row r="47">
      <x:c r="A47" s="17" t="n">
        <x:f>43</x:f>
        <x:v>43</x:v>
      </x:c>
      <x:c r="B47" s="17" t="n">
        <x:v>43</x:v>
      </x:c>
      <x:c r="C47" s="17" t="str">
        <x:v>Massachusetts Institute of Technology (MIT)</x:v>
      </x:c>
      <x:c r="D47" s="17" t="str">
        <x:v>Cambridge, United States</x:v>
      </x:c>
      <x:c r="E47" s="17" t="str">
        <x:v>United States</x:v>
      </x:c>
      <x:c r="F47" s="31" t="n">
        <x:v>93.9</x:v>
      </x:c>
      <x:c r="G47" s="31" t="n">
        <x:v>85.1</x:v>
      </x:c>
      <x:c r="H47" s="31" t="n">
        <x:v>100</x:v>
      </x:c>
      <x:c r="I47" s="31" t="n">
        <x:v>98.4</x:v>
      </x:c>
      <x:c r="J47" s="31" t="n">
        <x:v>90.2</x:v>
      </x:c>
      <x:c r="K47" s="31" t="n">
        <x:v>97.7</x:v>
      </x:c>
      <x:c r="L47" s="31" t="n">
        <x:v>88</x:v>
      </x:c>
      <x:c r="M47" s="31" t="n">
        <x:v>99.1</x:v>
      </x:c>
      <x:c r="N47" s="31" t="n">
        <x:v>74.8</x:v>
      </x:c>
      <x:c r="O47" s="30" t="str">
        <x:v>https://www.topuniversities.com/universities/massachusetts-institute-technology-mit</x:v>
      </x:c>
    </x:row>
    <x:row r="48">
      <x:c r="A48" s="17" t="n">
        <x:f>43</x:f>
        <x:v>43</x:v>
      </x:c>
      <x:c r="B48" s="17" t="n">
        <x:v>43</x:v>
      </x:c>
      <x:c r="C48" s="17" t="str">
        <x:v>University of Birmingham</x:v>
      </x:c>
      <x:c r="D48" s="17" t="str">
        <x:v>Birmingham, United Kingdom</x:v>
      </x:c>
      <x:c r="E48" s="17" t="str">
        <x:v>United Kingdom</x:v>
      </x:c>
      <x:c r="F48" s="31" t="n">
        <x:v>93.9</x:v>
      </x:c>
      <x:c r="G48" s="31" t="n">
        <x:v>74.1</x:v>
      </x:c>
      <x:c r="H48" s="31" t="n">
        <x:v>85.4</x:v>
      </x:c>
      <x:c r="I48" s="31" t="n">
        <x:v>97.8</x:v>
      </x:c>
      <x:c r="J48" s="31" t="n">
        <x:v>96.6</x:v>
      </x:c>
      <x:c r="K48" s="31" t="n">
        <x:v>99.5</x:v>
      </x:c>
      <x:c r="L48" s="31" t="n">
        <x:v>97.3</x:v>
      </x:c>
      <x:c r="M48" s="31" t="n">
        <x:v>98.3</x:v>
      </x:c>
      <x:c r="N48" s="31" t="n">
        <x:v>99.6</x:v>
      </x:c>
      <x:c r="O48" s="30" t="str">
        <x:v>https://www.topuniversities.com/universities/university-birmingham</x:v>
      </x:c>
    </x:row>
    <x:row r="49">
      <x:c r="A49" s="17" t="str">
        <x:v>45</x:v>
      </x:c>
      <x:c r="B49" s="17" t="n">
        <x:v>45</x:v>
      </x:c>
      <x:c r="C49" s="17" t="str">
        <x:v>Université Paris-Saclay</x:v>
      </x:c>
      <x:c r="D49" s="17" t="str">
        <x:v>Paris, France</x:v>
      </x:c>
      <x:c r="E49" s="17" t="str">
        <x:v>France</x:v>
      </x:c>
      <x:c r="F49" s="31" t="n">
        <x:v>93.8</x:v>
      </x:c>
      <x:c r="G49" s="31" t="n">
        <x:v>74.3</x:v>
      </x:c>
      <x:c r="H49" s="31" t="n">
        <x:v>94.4</x:v>
      </x:c>
      <x:c r="I49" s="31" t="n">
        <x:v>98.3</x:v>
      </x:c>
      <x:c r="J49" s="31" t="n">
        <x:v>96.2</x:v>
      </x:c>
      <x:c r="K49" s="31" t="n">
        <x:v>95.3</x:v>
      </x:c>
      <x:c r="L49" s="31" t="n">
        <x:v>95.1</x:v>
      </x:c>
      <x:c r="M49" s="31" t="n">
        <x:v>94.9</x:v>
      </x:c>
      <x:c r="N49" s="31" t="n">
        <x:v>95.6</x:v>
      </x:c>
      <x:c r="O49" s="30" t="str">
        <x:v>https://www.topuniversities.com/universities/universite-paris-saclay</x:v>
      </x:c>
    </x:row>
    <x:row r="50">
      <x:c r="A50" s="17" t="str">
        <x:v>46</x:v>
      </x:c>
      <x:c r="B50" s="17" t="n">
        <x:v>46</x:v>
      </x:c>
      <x:c r="C50" s="17" t="str">
        <x:v>Universität Hamburg</x:v>
      </x:c>
      <x:c r="D50" s="17" t="str">
        <x:v>Hamburg, Germany</x:v>
      </x:c>
      <x:c r="E50" s="17" t="str">
        <x:v>Germany</x:v>
      </x:c>
      <x:c r="F50" s="31" t="n">
        <x:v>93.7</x:v>
      </x:c>
      <x:c r="G50" s="31" t="n">
        <x:v>86.1</x:v>
      </x:c>
      <x:c r="H50" s="31" t="n">
        <x:v>87</x:v>
      </x:c>
      <x:c r="I50" s="31" t="n">
        <x:v>96.5</x:v>
      </x:c>
      <x:c r="J50" s="31" t="n">
        <x:v>95.7</x:v>
      </x:c>
      <x:c r="K50" s="31" t="n">
        <x:v>93.1</x:v>
      </x:c>
      <x:c r="L50" s="31" t="n">
        <x:v>94.5</x:v>
      </x:c>
      <x:c r="M50" s="31" t="n">
        <x:v>94.8</x:v>
      </x:c>
      <x:c r="N50" s="31" t="n">
        <x:v>95.2</x:v>
      </x:c>
      <x:c r="O50" s="30" t="str">
        <x:v>https://www.topuniversities.com/universities/universitat-hamburg</x:v>
      </x:c>
    </x:row>
    <x:row r="51">
      <x:c r="A51" s="17" t="str">
        <x:v>47</x:v>
      </x:c>
      <x:c r="B51" s="17" t="n">
        <x:v>47</x:v>
      </x:c>
      <x:c r="C51" s="17" t="str">
        <x:v>University College Dublin</x:v>
      </x:c>
      <x:c r="D51" s="17" t="str">
        <x:v>Dublin, Ireland</x:v>
      </x:c>
      <x:c r="E51" s="17" t="str">
        <x:v>Ireland</x:v>
      </x:c>
      <x:c r="F51" s="31" t="n">
        <x:v>93.6</x:v>
      </x:c>
      <x:c r="G51" s="31" t="n">
        <x:v>79.8</x:v>
      </x:c>
      <x:c r="H51" s="31" t="n">
        <x:v>87.1</x:v>
      </x:c>
      <x:c r="I51" s="31" t="n">
        <x:v>98.1</x:v>
      </x:c>
      <x:c r="J51" s="31" t="n">
        <x:v>99.5</x:v>
      </x:c>
      <x:c r="K51" s="31" t="n">
        <x:v>96.9</x:v>
      </x:c>
      <x:c r="L51" s="31" t="n">
        <x:v>81.2</x:v>
      </x:c>
      <x:c r="M51" s="31" t="n">
        <x:v>96.1</x:v>
      </x:c>
      <x:c r="N51" s="31" t="n">
        <x:v>99.1</x:v>
      </x:c>
      <x:c r="O51" s="30" t="str">
        <x:v>https://www.topuniversities.com/universities/university-college-dublin</x:v>
      </x:c>
    </x:row>
    <x:row r="52">
      <x:c r="A52" s="17" t="n">
        <x:f>48</x:f>
        <x:v>48</x:v>
      </x:c>
      <x:c r="B52" s="17" t="n">
        <x:v>48</x:v>
      </x:c>
      <x:c r="C52" s="17" t="str">
        <x:v>The University of Tokyo</x:v>
      </x:c>
      <x:c r="D52" s="17" t="str">
        <x:v>Tokyo, Japan</x:v>
      </x:c>
      <x:c r="E52" s="17" t="str">
        <x:v>Japan</x:v>
      </x:c>
      <x:c r="F52" s="31" t="n">
        <x:v>93.5</x:v>
      </x:c>
      <x:c r="G52" s="31" t="n">
        <x:v>93.1</x:v>
      </x:c>
      <x:c r="H52" s="31" t="n">
        <x:v>100</x:v>
      </x:c>
      <x:c r="I52" s="31" t="n">
        <x:v>97.6</x:v>
      </x:c>
      <x:c r="J52" s="31" t="n">
        <x:v>73</x:v>
      </x:c>
      <x:c r="K52" s="31" t="n">
        <x:v>98.6</x:v>
      </x:c>
      <x:c r="L52" s="31" t="n">
        <x:v>87.3</x:v>
      </x:c>
      <x:c r="M52" s="31" t="n">
        <x:v>99.1</x:v>
      </x:c>
      <x:c r="N52" s="31" t="n">
        <x:v>80.8</x:v>
      </x:c>
      <x:c r="O52" s="30" t="str">
        <x:v>https://www.topuniversities.com/universities/university-tokyo</x:v>
      </x:c>
    </x:row>
    <x:row r="53">
      <x:c r="A53" s="17" t="n">
        <x:f>48</x:f>
        <x:v>48</x:v>
      </x:c>
      <x:c r="B53" s="17" t="n">
        <x:v>48</x:v>
      </x:c>
      <x:c r="C53" s="17" t="str">
        <x:v>University of Exeter</x:v>
      </x:c>
      <x:c r="D53" s="17" t="str">
        <x:v>Exeter, United Kingdom</x:v>
      </x:c>
      <x:c r="E53" s="17" t="str">
        <x:v>United Kingdom</x:v>
      </x:c>
      <x:c r="F53" s="31" t="n">
        <x:v>93.5</x:v>
      </x:c>
      <x:c r="G53" s="31" t="n">
        <x:v>72.8</x:v>
      </x:c>
      <x:c r="H53" s="31" t="n">
        <x:v>95.5</x:v>
      </x:c>
      <x:c r="I53" s="31" t="n">
        <x:v>98</x:v>
      </x:c>
      <x:c r="J53" s="31" t="n">
        <x:v>97.2</x:v>
      </x:c>
      <x:c r="K53" s="31" t="n">
        <x:v>99</x:v>
      </x:c>
      <x:c r="L53" s="31" t="n">
        <x:v>89.7</x:v>
      </x:c>
      <x:c r="M53" s="31" t="n">
        <x:v>96.3</x:v>
      </x:c>
      <x:c r="N53" s="31" t="n">
        <x:v>88.1</x:v>
      </x:c>
      <x:c r="O53" s="30" t="str">
        <x:v>https://www.topuniversities.com/universities/university-exeter</x:v>
      </x:c>
    </x:row>
    <x:row r="54">
      <x:c r="A54" s="17" t="n">
        <x:f>50</x:f>
        <x:v>50</x:v>
      </x:c>
      <x:c r="B54" s="17" t="n">
        <x:v>50</x:v>
      </x:c>
      <x:c r="C54" s="17" t="str">
        <x:v>The University of Queensland</x:v>
      </x:c>
      <x:c r="D54" s="17" t="str">
        <x:v>Brisbane City, Australia</x:v>
      </x:c>
      <x:c r="E54" s="17" t="str">
        <x:v>Australia</x:v>
      </x:c>
      <x:c r="F54" s="31" t="n">
        <x:v>93.3</x:v>
      </x:c>
      <x:c r="G54" s="31" t="n">
        <x:v>65</x:v>
      </x:c>
      <x:c r="H54" s="31" t="n">
        <x:v>98.3</x:v>
      </x:c>
      <x:c r="I54" s="31" t="n">
        <x:v>92.4</x:v>
      </x:c>
      <x:c r="J54" s="31" t="n">
        <x:v>97</x:v>
      </x:c>
      <x:c r="K54" s="31" t="n">
        <x:v>97.7</x:v>
      </x:c>
      <x:c r="L54" s="31" t="n">
        <x:v>96.7</x:v>
      </x:c>
      <x:c r="M54" s="31" t="n">
        <x:v>98.7</x:v>
      </x:c>
      <x:c r="N54" s="31" t="n">
        <x:v>93.6</x:v>
      </x:c>
      <x:c r="O54" s="30" t="str">
        <x:v>https://www.topuniversities.com/universities/university-queensland</x:v>
      </x:c>
    </x:row>
    <x:row r="55">
      <x:c r="A55" s="17" t="n">
        <x:f>50</x:f>
        <x:v>50</x:v>
      </x:c>
      <x:c r="B55" s="17" t="n">
        <x:v>50</x:v>
      </x:c>
      <x:c r="C55" s="17" t="str">
        <x:v>University of Gothenburg</x:v>
      </x:c>
      <x:c r="D55" s="17" t="str">
        <x:v>Gothenburg, Sweden</x:v>
      </x:c>
      <x:c r="E55" s="17" t="str">
        <x:v>Sweden</x:v>
      </x:c>
      <x:c r="F55" s="31" t="n">
        <x:v>93.3</x:v>
      </x:c>
      <x:c r="G55" s="31" t="n">
        <x:v>86.3</x:v>
      </x:c>
      <x:c r="H55" s="31" t="n">
        <x:v>85.6</x:v>
      </x:c>
      <x:c r="I55" s="31" t="n">
        <x:v>98.9</x:v>
      </x:c>
      <x:c r="J55" s="31" t="n">
        <x:v>98.1</x:v>
      </x:c>
      <x:c r="K55" s="31" t="n">
        <x:v>98.8</x:v>
      </x:c>
      <x:c r="L55" s="31" t="n">
        <x:v>94.7</x:v>
      </x:c>
      <x:c r="M55" s="31" t="n">
        <x:v>80.9</x:v>
      </x:c>
      <x:c r="N55" s="31" t="n">
        <x:v>93.9</x:v>
      </x:c>
      <x:c r="O55" s="30" t="str">
        <x:v>https://www.topuniversities.com/universities/university-gothenburg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e030363d6f34d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38" hidden="0" customWidth="1"/>
    <x:col min="4" max="4" width="20" hidden="0" customWidth="1"/>
    <x:col min="5" max="5" width="13" hidden="0" customWidth="1"/>
    <x:col min="6" max="6" width="13" hidden="0" customWidth="1"/>
    <x:col min="7" max="7" width="68" hidden="0" customWidth="1"/>
    <x:col min="8" max="8" width="52" hidden="0" customWidth="1"/>
  </x:cols>
  <x:sheetData>
    <x:row r="1" ht="28" customHeight="1">
      <x:c r="A1" s="3" t="str">
        <x:v>THE Sustainability Impact Ratings 2026 - Rank &lt;= 50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Official THE sustainability ranking (formerly THE Impact Rankings). There are 51 records because published rank 49 is tied.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3" t="str">
        <x:v>Rank</x:v>
      </x:c>
      <x:c r="B4" s="13" t="str">
        <x:v>Rank Number</x:v>
      </x:c>
      <x:c r="C4" s="13" t="str">
        <x:v>University</x:v>
      </x:c>
      <x:c r="D4" s="13" t="str">
        <x:v>Country</x:v>
      </x:c>
      <x:c r="E4" s="13" t="str">
        <x:v>Overall Score</x:v>
      </x:c>
      <x:c r="F4" s="13" t="str">
        <x:v>SDG 17 Score</x:v>
      </x:c>
      <x:c r="G4" s="13" t="str">
        <x:v>Top SDG Scores (published text)</x:v>
      </x:c>
      <x:c r="H4" s="13" t="str">
        <x:v>THE Profile URL</x:v>
      </x:c>
    </x:row>
    <x:row r="5">
      <x:c r="A5" s="17" t="str">
        <x:v>1</x:v>
      </x:c>
      <x:c r="B5" s="17" t="n">
        <x:v>1</x:v>
      </x:c>
      <x:c r="C5" s="17" t="str">
        <x:v>University of Manchester</x:v>
      </x:c>
      <x:c r="D5" s="17" t="str">
        <x:v>United Kingdom</x:v>
      </x:c>
      <x:c r="E5" s="31" t="n">
        <x:v>98.5</x:v>
      </x:c>
      <x:c r="F5" s="31" t="n">
        <x:v>93.8</x:v>
      </x:c>
      <x:c r="G5" s="17" t="str">
        <x:v>15 LIFE ON LAND 96.9 14 LIFE BELOW WATER 95.6 12 RESPONSIBLE CONSUMPTION AND PRODUCTION 93.2</x:v>
      </x:c>
      <x:c r="H5" s="30" t="str">
        <x:v>https://www.timeshighereducation.com/world-university-rankings/university-manchester</x:v>
      </x:c>
    </x:row>
    <x:row r="6">
      <x:c r="A6" s="17" t="str">
        <x:v>2</x:v>
      </x:c>
      <x:c r="B6" s="17" t="n">
        <x:v>2</x:v>
      </x:c>
      <x:c r="C6" s="17" t="str">
        <x:v>Griffith University</x:v>
      </x:c>
      <x:c r="D6" s="17" t="str">
        <x:v>Australia</x:v>
      </x:c>
      <x:c r="E6" s="31" t="n">
        <x:v>97.9</x:v>
      </x:c>
      <x:c r="F6" s="31" t="n">
        <x:v>95.6</x:v>
      </x:c>
      <x:c r="G6" s="17" t="str">
        <x:v>14 LIFE BELOW WATER 95.6 6 CLEAN WATER AND SANITATION 92.4 15 LIFE ON LAND 94.7</x:v>
      </x:c>
      <x:c r="H6" s="30" t="str">
        <x:v>https://www.timeshighereducation.com/world-university-rankings/griffith-university</x:v>
      </x:c>
    </x:row>
    <x:row r="7">
      <x:c r="A7" s="17" t="str">
        <x:v>3</x:v>
      </x:c>
      <x:c r="B7" s="17" t="n">
        <x:v>3</x:v>
      </x:c>
      <x:c r="C7" s="17" t="str">
        <x:v>Western Sydney University</x:v>
      </x:c>
      <x:c r="D7" s="17" t="str">
        <x:v>Australia</x:v>
      </x:c>
      <x:c r="E7" s="31" t="n">
        <x:v>97.8</x:v>
      </x:c>
      <x:c r="F7" s="31" t="n">
        <x:v>94.3</x:v>
      </x:c>
      <x:c r="G7" s="17" t="str">
        <x:v>15 LIFE ON LAND 95.9 12 RESPONSIBLE CONSUMPTION AND PRODUCTION 92.0 10 REDUCING INEQUALITIES 92.3</x:v>
      </x:c>
      <x:c r="H7" s="30" t="str">
        <x:v>https://www.timeshighereducation.com/world-university-rankings/western-sydney-university</x:v>
      </x:c>
    </x:row>
    <x:row r="8">
      <x:c r="A8" s="17" t="str">
        <x:v>4</x:v>
      </x:c>
      <x:c r="B8" s="17" t="n">
        <x:v>4</x:v>
      </x:c>
      <x:c r="C8" s="17" t="str">
        <x:v>Queen’s University</x:v>
      </x:c>
      <x:c r="D8" s="17" t="str">
        <x:v>Canada</x:v>
      </x:c>
      <x:c r="E8" s="31" t="n">
        <x:v>97.5</x:v>
      </x:c>
      <x:c r="F8" s="31" t="n">
        <x:v>93.5</x:v>
      </x:c>
      <x:c r="G8" s="17" t="str">
        <x:v>2 ZERO HUNGER 92.2 11 SUSTAINABLE CITIES AND COMMUNITIES 93.6 16 PEACE, JUSTICE AND STRONG INSTITUTIONS 87.5</x:v>
      </x:c>
      <x:c r="H8" s="30" t="str">
        <x:v>https://www.timeshighereducation.com/world-university-rankings/queens-university</x:v>
      </x:c>
    </x:row>
    <x:row r="9">
      <x:c r="A9" s="17" t="str">
        <x:v>5</x:v>
      </x:c>
      <x:c r="B9" s="17" t="n">
        <x:v>5</x:v>
      </x:c>
      <x:c r="C9" s="17" t="str">
        <x:v>Universiti Sains Malaysia</x:v>
      </x:c>
      <x:c r="D9" s="17" t="str">
        <x:v>Malaysia</x:v>
      </x:c>
      <x:c r="E9" s="31" t="n">
        <x:v>97.3</x:v>
      </x:c>
      <x:c r="F9" s="31" t="n">
        <x:v>99.6</x:v>
      </x:c>
      <x:c r="G9" s="17" t="str">
        <x:v>1 NO POVERTY 92.5 14 LIFE BELOW WATER 91.1 15 LIFE ON LAND 91.7</x:v>
      </x:c>
      <x:c r="H9" s="30" t="str">
        <x:v>https://www.timeshighereducation.com/world-university-rankings/universiti-sains-malaysia</x:v>
      </x:c>
    </x:row>
    <x:row r="10">
      <x:c r="A10" s="17" t="str">
        <x:v>6</x:v>
      </x:c>
      <x:c r="B10" s="17" t="n">
        <x:v>6</x:v>
      </x:c>
      <x:c r="C10" s="17" t="str">
        <x:v>Hanyang University</x:v>
      </x:c>
      <x:c r="D10" s="17" t="str">
        <x:v>South Korea</x:v>
      </x:c>
      <x:c r="E10" s="31" t="n">
        <x:v>96.8</x:v>
      </x:c>
      <x:c r="F10" s="31" t="n">
        <x:v>95.2</x:v>
      </x:c>
      <x:c r="G10" s="17" t="str">
        <x:v>9 INDUSTRY, INNOVATION, AND INFRASTRUCTURE 99.9 14 LIFE BELOW WATER 91.6 8 DECENT WORK AND ECONOMIC GROWTH 85.8</x:v>
      </x:c>
      <x:c r="H10" s="30" t="str">
        <x:v>https://www.timeshighereducation.com/world-university-rankings/hanyang-university</x:v>
      </x:c>
    </x:row>
    <x:row r="11">
      <x:c r="A11" s="17" t="n">
        <x:f>7</x:f>
        <x:v>7</x:v>
      </x:c>
      <x:c r="B11" s="17" t="n">
        <x:v>7</x:v>
      </x:c>
      <x:c r="C11" s="17" t="str">
        <x:v>Hokkaido University</x:v>
      </x:c>
      <x:c r="D11" s="17" t="str">
        <x:v>Japan</x:v>
      </x:c>
      <x:c r="E11" s="31" t="n">
        <x:v>96.3</x:v>
      </x:c>
      <x:c r="F11" s="31" t="n">
        <x:v>94.1</x:v>
      </x:c>
      <x:c r="G11" s="17" t="str">
        <x:v>2 ZERO HUNGER 91.4 9 INDUSTRY, INNOVATION, AND INFRASTRUCTURE 98.0 15 LIFE ON LAND 92.3</x:v>
      </x:c>
      <x:c r="H11" s="30" t="str">
        <x:v>https://www.timeshighereducation.com/world-university-rankings/hokkaido-university</x:v>
      </x:c>
    </x:row>
    <x:row r="12">
      <x:c r="A12" s="17" t="n">
        <x:f>7</x:f>
        <x:v>7</x:v>
      </x:c>
      <x:c r="B12" s="17" t="n">
        <x:v>7</x:v>
      </x:c>
      <x:c r="C12" s="17" t="str">
        <x:v>Universiti Kebangsaan Malaysia</x:v>
      </x:c>
      <x:c r="D12" s="17" t="str">
        <x:v>Malaysia</x:v>
      </x:c>
      <x:c r="E12" s="31" t="n">
        <x:v>96.3</x:v>
      </x:c>
      <x:c r="F12" s="31" t="n">
        <x:v>96.5</x:v>
      </x:c>
      <x:c r="G12" s="17" t="str">
        <x:v>16 PEACE, JUSTICE AND STRONG INSTITUTIONS 90.8 11 SUSTAINABLE CITIES AND COMMUNITIES 92.8 1 NO POVERTY 90.6</x:v>
      </x:c>
      <x:c r="H12" s="30" t="str">
        <x:v>https://www.timeshighereducation.com/world-university-rankings/universiti-kebangsaan-malaysia</x:v>
      </x:c>
    </x:row>
    <x:row r="13">
      <x:c r="A13" s="17" t="str">
        <x:v>9</x:v>
      </x:c>
      <x:c r="B13" s="17" t="n">
        <x:v>9</x:v>
      </x:c>
      <x:c r="C13" s="17" t="str">
        <x:v>Institut Agro</x:v>
      </x:c>
      <x:c r="D13" s="17" t="str">
        <x:v>France</x:v>
      </x:c>
      <x:c r="E13" s="31" t="n">
        <x:v>96.1</x:v>
      </x:c>
      <x:c r="F13" s="31" t="n">
        <x:v>98.9</x:v>
      </x:c>
      <x:c r="G13" s="17" t="str">
        <x:v>15 LIFE ON LAND 95.2 2 ZERO HUNGER 89.8 14 LIFE BELOW WATER 90.7</x:v>
      </x:c>
      <x:c r="H13" s="30" t="str">
        <x:v>https://www.timeshighereducation.com/world-university-rankings/institut-agro</x:v>
      </x:c>
    </x:row>
    <x:row r="14">
      <x:c r="A14" s="17" t="n">
        <x:f>10</x:f>
        <x:v>10</x:v>
      </x:c>
      <x:c r="B14" s="17" t="n">
        <x:v>10</x:v>
      </x:c>
      <x:c r="C14" s="17" t="str">
        <x:v>National Taiwan University (NTU)</x:v>
      </x:c>
      <x:c r="D14" s="17" t="str">
        <x:v>Taiwan</x:v>
      </x:c>
      <x:c r="E14" s="31" t="n">
        <x:v>96</x:v>
      </x:c>
      <x:c r="F14" s="31"/>
      <x:c r="G14" s="17" t="str">
        <x:v>9 INDUSTRY, INNOVATION, AND INFRASTRUCTURE 99.9 2 ZERO HUNGER 91.1 3 GOOD HEALTH AND WELL-BEING 91.8</x:v>
      </x:c>
      <x:c r="H14" s="30" t="str">
        <x:v>https://www.timeshighereducation.com/world-university-rankings/national-taiwan-university-ntu</x:v>
      </x:c>
    </x:row>
    <x:row r="15">
      <x:c r="A15" s="17" t="n">
        <x:f>10</x:f>
        <x:v>10</x:v>
      </x:c>
      <x:c r="B15" s="17" t="n">
        <x:v>10</x:v>
      </x:c>
      <x:c r="C15" s="17" t="str">
        <x:v>University of Alberta</x:v>
      </x:c>
      <x:c r="D15" s="17" t="str">
        <x:v>Canada</x:v>
      </x:c>
      <x:c r="E15" s="31" t="n">
        <x:v>96</x:v>
      </x:c>
      <x:c r="F15" s="31" t="n">
        <x:v>92.9</x:v>
      </x:c>
      <x:c r="G15" s="17" t="str">
        <x:v>9 INDUSTRY, INNOVATION, AND INFRASTRUCTURE 100.0 14 LIFE BELOW WATER 93.0 2 ZERO HUNGER 86.7</x:v>
      </x:c>
      <x:c r="H15" s="30" t="str">
        <x:v>https://www.timeshighereducation.com/world-university-rankings/university-alberta</x:v>
      </x:c>
    </x:row>
    <x:row r="16">
      <x:c r="A16" s="17" t="n">
        <x:f>12</x:f>
        <x:v>12</x:v>
      </x:c>
      <x:c r="B16" s="17" t="n">
        <x:v>12</x:v>
      </x:c>
      <x:c r="C16" s="17" t="str">
        <x:v>Korea University</x:v>
      </x:c>
      <x:c r="D16" s="17" t="str">
        <x:v>South Korea</x:v>
      </x:c>
      <x:c r="E16" s="31" t="n">
        <x:v>95.9</x:v>
      </x:c>
      <x:c r="F16" s="31"/>
      <x:c r="G16" s="17" t="str">
        <x:v>8 DECENT WORK AND ECONOMIC GROWTH 91.8 9 INDUSTRY, INNOVATION, AND INFRASTRUCTURE 99.7 12 RESPONSIBLE CONSUMPTION AND PRODUCTION 92.4</x:v>
      </x:c>
      <x:c r="H16" s="30" t="str">
        <x:v>https://www.timeshighereducation.com/world-university-rankings/korea-university</x:v>
      </x:c>
    </x:row>
    <x:row r="17">
      <x:c r="A17" s="17" t="n">
        <x:f>12</x:f>
        <x:v>12</x:v>
      </x:c>
      <x:c r="B17" s="17" t="n">
        <x:v>12</x:v>
      </x:c>
      <x:c r="C17" s="17" t="str">
        <x:v>Western University</x:v>
      </x:c>
      <x:c r="D17" s="17" t="str">
        <x:v>Canada</x:v>
      </x:c>
      <x:c r="E17" s="31" t="n">
        <x:v>95.9</x:v>
      </x:c>
      <x:c r="F17" s="31" t="n">
        <x:v>92</x:v>
      </x:c>
      <x:c r="G17" s="17" t="str">
        <x:v>2 ZERO HUNGER 90.8 9 INDUSTRY, INNOVATION, AND INFRASTRUCTURE 97.5 14 LIFE BELOW WATER 91.8</x:v>
      </x:c>
      <x:c r="H17" s="30" t="str">
        <x:v>https://www.timeshighereducation.com/world-university-rankings/western-university</x:v>
      </x:c>
    </x:row>
    <x:row r="18">
      <x:c r="A18" s="17" t="str">
        <x:v>14</x:v>
      </x:c>
      <x:c r="B18" s="17" t="n">
        <x:v>14</x:v>
      </x:c>
      <x:c r="C18" s="17" t="str">
        <x:v>University of Glasgow</x:v>
      </x:c>
      <x:c r="D18" s="17" t="str">
        <x:v>United Kingdom</x:v>
      </x:c>
      <x:c r="E18" s="31" t="n">
        <x:v>95.8</x:v>
      </x:c>
      <x:c r="F18" s="31" t="n">
        <x:v>95.1</x:v>
      </x:c>
      <x:c r="G18" s="17" t="str">
        <x:v>12 RESPONSIBLE CONSUMPTION AND PRODUCTION 90.6 6 CLEAN WATER AND SANITATION 89.7 16 PEACE, JUSTICE AND STRONG INSTITUTIONS 83.4</x:v>
      </x:c>
      <x:c r="H18" s="30" t="str">
        <x:v>https://www.timeshighereducation.com/world-university-rankings/university-glasgow</x:v>
      </x:c>
    </x:row>
    <x:row r="19">
      <x:c r="A19" s="17" t="str">
        <x:v>15</x:v>
      </x:c>
      <x:c r="B19" s="17" t="n">
        <x:v>15</x:v>
      </x:c>
      <x:c r="C19" s="17" t="str">
        <x:v>Universitas Airlangga</x:v>
      </x:c>
      <x:c r="D19" s="17" t="str">
        <x:v>Indonesia</x:v>
      </x:c>
      <x:c r="E19" s="31" t="n">
        <x:v>95.7</x:v>
      </x:c>
      <x:c r="F19" s="31" t="n">
        <x:v>89.7</x:v>
      </x:c>
      <x:c r="G19" s="17" t="str">
        <x:v>1 NO POVERTY 89.7 6 CLEAN WATER AND SANITATION 89.5 3 GOOD HEALTH AND WELL-BEING 88.5</x:v>
      </x:c>
      <x:c r="H19" s="30" t="str">
        <x:v>https://www.timeshighereducation.com/world-university-rankings/universitas-airlangga</x:v>
      </x:c>
    </x:row>
    <x:row r="20">
      <x:c r="A20" s="17" t="n">
        <x:f>16</x:f>
        <x:v>16</x:v>
      </x:c>
      <x:c r="B20" s="17" t="n">
        <x:v>16</x:v>
      </x:c>
      <x:c r="C20" s="17" t="str">
        <x:v>Pusan National University</x:v>
      </x:c>
      <x:c r="D20" s="17" t="str">
        <x:v>South Korea</x:v>
      </x:c>
      <x:c r="E20" s="31" t="n">
        <x:v>95.6</x:v>
      </x:c>
      <x:c r="F20" s="31" t="n">
        <x:v>91.7</x:v>
      </x:c>
      <x:c r="G20" s="17" t="str">
        <x:v>9 INDUSTRY, INNOVATION, AND INFRASTRUCTURE 97.5 8 DECENT WORK AND ECONOMIC GROWTH 89.2 12 RESPONSIBLE CONSUMPTION AND PRODUCTION 86.2</x:v>
      </x:c>
      <x:c r="H20" s="30" t="str">
        <x:v>https://www.timeshighereducation.com/world-university-rankings/pusan-national-university</x:v>
      </x:c>
    </x:row>
    <x:row r="21">
      <x:c r="A21" s="17" t="n">
        <x:f>16</x:f>
        <x:v>16</x:v>
      </x:c>
      <x:c r="B21" s="17" t="n">
        <x:v>16</x:v>
      </x:c>
      <x:c r="C21" s="17" t="str">
        <x:v>University of Tasmania</x:v>
      </x:c>
      <x:c r="D21" s="17" t="str">
        <x:v>Australia</x:v>
      </x:c>
      <x:c r="E21" s="31" t="n">
        <x:v>95.6</x:v>
      </x:c>
      <x:c r="F21" s="31" t="n">
        <x:v>92.1</x:v>
      </x:c>
      <x:c r="G21" s="17" t="str">
        <x:v>13 CLIMATE ACTION 91.6 14 LIFE BELOW WATER 88.1 6 CLEAN WATER AND SANITATION 86.0</x:v>
      </x:c>
      <x:c r="H21" s="30" t="str">
        <x:v>https://www.timeshighereducation.com/world-university-rankings/university-tasmania</x:v>
      </x:c>
    </x:row>
    <x:row r="22">
      <x:c r="A22" s="17" t="str">
        <x:v>18</x:v>
      </x:c>
      <x:c r="B22" s="17" t="n">
        <x:v>18</x:v>
      </x:c>
      <x:c r="C22" s="17" t="str">
        <x:v>McMaster University</x:v>
      </x:c>
      <x:c r="D22" s="17" t="str">
        <x:v>Canada</x:v>
      </x:c>
      <x:c r="E22" s="31" t="n">
        <x:v>95.5</x:v>
      </x:c>
      <x:c r="F22" s="31" t="n">
        <x:v>93</x:v>
      </x:c>
      <x:c r="G22" s="17" t="str">
        <x:v>9 INDUSTRY, INNOVATION, AND INFRASTRUCTURE 97.7 3 GOOD HEALTH AND WELL-BEING 90.5 6 CLEAN WATER AND SANITATION 88.2</x:v>
      </x:c>
      <x:c r="H22" s="30" t="str">
        <x:v>https://www.timeshighereducation.com/world-university-rankings/mcmaster-university</x:v>
      </x:c>
    </x:row>
    <x:row r="23">
      <x:c r="A23" s="17" t="str">
        <x:v>19</x:v>
      </x:c>
      <x:c r="B23" s="17" t="n">
        <x:v>19</x:v>
      </x:c>
      <x:c r="C23" s="17" t="str">
        <x:v>Chulalongkorn University</x:v>
      </x:c>
      <x:c r="D23" s="17" t="str">
        <x:v>Thailand</x:v>
      </x:c>
      <x:c r="E23" s="31" t="n">
        <x:v>95.4</x:v>
      </x:c>
      <x:c r="F23" s="31" t="n">
        <x:v>94.1</x:v>
      </x:c>
      <x:c r="G23" s="17" t="str">
        <x:v>9 INDUSTRY, INNOVATION, AND INFRASTRUCTURE 99.8 3 GOOD HEALTH AND WELL-BEING 90.0 14 LIFE BELOW WATER 90.6</x:v>
      </x:c>
      <x:c r="H23" s="30" t="str">
        <x:v>https://www.timeshighereducation.com/world-university-rankings/chulalongkorn-university</x:v>
      </x:c>
    </x:row>
    <x:row r="24">
      <x:c r="A24" s="17" t="n">
        <x:f>20</x:f>
        <x:v>20</x:v>
      </x:c>
      <x:c r="B24" s="17" t="n">
        <x:v>20</x:v>
      </x:c>
      <x:c r="C24" s="17" t="str">
        <x:v>Kyungpook National University (KNU)</x:v>
      </x:c>
      <x:c r="D24" s="17" t="str">
        <x:v>South Korea</x:v>
      </x:c>
      <x:c r="E24" s="31" t="n">
        <x:v>95.3</x:v>
      </x:c>
      <x:c r="F24" s="31"/>
      <x:c r="G24" s="17" t="str">
        <x:v>8 DECENT WORK AND ECONOMIC GROWTH 91.4 9 INDUSTRY, INNOVATION, AND INFRASTRUCTURE 99.5 15 LIFE ON LAND 90.5</x:v>
      </x:c>
      <x:c r="H24" s="30" t="str">
        <x:v>https://www.timeshighereducation.com/world-university-rankings/kyungpook-national-university-knu</x:v>
      </x:c>
    </x:row>
    <x:row r="25">
      <x:c r="A25" s="17" t="n">
        <x:f>20</x:f>
        <x:v>20</x:v>
      </x:c>
      <x:c r="B25" s="17" t="n">
        <x:v>20</x:v>
      </x:c>
      <x:c r="C25" s="17" t="str">
        <x:v>The Hong Kong University of Science and Technology</x:v>
      </x:c>
      <x:c r="D25" s="17" t="str">
        <x:v>Hong Kong</x:v>
      </x:c>
      <x:c r="E25" s="31" t="n">
        <x:v>95.3</x:v>
      </x:c>
      <x:c r="F25" s="31"/>
      <x:c r="G25" s="17" t="str">
        <x:v>9 INDUSTRY, INNOVATION, AND INFRASTRUCTURE 99.9 15 LIFE ON LAND 92.3 11 SUSTAINABLE CITIES AND COMMUNITIES 89.2</x:v>
      </x:c>
      <x:c r="H25" s="30" t="str">
        <x:v>https://www.timeshighereducation.com/world-university-rankings/hong-kong-university-science-and-technology</x:v>
      </x:c>
    </x:row>
    <x:row r="26">
      <x:c r="A26" s="17" t="n">
        <x:f>20</x:f>
        <x:v>20</x:v>
      </x:c>
      <x:c r="B26" s="17" t="n">
        <x:v>20</x:v>
      </x:c>
      <x:c r="C26" s="17" t="str">
        <x:v>University of Exeter</x:v>
      </x:c>
      <x:c r="D26" s="17" t="str">
        <x:v>United Kingdom</x:v>
      </x:c>
      <x:c r="E26" s="31" t="n">
        <x:v>95.3</x:v>
      </x:c>
      <x:c r="F26" s="31" t="n">
        <x:v>92.7</x:v>
      </x:c>
      <x:c r="G26" s="17" t="str">
        <x:v>12 RESPONSIBLE CONSUMPTION AND PRODUCTION 92.6 14 LIFE BELOW WATER 94.6 15 LIFE ON LAND 95.3</x:v>
      </x:c>
      <x:c r="H26" s="30" t="str">
        <x:v>https://www.timeshighereducation.com/world-university-rankings/university-exeter</x:v>
      </x:c>
    </x:row>
    <x:row r="27">
      <x:c r="A27" s="17" t="str">
        <x:v>23</x:v>
      </x:c>
      <x:c r="B27" s="17" t="n">
        <x:v>23</x:v>
      </x:c>
      <x:c r="C27" s="17" t="str">
        <x:v>Lovely Professional University</x:v>
      </x:c>
      <x:c r="D27" s="17" t="str">
        <x:v>India</x:v>
      </x:c>
      <x:c r="E27" s="31" t="n">
        <x:v>95.2</x:v>
      </x:c>
      <x:c r="F27" s="31" t="n">
        <x:v>90.1</x:v>
      </x:c>
      <x:c r="G27" s="17" t="str">
        <x:v>7 AFFORDABLE AND CLEAN ENERGY 86.0 6 CLEAN WATER AND SANITATION 92.5 2 ZERO HUNGER 90.1</x:v>
      </x:c>
      <x:c r="H27" s="30" t="str">
        <x:v>https://www.timeshighereducation.com/world-university-rankings/lovely-professional-university</x:v>
      </x:c>
    </x:row>
    <x:row r="28">
      <x:c r="A28" s="17" t="str">
        <x:v>24</x:v>
      </x:c>
      <x:c r="B28" s="17" t="n">
        <x:v>24</x:v>
      </x:c>
      <x:c r="C28" s="17" t="str">
        <x:v>University of Malaya</x:v>
      </x:c>
      <x:c r="D28" s="17" t="str">
        <x:v>Malaysia</x:v>
      </x:c>
      <x:c r="E28" s="31" t="n">
        <x:v>95</x:v>
      </x:c>
      <x:c r="F28" s="31" t="n">
        <x:v>91.9</x:v>
      </x:c>
      <x:c r="G28" s="17" t="str">
        <x:v>16 PEACE, JUSTICE AND STRONG INSTITUTIONS 86.5 1 NO POVERTY 88.2 6 CLEAN WATER AND SANITATION 84.6</x:v>
      </x:c>
      <x:c r="H28" s="30" t="str">
        <x:v>https://www.timeshighereducation.com/world-university-rankings/university-malaya</x:v>
      </x:c>
    </x:row>
    <x:row r="29">
      <x:c r="A29" s="17" t="str">
        <x:v>25</x:v>
      </x:c>
      <x:c r="B29" s="17" t="n">
        <x:v>25</x:v>
      </x:c>
      <x:c r="C29" s="17" t="str">
        <x:v>Aalborg University</x:v>
      </x:c>
      <x:c r="D29" s="17" t="str">
        <x:v>Denmark</x:v>
      </x:c>
      <x:c r="E29" s="31" t="n">
        <x:v>94.9</x:v>
      </x:c>
      <x:c r="F29" s="31" t="n">
        <x:v>89.7</x:v>
      </x:c>
      <x:c r="G29" s="17" t="str">
        <x:v>9 INDUSTRY, INNOVATION, AND INFRASTRUCTURE 95.8 12 RESPONSIBLE CONSUMPTION AND PRODUCTION 88.5 4 QUALITY EDUCATION 88.5</x:v>
      </x:c>
      <x:c r="H29" s="30" t="str">
        <x:v>https://www.timeshighereducation.com/world-university-rankings/aalborg-university</x:v>
      </x:c>
    </x:row>
    <x:row r="30">
      <x:c r="A30" s="17" t="str">
        <x:v>26</x:v>
      </x:c>
      <x:c r="B30" s="17" t="n">
        <x:v>26</x:v>
      </x:c>
      <x:c r="C30" s="17" t="str">
        <x:v>Kyung Hee University</x:v>
      </x:c>
      <x:c r="D30" s="17" t="str">
        <x:v>South Korea</x:v>
      </x:c>
      <x:c r="E30" s="31" t="n">
        <x:v>94.7</x:v>
      </x:c>
      <x:c r="F30" s="31"/>
      <x:c r="G30" s="17" t="str">
        <x:v>9 INDUSTRY, INNOVATION, AND INFRASTRUCTURE 99.7 16 PEACE, JUSTICE AND STRONG INSTITUTIONS 89.5 2 ZERO HUNGER 90.7</x:v>
      </x:c>
      <x:c r="H30" s="30" t="str">
        <x:v>https://www.timeshighereducation.com/world-university-rankings/kyung-hee-university</x:v>
      </x:c>
    </x:row>
    <x:row r="31">
      <x:c r="A31" s="17" t="str">
        <x:v>27</x:v>
      </x:c>
      <x:c r="B31" s="17" t="n">
        <x:v>27</x:v>
      </x:c>
      <x:c r="C31" s="17" t="str">
        <x:v>University of Victoria</x:v>
      </x:c>
      <x:c r="D31" s="17" t="str">
        <x:v>Canada</x:v>
      </x:c>
      <x:c r="E31" s="31" t="n">
        <x:v>94.6</x:v>
      </x:c>
      <x:c r="F31" s="31"/>
      <x:c r="G31" s="17" t="str">
        <x:v>15 LIFE ON LAND 94.7 11 SUSTAINABLE CITIES AND COMMUNITIES 89.0 14 LIFE BELOW WATER 88.1</x:v>
      </x:c>
      <x:c r="H31" s="30" t="str">
        <x:v>https://www.timeshighereducation.com/world-university-rankings/university-victoria</x:v>
      </x:c>
    </x:row>
    <x:row r="32">
      <x:c r="A32" s="17" t="str">
        <x:v>28</x:v>
      </x:c>
      <x:c r="B32" s="17" t="n">
        <x:v>28</x:v>
      </x:c>
      <x:c r="C32" s="17" t="str">
        <x:v>Al-Ahliyya Amman University</x:v>
      </x:c>
      <x:c r="D32" s="17" t="str">
        <x:v>Jordan</x:v>
      </x:c>
      <x:c r="E32" s="31" t="n">
        <x:v>94.4</x:v>
      </x:c>
      <x:c r="F32" s="31" t="n">
        <x:v>95.2</x:v>
      </x:c>
      <x:c r="G32" s="17" t="str">
        <x:v>4 QUALITY EDUCATION 91.7 16 PEACE, JUSTICE AND STRONG INSTITUTIONS 86.1 12 RESPONSIBLE CONSUMPTION AND PRODUCTION 88.2</x:v>
      </x:c>
      <x:c r="H32" s="30" t="str">
        <x:v>https://www.timeshighereducation.com/world-university-rankings/al-ahliyya-amman-university</x:v>
      </x:c>
    </x:row>
    <x:row r="33">
      <x:c r="A33" s="17" t="str">
        <x:v>29</x:v>
      </x:c>
      <x:c r="B33" s="17" t="n">
        <x:v>29</x:v>
      </x:c>
      <x:c r="C33" s="17" t="str">
        <x:v>Central Queensland University</x:v>
      </x:c>
      <x:c r="D33" s="17" t="str">
        <x:v>Australia</x:v>
      </x:c>
      <x:c r="E33" s="31" t="n">
        <x:v>94.3</x:v>
      </x:c>
      <x:c r="F33" s="31" t="n">
        <x:v>96.8</x:v>
      </x:c>
      <x:c r="G33" s="17" t="str">
        <x:v>14 LIFE BELOW WATER 88.9 3 GOOD HEALTH AND WELL-BEING 85.4 6 CLEAN WATER AND SANITATION 85.2</x:v>
      </x:c>
      <x:c r="H33" s="30" t="str">
        <x:v>https://www.timeshighereducation.com/world-university-rankings/central-queensland-university</x:v>
      </x:c>
    </x:row>
    <x:row r="34">
      <x:c r="A34" s="17" t="str">
        <x:v>30</x:v>
      </x:c>
      <x:c r="B34" s="17" t="n">
        <x:v>30</x:v>
      </x:c>
      <x:c r="C34" s="17" t="str">
        <x:v>University of Newcastle</x:v>
      </x:c>
      <x:c r="D34" s="17" t="str">
        <x:v>Australia</x:v>
      </x:c>
      <x:c r="E34" s="31" t="n">
        <x:v>94.1</x:v>
      </x:c>
      <x:c r="F34" s="31"/>
      <x:c r="G34" s="17" t="str">
        <x:v>14 LIFE BELOW WATER 95.2 13 CLIMATE ACTION 88.3 15 LIFE ON LAND 92.4</x:v>
      </x:c>
      <x:c r="H34" s="30" t="str">
        <x:v>https://www.timeshighereducation.com/world-university-rankings/university-newcastle</x:v>
      </x:c>
    </x:row>
    <x:row r="35">
      <x:c r="A35" s="17" t="n">
        <x:f>31</x:f>
        <x:v>31</x:v>
      </x:c>
      <x:c r="B35" s="17" t="n">
        <x:v>31</x:v>
      </x:c>
      <x:c r="C35" s="17" t="str">
        <x:v>Northumbria University</x:v>
      </x:c>
      <x:c r="D35" s="17" t="str">
        <x:v>United Kingdom</x:v>
      </x:c>
      <x:c r="E35" s="31" t="n">
        <x:v>94</x:v>
      </x:c>
      <x:c r="F35" s="31" t="n">
        <x:v>90.2</x:v>
      </x:c>
      <x:c r="G35" s="17" t="str">
        <x:v>12 RESPONSIBLE CONSUMPTION AND PRODUCTION 92.4 15 LIFE ON LAND 95.3 16 PEACE, JUSTICE AND STRONG INSTITUTIONS 84.8</x:v>
      </x:c>
      <x:c r="H35" s="30" t="str">
        <x:v>https://www.timeshighereducation.com/world-university-rankings/northumbria-university</x:v>
      </x:c>
    </x:row>
    <x:row r="36">
      <x:c r="A36" s="17" t="n">
        <x:f>31</x:f>
        <x:v>31</x:v>
      </x:c>
      <x:c r="B36" s="17" t="n">
        <x:v>31</x:v>
      </x:c>
      <x:c r="C36" s="17" t="str">
        <x:v>University of Indonesia</x:v>
      </x:c>
      <x:c r="D36" s="17" t="str">
        <x:v>Indonesia</x:v>
      </x:c>
      <x:c r="E36" s="31" t="n">
        <x:v>94</x:v>
      </x:c>
      <x:c r="F36" s="31"/>
      <x:c r="G36" s="17" t="str">
        <x:v>9 INDUSTRY, INNOVATION, AND INFRASTRUCTURE 98.5 1 NO POVERTY 88.3 3 GOOD HEALTH AND WELL-BEING 84.8</x:v>
      </x:c>
      <x:c r="H36" s="30" t="str">
        <x:v>https://www.timeshighereducation.com/world-university-rankings/university-indonesia</x:v>
      </x:c>
    </x:row>
    <x:row r="37">
      <x:c r="A37" s="17" t="n">
        <x:f>33</x:f>
        <x:v>33</x:v>
      </x:c>
      <x:c r="B37" s="17" t="n">
        <x:v>33</x:v>
      </x:c>
      <x:c r="C37" s="17" t="str">
        <x:v>An-Najah National University</x:v>
      </x:c>
      <x:c r="D37" s="17" t="str">
        <x:v>Palestine</x:v>
      </x:c>
      <x:c r="E37" s="31" t="n">
        <x:v>93.9</x:v>
      </x:c>
      <x:c r="F37" s="31" t="n">
        <x:v>95.7</x:v>
      </x:c>
      <x:c r="G37" s="17" t="str">
        <x:v>7 AFFORDABLE AND CLEAN ENERGY 84.1 12 RESPONSIBLE CONSUMPTION AND PRODUCTION 88.5 16 PEACE, JUSTICE AND STRONG INSTITUTIONS 85.3</x:v>
      </x:c>
      <x:c r="H37" s="30" t="str">
        <x:v>https://www.timeshighereducation.com/world-university-rankings/najah-national-university</x:v>
      </x:c>
    </x:row>
    <x:row r="38">
      <x:c r="A38" s="17" t="n">
        <x:f>33</x:f>
        <x:v>33</x:v>
      </x:c>
      <x:c r="B38" s="17" t="n">
        <x:v>33</x:v>
      </x:c>
      <x:c r="C38" s="17" t="str">
        <x:v>Arizona State University (Tempe)</x:v>
      </x:c>
      <x:c r="D38" s="17" t="str">
        <x:v>United States</x:v>
      </x:c>
      <x:c r="E38" s="31" t="n">
        <x:v>93.9</x:v>
      </x:c>
      <x:c r="F38" s="31"/>
      <x:c r="G38" s="17" t="str">
        <x:v>13 CLIMATE ACTION 86.9 12 RESPONSIBLE CONSUMPTION AND PRODUCTION 86.2 15 LIFE ON LAND 89.0</x:v>
      </x:c>
      <x:c r="H38" s="30" t="str">
        <x:v>https://www.timeshighereducation.com/world-university-rankings/arizona-state-university-tempe</x:v>
      </x:c>
    </x:row>
    <x:row r="39">
      <x:c r="A39" s="17" t="str">
        <x:v>35</x:v>
      </x:c>
      <x:c r="B39" s="17" t="n">
        <x:v>35</x:v>
      </x:c>
      <x:c r="C39" s="17" t="str">
        <x:v>King Faisal University</x:v>
      </x:c>
      <x:c r="D39" s="17" t="str">
        <x:v>Saudi Arabia</x:v>
      </x:c>
      <x:c r="E39" s="31" t="n">
        <x:v>93.8</x:v>
      </x:c>
      <x:c r="F39" s="31"/>
      <x:c r="G39" s="17" t="str">
        <x:v>9 INDUSTRY, INNOVATION, AND INFRASTRUCTURE 95.3 1 NO POVERTY 87.8 2 ZERO HUNGER 85.0</x:v>
      </x:c>
      <x:c r="H39" s="30" t="str">
        <x:v>https://www.timeshighereducation.com/world-university-rankings/king-faisal-university</x:v>
      </x:c>
    </x:row>
    <x:row r="40">
      <x:c r="A40" s="17" t="str">
        <x:v>36</x:v>
      </x:c>
      <x:c r="B40" s="17" t="n">
        <x:v>36</x:v>
      </x:c>
      <x:c r="C40" s="17" t="str">
        <x:v>Flinders University</x:v>
      </x:c>
      <x:c r="D40" s="17" t="str">
        <x:v>Australia</x:v>
      </x:c>
      <x:c r="E40" s="31" t="n">
        <x:v>93.6</x:v>
      </x:c>
      <x:c r="F40" s="31"/>
      <x:c r="G40" s="17" t="str">
        <x:v>3 GOOD HEALTH AND WELL-BEING 93.1 5 GENDER EQUALITY 81.1 10 REDUCING INEQUALITIES 89.8</x:v>
      </x:c>
      <x:c r="H40" s="30" t="str">
        <x:v>https://www.timeshighereducation.com/world-university-rankings/flinders-university</x:v>
      </x:c>
    </x:row>
    <x:row r="41">
      <x:c r="A41" s="17" t="n">
        <x:f>37</x:f>
        <x:v>37</x:v>
      </x:c>
      <x:c r="B41" s="17" t="n">
        <x:v>37</x:v>
      </x:c>
      <x:c r="C41" s="17" t="str">
        <x:v>Amrita Vishwa Vidyapeetham</x:v>
      </x:c>
      <x:c r="D41" s="17" t="str">
        <x:v>India</x:v>
      </x:c>
      <x:c r="E41" s="31" t="n">
        <x:v>93.4</x:v>
      </x:c>
      <x:c r="F41" s="31"/>
      <x:c r="G41" s="17" t="str">
        <x:v>9 INDUSTRY, INNOVATION, AND INFRASTRUCTURE 98.1 6 CLEAN WATER AND SANITATION 87.6 1 NO POVERTY 86.2</x:v>
      </x:c>
      <x:c r="H41" s="30" t="str">
        <x:v>https://www.timeshighereducation.com/world-university-rankings/amrita-vishwa-vidyapeetham</x:v>
      </x:c>
    </x:row>
    <x:row r="42">
      <x:c r="A42" s="17" t="n">
        <x:f>37</x:f>
        <x:v>37</x:v>
      </x:c>
      <x:c r="B42" s="17" t="n">
        <x:v>37</x:v>
      </x:c>
      <x:c r="C42" s="17" t="str">
        <x:v>Queen’s University Belfast</x:v>
      </x:c>
      <x:c r="D42" s="17" t="str">
        <x:v>United Kingdom</x:v>
      </x:c>
      <x:c r="E42" s="31" t="n">
        <x:v>93.4</x:v>
      </x:c>
      <x:c r="F42" s="31" t="n">
        <x:v>95.5</x:v>
      </x:c>
      <x:c r="G42" s="17" t="str">
        <x:v>14 LIFE BELOW WATER 93.4 15 LIFE ON LAND 93.4 10 REDUCING INEQUALITIES 82.2</x:v>
      </x:c>
      <x:c r="H42" s="30" t="str">
        <x:v>https://www.timeshighereducation.com/world-university-rankings/queens-university-belfast</x:v>
      </x:c>
    </x:row>
    <x:row r="43">
      <x:c r="A43" s="17" t="n">
        <x:f>39</x:f>
        <x:v>39</x:v>
      </x:c>
      <x:c r="B43" s="17" t="n">
        <x:v>39</x:v>
      </x:c>
      <x:c r="C43" s="17" t="str">
        <x:v>Near East University</x:v>
      </x:c>
      <x:c r="D43" s="17" t="str">
        <x:v>Northern Cyprus</x:v>
      </x:c>
      <x:c r="E43" s="31" t="n">
        <x:v>93.3</x:v>
      </x:c>
      <x:c r="F43" s="31" t="n">
        <x:v>98.8</x:v>
      </x:c>
      <x:c r="G43" s="17" t="str">
        <x:v>11 SUSTAINABLE CITIES AND COMMUNITIES 91.7 4 QUALITY EDUCATION 87.7 3 GOOD HEALTH AND WELL-BEING 84.7</x:v>
      </x:c>
      <x:c r="H43" s="30" t="str">
        <x:v>https://www.timeshighereducation.com/world-university-rankings/near-east-university</x:v>
      </x:c>
    </x:row>
    <x:row r="44">
      <x:c r="A44" s="17" t="n">
        <x:f>39</x:f>
        <x:v>39</x:v>
      </x:c>
      <x:c r="B44" s="17" t="n">
        <x:v>39</x:v>
      </x:c>
      <x:c r="C44" s="17" t="str">
        <x:v>University of Johannesburg</x:v>
      </x:c>
      <x:c r="D44" s="17" t="str">
        <x:v>South Africa</x:v>
      </x:c>
      <x:c r="E44" s="31" t="n">
        <x:v>93.3</x:v>
      </x:c>
      <x:c r="F44" s="31"/>
      <x:c r="G44" s="17" t="str">
        <x:v>8 DECENT WORK AND ECONOMIC GROWTH 86.4 1 NO POVERTY 88.1 12 RESPONSIBLE CONSUMPTION AND PRODUCTION 84.2</x:v>
      </x:c>
      <x:c r="H44" s="30" t="str">
        <x:v>https://www.timeshighereducation.com/world-university-rankings/university-johannesburg</x:v>
      </x:c>
    </x:row>
    <x:row r="45">
      <x:c r="A45" s="17" t="n">
        <x:f>41</x:f>
        <x:v>41</x:v>
      </x:c>
      <x:c r="B45" s="17" t="n">
        <x:v>41</x:v>
      </x:c>
      <x:c r="C45" s="17" t="str">
        <x:v>Universitas Gadjah Mada</x:v>
      </x:c>
      <x:c r="D45" s="17" t="str">
        <x:v>Indonesia</x:v>
      </x:c>
      <x:c r="E45" s="31" t="n">
        <x:v>93.2</x:v>
      </x:c>
      <x:c r="F45" s="31" t="n">
        <x:v>90.7</x:v>
      </x:c>
      <x:c r="G45" s="17" t="str">
        <x:v>9 INDUSTRY, INNOVATION, AND INFRASTRUCTURE 96.4 1 NO POVERTY 89.4 2 ZERO HUNGER 86.4</x:v>
      </x:c>
      <x:c r="H45" s="30" t="str">
        <x:v>https://www.timeshighereducation.com/world-university-rankings/universitas-gadjah-mada</x:v>
      </x:c>
    </x:row>
    <x:row r="46">
      <x:c r="A46" s="17" t="n">
        <x:f>41</x:f>
        <x:v>41</x:v>
      </x:c>
      <x:c r="B46" s="17" t="n">
        <x:v>41</x:v>
      </x:c>
      <x:c r="C46" s="17" t="str">
        <x:v>University of Wollongong</x:v>
      </x:c>
      <x:c r="D46" s="17" t="str">
        <x:v>Australia</x:v>
      </x:c>
      <x:c r="E46" s="31" t="n">
        <x:v>93.2</x:v>
      </x:c>
      <x:c r="F46" s="31" t="n">
        <x:v>91.7</x:v>
      </x:c>
      <x:c r="G46" s="17" t="str">
        <x:v>9 INDUSTRY, INNOVATION, AND INFRASTRUCTURE 97.3 10 REDUCING INEQUALITIES 84.9 12 RESPONSIBLE CONSUMPTION AND PRODUCTION 82.4</x:v>
      </x:c>
      <x:c r="H46" s="30" t="str">
        <x:v>https://www.timeshighereducation.com/world-university-rankings/university-wollongong</x:v>
      </x:c>
    </x:row>
    <x:row r="47">
      <x:c r="A47" s="17" t="n">
        <x:f>41</x:f>
        <x:v>41</x:v>
      </x:c>
      <x:c r="B47" s="17" t="n">
        <x:v>41</x:v>
      </x:c>
      <x:c r="C47" s="17" t="str">
        <x:v>UNSW Sydney</x:v>
      </x:c>
      <x:c r="D47" s="17" t="str">
        <x:v>Australia</x:v>
      </x:c>
      <x:c r="E47" s="31" t="n">
        <x:v>93.2</x:v>
      </x:c>
      <x:c r="F47" s="31"/>
      <x:c r="G47" s="17" t="str">
        <x:v>12 RESPONSIBLE CONSUMPTION AND PRODUCTION 91.9 6 CLEAN WATER AND SANITATION 91.8 13 CLIMATE ACTION 88.4</x:v>
      </x:c>
      <x:c r="H47" s="30" t="str">
        <x:v>https://www.timeshighereducation.com/world-university-rankings/unsw-sydney</x:v>
      </x:c>
    </x:row>
    <x:row r="48">
      <x:c r="A48" s="17" t="n">
        <x:f>41</x:f>
        <x:v>41</x:v>
      </x:c>
      <x:c r="B48" s="17" t="n">
        <x:v>41</x:v>
      </x:c>
      <x:c r="C48" s="17" t="str">
        <x:v>Yonsei University (Seoul campus)</x:v>
      </x:c>
      <x:c r="D48" s="17" t="str">
        <x:v>South Korea</x:v>
      </x:c>
      <x:c r="E48" s="31" t="n">
        <x:v>93.2</x:v>
      </x:c>
      <x:c r="F48" s="31"/>
      <x:c r="G48" s="17" t="str">
        <x:v>9 INDUSTRY, INNOVATION, AND INFRASTRUCTURE 100.0 8 DECENT WORK AND ECONOMIC GROWTH 85.2 16 PEACE, JUSTICE AND STRONG INSTITUTIONS 82.2</x:v>
      </x:c>
      <x:c r="H48" s="30" t="str">
        <x:v>https://www.timeshighereducation.com/world-university-rankings/yonsei-university-seoul-campus</x:v>
      </x:c>
    </x:row>
    <x:row r="49">
      <x:c r="A49" s="17" t="str">
        <x:v>45</x:v>
      </x:c>
      <x:c r="B49" s="17" t="n">
        <x:v>45</x:v>
      </x:c>
      <x:c r="C49" s="17" t="str">
        <x:v>Sunway University</x:v>
      </x:c>
      <x:c r="D49" s="17" t="str">
        <x:v>Malaysia</x:v>
      </x:c>
      <x:c r="E49" s="31" t="n">
        <x:v>93</x:v>
      </x:c>
      <x:c r="F49" s="31" t="n">
        <x:v>98.1</x:v>
      </x:c>
      <x:c r="G49" s="17" t="str">
        <x:v>11 SUSTAINABLE CITIES AND COMMUNITIES 92.5 8 DECENT WORK AND ECONOMIC GROWTH 85.8 12 RESPONSIBLE CONSUMPTION AND PRODUCTION 86.7</x:v>
      </x:c>
      <x:c r="H49" s="30" t="str">
        <x:v>https://www.timeshighereducation.com/world-university-rankings/sunway-university</x:v>
      </x:c>
    </x:row>
    <x:row r="50">
      <x:c r="A50" s="17" t="str">
        <x:v>46</x:v>
      </x:c>
      <x:c r="B50" s="17" t="n">
        <x:v>46</x:v>
      </x:c>
      <x:c r="C50" s="17" t="str">
        <x:v>Thammasat University</x:v>
      </x:c>
      <x:c r="D50" s="17" t="str">
        <x:v>Thailand</x:v>
      </x:c>
      <x:c r="E50" s="31" t="n">
        <x:v>92.9</x:v>
      </x:c>
      <x:c r="F50" s="31" t="n">
        <x:v>92</x:v>
      </x:c>
      <x:c r="G50" s="17" t="str">
        <x:v>16 PEACE, JUSTICE AND STRONG INSTITUTIONS 90.9 11 SUSTAINABLE CITIES AND COMMUNITIES 85.1 5 GENDER EQUALITY 75.3</x:v>
      </x:c>
      <x:c r="H50" s="30" t="str">
        <x:v>https://www.timeshighereducation.com/world-university-rankings/thammasat-university</x:v>
      </x:c>
    </x:row>
    <x:row r="51">
      <x:c r="A51" s="17" t="str">
        <x:v>47</x:v>
      </x:c>
      <x:c r="B51" s="17" t="n">
        <x:v>47</x:v>
      </x:c>
      <x:c r="C51" s="17" t="str">
        <x:v>Walailak University</x:v>
      </x:c>
      <x:c r="D51" s="17" t="str">
        <x:v>Thailand</x:v>
      </x:c>
      <x:c r="E51" s="31" t="n">
        <x:v>92.8</x:v>
      </x:c>
      <x:c r="F51" s="31"/>
      <x:c r="G51" s="17" t="str">
        <x:v>5 GENDER EQUALITY 82.1 11 SUSTAINABLE CITIES AND COMMUNITIES 89.3 2 ZERO HUNGER 85.3</x:v>
      </x:c>
      <x:c r="H51" s="30" t="str">
        <x:v>https://www.timeshighereducation.com/world-university-rankings/walailak-university</x:v>
      </x:c>
    </x:row>
    <x:row r="52">
      <x:c r="A52" s="17" t="str">
        <x:v>48</x:v>
      </x:c>
      <x:c r="B52" s="17" t="n">
        <x:v>48</x:v>
      </x:c>
      <x:c r="C52" s="17" t="str">
        <x:v>King Abdullah University of Science and Technology (KAUST)</x:v>
      </x:c>
      <x:c r="D52" s="17" t="str">
        <x:v>Saudi Arabia</x:v>
      </x:c>
      <x:c r="E52" s="31" t="n">
        <x:v>92.6</x:v>
      </x:c>
      <x:c r="F52" s="31" t="n">
        <x:v>91.4</x:v>
      </x:c>
      <x:c r="G52" s="17" t="str">
        <x:v>6 CLEAN WATER AND SANITATION 88.1 14 LIFE BELOW WATER 85.2 11 SUSTAINABLE CITIES AND COMMUNITIES 82.7</x:v>
      </x:c>
      <x:c r="H52" s="30" t="str">
        <x:v>https://www.timeshighereducation.com/world-university-rankings/king-abdullah-university-science-and-technology-kaust</x:v>
      </x:c>
    </x:row>
    <x:row r="53">
      <x:c r="A53" s="17" t="n">
        <x:f>49</x:f>
        <x:v>49</x:v>
      </x:c>
      <x:c r="B53" s="17" t="n">
        <x:v>49</x:v>
      </x:c>
      <x:c r="C53" s="17" t="str">
        <x:v>Chiang Mai University</x:v>
      </x:c>
      <x:c r="D53" s="17" t="str">
        <x:v>Thailand</x:v>
      </x:c>
      <x:c r="E53" s="31" t="n">
        <x:v>92.5</x:v>
      </x:c>
      <x:c r="F53" s="31" t="n">
        <x:v>94.7</x:v>
      </x:c>
      <x:c r="G53" s="17" t="str">
        <x:v>9 INDUSTRY, INNOVATION, AND INFRASTRUCTURE 92.7 5 GENDER EQUALITY 76.9 4 QUALITY EDUCATION 82.9</x:v>
      </x:c>
      <x:c r="H53" s="30" t="str">
        <x:v>https://www.timeshighereducation.com/world-university-rankings/chiang-mai-university</x:v>
      </x:c>
    </x:row>
    <x:row r="54">
      <x:c r="A54" s="17" t="n">
        <x:f>49</x:f>
        <x:v>49</x:v>
      </x:c>
      <x:c r="B54" s="17" t="n">
        <x:v>49</x:v>
      </x:c>
      <x:c r="C54" s="17" t="str">
        <x:v>Jeonbuk National University</x:v>
      </x:c>
      <x:c r="D54" s="17" t="str">
        <x:v>South Korea</x:v>
      </x:c>
      <x:c r="E54" s="31" t="n">
        <x:v>92.5</x:v>
      </x:c>
      <x:c r="F54" s="31" t="n">
        <x:v>93.2</x:v>
      </x:c>
      <x:c r="G54" s="17" t="str">
        <x:v>2 ZERO HUNGER 87.7 9 INDUSTRY, INNOVATION, AND INFRASTRUCTURE 95.0 8 DECENT WORK AND ECONOMIC GROWTH 87.1</x:v>
      </x:c>
      <x:c r="H54" s="30" t="str">
        <x:v>https://www.timeshighereducation.com/world-university-rankings/jeonbuk-national-university</x:v>
      </x:c>
    </x:row>
    <x:row r="55">
      <x:c r="A55" s="17" t="n">
        <x:f>49</x:f>
        <x:v>49</x:v>
      </x:c>
      <x:c r="B55" s="17" t="n">
        <x:v>49</x:v>
      </x:c>
      <x:c r="C55" s="17" t="str">
        <x:v>National Yang Ming Chiao Tung University (NYCU Taiwan)</x:v>
      </x:c>
      <x:c r="D55" s="17" t="str">
        <x:v>Taiwan</x:v>
      </x:c>
      <x:c r="E55" s="31" t="n">
        <x:v>92.5</x:v>
      </x:c>
      <x:c r="F55" s="31"/>
      <x:c r="G55" s="17" t="str">
        <x:v>9 INDUSTRY, INNOVATION, AND INFRASTRUCTURE 99.3 3 GOOD HEALTH AND WELL-BEING 87.6 11 SUSTAINABLE CITIES AND COMMUNITIES 84.0</x:v>
      </x:c>
      <x:c r="H55" s="30" t="str">
        <x:v>https://www.timeshighereducation.com/world-university-rankings/national-yang-ming-chiao-tung-university-nycu-taiwan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a8f2774fd247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8" hidden="0" customWidth="1"/>
    <x:col min="3" max="3" width="18" hidden="0" customWidth="1"/>
    <x:col min="4" max="4" width="10" hidden="0" customWidth="1"/>
    <x:col min="5" max="5" width="11" hidden="0" customWidth="1"/>
    <x:col min="6" max="6" width="10" hidden="0" customWidth="1"/>
    <x:col min="7" max="7" width="11" hidden="0" customWidth="1"/>
    <x:col min="8" max="8" width="38" hidden="0" customWidth="1"/>
    <x:col min="9" max="9" width="38" hidden="0" customWidth="1"/>
    <x:col min="10" max="10" width="48" hidden="0" customWidth="1"/>
  </x:cols>
  <x:sheetData>
    <x:row r="1" ht="28" customHeight="1">
      <x:c r="A1" s="3" t="str">
        <x:v>QS-THE Overlap Analysis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Five institutions appear within both sustainability-specific top-50 cutoffs. Aliases were checked before merging.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37" t="str">
        <x:v>ID</x:v>
      </x:c>
      <x:c r="B4" s="37" t="str">
        <x:v>Canonical Institution</x:v>
      </x:c>
      <x:c r="C4" s="37" t="str">
        <x:v>Country</x:v>
      </x:c>
      <x:c r="D4" s="37" t="str">
        <x:v>QS Rank</x:v>
      </x:c>
      <x:c r="E4" s="37" t="str">
        <x:v>QS Score</x:v>
      </x:c>
      <x:c r="F4" s="37" t="str">
        <x:v>THE Rank</x:v>
      </x:c>
      <x:c r="G4" s="37" t="str">
        <x:v>THE Score</x:v>
      </x:c>
      <x:c r="H4" s="37" t="str">
        <x:v>QS Name</x:v>
      </x:c>
      <x:c r="I4" s="37" t="str">
        <x:v>THE Name / Alias</x:v>
      </x:c>
      <x:c r="J4" s="37" t="str">
        <x:v>Identity Note</x:v>
      </x:c>
    </x:row>
    <x:row r="5">
      <x:c r="A5" s="17" t="n">
        <x:v>8</x:v>
      </x:c>
      <x:c r="B5" s="17" t="str">
        <x:v>The University of New South Wales (UNSW Sydney)</x:v>
      </x:c>
      <x:c r="C5" s="17" t="str">
        <x:v>Australia</x:v>
      </x:c>
      <x:c r="D5" s="17" t="n">
        <x:f>7</x:f>
        <x:v>7</x:v>
      </x:c>
      <x:c r="E5" s="17" t="n">
        <x:v>98.2</x:v>
      </x:c>
      <x:c r="F5" s="17" t="n">
        <x:f>41</x:f>
        <x:v>41</x:v>
      </x:c>
      <x:c r="G5" s="17" t="n">
        <x:v>93.2</x:v>
      </x:c>
      <x:c r="H5" s="17" t="str">
        <x:v>The University of New South Wales (UNSW Sydney)</x:v>
      </x:c>
      <x:c r="I5" s="17" t="str">
        <x:v>UNSW Sydney</x:v>
      </x:c>
      <x:c r="J5" s="17" t="str">
        <x:v>Same institution; merged once in the candidate universe.</x:v>
      </x:c>
    </x:row>
    <x:row r="6">
      <x:c r="A6" s="17" t="n">
        <x:v>10</x:v>
      </x:c>
      <x:c r="B6" s="17" t="str">
        <x:v>The University of Manchester</x:v>
      </x:c>
      <x:c r="C6" s="17" t="str">
        <x:v>United Kingdom</x:v>
      </x:c>
      <x:c r="D6" s="17" t="str">
        <x:v>10</x:v>
      </x:c>
      <x:c r="E6" s="17" t="n">
        <x:v>98</x:v>
      </x:c>
      <x:c r="F6" s="17" t="str">
        <x:v>1</x:v>
      </x:c>
      <x:c r="G6" s="17" t="n">
        <x:v>98.5</x:v>
      </x:c>
      <x:c r="H6" s="17" t="str">
        <x:v>The University of Manchester</x:v>
      </x:c>
      <x:c r="I6" s="17" t="str">
        <x:v>University of Manchester</x:v>
      </x:c>
      <x:c r="J6" s="17" t="str">
        <x:v>Same institution; merged once in the candidate universe.</x:v>
      </x:c>
    </x:row>
    <x:row r="7">
      <x:c r="A7" s="17" t="n">
        <x:v>26</x:v>
      </x:c>
      <x:c r="B7" s="17" t="str">
        <x:v>Western University</x:v>
      </x:c>
      <x:c r="C7" s="17" t="str">
        <x:v>Canada</x:v>
      </x:c>
      <x:c r="D7" s="17" t="n">
        <x:f>24</x:f>
        <x:v>24</x:v>
      </x:c>
      <x:c r="E7" s="17" t="n">
        <x:v>95.8</x:v>
      </x:c>
      <x:c r="F7" s="17" t="n">
        <x:f>12</x:f>
        <x:v>12</x:v>
      </x:c>
      <x:c r="G7" s="17" t="n">
        <x:v>95.9</x:v>
      </x:c>
      <x:c r="H7" s="17" t="str">
        <x:v>Western University</x:v>
      </x:c>
      <x:c r="I7" s="17" t="str">
        <x:v>Western University</x:v>
      </x:c>
      <x:c r="J7" s="17" t="str">
        <x:v>Same institution; merged once in the candidate universe.</x:v>
      </x:c>
    </x:row>
    <x:row r="8">
      <x:c r="A8" s="17" t="n">
        <x:v>27</x:v>
      </x:c>
      <x:c r="B8" s="17" t="str">
        <x:v>University of Glasgow</x:v>
      </x:c>
      <x:c r="C8" s="17" t="str">
        <x:v>United Kingdom</x:v>
      </x:c>
      <x:c r="D8" s="17" t="str">
        <x:v>27</x:v>
      </x:c>
      <x:c r="E8" s="17" t="n">
        <x:v>95.7</x:v>
      </x:c>
      <x:c r="F8" s="17" t="str">
        <x:v>14</x:v>
      </x:c>
      <x:c r="G8" s="17" t="n">
        <x:v>95.8</x:v>
      </x:c>
      <x:c r="H8" s="17" t="str">
        <x:v>University of Glasgow</x:v>
      </x:c>
      <x:c r="I8" s="17" t="str">
        <x:v>University of Glasgow</x:v>
      </x:c>
      <x:c r="J8" s="17" t="str">
        <x:v>Same institution; merged once in the candidate universe.</x:v>
      </x:c>
    </x:row>
    <x:row r="9">
      <x:c r="A9" s="17" t="n">
        <x:v>49</x:v>
      </x:c>
      <x:c r="B9" s="17" t="str">
        <x:v>University of Exeter</x:v>
      </x:c>
      <x:c r="C9" s="17" t="str">
        <x:v>United Kingdom</x:v>
      </x:c>
      <x:c r="D9" s="17" t="n">
        <x:f>48</x:f>
        <x:v>48</x:v>
      </x:c>
      <x:c r="E9" s="17" t="n">
        <x:v>93.5</x:v>
      </x:c>
      <x:c r="F9" s="17" t="n">
        <x:f>20</x:f>
        <x:v>20</x:v>
      </x:c>
      <x:c r="G9" s="17" t="n">
        <x:v>95.3</x:v>
      </x:c>
      <x:c r="H9" s="17" t="str">
        <x:v>University of Exeter</x:v>
      </x:c>
      <x:c r="I9" s="17" t="str">
        <x:v>University of Exeter</x:v>
      </x:c>
      <x:c r="J9" s="17" t="str">
        <x:v>Same institution; merged once in the candidate universe.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ce89aa09fdb42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6" hidden="0" customWidth="1"/>
    <x:col min="3" max="3" width="24" hidden="0" customWidth="1"/>
    <x:col min="4" max="4" width="34" hidden="0" customWidth="1"/>
    <x:col min="5" max="5" width="12" hidden="0" customWidth="1"/>
    <x:col min="6" max="6" width="10" hidden="0" customWidth="1"/>
    <x:col min="7" max="7" width="17" hidden="0" customWidth="1"/>
    <x:col min="8" max="8" width="50" hidden="0" customWidth="1"/>
    <x:col min="9" max="9" width="50" hidden="0" customWidth="1"/>
    <x:col min="10" max="10" width="50" hidden="0" customWidth="1"/>
    <x:col min="11" max="11" width="70" hidden="0" customWidth="1"/>
  </x:cols>
  <x:sheetData>
    <x:row r="1" ht="28" customHeight="1">
      <x:c r="A1" s="3" t="str">
        <x:v>AASHE STARS - Strict Institutional Scope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7" t="str">
        <x:v>Matched against 416 current records on the official participants and reports page. Ratings are not inherited across parent institutions, systems, or campuses.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6" customHeight="1">
      <x:c r="A4" s="13" t="str">
        <x:v>ID</x:v>
      </x:c>
      <x:c r="B4" s="13" t="str">
        <x:v>Candidate Institution</x:v>
      </x:c>
      <x:c r="C4" s="13" t="str">
        <x:v>AASHE Match Status</x:v>
      </x:c>
      <x:c r="D4" s="13" t="str">
        <x:v>Matched AASHE Institution</x:v>
      </x:c>
      <x:c r="E4" s="13" t="str">
        <x:v>Rating</x:v>
      </x:c>
      <x:c r="F4" s="13" t="str">
        <x:v>Score</x:v>
      </x:c>
      <x:c r="G4" s="13" t="str">
        <x:v>Valid Through</x:v>
      </x:c>
      <x:c r="H4" s="13" t="str">
        <x:v>AASHE Profile URL</x:v>
      </x:c>
      <x:c r="I4" s="13" t="str">
        <x:v>Latest Report URL</x:v>
      </x:c>
      <x:c r="J4" s="13" t="str">
        <x:v>Source URL</x:v>
      </x:c>
      <x:c r="K4" s="13" t="str">
        <x:v>Scope Note</x:v>
      </x:c>
    </x:row>
    <x:row r="5">
      <x:c r="A5" s="17" t="n">
        <x:v>1</x:v>
      </x:c>
      <x:c r="B5" s="17" t="str">
        <x:v>Lund University</x:v>
      </x:c>
      <x:c r="C5" s="17" t="str">
        <x:v>No current exact record</x:v>
      </x:c>
      <x:c r="D5" s="17" t="str"/>
      <x:c r="E5" s="17" t="str"/>
      <x:c r="F5" s="17"/>
      <x:c r="G5" s="17" t="str"/>
      <x:c r="H5" s="30" t="str"/>
      <x:c r="I5" s="30" t="str"/>
      <x:c r="J5" s="30" t="str">
        <x:v>https://reports.aashe.org/institutions/participants-and-reports/</x:v>
      </x:c>
      <x:c r="K5" s="17" t="str">
        <x:v>No exact institution-level match was found in the current AASHE participants and reports table.</x:v>
      </x:c>
    </x:row>
    <x:row r="6">
      <x:c r="A6" s="17" t="n">
        <x:v>2</x:v>
      </x:c>
      <x:c r="B6" s="17" t="str">
        <x:v>University of Toronto</x:v>
      </x:c>
      <x:c r="C6" s="17" t="str">
        <x:v>Campus-only record found</x:v>
      </x:c>
      <x:c r="D6" s="17" t="str">
        <x:v>University of Toronto Mississauga</x:v>
      </x:c>
      <x:c r="E6" s="17" t="str"/>
      <x:c r="F6" s="17"/>
      <x:c r="G6" s="17" t="str"/>
      <x:c r="H6" s="30" t="str">
        <x:v>https://reports.aashe.org/institutions/university-of-toronto-at-mississauga-on/report/</x:v>
      </x:c>
      <x:c r="I6" s="30" t="str">
        <x:v>https://reports.aashe.org/institutions/university-of-toronto-at-mississauga-on/report/2024-03-01/</x:v>
      </x:c>
      <x:c r="J6" s="30" t="str">
        <x:v>https://reports.aashe.org/institutions/participants-and-reports/</x:v>
      </x:c>
      <x:c r="K6" s="17" t="str">
        <x:v>University of Toronto Mississauga has a current Gold rating, but it is a separate campus record and is not inherited by University of Toronto.</x:v>
      </x:c>
    </x:row>
    <x:row r="7">
      <x:c r="A7" s="17" t="n">
        <x:v>3</x:v>
      </x:c>
      <x:c r="B7" s="17" t="str">
        <x:v>UCL</x:v>
      </x:c>
      <x:c r="C7" s="17" t="str">
        <x:v>No current exact record</x:v>
      </x:c>
      <x:c r="D7" s="17" t="str"/>
      <x:c r="E7" s="17" t="str"/>
      <x:c r="F7" s="17"/>
      <x:c r="G7" s="17" t="str"/>
      <x:c r="H7" s="30" t="str"/>
      <x:c r="I7" s="30" t="str"/>
      <x:c r="J7" s="30" t="str">
        <x:v>https://reports.aashe.org/institutions/participants-and-reports/</x:v>
      </x:c>
      <x:c r="K7" s="17" t="str">
        <x:v>No exact institution-level match was found in the current AASHE participants and reports table.</x:v>
      </x:c>
    </x:row>
    <x:row r="8">
      <x:c r="A8" s="17" t="n">
        <x:v>4</x:v>
      </x:c>
      <x:c r="B8" s="17" t="str">
        <x:v>The University of Edinburgh</x:v>
      </x:c>
      <x:c r="C8" s="17" t="str">
        <x:v>No current exact record</x:v>
      </x:c>
      <x:c r="D8" s="17" t="str"/>
      <x:c r="E8" s="17" t="str"/>
      <x:c r="F8" s="17"/>
      <x:c r="G8" s="17" t="str"/>
      <x:c r="H8" s="30" t="str"/>
      <x:c r="I8" s="30" t="str"/>
      <x:c r="J8" s="30" t="str">
        <x:v>https://reports.aashe.org/institutions/participants-and-reports/</x:v>
      </x:c>
      <x:c r="K8" s="17" t="str">
        <x:v>No exact institution-level match was found in the current AASHE participants and reports table.</x:v>
      </x:c>
    </x:row>
    <x:row r="9">
      <x:c r="A9" s="17" t="n">
        <x:v>5</x:v>
      </x:c>
      <x:c r="B9" s="17" t="str">
        <x:v>University of British Columbia</x:v>
      </x:c>
      <x:c r="C9" s="17" t="str">
        <x:v>No current exact record</x:v>
      </x:c>
      <x:c r="D9" s="17" t="str"/>
      <x:c r="E9" s="17" t="str"/>
      <x:c r="F9" s="17"/>
      <x:c r="G9" s="17" t="str"/>
      <x:c r="H9" s="30" t="str"/>
      <x:c r="I9" s="30" t="str"/>
      <x:c r="J9" s="30" t="str">
        <x:v>https://reports.aashe.org/institutions/participants-and-reports/</x:v>
      </x:c>
      <x:c r="K9" s="17" t="str">
        <x:v>No exact institution-level match was found in the current AASHE participants and reports table.</x:v>
      </x:c>
    </x:row>
    <x:row r="10">
      <x:c r="A10" s="17" t="n">
        <x:v>6</x:v>
      </x:c>
      <x:c r="B10" s="17" t="str">
        <x:v>The London School of Economics and Political Science (LSE)</x:v>
      </x:c>
      <x:c r="C10" s="17" t="str">
        <x:v>No current exact record</x:v>
      </x:c>
      <x:c r="D10" s="17" t="str"/>
      <x:c r="E10" s="17" t="str"/>
      <x:c r="F10" s="17"/>
      <x:c r="G10" s="17" t="str"/>
      <x:c r="H10" s="30" t="str"/>
      <x:c r="I10" s="30" t="str"/>
      <x:c r="J10" s="30" t="str">
        <x:v>https://reports.aashe.org/institutions/participants-and-reports/</x:v>
      </x:c>
      <x:c r="K10" s="17" t="str">
        <x:v>No exact institution-level match was found in the current AASHE participants and reports table.</x:v>
      </x:c>
    </x:row>
    <x:row r="11">
      <x:c r="A11" s="17" t="n">
        <x:v>7</x:v>
      </x:c>
      <x:c r="B11" s="17" t="str">
        <x:v>Imperial College London</x:v>
      </x:c>
      <x:c r="C11" s="17" t="str">
        <x:v>No current exact record</x:v>
      </x:c>
      <x:c r="D11" s="17" t="str"/>
      <x:c r="E11" s="17" t="str"/>
      <x:c r="F11" s="17"/>
      <x:c r="G11" s="17" t="str"/>
      <x:c r="H11" s="30" t="str"/>
      <x:c r="I11" s="30" t="str"/>
      <x:c r="J11" s="30" t="str">
        <x:v>https://reports.aashe.org/institutions/participants-and-reports/</x:v>
      </x:c>
      <x:c r="K11" s="17" t="str">
        <x:v>No exact institution-level match was found in the current AASHE participants and reports table.</x:v>
      </x:c>
    </x:row>
    <x:row r="12">
      <x:c r="A12" s="17" t="n">
        <x:v>8</x:v>
      </x:c>
      <x:c r="B12" s="17" t="str">
        <x:v>The University of New South Wales (UNSW Sydney)</x:v>
      </x:c>
      <x:c r="C12" s="17" t="str">
        <x:v>No current exact record</x:v>
      </x:c>
      <x:c r="D12" s="17" t="str"/>
      <x:c r="E12" s="17" t="str"/>
      <x:c r="F12" s="17"/>
      <x:c r="G12" s="17" t="str"/>
      <x:c r="H12" s="30" t="str"/>
      <x:c r="I12" s="30" t="str"/>
      <x:c r="J12" s="30" t="str">
        <x:v>https://reports.aashe.org/institutions/participants-and-reports/</x:v>
      </x:c>
      <x:c r="K12" s="17" t="str">
        <x:v>No exact institution-level match was found in the current AASHE participants and reports table.</x:v>
      </x:c>
    </x:row>
    <x:row r="13">
      <x:c r="A13" s="17" t="n">
        <x:v>9</x:v>
      </x:c>
      <x:c r="B13" s="17" t="str">
        <x:v>McGill University</x:v>
      </x:c>
      <x:c r="C13" s="17" t="str">
        <x:v>Exact name</x:v>
      </x:c>
      <x:c r="D13" s="17" t="str">
        <x:v>McGill University</x:v>
      </x:c>
      <x:c r="E13" s="17" t="str">
        <x:v>Platinum</x:v>
      </x:c>
      <x:c r="F13" s="17" t="n">
        <x:v>100</x:v>
      </x:c>
      <x:c r="G13" s="17" t="str">
        <x:v>March 13, 2027</x:v>
      </x:c>
      <x:c r="H13" s="30" t="str">
        <x:v>https://reports.aashe.org/institutions/mcgill-university-qc/report/</x:v>
      </x:c>
      <x:c r="I13" s="30" t="str">
        <x:v>https://reports.aashe.org/institutions/mcgill-university-qc/report/2024-01-17/</x:v>
      </x:c>
      <x:c r="J13" s="30" t="str">
        <x:v>https://reports.aashe.org/institutions/participants-and-reports/</x:v>
      </x:c>
      <x:c r="K13" s="17" t="str">
        <x:v>Exact normalized institutional name match.</x:v>
      </x:c>
    </x:row>
    <x:row r="14">
      <x:c r="A14" s="17" t="n">
        <x:v>10</x:v>
      </x:c>
      <x:c r="B14" s="17" t="str">
        <x:v>The University of Manchester</x:v>
      </x:c>
      <x:c r="C14" s="17" t="str">
        <x:v>No current exact record</x:v>
      </x:c>
      <x:c r="D14" s="17" t="str"/>
      <x:c r="E14" s="17" t="str"/>
      <x:c r="F14" s="17"/>
      <x:c r="G14" s="17" t="str"/>
      <x:c r="H14" s="30" t="str"/>
      <x:c r="I14" s="30" t="str"/>
      <x:c r="J14" s="30" t="str">
        <x:v>https://reports.aashe.org/institutions/participants-and-reports/</x:v>
      </x:c>
      <x:c r="K14" s="17" t="str">
        <x:v>No exact institution-level match was found in the current AASHE participants and reports table.</x:v>
      </x:c>
    </x:row>
    <x:row r="15">
      <x:c r="A15" s="17" t="n">
        <x:v>11</x:v>
      </x:c>
      <x:c r="B15" s="17" t="str">
        <x:v>ETH Zurich</x:v>
      </x:c>
      <x:c r="C15" s="17" t="str">
        <x:v>No current exact record</x:v>
      </x:c>
      <x:c r="D15" s="17" t="str"/>
      <x:c r="E15" s="17" t="str"/>
      <x:c r="F15" s="17"/>
      <x:c r="G15" s="17" t="str"/>
      <x:c r="H15" s="30" t="str"/>
      <x:c r="I15" s="30" t="str"/>
      <x:c r="J15" s="30" t="str">
        <x:v>https://reports.aashe.org/institutions/participants-and-reports/</x:v>
      </x:c>
      <x:c r="K15" s="17" t="str">
        <x:v>No exact institution-level match was found in the current AASHE participants and reports table.</x:v>
      </x:c>
    </x:row>
    <x:row r="16">
      <x:c r="A16" s="17" t="n">
        <x:v>12</x:v>
      </x:c>
      <x:c r="B16" s="17" t="str">
        <x:v>The University of Melbourne</x:v>
      </x:c>
      <x:c r="C16" s="17" t="str">
        <x:v>No current exact record</x:v>
      </x:c>
      <x:c r="D16" s="17" t="str"/>
      <x:c r="E16" s="17" t="str"/>
      <x:c r="F16" s="17"/>
      <x:c r="G16" s="17" t="str"/>
      <x:c r="H16" s="30" t="str"/>
      <x:c r="I16" s="30" t="str"/>
      <x:c r="J16" s="30" t="str">
        <x:v>https://reports.aashe.org/institutions/participants-and-reports/</x:v>
      </x:c>
      <x:c r="K16" s="17" t="str">
        <x:v>No exact institution-level match was found in the current AASHE participants and reports table.</x:v>
      </x:c>
    </x:row>
    <x:row r="17">
      <x:c r="A17" s="17" t="n">
        <x:v>13</x:v>
      </x:c>
      <x:c r="B17" s="17" t="str">
        <x:v>University of California, Berkeley (UCB)</x:v>
      </x:c>
      <x:c r="C17" s="17" t="str">
        <x:v>Verified alias</x:v>
      </x:c>
      <x:c r="D17" s="17" t="str">
        <x:v>University of California, Berkeley</x:v>
      </x:c>
      <x:c r="E17" s="17" t="str">
        <x:v>Platinum</x:v>
      </x:c>
      <x:c r="F17" s="17" t="n">
        <x:v>100</x:v>
      </x:c>
      <x:c r="G17" s="17" t="str">
        <x:v>April 20, 2028</x:v>
      </x:c>
      <x:c r="H17" s="30" t="str">
        <x:v>https://reports.aashe.org/institutions/university-of-california-berkeley-ca/report/</x:v>
      </x:c>
      <x:c r="I17" s="30" t="str">
        <x:v>https://reports.aashe.org/institutions/university-of-california-berkeley-ca/report/2025-02-19/</x:v>
      </x:c>
      <x:c r="J17" s="30" t="str">
        <x:v>https://reports.aashe.org/institutions/participants-and-reports/</x:v>
      </x:c>
      <x:c r="K17" s="17" t="str">
        <x:v>Alias checked as the same institution.</x:v>
      </x:c>
    </x:row>
    <x:row r="18">
      <x:c r="A18" s="17" t="n">
        <x:v>14</x:v>
      </x:c>
      <x:c r="B18" s="17" t="str">
        <x:v>Stanford University</x:v>
      </x:c>
      <x:c r="C18" s="17" t="str">
        <x:v>Exact name</x:v>
      </x:c>
      <x:c r="D18" s="17" t="str">
        <x:v>Stanford University</x:v>
      </x:c>
      <x:c r="E18" s="17" t="str">
        <x:v>Platinum</x:v>
      </x:c>
      <x:c r="F18" s="17" t="n">
        <x:v>100</x:v>
      </x:c>
      <x:c r="G18" s="17" t="str">
        <x:v>Feb. 16, 2029</x:v>
      </x:c>
      <x:c r="H18" s="30" t="str">
        <x:v>https://reports.aashe.org/institutions/stanford-university-ca/report/</x:v>
      </x:c>
      <x:c r="I18" s="30" t="str">
        <x:v>https://reports.aashe.org/institutions/stanford-university-ca/report/2025-12-11/</x:v>
      </x:c>
      <x:c r="J18" s="30" t="str">
        <x:v>https://reports.aashe.org/institutions/participants-and-reports/</x:v>
      </x:c>
      <x:c r="K18" s="17" t="str">
        <x:v>Exact normalized institutional name match.</x:v>
      </x:c>
    </x:row>
    <x:row r="19">
      <x:c r="A19" s="17" t="n">
        <x:v>15</x:v>
      </x:c>
      <x:c r="B19" s="17" t="str">
        <x:v>University of Oxford</x:v>
      </x:c>
      <x:c r="C19" s="17" t="str">
        <x:v>No current exact record</x:v>
      </x:c>
      <x:c r="D19" s="17" t="str"/>
      <x:c r="E19" s="17" t="str"/>
      <x:c r="F19" s="17"/>
      <x:c r="G19" s="17" t="str"/>
      <x:c r="H19" s="30" t="str"/>
      <x:c r="I19" s="30" t="str"/>
      <x:c r="J19" s="30" t="str">
        <x:v>https://reports.aashe.org/institutions/participants-and-reports/</x:v>
      </x:c>
      <x:c r="K19" s="17" t="str">
        <x:v>No exact institution-level match was found in the current AASHE participants and reports table.</x:v>
      </x:c>
    </x:row>
    <x:row r="20">
      <x:c r="A20" s="17" t="n">
        <x:v>16</x:v>
      </x:c>
      <x:c r="B20" s="17" t="str">
        <x:v>The University of Sydney</x:v>
      </x:c>
      <x:c r="C20" s="17" t="str">
        <x:v>No current exact record</x:v>
      </x:c>
      <x:c r="D20" s="17" t="str"/>
      <x:c r="E20" s="17" t="str"/>
      <x:c r="F20" s="17"/>
      <x:c r="G20" s="17" t="str"/>
      <x:c r="H20" s="30" t="str"/>
      <x:c r="I20" s="30" t="str"/>
      <x:c r="J20" s="30" t="str">
        <x:v>https://reports.aashe.org/institutions/participants-and-reports/</x:v>
      </x:c>
      <x:c r="K20" s="17" t="str">
        <x:v>No exact institution-level match was found in the current AASHE participants and reports table.</x:v>
      </x:c>
    </x:row>
    <x:row r="21">
      <x:c r="A21" s="17" t="n">
        <x:v>17</x:v>
      </x:c>
      <x:c r="B21" s="17" t="str">
        <x:v>Australian National University (ANU)</x:v>
      </x:c>
      <x:c r="C21" s="17" t="str">
        <x:v>No current exact record</x:v>
      </x:c>
      <x:c r="D21" s="17" t="str"/>
      <x:c r="E21" s="17" t="str"/>
      <x:c r="F21" s="17"/>
      <x:c r="G21" s="17" t="str"/>
      <x:c r="H21" s="30" t="str"/>
      <x:c r="I21" s="30" t="str"/>
      <x:c r="J21" s="30" t="str">
        <x:v>https://reports.aashe.org/institutions/participants-and-reports/</x:v>
      </x:c>
      <x:c r="K21" s="17" t="str">
        <x:v>No exact institution-level match was found in the current AASHE participants and reports table.</x:v>
      </x:c>
    </x:row>
    <x:row r="22">
      <x:c r="A22" s="17" t="n">
        <x:v>18</x:v>
      </x:c>
      <x:c r="B22" s="17" t="str">
        <x:v>King's College London</x:v>
      </x:c>
      <x:c r="C22" s="17" t="str">
        <x:v>No current exact record</x:v>
      </x:c>
      <x:c r="D22" s="17" t="str"/>
      <x:c r="E22" s="17" t="str"/>
      <x:c r="F22" s="17"/>
      <x:c r="G22" s="17" t="str"/>
      <x:c r="H22" s="30" t="str"/>
      <x:c r="I22" s="30" t="str"/>
      <x:c r="J22" s="30" t="str">
        <x:v>https://reports.aashe.org/institutions/participants-and-reports/</x:v>
      </x:c>
      <x:c r="K22" s="17" t="str">
        <x:v>No exact institution-level match was found in the current AASHE participants and reports table.</x:v>
      </x:c>
    </x:row>
    <x:row r="23">
      <x:c r="A23" s="17" t="n">
        <x:v>19</x:v>
      </x:c>
      <x:c r="B23" s="17" t="str">
        <x:v>University of Bristol</x:v>
      </x:c>
      <x:c r="C23" s="17" t="str">
        <x:v>No current exact record</x:v>
      </x:c>
      <x:c r="D23" s="17" t="str"/>
      <x:c r="E23" s="17" t="str"/>
      <x:c r="F23" s="17"/>
      <x:c r="G23" s="17" t="str"/>
      <x:c r="H23" s="30" t="str"/>
      <x:c r="I23" s="30" t="str"/>
      <x:c r="J23" s="30" t="str">
        <x:v>https://reports.aashe.org/institutions/participants-and-reports/</x:v>
      </x:c>
      <x:c r="K23" s="17" t="str">
        <x:v>No exact institution-level match was found in the current AASHE participants and reports table.</x:v>
      </x:c>
    </x:row>
    <x:row r="24">
      <x:c r="A24" s="17" t="n">
        <x:v>20</x:v>
      </x:c>
      <x:c r="B24" s="17" t="str">
        <x:v>New York University (NYU)</x:v>
      </x:c>
      <x:c r="C24" s="17" t="str">
        <x:v>Exact name</x:v>
      </x:c>
      <x:c r="D24" s="17" t="str">
        <x:v>New York University</x:v>
      </x:c>
      <x:c r="E24" s="17" t="str">
        <x:v>Gold</x:v>
      </x:c>
      <x:c r="F24" s="17" t="n">
        <x:v>85</x:v>
      </x:c>
      <x:c r="G24" s="17" t="str">
        <x:v>March 17, 2028</x:v>
      </x:c>
      <x:c r="H24" s="30" t="str">
        <x:v>https://reports.aashe.org/institutions/new-york-university-ny/report/</x:v>
      </x:c>
      <x:c r="I24" s="30" t="str">
        <x:v>https://reports.aashe.org/institutions/new-york-university-ny/report/2025-02-14/</x:v>
      </x:c>
      <x:c r="J24" s="30" t="str">
        <x:v>https://reports.aashe.org/institutions/participants-and-reports/</x:v>
      </x:c>
      <x:c r="K24" s="17" t="str">
        <x:v>Exact normalized institutional name match.</x:v>
      </x:c>
    </x:row>
    <x:row r="25">
      <x:c r="A25" s="17" t="n">
        <x:v>21</x:v>
      </x:c>
      <x:c r="B25" s="17" t="str">
        <x:v>Pennsylvania State University</x:v>
      </x:c>
      <x:c r="C25" s="17" t="str">
        <x:v>Exact name</x:v>
      </x:c>
      <x:c r="D25" s="17" t="str">
        <x:v>Pennsylvania State University</x:v>
      </x:c>
      <x:c r="E25" s="17" t="str">
        <x:v>Gold</x:v>
      </x:c>
      <x:c r="F25" s="17" t="n">
        <x:v>85</x:v>
      </x:c>
      <x:c r="G25" s="17" t="str">
        <x:v>Jan. 10, 2027</x:v>
      </x:c>
      <x:c r="H25" s="30" t="str">
        <x:v>https://reports.aashe.org/institutions/pennsylvania-state-university-pa/report/</x:v>
      </x:c>
      <x:c r="I25" s="30" t="str">
        <x:v>https://reports.aashe.org/institutions/pennsylvania-state-university-pa/report/2023-12-12/</x:v>
      </x:c>
      <x:c r="J25" s="30" t="str">
        <x:v>https://reports.aashe.org/institutions/participants-and-reports/</x:v>
      </x:c>
      <x:c r="K25" s="17" t="str">
        <x:v>Exact normalized institutional name match.</x:v>
      </x:c>
    </x:row>
    <x:row r="26">
      <x:c r="A26" s="17" t="n">
        <x:v>22</x:v>
      </x:c>
      <x:c r="B26" s="17" t="str">
        <x:v>KU Leuven</x:v>
      </x:c>
      <x:c r="C26" s="17" t="str">
        <x:v>No current exact record</x:v>
      </x:c>
      <x:c r="D26" s="17" t="str"/>
      <x:c r="E26" s="17" t="str"/>
      <x:c r="F26" s="17"/>
      <x:c r="G26" s="17" t="str"/>
      <x:c r="H26" s="30" t="str"/>
      <x:c r="I26" s="30" t="str"/>
      <x:c r="J26" s="30" t="str">
        <x:v>https://reports.aashe.org/institutions/participants-and-reports/</x:v>
      </x:c>
      <x:c r="K26" s="17" t="str">
        <x:v>No exact institution-level match was found in the current AASHE participants and reports table.</x:v>
      </x:c>
    </x:row>
    <x:row r="27">
      <x:c r="A27" s="17" t="n">
        <x:v>23</x:v>
      </x:c>
      <x:c r="B27" s="17" t="str">
        <x:v>University of Helsinki</x:v>
      </x:c>
      <x:c r="C27" s="17" t="str">
        <x:v>No current exact record</x:v>
      </x:c>
      <x:c r="D27" s="17" t="str"/>
      <x:c r="E27" s="17" t="str"/>
      <x:c r="F27" s="17"/>
      <x:c r="G27" s="17" t="str"/>
      <x:c r="H27" s="30" t="str"/>
      <x:c r="I27" s="30" t="str"/>
      <x:c r="J27" s="30" t="str">
        <x:v>https://reports.aashe.org/institutions/participants-and-reports/</x:v>
      </x:c>
      <x:c r="K27" s="17" t="str">
        <x:v>No exact institution-level match was found in the current AASHE participants and reports table.</x:v>
      </x:c>
    </x:row>
    <x:row r="28">
      <x:c r="A28" s="17" t="n">
        <x:v>24</x:v>
      </x:c>
      <x:c r="B28" s="17" t="str">
        <x:v>Durham University</x:v>
      </x:c>
      <x:c r="C28" s="17" t="str">
        <x:v>No current exact record</x:v>
      </x:c>
      <x:c r="D28" s="17" t="str"/>
      <x:c r="E28" s="17" t="str"/>
      <x:c r="F28" s="17"/>
      <x:c r="G28" s="17" t="str"/>
      <x:c r="H28" s="30" t="str"/>
      <x:c r="I28" s="30" t="str"/>
      <x:c r="J28" s="30" t="str">
        <x:v>https://reports.aashe.org/institutions/participants-and-reports/</x:v>
      </x:c>
      <x:c r="K28" s="17" t="str">
        <x:v>No exact institution-level match was found in the current AASHE participants and reports table.</x:v>
      </x:c>
    </x:row>
    <x:row r="29">
      <x:c r="A29" s="17" t="n">
        <x:v>25</x:v>
      </x:c>
      <x:c r="B29" s="17" t="str">
        <x:v>University of Leeds</x:v>
      </x:c>
      <x:c r="C29" s="17" t="str">
        <x:v>No current exact record</x:v>
      </x:c>
      <x:c r="D29" s="17" t="str"/>
      <x:c r="E29" s="17" t="str"/>
      <x:c r="F29" s="17"/>
      <x:c r="G29" s="17" t="str"/>
      <x:c r="H29" s="30" t="str"/>
      <x:c r="I29" s="30" t="str"/>
      <x:c r="J29" s="30" t="str">
        <x:v>https://reports.aashe.org/institutions/participants-and-reports/</x:v>
      </x:c>
      <x:c r="K29" s="17" t="str">
        <x:v>No exact institution-level match was found in the current AASHE participants and reports table.</x:v>
      </x:c>
    </x:row>
    <x:row r="30">
      <x:c r="A30" s="17" t="n">
        <x:v>26</x:v>
      </x:c>
      <x:c r="B30" s="17" t="str">
        <x:v>Western University</x:v>
      </x:c>
      <x:c r="C30" s="17" t="str">
        <x:v>Exact name</x:v>
      </x:c>
      <x:c r="D30" s="17" t="str">
        <x:v>Western University</x:v>
      </x:c>
      <x:c r="E30" s="17" t="str">
        <x:v>Gold</x:v>
      </x:c>
      <x:c r="F30" s="17" t="n">
        <x:v>85</x:v>
      </x:c>
      <x:c r="G30" s="17" t="str">
        <x:v>Feb. 28, 2028</x:v>
      </x:c>
      <x:c r="H30" s="30" t="str">
        <x:v>https://reports.aashe.org/institutions/university-of-western-ontario-on/report/</x:v>
      </x:c>
      <x:c r="I30" s="30" t="str">
        <x:v>https://reports.aashe.org/institutions/university-of-western-ontario-on/report/2025-01-16/</x:v>
      </x:c>
      <x:c r="J30" s="30" t="str">
        <x:v>https://reports.aashe.org/institutions/participants-and-reports/</x:v>
      </x:c>
      <x:c r="K30" s="17" t="str">
        <x:v>Exact normalized institutional name match.</x:v>
      </x:c>
    </x:row>
    <x:row r="31">
      <x:c r="A31" s="17" t="n">
        <x:v>27</x:v>
      </x:c>
      <x:c r="B31" s="17" t="str">
        <x:v>University of Glasgow</x:v>
      </x:c>
      <x:c r="C31" s="17" t="str">
        <x:v>No current exact record</x:v>
      </x:c>
      <x:c r="D31" s="17" t="str"/>
      <x:c r="E31" s="17" t="str"/>
      <x:c r="F31" s="17"/>
      <x:c r="G31" s="17" t="str"/>
      <x:c r="H31" s="30" t="str"/>
      <x:c r="I31" s="30" t="str"/>
      <x:c r="J31" s="30" t="str">
        <x:v>https://reports.aashe.org/institutions/participants-and-reports/</x:v>
      </x:c>
      <x:c r="K31" s="17" t="str">
        <x:v>No exact institution-level match was found in the current AASHE participants and reports table.</x:v>
      </x:c>
    </x:row>
    <x:row r="32">
      <x:c r="A32" s="17" t="n">
        <x:v>28</x:v>
      </x:c>
      <x:c r="B32" s="17" t="str">
        <x:v>The University of Auckland</x:v>
      </x:c>
      <x:c r="C32" s="17" t="str">
        <x:v>No current exact record</x:v>
      </x:c>
      <x:c r="D32" s="17" t="str"/>
      <x:c r="E32" s="17" t="str"/>
      <x:c r="F32" s="17"/>
      <x:c r="G32" s="17" t="str"/>
      <x:c r="H32" s="30" t="str"/>
      <x:c r="I32" s="30" t="str"/>
      <x:c r="J32" s="30" t="str">
        <x:v>https://reports.aashe.org/institutions/participants-and-reports/</x:v>
      </x:c>
      <x:c r="K32" s="17" t="str">
        <x:v>No exact institution-level match was found in the current AASHE participants and reports table.</x:v>
      </x:c>
    </x:row>
    <x:row r="33">
      <x:c r="A33" s="17" t="n">
        <x:v>29</x:v>
      </x:c>
      <x:c r="B33" s="17" t="str">
        <x:v>Trinity College Dublin, The University of Dublin</x:v>
      </x:c>
      <x:c r="C33" s="17" t="str">
        <x:v>No current exact record</x:v>
      </x:c>
      <x:c r="D33" s="17" t="str"/>
      <x:c r="E33" s="17" t="str"/>
      <x:c r="F33" s="17"/>
      <x:c r="G33" s="17" t="str"/>
      <x:c r="H33" s="30" t="str"/>
      <x:c r="I33" s="30" t="str"/>
      <x:c r="J33" s="30" t="str">
        <x:v>https://reports.aashe.org/institutions/participants-and-reports/</x:v>
      </x:c>
      <x:c r="K33" s="17" t="str">
        <x:v>No exact institution-level match was found in the current AASHE participants and reports table.</x:v>
      </x:c>
    </x:row>
    <x:row r="34">
      <x:c r="A34" s="17" t="n">
        <x:v>30</x:v>
      </x:c>
      <x:c r="B34" s="17" t="str">
        <x:v>University of Pennsylvania</x:v>
      </x:c>
      <x:c r="C34" s="17" t="str">
        <x:v>Exact name</x:v>
      </x:c>
      <x:c r="D34" s="17" t="str">
        <x:v>University of Pennsylvania</x:v>
      </x:c>
      <x:c r="E34" s="17" t="str">
        <x:v>Gold</x:v>
      </x:c>
      <x:c r="F34" s="17" t="n">
        <x:v>85</x:v>
      </x:c>
      <x:c r="G34" s="17" t="str">
        <x:v>March 6, 2028</x:v>
      </x:c>
      <x:c r="H34" s="30" t="str">
        <x:v>https://reports.aashe.org/institutions/university-of-pennsylvania-pa/report/</x:v>
      </x:c>
      <x:c r="I34" s="30" t="str">
        <x:v>https://reports.aashe.org/institutions/university-of-pennsylvania-pa/report/2025-02-18/</x:v>
      </x:c>
      <x:c r="J34" s="30" t="str">
        <x:v>https://reports.aashe.org/institutions/participants-and-reports/</x:v>
      </x:c>
      <x:c r="K34" s="17" t="str">
        <x:v>Exact normalized institutional name match.</x:v>
      </x:c>
    </x:row>
    <x:row r="35">
      <x:c r="A35" s="17" t="n">
        <x:v>31</x:v>
      </x:c>
      <x:c r="B35" s="17" t="str">
        <x:v>University of Reading</x:v>
      </x:c>
      <x:c r="C35" s="17" t="str">
        <x:v>No current exact record</x:v>
      </x:c>
      <x:c r="D35" s="17" t="str"/>
      <x:c r="E35" s="17" t="str"/>
      <x:c r="F35" s="17"/>
      <x:c r="G35" s="17" t="str"/>
      <x:c r="H35" s="30" t="str"/>
      <x:c r="I35" s="30" t="str"/>
      <x:c r="J35" s="30" t="str">
        <x:v>https://reports.aashe.org/institutions/participants-and-reports/</x:v>
      </x:c>
      <x:c r="K35" s="17" t="str">
        <x:v>No exact institution-level match was found in the current AASHE participants and reports table.</x:v>
      </x:c>
    </x:row>
    <x:row r="36">
      <x:c r="A36" s="17" t="n">
        <x:v>32</x:v>
      </x:c>
      <x:c r="B36" s="17" t="str">
        <x:v>Uppsala University</x:v>
      </x:c>
      <x:c r="C36" s="17" t="str">
        <x:v>No current exact record</x:v>
      </x:c>
      <x:c r="D36" s="17" t="str"/>
      <x:c r="E36" s="17" t="str"/>
      <x:c r="F36" s="17"/>
      <x:c r="G36" s="17" t="str"/>
      <x:c r="H36" s="30" t="str"/>
      <x:c r="I36" s="30" t="str"/>
      <x:c r="J36" s="30" t="str">
        <x:v>https://reports.aashe.org/institutions/participants-and-reports/</x:v>
      </x:c>
      <x:c r="K36" s="17" t="str">
        <x:v>No exact institution-level match was found in the current AASHE participants and reports table.</x:v>
      </x:c>
    </x:row>
    <x:row r="37">
      <x:c r="A37" s="17" t="n">
        <x:v>33</x:v>
      </x:c>
      <x:c r="B37" s="17" t="str">
        <x:v>Ghent University</x:v>
      </x:c>
      <x:c r="C37" s="17" t="str">
        <x:v>No current exact record</x:v>
      </x:c>
      <x:c r="D37" s="17" t="str"/>
      <x:c r="E37" s="17" t="str"/>
      <x:c r="F37" s="17"/>
      <x:c r="G37" s="17" t="str"/>
      <x:c r="H37" s="30" t="str"/>
      <x:c r="I37" s="30" t="str"/>
      <x:c r="J37" s="30" t="str">
        <x:v>https://reports.aashe.org/institutions/participants-and-reports/</x:v>
      </x:c>
      <x:c r="K37" s="17" t="str">
        <x:v>No exact institution-level match was found in the current AASHE participants and reports table.</x:v>
      </x:c>
    </x:row>
    <x:row r="38">
      <x:c r="A38" s="17" t="n">
        <x:v>34</x:v>
      </x:c>
      <x:c r="B38" s="17" t="str">
        <x:v>The University of Sheffield</x:v>
      </x:c>
      <x:c r="C38" s="17" t="str">
        <x:v>No current exact record</x:v>
      </x:c>
      <x:c r="D38" s="17" t="str"/>
      <x:c r="E38" s="17" t="str"/>
      <x:c r="F38" s="17"/>
      <x:c r="G38" s="17" t="str"/>
      <x:c r="H38" s="30" t="str"/>
      <x:c r="I38" s="30" t="str"/>
      <x:c r="J38" s="30" t="str">
        <x:v>https://reports.aashe.org/institutions/participants-and-reports/</x:v>
      </x:c>
      <x:c r="K38" s="17" t="str">
        <x:v>No exact institution-level match was found in the current AASHE participants and reports table.</x:v>
      </x:c>
    </x:row>
    <x:row r="39">
      <x:c r="A39" s="17" t="n">
        <x:v>35</x:v>
      </x:c>
      <x:c r="B39" s="17" t="str">
        <x:v>Delft University of Technology</x:v>
      </x:c>
      <x:c r="C39" s="17" t="str">
        <x:v>No current exact record</x:v>
      </x:c>
      <x:c r="D39" s="17" t="str"/>
      <x:c r="E39" s="17" t="str"/>
      <x:c r="F39" s="17"/>
      <x:c r="G39" s="17" t="str"/>
      <x:c r="H39" s="30" t="str"/>
      <x:c r="I39" s="30" t="str"/>
      <x:c r="J39" s="30" t="str">
        <x:v>https://reports.aashe.org/institutions/participants-and-reports/</x:v>
      </x:c>
      <x:c r="K39" s="17" t="str">
        <x:v>No exact institution-level match was found in the current AASHE participants and reports table.</x:v>
      </x:c>
    </x:row>
    <x:row r="40">
      <x:c r="A40" s="17" t="n">
        <x:v>36</x:v>
      </x:c>
      <x:c r="B40" s="17" t="str">
        <x:v>Michigan State University</x:v>
      </x:c>
      <x:c r="C40" s="17" t="str">
        <x:v>No current exact record</x:v>
      </x:c>
      <x:c r="D40" s="17" t="str"/>
      <x:c r="E40" s="17" t="str"/>
      <x:c r="F40" s="17"/>
      <x:c r="G40" s="17" t="str"/>
      <x:c r="H40" s="30" t="str"/>
      <x:c r="I40" s="30" t="str"/>
      <x:c r="J40" s="30" t="str">
        <x:v>https://reports.aashe.org/institutions/participants-and-reports/</x:v>
      </x:c>
      <x:c r="K40" s="17" t="str">
        <x:v>No exact institution-level match was found in the current AASHE participants and reports table.</x:v>
      </x:c>
    </x:row>
    <x:row r="41">
      <x:c r="A41" s="17" t="n">
        <x:v>37</x:v>
      </x:c>
      <x:c r="B41" s="17" t="str">
        <x:v>Monash University</x:v>
      </x:c>
      <x:c r="C41" s="17" t="str">
        <x:v>No current exact record</x:v>
      </x:c>
      <x:c r="D41" s="17" t="str"/>
      <x:c r="E41" s="17" t="str"/>
      <x:c r="F41" s="17"/>
      <x:c r="G41" s="17" t="str"/>
      <x:c r="H41" s="30" t="str"/>
      <x:c r="I41" s="30" t="str"/>
      <x:c r="J41" s="30" t="str">
        <x:v>https://reports.aashe.org/institutions/participants-and-reports/</x:v>
      </x:c>
      <x:c r="K41" s="17" t="str">
        <x:v>No exact institution-level match was found in the current AASHE participants and reports table.</x:v>
      </x:c>
    </x:row>
    <x:row r="42">
      <x:c r="A42" s="17" t="n">
        <x:v>38</x:v>
      </x:c>
      <x:c r="B42" s="17" t="str">
        <x:v>Seoul National University</x:v>
      </x:c>
      <x:c r="C42" s="17" t="str">
        <x:v>No current exact record</x:v>
      </x:c>
      <x:c r="D42" s="17" t="str"/>
      <x:c r="E42" s="17" t="str"/>
      <x:c r="F42" s="17"/>
      <x:c r="G42" s="17" t="str"/>
      <x:c r="H42" s="30" t="str"/>
      <x:c r="I42" s="30" t="str"/>
      <x:c r="J42" s="30" t="str">
        <x:v>https://reports.aashe.org/institutions/participants-and-reports/</x:v>
      </x:c>
      <x:c r="K42" s="17" t="str">
        <x:v>No exact institution-level match was found in the current AASHE participants and reports table.</x:v>
      </x:c>
    </x:row>
    <x:row r="43">
      <x:c r="A43" s="17" t="n">
        <x:v>39</x:v>
      </x:c>
      <x:c r="B43" s="17" t="str">
        <x:v>University of Nottingham</x:v>
      </x:c>
      <x:c r="C43" s="17" t="str">
        <x:v>No current exact record</x:v>
      </x:c>
      <x:c r="D43" s="17" t="str"/>
      <x:c r="E43" s="17" t="str"/>
      <x:c r="F43" s="17"/>
      <x:c r="G43" s="17" t="str"/>
      <x:c r="H43" s="30" t="str"/>
      <x:c r="I43" s="30" t="str"/>
      <x:c r="J43" s="30" t="str">
        <x:v>https://reports.aashe.org/institutions/participants-and-reports/</x:v>
      </x:c>
      <x:c r="K43" s="17" t="str">
        <x:v>No exact institution-level match was found in the current AASHE participants and reports table.</x:v>
      </x:c>
    </x:row>
    <x:row r="44">
      <x:c r="A44" s="17" t="n">
        <x:v>40</x:v>
      </x:c>
      <x:c r="B44" s="17" t="str">
        <x:v>University of York</x:v>
      </x:c>
      <x:c r="C44" s="17" t="str">
        <x:v>No current exact record</x:v>
      </x:c>
      <x:c r="D44" s="17" t="str"/>
      <x:c r="E44" s="17" t="str"/>
      <x:c r="F44" s="17"/>
      <x:c r="G44" s="17" t="str"/>
      <x:c r="H44" s="30" t="str"/>
      <x:c r="I44" s="30" t="str"/>
      <x:c r="J44" s="30" t="str">
        <x:v>https://reports.aashe.org/institutions/participants-and-reports/</x:v>
      </x:c>
      <x:c r="K44" s="17" t="str">
        <x:v>No exact institution-level match was found in the current AASHE participants and reports table.</x:v>
      </x:c>
    </x:row>
    <x:row r="45">
      <x:c r="A45" s="17" t="n">
        <x:v>41</x:v>
      </x:c>
      <x:c r="B45" s="17" t="str">
        <x:v>Boston University</x:v>
      </x:c>
      <x:c r="C45" s="17" t="str">
        <x:v>Exact name</x:v>
      </x:c>
      <x:c r="D45" s="17" t="str">
        <x:v>Boston University</x:v>
      </x:c>
      <x:c r="E45" s="17" t="str">
        <x:v>Gold</x:v>
      </x:c>
      <x:c r="F45" s="17" t="n">
        <x:v>85</x:v>
      </x:c>
      <x:c r="G45" s="17" t="str">
        <x:v>Dec. 17, 2028</x:v>
      </x:c>
      <x:c r="H45" s="30" t="str">
        <x:v>https://reports.aashe.org/institutions/boston-university-ma/report/</x:v>
      </x:c>
      <x:c r="I45" s="30" t="str">
        <x:v>https://reports.aashe.org/institutions/boston-university-ma/report/2025-11-06/</x:v>
      </x:c>
      <x:c r="J45" s="30" t="str">
        <x:v>https://reports.aashe.org/institutions/participants-and-reports/</x:v>
      </x:c>
      <x:c r="K45" s="17" t="str">
        <x:v>Exact normalized institutional name match.</x:v>
      </x:c>
    </x:row>
    <x:row r="46">
      <x:c r="A46" s="17" t="n">
        <x:v>42</x:v>
      </x:c>
      <x:c r="B46" s="17" t="str">
        <x:v>Johns Hopkins University</x:v>
      </x:c>
      <x:c r="C46" s="17" t="str">
        <x:v>No current exact record</x:v>
      </x:c>
      <x:c r="D46" s="17" t="str"/>
      <x:c r="E46" s="17" t="str"/>
      <x:c r="F46" s="17"/>
      <x:c r="G46" s="17" t="str"/>
      <x:c r="H46" s="30" t="str"/>
      <x:c r="I46" s="30" t="str"/>
      <x:c r="J46" s="30" t="str">
        <x:v>https://reports.aashe.org/institutions/participants-and-reports/</x:v>
      </x:c>
      <x:c r="K46" s="17" t="str">
        <x:v>No exact institution-level match was found in the current AASHE participants and reports table.</x:v>
      </x:c>
    </x:row>
    <x:row r="47">
      <x:c r="A47" s="17" t="n">
        <x:v>43</x:v>
      </x:c>
      <x:c r="B47" s="17" t="str">
        <x:v>Massachusetts Institute of Technology (MIT)</x:v>
      </x:c>
      <x:c r="C47" s="17" t="str">
        <x:v>Verified alias</x:v>
      </x:c>
      <x:c r="D47" s="17" t="str">
        <x:v>Massachusetts Institute of Technology</x:v>
      </x:c>
      <x:c r="E47" s="17" t="str">
        <x:v>Gold</x:v>
      </x:c>
      <x:c r="F47" s="17" t="n">
        <x:v>85</x:v>
      </x:c>
      <x:c r="G47" s="17" t="str">
        <x:v>Oct. 15, 2028</x:v>
      </x:c>
      <x:c r="H47" s="30" t="str">
        <x:v>https://reports.aashe.org/institutions/massachusetts-institute-of-technology-ma/report/</x:v>
      </x:c>
      <x:c r="I47" s="30" t="str">
        <x:v>https://reports.aashe.org/institutions/massachusetts-institute-of-technology-ma/report/2025-07-23/</x:v>
      </x:c>
      <x:c r="J47" s="30" t="str">
        <x:v>https://reports.aashe.org/institutions/participants-and-reports/</x:v>
      </x:c>
      <x:c r="K47" s="17" t="str">
        <x:v>Alias checked as the same institution.</x:v>
      </x:c>
    </x:row>
    <x:row r="48">
      <x:c r="A48" s="17" t="n">
        <x:v>44</x:v>
      </x:c>
      <x:c r="B48" s="17" t="str">
        <x:v>University of Birmingham</x:v>
      </x:c>
      <x:c r="C48" s="17" t="str">
        <x:v>No current exact record</x:v>
      </x:c>
      <x:c r="D48" s="17" t="str"/>
      <x:c r="E48" s="17" t="str"/>
      <x:c r="F48" s="17"/>
      <x:c r="G48" s="17" t="str"/>
      <x:c r="H48" s="30" t="str"/>
      <x:c r="I48" s="30" t="str"/>
      <x:c r="J48" s="30" t="str">
        <x:v>https://reports.aashe.org/institutions/participants-and-reports/</x:v>
      </x:c>
      <x:c r="K48" s="17" t="str">
        <x:v>No exact institution-level match was found in the current AASHE participants and reports table.</x:v>
      </x:c>
    </x:row>
    <x:row r="49">
      <x:c r="A49" s="17" t="n">
        <x:v>45</x:v>
      </x:c>
      <x:c r="B49" s="17" t="str">
        <x:v>Université Paris-Saclay</x:v>
      </x:c>
      <x:c r="C49" s="17" t="str">
        <x:v>No current exact record</x:v>
      </x:c>
      <x:c r="D49" s="17" t="str"/>
      <x:c r="E49" s="17" t="str"/>
      <x:c r="F49" s="17"/>
      <x:c r="G49" s="17" t="str"/>
      <x:c r="H49" s="30" t="str"/>
      <x:c r="I49" s="30" t="str"/>
      <x:c r="J49" s="30" t="str">
        <x:v>https://reports.aashe.org/institutions/participants-and-reports/</x:v>
      </x:c>
      <x:c r="K49" s="17" t="str">
        <x:v>No exact institution-level match was found in the current AASHE participants and reports table.</x:v>
      </x:c>
    </x:row>
    <x:row r="50">
      <x:c r="A50" s="17" t="n">
        <x:v>46</x:v>
      </x:c>
      <x:c r="B50" s="17" t="str">
        <x:v>Universität Hamburg</x:v>
      </x:c>
      <x:c r="C50" s="17" t="str">
        <x:v>No current exact record</x:v>
      </x:c>
      <x:c r="D50" s="17" t="str"/>
      <x:c r="E50" s="17" t="str"/>
      <x:c r="F50" s="17"/>
      <x:c r="G50" s="17" t="str"/>
      <x:c r="H50" s="30" t="str"/>
      <x:c r="I50" s="30" t="str"/>
      <x:c r="J50" s="30" t="str">
        <x:v>https://reports.aashe.org/institutions/participants-and-reports/</x:v>
      </x:c>
      <x:c r="K50" s="17" t="str">
        <x:v>No exact institution-level match was found in the current AASHE participants and reports table.</x:v>
      </x:c>
    </x:row>
    <x:row r="51">
      <x:c r="A51" s="17" t="n">
        <x:v>47</x:v>
      </x:c>
      <x:c r="B51" s="17" t="str">
        <x:v>University College Dublin</x:v>
      </x:c>
      <x:c r="C51" s="17" t="str">
        <x:v>No current exact record</x:v>
      </x:c>
      <x:c r="D51" s="17" t="str"/>
      <x:c r="E51" s="17" t="str"/>
      <x:c r="F51" s="17"/>
      <x:c r="G51" s="17" t="str"/>
      <x:c r="H51" s="30" t="str"/>
      <x:c r="I51" s="30" t="str"/>
      <x:c r="J51" s="30" t="str">
        <x:v>https://reports.aashe.org/institutions/participants-and-reports/</x:v>
      </x:c>
      <x:c r="K51" s="17" t="str">
        <x:v>No exact institution-level match was found in the current AASHE participants and reports table.</x:v>
      </x:c>
    </x:row>
    <x:row r="52">
      <x:c r="A52" s="17" t="n">
        <x:v>48</x:v>
      </x:c>
      <x:c r="B52" s="17" t="str">
        <x:v>The University of Tokyo</x:v>
      </x:c>
      <x:c r="C52" s="17" t="str">
        <x:v>No current exact record</x:v>
      </x:c>
      <x:c r="D52" s="17" t="str"/>
      <x:c r="E52" s="17" t="str"/>
      <x:c r="F52" s="17"/>
      <x:c r="G52" s="17" t="str"/>
      <x:c r="H52" s="30" t="str"/>
      <x:c r="I52" s="30" t="str"/>
      <x:c r="J52" s="30" t="str">
        <x:v>https://reports.aashe.org/institutions/participants-and-reports/</x:v>
      </x:c>
      <x:c r="K52" s="17" t="str">
        <x:v>No exact institution-level match was found in the current AASHE participants and reports table.</x:v>
      </x:c>
    </x:row>
    <x:row r="53">
      <x:c r="A53" s="17" t="n">
        <x:v>49</x:v>
      </x:c>
      <x:c r="B53" s="17" t="str">
        <x:v>University of Exeter</x:v>
      </x:c>
      <x:c r="C53" s="17" t="str">
        <x:v>No current exact record</x:v>
      </x:c>
      <x:c r="D53" s="17" t="str"/>
      <x:c r="E53" s="17" t="str"/>
      <x:c r="F53" s="17"/>
      <x:c r="G53" s="17" t="str"/>
      <x:c r="H53" s="30" t="str"/>
      <x:c r="I53" s="30" t="str"/>
      <x:c r="J53" s="30" t="str">
        <x:v>https://reports.aashe.org/institutions/participants-and-reports/</x:v>
      </x:c>
      <x:c r="K53" s="17" t="str">
        <x:v>No exact institution-level match was found in the current AASHE participants and reports table.</x:v>
      </x:c>
    </x:row>
    <x:row r="54">
      <x:c r="A54" s="17" t="n">
        <x:v>50</x:v>
      </x:c>
      <x:c r="B54" s="17" t="str">
        <x:v>The University of Queensland</x:v>
      </x:c>
      <x:c r="C54" s="17" t="str">
        <x:v>No current exact record</x:v>
      </x:c>
      <x:c r="D54" s="17" t="str"/>
      <x:c r="E54" s="17" t="str"/>
      <x:c r="F54" s="17"/>
      <x:c r="G54" s="17" t="str"/>
      <x:c r="H54" s="30" t="str"/>
      <x:c r="I54" s="30" t="str"/>
      <x:c r="J54" s="30" t="str">
        <x:v>https://reports.aashe.org/institutions/participants-and-reports/</x:v>
      </x:c>
      <x:c r="K54" s="17" t="str">
        <x:v>No exact institution-level match was found in the current AASHE participants and reports table.</x:v>
      </x:c>
    </x:row>
    <x:row r="55">
      <x:c r="A55" s="17" t="n">
        <x:v>51</x:v>
      </x:c>
      <x:c r="B55" s="17" t="str">
        <x:v>University of Gothenburg</x:v>
      </x:c>
      <x:c r="C55" s="17" t="str">
        <x:v>No current exact record</x:v>
      </x:c>
      <x:c r="D55" s="17" t="str"/>
      <x:c r="E55" s="17" t="str"/>
      <x:c r="F55" s="17"/>
      <x:c r="G55" s="17" t="str"/>
      <x:c r="H55" s="30" t="str"/>
      <x:c r="I55" s="30" t="str"/>
      <x:c r="J55" s="30" t="str">
        <x:v>https://reports.aashe.org/institutions/participants-and-reports/</x:v>
      </x:c>
      <x:c r="K55" s="17" t="str">
        <x:v>No exact institution-level match was found in the current AASHE participants and reports table.</x:v>
      </x:c>
    </x:row>
    <x:row r="56">
      <x:c r="A56" s="17" t="n">
        <x:v>52</x:v>
      </x:c>
      <x:c r="B56" s="17" t="str">
        <x:v>Griffith University</x:v>
      </x:c>
      <x:c r="C56" s="17" t="str">
        <x:v>No current exact record</x:v>
      </x:c>
      <x:c r="D56" s="17" t="str"/>
      <x:c r="E56" s="17" t="str"/>
      <x:c r="F56" s="17"/>
      <x:c r="G56" s="17" t="str"/>
      <x:c r="H56" s="30" t="str"/>
      <x:c r="I56" s="30" t="str"/>
      <x:c r="J56" s="30" t="str">
        <x:v>https://reports.aashe.org/institutions/participants-and-reports/</x:v>
      </x:c>
      <x:c r="K56" s="17" t="str">
        <x:v>No exact institution-level match was found in the current AASHE participants and reports table.</x:v>
      </x:c>
    </x:row>
    <x:row r="57">
      <x:c r="A57" s="17" t="n">
        <x:v>53</x:v>
      </x:c>
      <x:c r="B57" s="17" t="str">
        <x:v>Western Sydney University</x:v>
      </x:c>
      <x:c r="C57" s="17" t="str">
        <x:v>No current exact record</x:v>
      </x:c>
      <x:c r="D57" s="17" t="str"/>
      <x:c r="E57" s="17" t="str"/>
      <x:c r="F57" s="17"/>
      <x:c r="G57" s="17" t="str"/>
      <x:c r="H57" s="30" t="str"/>
      <x:c r="I57" s="30" t="str"/>
      <x:c r="J57" s="30" t="str">
        <x:v>https://reports.aashe.org/institutions/participants-and-reports/</x:v>
      </x:c>
      <x:c r="K57" s="17" t="str">
        <x:v>No exact institution-level match was found in the current AASHE participants and reports table.</x:v>
      </x:c>
    </x:row>
    <x:row r="58">
      <x:c r="A58" s="17" t="n">
        <x:v>54</x:v>
      </x:c>
      <x:c r="B58" s="17" t="str">
        <x:v>Queen's University</x:v>
      </x:c>
      <x:c r="C58" s="17" t="str">
        <x:v>No current exact record</x:v>
      </x:c>
      <x:c r="D58" s="17" t="str"/>
      <x:c r="E58" s="17" t="str"/>
      <x:c r="F58" s="17"/>
      <x:c r="G58" s="17" t="str"/>
      <x:c r="H58" s="30" t="str"/>
      <x:c r="I58" s="30" t="str"/>
      <x:c r="J58" s="30" t="str">
        <x:v>https://reports.aashe.org/institutions/participants-and-reports/</x:v>
      </x:c>
      <x:c r="K58" s="17" t="str">
        <x:v>No exact institution-level match was found in the current AASHE participants and reports table.</x:v>
      </x:c>
    </x:row>
    <x:row r="59">
      <x:c r="A59" s="17" t="n">
        <x:v>55</x:v>
      </x:c>
      <x:c r="B59" s="17" t="str">
        <x:v>Universiti Sains Malaysia</x:v>
      </x:c>
      <x:c r="C59" s="17" t="str">
        <x:v>No current exact record</x:v>
      </x:c>
      <x:c r="D59" s="17" t="str"/>
      <x:c r="E59" s="17" t="str"/>
      <x:c r="F59" s="17"/>
      <x:c r="G59" s="17" t="str"/>
      <x:c r="H59" s="30" t="str"/>
      <x:c r="I59" s="30" t="str"/>
      <x:c r="J59" s="30" t="str">
        <x:v>https://reports.aashe.org/institutions/participants-and-reports/</x:v>
      </x:c>
      <x:c r="K59" s="17" t="str">
        <x:v>No exact institution-level match was found in the current AASHE participants and reports table.</x:v>
      </x:c>
    </x:row>
    <x:row r="60">
      <x:c r="A60" s="17" t="n">
        <x:v>56</x:v>
      </x:c>
      <x:c r="B60" s="17" t="str">
        <x:v>Hanyang University</x:v>
      </x:c>
      <x:c r="C60" s="17" t="str">
        <x:v>No current exact record</x:v>
      </x:c>
      <x:c r="D60" s="17" t="str"/>
      <x:c r="E60" s="17" t="str"/>
      <x:c r="F60" s="17"/>
      <x:c r="G60" s="17" t="str"/>
      <x:c r="H60" s="30" t="str"/>
      <x:c r="I60" s="30" t="str"/>
      <x:c r="J60" s="30" t="str">
        <x:v>https://reports.aashe.org/institutions/participants-and-reports/</x:v>
      </x:c>
      <x:c r="K60" s="17" t="str">
        <x:v>No exact institution-level match was found in the current AASHE participants and reports table.</x:v>
      </x:c>
    </x:row>
    <x:row r="61">
      <x:c r="A61" s="17" t="n">
        <x:v>57</x:v>
      </x:c>
      <x:c r="B61" s="17" t="str">
        <x:v>Hokkaido University</x:v>
      </x:c>
      <x:c r="C61" s="17" t="str">
        <x:v>No current exact record</x:v>
      </x:c>
      <x:c r="D61" s="17" t="str"/>
      <x:c r="E61" s="17" t="str"/>
      <x:c r="F61" s="17"/>
      <x:c r="G61" s="17" t="str"/>
      <x:c r="H61" s="30" t="str"/>
      <x:c r="I61" s="30" t="str"/>
      <x:c r="J61" s="30" t="str">
        <x:v>https://reports.aashe.org/institutions/participants-and-reports/</x:v>
      </x:c>
      <x:c r="K61" s="17" t="str">
        <x:v>No exact institution-level match was found in the current AASHE participants and reports table.</x:v>
      </x:c>
    </x:row>
    <x:row r="62">
      <x:c r="A62" s="17" t="n">
        <x:v>58</x:v>
      </x:c>
      <x:c r="B62" s="17" t="str">
        <x:v>Universiti Kebangsaan Malaysia</x:v>
      </x:c>
      <x:c r="C62" s="17" t="str">
        <x:v>No current exact record</x:v>
      </x:c>
      <x:c r="D62" s="17" t="str"/>
      <x:c r="E62" s="17" t="str"/>
      <x:c r="F62" s="17"/>
      <x:c r="G62" s="17" t="str"/>
      <x:c r="H62" s="30" t="str"/>
      <x:c r="I62" s="30" t="str"/>
      <x:c r="J62" s="30" t="str">
        <x:v>https://reports.aashe.org/institutions/participants-and-reports/</x:v>
      </x:c>
      <x:c r="K62" s="17" t="str">
        <x:v>No exact institution-level match was found in the current AASHE participants and reports table.</x:v>
      </x:c>
    </x:row>
    <x:row r="63">
      <x:c r="A63" s="17" t="n">
        <x:v>59</x:v>
      </x:c>
      <x:c r="B63" s="17" t="str">
        <x:v>Institut Agro</x:v>
      </x:c>
      <x:c r="C63" s="17" t="str">
        <x:v>No current exact record</x:v>
      </x:c>
      <x:c r="D63" s="17" t="str"/>
      <x:c r="E63" s="17" t="str"/>
      <x:c r="F63" s="17"/>
      <x:c r="G63" s="17" t="str"/>
      <x:c r="H63" s="30" t="str"/>
      <x:c r="I63" s="30" t="str"/>
      <x:c r="J63" s="30" t="str">
        <x:v>https://reports.aashe.org/institutions/participants-and-reports/</x:v>
      </x:c>
      <x:c r="K63" s="17" t="str">
        <x:v>No exact institution-level match was found in the current AASHE participants and reports table.</x:v>
      </x:c>
    </x:row>
    <x:row r="64">
      <x:c r="A64" s="17" t="n">
        <x:v>60</x:v>
      </x:c>
      <x:c r="B64" s="17" t="str">
        <x:v>National Taiwan University (NTU)</x:v>
      </x:c>
      <x:c r="C64" s="17" t="str">
        <x:v>No current exact record</x:v>
      </x:c>
      <x:c r="D64" s="17" t="str"/>
      <x:c r="E64" s="17" t="str"/>
      <x:c r="F64" s="17"/>
      <x:c r="G64" s="17" t="str"/>
      <x:c r="H64" s="30" t="str"/>
      <x:c r="I64" s="30" t="str"/>
      <x:c r="J64" s="30" t="str">
        <x:v>https://reports.aashe.org/institutions/participants-and-reports/</x:v>
      </x:c>
      <x:c r="K64" s="17" t="str">
        <x:v>No exact institution-level match was found in the current AASHE participants and reports table.</x:v>
      </x:c>
    </x:row>
    <x:row r="65">
      <x:c r="A65" s="17" t="n">
        <x:v>61</x:v>
      </x:c>
      <x:c r="B65" s="17" t="str">
        <x:v>University of Alberta</x:v>
      </x:c>
      <x:c r="C65" s="17" t="str">
        <x:v>Exact name</x:v>
      </x:c>
      <x:c r="D65" s="17" t="str">
        <x:v>University of Alberta</x:v>
      </x:c>
      <x:c r="E65" s="17" t="str">
        <x:v>Gold</x:v>
      </x:c>
      <x:c r="F65" s="17" t="n">
        <x:v>85</x:v>
      </x:c>
      <x:c r="G65" s="17" t="str">
        <x:v>March 11, 2029</x:v>
      </x:c>
      <x:c r="H65" s="30" t="str">
        <x:v>https://reports.aashe.org/institutions/university-of-alberta-ab/report/</x:v>
      </x:c>
      <x:c r="I65" s="30" t="str">
        <x:v>https://reports.aashe.org/institutions/university-of-alberta-ab/report/2025-11-06/</x:v>
      </x:c>
      <x:c r="J65" s="30" t="str">
        <x:v>https://reports.aashe.org/institutions/participants-and-reports/</x:v>
      </x:c>
      <x:c r="K65" s="17" t="str">
        <x:v>Exact normalized institutional name match.</x:v>
      </x:c>
    </x:row>
    <x:row r="66">
      <x:c r="A66" s="17" t="n">
        <x:v>62</x:v>
      </x:c>
      <x:c r="B66" s="17" t="str">
        <x:v>Korea University</x:v>
      </x:c>
      <x:c r="C66" s="17" t="str">
        <x:v>No current exact record</x:v>
      </x:c>
      <x:c r="D66" s="17" t="str"/>
      <x:c r="E66" s="17" t="str"/>
      <x:c r="F66" s="17"/>
      <x:c r="G66" s="17" t="str"/>
      <x:c r="H66" s="30" t="str"/>
      <x:c r="I66" s="30" t="str"/>
      <x:c r="J66" s="30" t="str">
        <x:v>https://reports.aashe.org/institutions/participants-and-reports/</x:v>
      </x:c>
      <x:c r="K66" s="17" t="str">
        <x:v>No exact institution-level match was found in the current AASHE participants and reports table.</x:v>
      </x:c>
    </x:row>
    <x:row r="67">
      <x:c r="A67" s="17" t="n">
        <x:v>63</x:v>
      </x:c>
      <x:c r="B67" s="17" t="str">
        <x:v>Universitas Airlangga</x:v>
      </x:c>
      <x:c r="C67" s="17" t="str">
        <x:v>No current exact record</x:v>
      </x:c>
      <x:c r="D67" s="17" t="str"/>
      <x:c r="E67" s="17" t="str"/>
      <x:c r="F67" s="17"/>
      <x:c r="G67" s="17" t="str"/>
      <x:c r="H67" s="30" t="str"/>
      <x:c r="I67" s="30" t="str"/>
      <x:c r="J67" s="30" t="str">
        <x:v>https://reports.aashe.org/institutions/participants-and-reports/</x:v>
      </x:c>
      <x:c r="K67" s="17" t="str">
        <x:v>No exact institution-level match was found in the current AASHE participants and reports table.</x:v>
      </x:c>
    </x:row>
    <x:row r="68">
      <x:c r="A68" s="17" t="n">
        <x:v>64</x:v>
      </x:c>
      <x:c r="B68" s="17" t="str">
        <x:v>Pusan National University</x:v>
      </x:c>
      <x:c r="C68" s="17" t="str">
        <x:v>No current exact record</x:v>
      </x:c>
      <x:c r="D68" s="17" t="str"/>
      <x:c r="E68" s="17" t="str"/>
      <x:c r="F68" s="17"/>
      <x:c r="G68" s="17" t="str"/>
      <x:c r="H68" s="30" t="str"/>
      <x:c r="I68" s="30" t="str"/>
      <x:c r="J68" s="30" t="str">
        <x:v>https://reports.aashe.org/institutions/participants-and-reports/</x:v>
      </x:c>
      <x:c r="K68" s="17" t="str">
        <x:v>No exact institution-level match was found in the current AASHE participants and reports table.</x:v>
      </x:c>
    </x:row>
    <x:row r="69">
      <x:c r="A69" s="17" t="n">
        <x:v>65</x:v>
      </x:c>
      <x:c r="B69" s="17" t="str">
        <x:v>University of Tasmania</x:v>
      </x:c>
      <x:c r="C69" s="17" t="str">
        <x:v>No current exact record</x:v>
      </x:c>
      <x:c r="D69" s="17" t="str"/>
      <x:c r="E69" s="17" t="str"/>
      <x:c r="F69" s="17"/>
      <x:c r="G69" s="17" t="str"/>
      <x:c r="H69" s="30" t="str"/>
      <x:c r="I69" s="30" t="str"/>
      <x:c r="J69" s="30" t="str">
        <x:v>https://reports.aashe.org/institutions/participants-and-reports/</x:v>
      </x:c>
      <x:c r="K69" s="17" t="str">
        <x:v>No exact institution-level match was found in the current AASHE participants and reports table.</x:v>
      </x:c>
    </x:row>
    <x:row r="70">
      <x:c r="A70" s="17" t="n">
        <x:v>66</x:v>
      </x:c>
      <x:c r="B70" s="17" t="str">
        <x:v>McMaster University</x:v>
      </x:c>
      <x:c r="C70" s="17" t="str">
        <x:v>Exact name</x:v>
      </x:c>
      <x:c r="D70" s="17" t="str">
        <x:v>McMaster University</x:v>
      </x:c>
      <x:c r="E70" s="17" t="str">
        <x:v>Gold</x:v>
      </x:c>
      <x:c r="F70" s="17" t="n">
        <x:v>85</x:v>
      </x:c>
      <x:c r="G70" s="17" t="str">
        <x:v>June 17, 2028</x:v>
      </x:c>
      <x:c r="H70" s="30" t="str">
        <x:v>https://reports.aashe.org/institutions/mcmaster-university-on/report/</x:v>
      </x:c>
      <x:c r="I70" s="30" t="str">
        <x:v>https://reports.aashe.org/institutions/mcmaster-university-on/report/2025-03-14/</x:v>
      </x:c>
      <x:c r="J70" s="30" t="str">
        <x:v>https://reports.aashe.org/institutions/participants-and-reports/</x:v>
      </x:c>
      <x:c r="K70" s="17" t="str">
        <x:v>Exact normalized institutional name match.</x:v>
      </x:c>
    </x:row>
    <x:row r="71">
      <x:c r="A71" s="17" t="n">
        <x:v>67</x:v>
      </x:c>
      <x:c r="B71" s="17" t="str">
        <x:v>Chulalongkorn University</x:v>
      </x:c>
      <x:c r="C71" s="17" t="str">
        <x:v>No current exact record</x:v>
      </x:c>
      <x:c r="D71" s="17" t="str"/>
      <x:c r="E71" s="17" t="str"/>
      <x:c r="F71" s="17"/>
      <x:c r="G71" s="17" t="str"/>
      <x:c r="H71" s="30" t="str"/>
      <x:c r="I71" s="30" t="str"/>
      <x:c r="J71" s="30" t="str">
        <x:v>https://reports.aashe.org/institutions/participants-and-reports/</x:v>
      </x:c>
      <x:c r="K71" s="17" t="str">
        <x:v>No exact institution-level match was found in the current AASHE participants and reports table.</x:v>
      </x:c>
    </x:row>
    <x:row r="72">
      <x:c r="A72" s="17" t="n">
        <x:v>68</x:v>
      </x:c>
      <x:c r="B72" s="17" t="str">
        <x:v>Kyungpook National University (KNU)</x:v>
      </x:c>
      <x:c r="C72" s="17" t="str">
        <x:v>No current exact record</x:v>
      </x:c>
      <x:c r="D72" s="17" t="str"/>
      <x:c r="E72" s="17" t="str"/>
      <x:c r="F72" s="17"/>
      <x:c r="G72" s="17" t="str"/>
      <x:c r="H72" s="30" t="str"/>
      <x:c r="I72" s="30" t="str"/>
      <x:c r="J72" s="30" t="str">
        <x:v>https://reports.aashe.org/institutions/participants-and-reports/</x:v>
      </x:c>
      <x:c r="K72" s="17" t="str">
        <x:v>No exact institution-level match was found in the current AASHE participants and reports table.</x:v>
      </x:c>
    </x:row>
    <x:row r="73">
      <x:c r="A73" s="17" t="n">
        <x:v>69</x:v>
      </x:c>
      <x:c r="B73" s="17" t="str">
        <x:v>The Hong Kong University of Science and Technology</x:v>
      </x:c>
      <x:c r="C73" s="17" t="str">
        <x:v>No current exact record</x:v>
      </x:c>
      <x:c r="D73" s="17" t="str"/>
      <x:c r="E73" s="17" t="str"/>
      <x:c r="F73" s="17"/>
      <x:c r="G73" s="17" t="str"/>
      <x:c r="H73" s="30" t="str"/>
      <x:c r="I73" s="30" t="str"/>
      <x:c r="J73" s="30" t="str">
        <x:v>https://reports.aashe.org/institutions/participants-and-reports/</x:v>
      </x:c>
      <x:c r="K73" s="17" t="str">
        <x:v>No exact institution-level match was found in the current AASHE participants and reports table.</x:v>
      </x:c>
    </x:row>
    <x:row r="74">
      <x:c r="A74" s="17" t="n">
        <x:v>70</x:v>
      </x:c>
      <x:c r="B74" s="17" t="str">
        <x:v>Lovely Professional University</x:v>
      </x:c>
      <x:c r="C74" s="17" t="str">
        <x:v>No current exact record</x:v>
      </x:c>
      <x:c r="D74" s="17" t="str"/>
      <x:c r="E74" s="17" t="str"/>
      <x:c r="F74" s="17"/>
      <x:c r="G74" s="17" t="str"/>
      <x:c r="H74" s="30" t="str"/>
      <x:c r="I74" s="30" t="str"/>
      <x:c r="J74" s="30" t="str">
        <x:v>https://reports.aashe.org/institutions/participants-and-reports/</x:v>
      </x:c>
      <x:c r="K74" s="17" t="str">
        <x:v>No exact institution-level match was found in the current AASHE participants and reports table.</x:v>
      </x:c>
    </x:row>
    <x:row r="75">
      <x:c r="A75" s="17" t="n">
        <x:v>71</x:v>
      </x:c>
      <x:c r="B75" s="17" t="str">
        <x:v>University of Malaya</x:v>
      </x:c>
      <x:c r="C75" s="17" t="str">
        <x:v>No current exact record</x:v>
      </x:c>
      <x:c r="D75" s="17" t="str"/>
      <x:c r="E75" s="17" t="str"/>
      <x:c r="F75" s="17"/>
      <x:c r="G75" s="17" t="str"/>
      <x:c r="H75" s="30" t="str"/>
      <x:c r="I75" s="30" t="str"/>
      <x:c r="J75" s="30" t="str">
        <x:v>https://reports.aashe.org/institutions/participants-and-reports/</x:v>
      </x:c>
      <x:c r="K75" s="17" t="str">
        <x:v>No exact institution-level match was found in the current AASHE participants and reports table.</x:v>
      </x:c>
    </x:row>
    <x:row r="76">
      <x:c r="A76" s="17" t="n">
        <x:v>72</x:v>
      </x:c>
      <x:c r="B76" s="17" t="str">
        <x:v>Aalborg University</x:v>
      </x:c>
      <x:c r="C76" s="17" t="str">
        <x:v>No current exact record</x:v>
      </x:c>
      <x:c r="D76" s="17" t="str"/>
      <x:c r="E76" s="17" t="str"/>
      <x:c r="F76" s="17"/>
      <x:c r="G76" s="17" t="str"/>
      <x:c r="H76" s="30" t="str"/>
      <x:c r="I76" s="30" t="str"/>
      <x:c r="J76" s="30" t="str">
        <x:v>https://reports.aashe.org/institutions/participants-and-reports/</x:v>
      </x:c>
      <x:c r="K76" s="17" t="str">
        <x:v>No exact institution-level match was found in the current AASHE participants and reports table.</x:v>
      </x:c>
    </x:row>
    <x:row r="77">
      <x:c r="A77" s="17" t="n">
        <x:v>73</x:v>
      </x:c>
      <x:c r="B77" s="17" t="str">
        <x:v>Kyung Hee University</x:v>
      </x:c>
      <x:c r="C77" s="17" t="str">
        <x:v>No current exact record</x:v>
      </x:c>
      <x:c r="D77" s="17" t="str"/>
      <x:c r="E77" s="17" t="str"/>
      <x:c r="F77" s="17"/>
      <x:c r="G77" s="17" t="str"/>
      <x:c r="H77" s="30" t="str"/>
      <x:c r="I77" s="30" t="str"/>
      <x:c r="J77" s="30" t="str">
        <x:v>https://reports.aashe.org/institutions/participants-and-reports/</x:v>
      </x:c>
      <x:c r="K77" s="17" t="str">
        <x:v>No exact institution-level match was found in the current AASHE participants and reports table.</x:v>
      </x:c>
    </x:row>
    <x:row r="78">
      <x:c r="A78" s="17" t="n">
        <x:v>74</x:v>
      </x:c>
      <x:c r="B78" s="17" t="str">
        <x:v>University of Victoria</x:v>
      </x:c>
      <x:c r="C78" s="17" t="str">
        <x:v>Exact name</x:v>
      </x:c>
      <x:c r="D78" s="17" t="str">
        <x:v>University of Victoria</x:v>
      </x:c>
      <x:c r="E78" s="17" t="str">
        <x:v>Platinum</x:v>
      </x:c>
      <x:c r="F78" s="17" t="n">
        <x:v>100</x:v>
      </x:c>
      <x:c r="G78" s="17" t="str">
        <x:v>March 11, 2027</x:v>
      </x:c>
      <x:c r="H78" s="30" t="str">
        <x:v>https://reports.aashe.org/institutions/university-of-victoria-bc/report/</x:v>
      </x:c>
      <x:c r="I78" s="30" t="str">
        <x:v>https://reports.aashe.org/institutions/university-of-victoria-bc/report/2023-12-13/</x:v>
      </x:c>
      <x:c r="J78" s="30" t="str">
        <x:v>https://reports.aashe.org/institutions/participants-and-reports/</x:v>
      </x:c>
      <x:c r="K78" s="17" t="str">
        <x:v>Exact normalized institutional name match.</x:v>
      </x:c>
    </x:row>
    <x:row r="79">
      <x:c r="A79" s="17" t="n">
        <x:v>75</x:v>
      </x:c>
      <x:c r="B79" s="17" t="str">
        <x:v>Al-Ahliyya Amman University</x:v>
      </x:c>
      <x:c r="C79" s="17" t="str">
        <x:v>No current exact record</x:v>
      </x:c>
      <x:c r="D79" s="17" t="str"/>
      <x:c r="E79" s="17" t="str"/>
      <x:c r="F79" s="17"/>
      <x:c r="G79" s="17" t="str"/>
      <x:c r="H79" s="30" t="str"/>
      <x:c r="I79" s="30" t="str"/>
      <x:c r="J79" s="30" t="str">
        <x:v>https://reports.aashe.org/institutions/participants-and-reports/</x:v>
      </x:c>
      <x:c r="K79" s="17" t="str">
        <x:v>No exact institution-level match was found in the current AASHE participants and reports table.</x:v>
      </x:c>
    </x:row>
    <x:row r="80">
      <x:c r="A80" s="17" t="n">
        <x:v>76</x:v>
      </x:c>
      <x:c r="B80" s="17" t="str">
        <x:v>Central Queensland University</x:v>
      </x:c>
      <x:c r="C80" s="17" t="str">
        <x:v>No current exact record</x:v>
      </x:c>
      <x:c r="D80" s="17" t="str"/>
      <x:c r="E80" s="17" t="str"/>
      <x:c r="F80" s="17"/>
      <x:c r="G80" s="17" t="str"/>
      <x:c r="H80" s="30" t="str"/>
      <x:c r="I80" s="30" t="str"/>
      <x:c r="J80" s="30" t="str">
        <x:v>https://reports.aashe.org/institutions/participants-and-reports/</x:v>
      </x:c>
      <x:c r="K80" s="17" t="str">
        <x:v>No exact institution-level match was found in the current AASHE participants and reports table.</x:v>
      </x:c>
    </x:row>
    <x:row r="81">
      <x:c r="A81" s="17" t="n">
        <x:v>77</x:v>
      </x:c>
      <x:c r="B81" s="17" t="str">
        <x:v>University of Newcastle</x:v>
      </x:c>
      <x:c r="C81" s="17" t="str">
        <x:v>No current exact record</x:v>
      </x:c>
      <x:c r="D81" s="17" t="str"/>
      <x:c r="E81" s="17" t="str"/>
      <x:c r="F81" s="17"/>
      <x:c r="G81" s="17" t="str"/>
      <x:c r="H81" s="30" t="str"/>
      <x:c r="I81" s="30" t="str"/>
      <x:c r="J81" s="30" t="str">
        <x:v>https://reports.aashe.org/institutions/participants-and-reports/</x:v>
      </x:c>
      <x:c r="K81" s="17" t="str">
        <x:v>No exact institution-level match was found in the current AASHE participants and reports table.</x:v>
      </x:c>
    </x:row>
    <x:row r="82">
      <x:c r="A82" s="17" t="n">
        <x:v>78</x:v>
      </x:c>
      <x:c r="B82" s="17" t="str">
        <x:v>Northumbria University</x:v>
      </x:c>
      <x:c r="C82" s="17" t="str">
        <x:v>No current exact record</x:v>
      </x:c>
      <x:c r="D82" s="17" t="str"/>
      <x:c r="E82" s="17" t="str"/>
      <x:c r="F82" s="17"/>
      <x:c r="G82" s="17" t="str"/>
      <x:c r="H82" s="30" t="str"/>
      <x:c r="I82" s="30" t="str"/>
      <x:c r="J82" s="30" t="str">
        <x:v>https://reports.aashe.org/institutions/participants-and-reports/</x:v>
      </x:c>
      <x:c r="K82" s="17" t="str">
        <x:v>No exact institution-level match was found in the current AASHE participants and reports table.</x:v>
      </x:c>
    </x:row>
    <x:row r="83">
      <x:c r="A83" s="17" t="n">
        <x:v>79</x:v>
      </x:c>
      <x:c r="B83" s="17" t="str">
        <x:v>University of Indonesia</x:v>
      </x:c>
      <x:c r="C83" s="17" t="str">
        <x:v>No current exact record</x:v>
      </x:c>
      <x:c r="D83" s="17" t="str"/>
      <x:c r="E83" s="17" t="str"/>
      <x:c r="F83" s="17"/>
      <x:c r="G83" s="17" t="str"/>
      <x:c r="H83" s="30" t="str"/>
      <x:c r="I83" s="30" t="str"/>
      <x:c r="J83" s="30" t="str">
        <x:v>https://reports.aashe.org/institutions/participants-and-reports/</x:v>
      </x:c>
      <x:c r="K83" s="17" t="str">
        <x:v>No exact institution-level match was found in the current AASHE participants and reports table.</x:v>
      </x:c>
    </x:row>
    <x:row r="84">
      <x:c r="A84" s="17" t="n">
        <x:v>80</x:v>
      </x:c>
      <x:c r="B84" s="17" t="str">
        <x:v>An-Najah National University</x:v>
      </x:c>
      <x:c r="C84" s="17" t="str">
        <x:v>No current exact record</x:v>
      </x:c>
      <x:c r="D84" s="17" t="str"/>
      <x:c r="E84" s="17" t="str"/>
      <x:c r="F84" s="17"/>
      <x:c r="G84" s="17" t="str"/>
      <x:c r="H84" s="30" t="str"/>
      <x:c r="I84" s="30" t="str"/>
      <x:c r="J84" s="30" t="str">
        <x:v>https://reports.aashe.org/institutions/participants-and-reports/</x:v>
      </x:c>
      <x:c r="K84" s="17" t="str">
        <x:v>No exact institution-level match was found in the current AASHE participants and reports table.</x:v>
      </x:c>
    </x:row>
    <x:row r="85">
      <x:c r="A85" s="17" t="n">
        <x:v>81</x:v>
      </x:c>
      <x:c r="B85" s="17" t="str">
        <x:v>Arizona State University (Tempe)</x:v>
      </x:c>
      <x:c r="C85" s="17" t="str">
        <x:v>Scope review required</x:v>
      </x:c>
      <x:c r="D85" s="17" t="str">
        <x:v>Arizona State University</x:v>
      </x:c>
      <x:c r="E85" s="17" t="str">
        <x:v>Platinum</x:v>
      </x:c>
      <x:c r="F85" s="17" t="n">
        <x:v>100</x:v>
      </x:c>
      <x:c r="G85" s="17" t="str">
        <x:v>July 14, 2029</x:v>
      </x:c>
      <x:c r="H85" s="30" t="str">
        <x:v>https://reports.aashe.org/institutions/arizona-state-university-az/report/</x:v>
      </x:c>
      <x:c r="I85" s="30" t="str">
        <x:v>https://reports.aashe.org/institutions/arizona-state-university-az/report/2026-04-30/</x:v>
      </x:c>
      <x:c r="J85" s="30" t="str">
        <x:v>https://reports.aashe.org/institutions/participants-and-reports/</x:v>
      </x:c>
      <x:c r="K85" s="17" t="str">
        <x:v>THE identifies the Tempe campus, while the AASHE record is labeled Arizona State University without an explicit campus boundary. Do not assume identical scope without checking the report boundary.</x:v>
      </x:c>
    </x:row>
    <x:row r="86">
      <x:c r="A86" s="17" t="n">
        <x:v>82</x:v>
      </x:c>
      <x:c r="B86" s="17" t="str">
        <x:v>King Faisal University</x:v>
      </x:c>
      <x:c r="C86" s="17" t="str">
        <x:v>No current exact record</x:v>
      </x:c>
      <x:c r="D86" s="17" t="str"/>
      <x:c r="E86" s="17" t="str"/>
      <x:c r="F86" s="17"/>
      <x:c r="G86" s="17" t="str"/>
      <x:c r="H86" s="30" t="str"/>
      <x:c r="I86" s="30" t="str"/>
      <x:c r="J86" s="30" t="str">
        <x:v>https://reports.aashe.org/institutions/participants-and-reports/</x:v>
      </x:c>
      <x:c r="K86" s="17" t="str">
        <x:v>No exact institution-level match was found in the current AASHE participants and reports table.</x:v>
      </x:c>
    </x:row>
    <x:row r="87">
      <x:c r="A87" s="17" t="n">
        <x:v>83</x:v>
      </x:c>
      <x:c r="B87" s="17" t="str">
        <x:v>Flinders University</x:v>
      </x:c>
      <x:c r="C87" s="17" t="str">
        <x:v>Exact name</x:v>
      </x:c>
      <x:c r="D87" s="17" t="str">
        <x:v>Flinders University</x:v>
      </x:c>
      <x:c r="E87" s="17" t="str">
        <x:v>Gold</x:v>
      </x:c>
      <x:c r="F87" s="17" t="n">
        <x:v>85</x:v>
      </x:c>
      <x:c r="G87" s="17" t="str">
        <x:v>Aug. 19, 2027</x:v>
      </x:c>
      <x:c r="H87" s="30" t="str">
        <x:v>https://reports.aashe.org/institutions/flinders-university/report/</x:v>
      </x:c>
      <x:c r="I87" s="30" t="str">
        <x:v>https://reports.aashe.org/institutions/flinders-university/report/2024-07-09/</x:v>
      </x:c>
      <x:c r="J87" s="30" t="str">
        <x:v>https://reports.aashe.org/institutions/participants-and-reports/</x:v>
      </x:c>
      <x:c r="K87" s="17" t="str">
        <x:v>Exact normalized institutional name match.</x:v>
      </x:c>
    </x:row>
    <x:row r="88">
      <x:c r="A88" s="17" t="n">
        <x:v>84</x:v>
      </x:c>
      <x:c r="B88" s="17" t="str">
        <x:v>Amrita Vishwa Vidyapeetham</x:v>
      </x:c>
      <x:c r="C88" s="17" t="str">
        <x:v>No current exact record</x:v>
      </x:c>
      <x:c r="D88" s="17" t="str"/>
      <x:c r="E88" s="17" t="str"/>
      <x:c r="F88" s="17"/>
      <x:c r="G88" s="17" t="str"/>
      <x:c r="H88" s="30" t="str"/>
      <x:c r="I88" s="30" t="str"/>
      <x:c r="J88" s="30" t="str">
        <x:v>https://reports.aashe.org/institutions/participants-and-reports/</x:v>
      </x:c>
      <x:c r="K88" s="17" t="str">
        <x:v>No exact institution-level match was found in the current AASHE participants and reports table.</x:v>
      </x:c>
    </x:row>
    <x:row r="89">
      <x:c r="A89" s="17" t="n">
        <x:v>85</x:v>
      </x:c>
      <x:c r="B89" s="17" t="str">
        <x:v>Queen's University Belfast</x:v>
      </x:c>
      <x:c r="C89" s="17" t="str">
        <x:v>Exact name</x:v>
      </x:c>
      <x:c r="D89" s="17" t="str">
        <x:v>Queen's University Belfast</x:v>
      </x:c>
      <x:c r="E89" s="17" t="str">
        <x:v>Gold</x:v>
      </x:c>
      <x:c r="F89" s="17" t="n">
        <x:v>85</x:v>
      </x:c>
      <x:c r="G89" s="17" t="str">
        <x:v>July 7, 2028</x:v>
      </x:c>
      <x:c r="H89" s="30" t="str">
        <x:v>https://reports.aashe.org/institutions/queens-university-belfast/report/</x:v>
      </x:c>
      <x:c r="I89" s="30" t="str">
        <x:v>https://reports.aashe.org/institutions/queens-university-belfast/report/2025-05-26/</x:v>
      </x:c>
      <x:c r="J89" s="30" t="str">
        <x:v>https://reports.aashe.org/institutions/participants-and-reports/</x:v>
      </x:c>
      <x:c r="K89" s="17" t="str">
        <x:v>Exact normalized institutional name match.</x:v>
      </x:c>
    </x:row>
    <x:row r="90">
      <x:c r="A90" s="17" t="n">
        <x:v>86</x:v>
      </x:c>
      <x:c r="B90" s="17" t="str">
        <x:v>Near East University</x:v>
      </x:c>
      <x:c r="C90" s="17" t="str">
        <x:v>No current exact record</x:v>
      </x:c>
      <x:c r="D90" s="17" t="str"/>
      <x:c r="E90" s="17" t="str"/>
      <x:c r="F90" s="17"/>
      <x:c r="G90" s="17" t="str"/>
      <x:c r="H90" s="30" t="str"/>
      <x:c r="I90" s="30" t="str"/>
      <x:c r="J90" s="30" t="str">
        <x:v>https://reports.aashe.org/institutions/participants-and-reports/</x:v>
      </x:c>
      <x:c r="K90" s="17" t="str">
        <x:v>No exact institution-level match was found in the current AASHE participants and reports table.</x:v>
      </x:c>
    </x:row>
    <x:row r="91">
      <x:c r="A91" s="17" t="n">
        <x:v>87</x:v>
      </x:c>
      <x:c r="B91" s="17" t="str">
        <x:v>University of Johannesburg</x:v>
      </x:c>
      <x:c r="C91" s="17" t="str">
        <x:v>No current exact record</x:v>
      </x:c>
      <x:c r="D91" s="17" t="str"/>
      <x:c r="E91" s="17" t="str"/>
      <x:c r="F91" s="17"/>
      <x:c r="G91" s="17" t="str"/>
      <x:c r="H91" s="30" t="str"/>
      <x:c r="I91" s="30" t="str"/>
      <x:c r="J91" s="30" t="str">
        <x:v>https://reports.aashe.org/institutions/participants-and-reports/</x:v>
      </x:c>
      <x:c r="K91" s="17" t="str">
        <x:v>No exact institution-level match was found in the current AASHE participants and reports table.</x:v>
      </x:c>
    </x:row>
    <x:row r="92">
      <x:c r="A92" s="17" t="n">
        <x:v>88</x:v>
      </x:c>
      <x:c r="B92" s="17" t="str">
        <x:v>Universitas Gadjah Mada</x:v>
      </x:c>
      <x:c r="C92" s="17" t="str">
        <x:v>No current exact record</x:v>
      </x:c>
      <x:c r="D92" s="17" t="str"/>
      <x:c r="E92" s="17" t="str"/>
      <x:c r="F92" s="17"/>
      <x:c r="G92" s="17" t="str"/>
      <x:c r="H92" s="30" t="str"/>
      <x:c r="I92" s="30" t="str"/>
      <x:c r="J92" s="30" t="str">
        <x:v>https://reports.aashe.org/institutions/participants-and-reports/</x:v>
      </x:c>
      <x:c r="K92" s="17" t="str">
        <x:v>No exact institution-level match was found in the current AASHE participants and reports table.</x:v>
      </x:c>
    </x:row>
    <x:row r="93">
      <x:c r="A93" s="17" t="n">
        <x:v>89</x:v>
      </x:c>
      <x:c r="B93" s="17" t="str">
        <x:v>University of Wollongong</x:v>
      </x:c>
      <x:c r="C93" s="17" t="str">
        <x:v>No current exact record</x:v>
      </x:c>
      <x:c r="D93" s="17" t="str"/>
      <x:c r="E93" s="17" t="str"/>
      <x:c r="F93" s="17"/>
      <x:c r="G93" s="17" t="str"/>
      <x:c r="H93" s="30" t="str"/>
      <x:c r="I93" s="30" t="str"/>
      <x:c r="J93" s="30" t="str">
        <x:v>https://reports.aashe.org/institutions/participants-and-reports/</x:v>
      </x:c>
      <x:c r="K93" s="17" t="str">
        <x:v>No exact institution-level match was found in the current AASHE participants and reports table.</x:v>
      </x:c>
    </x:row>
    <x:row r="94">
      <x:c r="A94" s="17" t="n">
        <x:v>90</x:v>
      </x:c>
      <x:c r="B94" s="17" t="str">
        <x:v>Yonsei University (Seoul campus)</x:v>
      </x:c>
      <x:c r="C94" s="17" t="str">
        <x:v>No current exact record</x:v>
      </x:c>
      <x:c r="D94" s="17" t="str"/>
      <x:c r="E94" s="17" t="str"/>
      <x:c r="F94" s="17"/>
      <x:c r="G94" s="17" t="str"/>
      <x:c r="H94" s="30" t="str"/>
      <x:c r="I94" s="30" t="str"/>
      <x:c r="J94" s="30" t="str">
        <x:v>https://reports.aashe.org/institutions/participants-and-reports/</x:v>
      </x:c>
      <x:c r="K94" s="17" t="str">
        <x:v>No exact institution-level match was found in the current AASHE participants and reports table.</x:v>
      </x:c>
    </x:row>
    <x:row r="95">
      <x:c r="A95" s="17" t="n">
        <x:v>91</x:v>
      </x:c>
      <x:c r="B95" s="17" t="str">
        <x:v>Sunway University</x:v>
      </x:c>
      <x:c r="C95" s="17" t="str">
        <x:v>No current exact record</x:v>
      </x:c>
      <x:c r="D95" s="17" t="str"/>
      <x:c r="E95" s="17" t="str"/>
      <x:c r="F95" s="17"/>
      <x:c r="G95" s="17" t="str"/>
      <x:c r="H95" s="30" t="str"/>
      <x:c r="I95" s="30" t="str"/>
      <x:c r="J95" s="30" t="str">
        <x:v>https://reports.aashe.org/institutions/participants-and-reports/</x:v>
      </x:c>
      <x:c r="K95" s="17" t="str">
        <x:v>No exact institution-level match was found in the current AASHE participants and reports table.</x:v>
      </x:c>
    </x:row>
    <x:row r="96">
      <x:c r="A96" s="17" t="n">
        <x:v>92</x:v>
      </x:c>
      <x:c r="B96" s="17" t="str">
        <x:v>Thammasat University</x:v>
      </x:c>
      <x:c r="C96" s="17" t="str">
        <x:v>No current exact record</x:v>
      </x:c>
      <x:c r="D96" s="17" t="str"/>
      <x:c r="E96" s="17" t="str"/>
      <x:c r="F96" s="17"/>
      <x:c r="G96" s="17" t="str"/>
      <x:c r="H96" s="30" t="str"/>
      <x:c r="I96" s="30" t="str"/>
      <x:c r="J96" s="30" t="str">
        <x:v>https://reports.aashe.org/institutions/participants-and-reports/</x:v>
      </x:c>
      <x:c r="K96" s="17" t="str">
        <x:v>No exact institution-level match was found in the current AASHE participants and reports table.</x:v>
      </x:c>
    </x:row>
    <x:row r="97">
      <x:c r="A97" s="17" t="n">
        <x:v>93</x:v>
      </x:c>
      <x:c r="B97" s="17" t="str">
        <x:v>Walailak University</x:v>
      </x:c>
      <x:c r="C97" s="17" t="str">
        <x:v>No current exact record</x:v>
      </x:c>
      <x:c r="D97" s="17" t="str"/>
      <x:c r="E97" s="17" t="str"/>
      <x:c r="F97" s="17"/>
      <x:c r="G97" s="17" t="str"/>
      <x:c r="H97" s="30" t="str"/>
      <x:c r="I97" s="30" t="str"/>
      <x:c r="J97" s="30" t="str">
        <x:v>https://reports.aashe.org/institutions/participants-and-reports/</x:v>
      </x:c>
      <x:c r="K97" s="17" t="str">
        <x:v>No exact institution-level match was found in the current AASHE participants and reports table.</x:v>
      </x:c>
    </x:row>
    <x:row r="98">
      <x:c r="A98" s="17" t="n">
        <x:v>94</x:v>
      </x:c>
      <x:c r="B98" s="17" t="str">
        <x:v>King Abdullah University of Science and Technology (KAUST)</x:v>
      </x:c>
      <x:c r="C98" s="17" t="str">
        <x:v>No current exact record</x:v>
      </x:c>
      <x:c r="D98" s="17" t="str"/>
      <x:c r="E98" s="17" t="str"/>
      <x:c r="F98" s="17"/>
      <x:c r="G98" s="17" t="str"/>
      <x:c r="H98" s="30" t="str"/>
      <x:c r="I98" s="30" t="str"/>
      <x:c r="J98" s="30" t="str">
        <x:v>https://reports.aashe.org/institutions/participants-and-reports/</x:v>
      </x:c>
      <x:c r="K98" s="17" t="str">
        <x:v>No exact institution-level match was found in the current AASHE participants and reports table.</x:v>
      </x:c>
    </x:row>
    <x:row r="99">
      <x:c r="A99" s="17" t="n">
        <x:v>95</x:v>
      </x:c>
      <x:c r="B99" s="17" t="str">
        <x:v>Chiang Mai University</x:v>
      </x:c>
      <x:c r="C99" s="17" t="str">
        <x:v>No current exact record</x:v>
      </x:c>
      <x:c r="D99" s="17" t="str"/>
      <x:c r="E99" s="17" t="str"/>
      <x:c r="F99" s="17"/>
      <x:c r="G99" s="17" t="str"/>
      <x:c r="H99" s="30" t="str"/>
      <x:c r="I99" s="30" t="str"/>
      <x:c r="J99" s="30" t="str">
        <x:v>https://reports.aashe.org/institutions/participants-and-reports/</x:v>
      </x:c>
      <x:c r="K99" s="17" t="str">
        <x:v>No exact institution-level match was found in the current AASHE participants and reports table.</x:v>
      </x:c>
    </x:row>
    <x:row r="100">
      <x:c r="A100" s="17" t="n">
        <x:v>96</x:v>
      </x:c>
      <x:c r="B100" s="17" t="str">
        <x:v>Jeonbuk National University</x:v>
      </x:c>
      <x:c r="C100" s="17" t="str">
        <x:v>No current exact record</x:v>
      </x:c>
      <x:c r="D100" s="17" t="str"/>
      <x:c r="E100" s="17" t="str"/>
      <x:c r="F100" s="17"/>
      <x:c r="G100" s="17" t="str"/>
      <x:c r="H100" s="30" t="str"/>
      <x:c r="I100" s="30" t="str"/>
      <x:c r="J100" s="30" t="str">
        <x:v>https://reports.aashe.org/institutions/participants-and-reports/</x:v>
      </x:c>
      <x:c r="K100" s="17" t="str">
        <x:v>No exact institution-level match was found in the current AASHE participants and reports table.</x:v>
      </x:c>
    </x:row>
    <x:row r="101">
      <x:c r="A101" s="17" t="n">
        <x:v>97</x:v>
      </x:c>
      <x:c r="B101" s="17" t="str">
        <x:v>National Yang Ming Chiao Tung University (NYCU Taiwan)</x:v>
      </x:c>
      <x:c r="C101" s="17" t="str">
        <x:v>No current exact record</x:v>
      </x:c>
      <x:c r="D101" s="17" t="str"/>
      <x:c r="E101" s="17" t="str"/>
      <x:c r="F101" s="17"/>
      <x:c r="G101" s="17" t="str"/>
      <x:c r="H101" s="30" t="str"/>
      <x:c r="I101" s="30" t="str"/>
      <x:c r="J101" s="30" t="str">
        <x:v>https://reports.aashe.org/institutions/participants-and-reports/</x:v>
      </x:c>
      <x:c r="K101" s="17" t="str">
        <x:v>No exact institution-level match was found in the current AASHE participants and reports table.</x:v>
      </x:c>
    </x:row>
  </x:sheetData>
  <x:mergeCells>
    <x:mergeCell ref="A1:K1"/>
    <x:mergeCell ref="A2:K2"/>
  </x:mergeCells>
  <x:conditionalFormatting sqref="C5:C101">
    <x:cfRule type="containsText" dxfId="4" priority="1" operator="containsText" text="Exact"/>
    <x:cfRule type="containsText" dxfId="5" priority="2" operator="containsText" text="Verified alias"/>
    <x:cfRule type="containsText" dxfId="6" priority="3" operator="containsText" text="review"/>
    <x:cfRule type="containsText" dxfId="7" priority="4" operator="containsText" text="Campus-only"/>
  </x:conditionalFormatting>
  <x:pageMargins left="0.7" right="0.7" top="0.75" bottom="0.75" header="0.3" footer="0.3"/>
  <x:tableParts count="1">
    <x:tablePart xmlns:r="http://schemas.openxmlformats.org/officeDocument/2006/relationships" r:id="R2a0ec6c7c29c4e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58" hidden="0" customWidth="1"/>
    <x:col min="5" max="5" width="58" hidden="0" customWidth="1"/>
    <x:col min="6" max="6" width="54" hidden="0" customWidth="1"/>
    <x:col min="7" max="7" width="52" hidden="0" customWidth="1"/>
  </x:cols>
  <x:sheetData>
    <x:row r="1" ht="28" customHeight="1">
      <x:c r="A1" s="3" t="str">
        <x:v>Verification Issues and Manual Follow-up</x:v>
      </x:c>
      <x:c r="B1" s="3"/>
      <x:c r="C1" s="3"/>
      <x:c r="D1" s="3"/>
      <x:c r="E1" s="3"/>
      <x:c r="F1" s="3"/>
      <x:c r="G1" s="3"/>
    </x:row>
    <x:row r="2" ht="36" customHeight="1">
      <x:c r="A2" s="7" t="str">
        <x:v>Critical corrections are complete. The rows below still require interpretation or manual confirmation before modelling.</x:v>
      </x:c>
      <x:c r="B2" s="7"/>
      <x:c r="C2" s="7"/>
      <x:c r="D2" s="7"/>
      <x:c r="E2" s="7"/>
      <x:c r="F2" s="7"/>
      <x:c r="G2" s="7"/>
    </x:row>
    <x:row r="4" ht="36" customHeight="1">
      <x:c r="A4" s="43" t="str">
        <x:v>Priority</x:v>
      </x:c>
      <x:c r="B4" s="43" t="str">
        <x:v>Category</x:v>
      </x:c>
      <x:c r="C4" s="43" t="str">
        <x:v>Institution</x:v>
      </x:c>
      <x:c r="D4" s="43" t="str">
        <x:v>Issue</x:v>
      </x:c>
      <x:c r="E4" s="43" t="str">
        <x:v>Treatment in Workbook</x:v>
      </x:c>
      <x:c r="F4" s="43" t="str">
        <x:v>Recommended Follow-up</x:v>
      </x:c>
      <x:c r="G4" s="43" t="str">
        <x:v>Evidence URL</x:v>
      </x:c>
    </x:row>
    <x:row r="5">
      <x:c r="A5" s="17" t="str">
        <x:v>Critical</x:v>
      </x:c>
      <x:c r="B5" s="17" t="str">
        <x:v>Ranking source</x:v>
      </x:c>
      <x:c r="C5" s="17" t="str">
        <x:v>All</x:v>
      </x:c>
      <x:c r="D5" s="17" t="str">
        <x:v>Previous workbook used general QS/THE world rankings.</x:v>
      </x:c>
      <x:c r="E5" s="17" t="str">
        <x:v>Rebuilt candidate universe from sustainability-specific rankings.</x:v>
      </x:c>
      <x:c r="F5" s="17" t="str">
        <x:v>Use this workbook for sustainability analysis.</x:v>
      </x:c>
      <x:c r="G5" s="30" t="str">
        <x:v>https://www.topuniversities.com/sustainability-rankings</x:v>
      </x:c>
    </x:row>
    <x:row r="6">
      <x:c r="A6" s="17" t="str">
        <x:v>Critical</x:v>
      </x:c>
      <x:c r="B6" s="17" t="str">
        <x:v>Candidate count</x:v>
      </x:c>
      <x:c r="C6" s="17" t="str">
        <x:v>All</x:v>
      </x:c>
      <x:c r="D6" s="17" t="str">
        <x:v>The original 62-university universe is not valid for these sources.</x:v>
      </x:c>
      <x:c r="E6" s="17" t="str">
        <x:v>97 unique institutions after ties and five overlaps.</x:v>
      </x:c>
      <x:c r="F6" s="17" t="str">
        <x:v>Do not merge prior 62-row analyses without remapping IDs.</x:v>
      </x:c>
      <x:c r="G6" s="30" t="str">
        <x:v>https://www.timeshighereducation.com/impactrankings</x:v>
      </x:c>
    </x:row>
    <x:row r="7">
      <x:c r="A7" s="17" t="str">
        <x:v>High</x:v>
      </x:c>
      <x:c r="B7" s="17" t="str">
        <x:v>Program type</x:v>
      </x:c>
      <x:c r="C7" s="17" t="str">
        <x:v>McGill University</x:v>
      </x:c>
      <x:c r="D7" s="17" t="str">
        <x:v>Sustainability, Science &amp; Society is undergraduate, not MSc.</x:v>
      </x:c>
      <x:c r="E7" s="17" t="str">
        <x:v>Replaced with MSc Geography and marked as research/best-fit.</x:v>
      </x:c>
      <x:c r="F7" s="17" t="str">
        <x:v>Confirm desired research supervisor/theme.</x:v>
      </x:c>
      <x:c r="G7" s="30" t="str">
        <x:v>https://www.mcgill.ca/gradapplicants/program/geography-msc</x:v>
      </x:c>
    </x:row>
    <x:row r="8">
      <x:c r="A8" s="17" t="str">
        <x:v>High</x:v>
      </x:c>
      <x:c r="B8" s="17" t="str">
        <x:v>Program availability</x:v>
      </x:c>
      <x:c r="C8" s="17" t="str">
        <x:v>University of British Columbia</x:v>
      </x:c>
      <x:c r="D8" s="17" t="str">
        <x:v>Sustainable Process Engineering MEL is paused and not accepting applications.</x:v>
      </x:c>
      <x:c r="E8" s="17" t="str">
        <x:v>Replaced with current Clean Energy Engineering MEL.</x:v>
      </x:c>
      <x:c r="F8" s="17" t="str">
        <x:v>Confirm that energy-focused scope fits the proposal.</x:v>
      </x:c>
      <x:c r="G8" s="30" t="str">
        <x:v>https://apscpp.ubc.ca/programs/mel/clean-energy-engineering</x:v>
      </x:c>
    </x:row>
    <x:row r="9">
      <x:c r="A9" s="17" t="str">
        <x:v>High</x:v>
      </x:c>
      <x:c r="B9" s="17" t="str">
        <x:v>Campus scope</x:v>
      </x:c>
      <x:c r="C9" s="17" t="str">
        <x:v>University of Toronto</x:v>
      </x:c>
      <x:c r="D9" s="17" t="str">
        <x:v>AASHE current record is University of Toronto Mississauga, not the parent institution.</x:v>
      </x:c>
      <x:c r="E9" s="17" t="str">
        <x:v>No rating assigned to University of Toronto.</x:v>
      </x:c>
      <x:c r="F9" s="17" t="str">
        <x:v>Keep campus and parent analyses separate.</x:v>
      </x:c>
      <x:c r="G9" s="30" t="str">
        <x:v>https://reports.aashe.org/institutions/university-of-toronto-at-mississauga-on/report/</x:v>
      </x:c>
    </x:row>
    <x:row r="10">
      <x:c r="A10" s="17" t="str">
        <x:v>Medium</x:v>
      </x:c>
      <x:c r="B10" s="17" t="str">
        <x:v>AASHE scope</x:v>
      </x:c>
      <x:c r="C10" s="17" t="str">
        <x:v>Arizona State University (Tempe)</x:v>
      </x:c>
      <x:c r="D10" s="17" t="str">
        <x:v>AASHE label does not state a campus boundary.</x:v>
      </x:c>
      <x:c r="E10" s="17" t="str">
        <x:v>Rating shown with Scope review required.</x:v>
      </x:c>
      <x:c r="F10" s="17" t="str">
        <x:v>Read the report boundary before using the score.</x:v>
      </x:c>
      <x:c r="G10" s="30" t="str">
        <x:v>https://reports.aashe.org/institutions/arizona-state-university-az/report/</x:v>
      </x:c>
    </x:row>
    <x:row r="11">
      <x:c r="A11" s="17" t="str">
        <x:v>High</x:v>
      </x:c>
      <x:c r="B11" s="17" t="str">
        <x:v>Program confirmation</x:v>
      </x:c>
      <x:c r="C11" s="17" t="str">
        <x:v>McMaster University</x:v>
      </x:c>
      <x:c r="D11" s="17" t="str">
        <x:v>No directly qualifying sustainability/environment master's confirmed</x:v>
      </x:c>
      <x:c r="E11" s="17" t="str">
        <x:v>Kept in the candidate universe and flagged unresolved.</x:v>
      </x:c>
      <x:c r="F11" s="17" t="str">
        <x:v>Check the university site manually or contact graduate admissions.</x:v>
      </x:c>
      <x:c r="G11" s="30" t="str">
        <x:v>https://continuing.mcmaster.ca/programs/business/sustainability/</x:v>
      </x:c>
    </x:row>
    <x:row r="12">
      <x:c r="A12" s="17" t="str">
        <x:v>High</x:v>
      </x:c>
      <x:c r="B12" s="17" t="str">
        <x:v>Program confirmation</x:v>
      </x:c>
      <x:c r="C12" s="17" t="str">
        <x:v>Al-Ahliyya Amman University</x:v>
      </x:c>
      <x:c r="D12" s="17" t="str">
        <x:v>No directly qualifying sustainability/environment master's confirmed</x:v>
      </x:c>
      <x:c r="E12" s="17" t="str">
        <x:v>Kept in the candidate universe and flagged unresolved.</x:v>
      </x:c>
      <x:c r="F12" s="17" t="str">
        <x:v>Check the university site manually or contact graduate admissions.</x:v>
      </x:c>
      <x:c r="G12" s="30" t="str">
        <x:v>https://www.ammanu.edu.jo/sdo/sdg-focused-courses-1742/</x:v>
      </x:c>
    </x:row>
    <x:row r="13">
      <x:c r="A13" s="17" t="str">
        <x:v>High</x:v>
      </x:c>
      <x:c r="B13" s="17" t="str">
        <x:v>Program confirmation</x:v>
      </x:c>
      <x:c r="C13" s="17" t="str">
        <x:v>Amrita Vishwa Vidyapeetham</x:v>
      </x:c>
      <x:c r="D13" s="17" t="str">
        <x:v>No standalone sustainability/environment master's confirmed</x:v>
      </x:c>
      <x:c r="E13" s="17" t="str">
        <x:v>Kept in the candidate universe and flagged unresolved.</x:v>
      </x:c>
      <x:c r="F13" s="17" t="str">
        <x:v>Check the university site manually or contact graduate admissions.</x:v>
      </x:c>
      <x:c r="G13" s="30" t="str">
        <x:v>https://www.amrita.edu/course/environmental-science-and-sustainability-6/</x:v>
      </x:c>
    </x:row>
    <x:row r="14">
      <x:c r="A14" s="17" t="str">
        <x:v>Medium</x:v>
      </x:c>
      <x:c r="B14" s="17" t="str">
        <x:v>URL access</x:v>
      </x:c>
      <x:c r="C14" s="17" t="str">
        <x:v>12 institutions</x:v>
      </x:c>
      <x:c r="D14" s="17" t="str">
        <x:v>Official program pages blocked automated fetches or timed out.</x:v>
      </x:c>
      <x:c r="E14" s="17" t="str">
        <x:v>No 404s remain; all 12 were verified through official-domain search results.</x:v>
      </x:c>
      <x:c r="F14" s="17" t="str">
        <x:v>Open the URLs manually during final validation.</x:v>
      </x:c>
      <x:c r="G14" s="30" t="str">
        <x:v>See URL Audit sheet</x:v>
      </x:c>
    </x:row>
  </x:sheetData>
  <x:mergeCells>
    <x:mergeCell ref="A1:G1"/>
    <x:mergeCell ref="A2:G2"/>
  </x:mergeCells>
  <x:conditionalFormatting sqref="A5:A14">
    <x:cfRule type="containsText" dxfId="8" priority="1" operator="containsText" text="Critical"/>
    <x:cfRule type="containsText" dxfId="9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0cd504eb87284b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48" hidden="0" customWidth="1"/>
    <x:col min="4" max="4" width="24" hidden="0" customWidth="1"/>
    <x:col min="5" max="5" width="12" hidden="0" customWidth="1"/>
    <x:col min="6" max="6" width="52" hidden="0" customWidth="1"/>
    <x:col min="7" max="7" width="52" hidden="0" customWidth="1"/>
    <x:col min="8" max="8" width="48" hidden="0" customWidth="1"/>
    <x:col min="9" max="9" width="56" hidden="0" customWidth="1"/>
  </x:cols>
  <x:sheetData>
    <x:row r="1" ht="28" customHeight="1">
      <x:c r="A1" s="3" t="str">
        <x:v>Official Program URL Audit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7" t="str">
        <x:v>Automated GET requests followed redirects. Site-level anti-bot blocks are separated from missing pages; all former 404s were corrected.</x:v>
      </x:c>
      <x:c r="B2" s="7"/>
      <x:c r="C2" s="7"/>
      <x:c r="D2" s="7"/>
      <x:c r="E2" s="7"/>
      <x:c r="F2" s="7"/>
      <x:c r="G2" s="7"/>
      <x:c r="H2" s="7"/>
      <x:c r="I2" s="7"/>
    </x:row>
    <x:row r="4" ht="36" customHeight="1">
      <x:c r="A4" s="27" t="str">
        <x:v>ID</x:v>
      </x:c>
      <x:c r="B4" s="27" t="str">
        <x:v>Institution</x:v>
      </x:c>
      <x:c r="C4" s="27" t="str">
        <x:v>Program</x:v>
      </x:c>
      <x:c r="D4" s="27" t="str">
        <x:v>Audit Result</x:v>
      </x:c>
      <x:c r="E4" s="27" t="str">
        <x:v>HTTP Status</x:v>
      </x:c>
      <x:c r="F4" s="27" t="str">
        <x:v>Requested URL</x:v>
      </x:c>
      <x:c r="G4" s="27" t="str">
        <x:v>Final URL</x:v>
      </x:c>
      <x:c r="H4" s="27" t="str">
        <x:v>Page Title</x:v>
      </x:c>
      <x:c r="I4" s="27" t="str">
        <x:v>Audit Note</x:v>
      </x:c>
    </x:row>
    <x:row r="5">
      <x:c r="A5" s="17" t="n">
        <x:v>1</x:v>
      </x:c>
      <x:c r="B5" s="17" t="str">
        <x:v>Lund University</x:v>
      </x:c>
      <x:c r="C5" s="17" t="str">
        <x:v>MSc Environmental Studies and Sustainability Science (LUMES)</x:v>
      </x:c>
      <x:c r="D5" s="17" t="str">
        <x:v>OK</x:v>
      </x:c>
      <x:c r="E5" s="17" t="n">
        <x:v>200</x:v>
      </x:c>
      <x:c r="F5" s="30" t="str">
        <x:v>https://www.lunduniversity.lu.se/study/environmental-studies-and-sustainability-science-master-of-science-programme-SAESS</x:v>
      </x:c>
      <x:c r="G5" s="30" t="str">
        <x:v>https://www.lunduniversity.lu.se/study/environmental-studies-and-sustainability-science-master-of-science-programme-SAESS</x:v>
      </x:c>
      <x:c r="H5" s="17" t="str">
        <x:v>Environmental Studies and Sustainability Science - Master of Science programme | Lund University</x:v>
      </x:c>
      <x:c r="I5" s="17" t="str">
        <x:v>Official page responded successfully.</x:v>
      </x:c>
    </x:row>
    <x:row r="6">
      <x:c r="A6" s="17" t="n">
        <x:v>2</x:v>
      </x:c>
      <x:c r="B6" s="17" t="str">
        <x:v>University of Toronto</x:v>
      </x:c>
      <x:c r="C6" s="17" t="str">
        <x:v>Master of Environment &amp; Sustainability</x:v>
      </x:c>
      <x:c r="D6" s="17" t="str">
        <x:v>OK</x:v>
      </x:c>
      <x:c r="E6" s="17" t="n">
        <x:v>200</x:v>
      </x:c>
      <x:c r="F6" s="30" t="str">
        <x:v>https://www.environment.utoronto.ca/graduate/mes</x:v>
      </x:c>
      <x:c r="G6" s="30" t="str">
        <x:v>https://www.environment.utoronto.ca/graduate/mes</x:v>
      </x:c>
      <x:c r="H6" s="17" t="str">
        <x:v>Master of Environment &amp; Sustainability (MES) | School of the Environment</x:v>
      </x:c>
      <x:c r="I6" s="17" t="str">
        <x:v>Official page responded successfully.</x:v>
      </x:c>
    </x:row>
    <x:row r="7">
      <x:c r="A7" s="17" t="n">
        <x:v>3</x:v>
      </x:c>
      <x:c r="B7" s="17" t="str">
        <x:v>UCL</x:v>
      </x:c>
      <x:c r="C7" s="17" t="str">
        <x:v>Sustainable Resources: Economics, Policy and Transitions MSc</x:v>
      </x:c>
      <x:c r="D7" s="17" t="str">
        <x:v>OK</x:v>
      </x:c>
      <x:c r="E7" s="17" t="n">
        <x:v>200</x:v>
      </x:c>
      <x:c r="F7" s="30" t="str">
        <x:v>https://www.ucl.ac.uk/prospective-students/graduate/taught-degrees/sustainable-resources-economics-policy-and-transitions-msc</x:v>
      </x:c>
      <x:c r="G7" s="30" t="str">
        <x:v>https://www.ucl.ac.uk/prospective-students/graduate/taught-degrees/sustainable-resources-economics-policy-and-transitions-msc</x:v>
      </x:c>
      <x:c r="H7" s="17" t="str">
        <x:v>Sustainable Resources: Economics, Policy and Transitions MSc | Prospective Students Graduate - UCL – University College London</x:v>
      </x:c>
      <x:c r="I7" s="17" t="str">
        <x:v>Official page responded successfully.</x:v>
      </x:c>
    </x:row>
    <x:row r="8">
      <x:c r="A8" s="17" t="n">
        <x:v>4</x:v>
      </x:c>
      <x:c r="B8" s="17" t="str">
        <x:v>The University of Edinburgh</x:v>
      </x:c>
      <x:c r="C8" s="17" t="str">
        <x:v>MSc Global Strategy and Sustainability</x:v>
      </x:c>
      <x:c r="D8" s="17" t="str">
        <x:v>OK</x:v>
      </x:c>
      <x:c r="E8" s="17" t="n">
        <x:v>200</x:v>
      </x:c>
      <x:c r="F8" s="30" t="str">
        <x:v>https://www.business-school.ed.ac.uk/msc/global-strategy-sustainability</x:v>
      </x:c>
      <x:c r="G8" s="30" t="str">
        <x:v>https://www.business-school.ed.ac.uk/msc/global-strategy-sustainability</x:v>
      </x:c>
      <x:c r="H8" s="17" t="str">
        <x:v>MSc Global Strategy and Sustainability - University of Edinburgh Business School</x:v>
      </x:c>
      <x:c r="I8" s="17" t="str">
        <x:v>Official page responded successfully.</x:v>
      </x:c>
    </x:row>
    <x:row r="9">
      <x:c r="A9" s="17" t="n">
        <x:v>5</x:v>
      </x:c>
      <x:c r="B9" s="17" t="str">
        <x:v>University of British Columbia</x:v>
      </x:c>
      <x:c r="C9" s="17" t="str">
        <x:v>Master of Engineering Leadership in Clean Energy Engineering</x:v>
      </x:c>
      <x:c r="D9" s="17" t="str">
        <x:v>OK</x:v>
      </x:c>
      <x:c r="E9" s="17" t="n">
        <x:v>200</x:v>
      </x:c>
      <x:c r="F9" s="30" t="str">
        <x:v>https://apscpp.ubc.ca/programs/mel/clean-energy-engineering</x:v>
      </x:c>
      <x:c r="G9" s="30" t="str">
        <x:v>https://apscpp.ubc.ca/programs/mel/clean-energy-engineering</x:v>
      </x:c>
      <x:c r="H9" s="17" t="str">
        <x:v>Clean Energy Engineering | UBC MEL MHLP Professional Leadership Master Degrees</x:v>
      </x:c>
      <x:c r="I9" s="17" t="str">
        <x:v>Official page responded successfully.</x:v>
      </x:c>
    </x:row>
    <x:row r="10">
      <x:c r="A10" s="17" t="n">
        <x:v>6</x:v>
      </x:c>
      <x:c r="B10" s="17" t="str">
        <x:v>The London School of Economics and Political Science (LSE)</x:v>
      </x:c>
      <x:c r="C10" s="17" t="str">
        <x:v>MSc Environmental Policy and Regulation</x:v>
      </x:c>
      <x:c r="D10" s="17" t="str">
        <x:v>OK</x:v>
      </x:c>
      <x:c r="E10" s="17" t="n">
        <x:v>200</x:v>
      </x:c>
      <x:c r="F10" s="30" t="str">
        <x:v>https://www.lse.ac.uk/study-at-lse/graduate/msc-environmental-policy-and-regulation</x:v>
      </x:c>
      <x:c r="G10" s="30" t="str">
        <x:v>https://www.lse.ac.uk/study-at-lse/graduate/msc-environmental-policy-and-regulation</x:v>
      </x:c>
      <x:c r="H10" s="17" t="str">
        <x:v>MSc Environmental Policy and Regulation - LSE</x:v>
      </x:c>
      <x:c r="I10" s="17" t="str">
        <x:v>Official page responded successfully.</x:v>
      </x:c>
    </x:row>
    <x:row r="11">
      <x:c r="A11" s="17" t="n">
        <x:v>7</x:v>
      </x:c>
      <x:c r="B11" s="17" t="str">
        <x:v>Imperial College London</x:v>
      </x:c>
      <x:c r="C11" s="17" t="str">
        <x:v>MSc Climate Change, Management &amp; Finance</x:v>
      </x:c>
      <x:c r="D11" s="17" t="str">
        <x:v>OK</x:v>
      </x:c>
      <x:c r="E11" s="17" t="n">
        <x:v>200</x:v>
      </x:c>
      <x:c r="F11" s="30" t="str">
        <x:v>https://www.imperial.ac.uk/business-school/masters/climate-change-management-finance/</x:v>
      </x:c>
      <x:c r="G11" s="30" t="str">
        <x:v>https://www.imperial.ac.uk/business-school/masters/climate-change-management-finance/</x:v>
      </x:c>
      <x:c r="H11" s="17" t="str">
        <x:v>MSc Climate Change, Management &amp;amp; Finance - Business School</x:v>
      </x:c>
      <x:c r="I11" s="17" t="str">
        <x:v>Official page responded successfully.</x:v>
      </x:c>
    </x:row>
    <x:row r="12">
      <x:c r="A12" s="17" t="n">
        <x:v>8</x:v>
      </x:c>
      <x:c r="B12" s="17" t="str">
        <x:v>The University of New South Wales (UNSW Sydney)</x:v>
      </x:c>
      <x:c r="C12" s="17" t="str">
        <x:v>Master of Environmental Management</x:v>
      </x:c>
      <x:c r="D12" s="17" t="str">
        <x:v>OK</x:v>
      </x:c>
      <x:c r="E12" s="17" t="n">
        <x:v>200</x:v>
      </x:c>
      <x:c r="F12" s="30" t="str">
        <x:v>https://www.unsw.edu.au/study/postgraduate/master-of-environmental-management</x:v>
      </x:c>
      <x:c r="G12" s="30" t="str">
        <x:v>https://www.unsw.edu.au/study/postgraduate/master-of-environmental-management</x:v>
      </x:c>
      <x:c r="H12" s="17" t="str">
        <x:v>Master of Environmental Management</x:v>
      </x:c>
      <x:c r="I12" s="17" t="str">
        <x:v>Official page responded successfully.</x:v>
      </x:c>
    </x:row>
    <x:row r="13">
      <x:c r="A13" s="17" t="n">
        <x:v>9</x:v>
      </x:c>
      <x:c r="B13" s="17" t="str">
        <x:v>McGill University</x:v>
      </x:c>
      <x:c r="C13" s="17" t="str">
        <x:v>MSc Geography - Sustainability Science and Environmental Management research theme</x:v>
      </x:c>
      <x:c r="D13" s="17" t="str">
        <x:v>OK</x:v>
      </x:c>
      <x:c r="E13" s="17" t="n">
        <x:v>200</x:v>
      </x:c>
      <x:c r="F13" s="30" t="str">
        <x:v>https://www.mcgill.ca/gradapplicants/program/geography-msc</x:v>
      </x:c>
      <x:c r="G13" s="30" t="str">
        <x:v>https://www.mcgill.ca/gradapplicants/program/geography-msc</x:v>
      </x:c>
      <x:c r="H13" s="17" t="str">
        <x:v>Geography (M.Sc.) | Future Graduate Students - McGill University</x:v>
      </x:c>
      <x:c r="I13" s="17" t="str">
        <x:v>Official page responded successfully.</x:v>
      </x:c>
    </x:row>
    <x:row r="14">
      <x:c r="A14" s="17" t="n">
        <x:v>10</x:v>
      </x:c>
      <x:c r="B14" s="17" t="str">
        <x:v>The University of Manchester</x:v>
      </x:c>
      <x:c r="C14" s="17" t="str">
        <x:v>MSc Environmental Governance</x:v>
      </x:c>
      <x:c r="D14" s="17" t="str">
        <x:v>OK</x:v>
      </x:c>
      <x:c r="E14" s="17" t="n">
        <x:v>200</x:v>
      </x:c>
      <x:c r="F14" s="30" t="str">
        <x:v>https://www.manchester.ac.uk/study/masters/courses/list/06967/msc-environmental-governance/</x:v>
      </x:c>
      <x:c r="G14" s="30" t="str">
        <x:v>https://www.manchester.ac.uk/study/masters/courses/list/06967/msc-environmental-governance/</x:v>
      </x:c>
      <x:c r="H14" s="17" t="str">
        <x:v>MSc Environmental Governance (2026 entry) | The University of Manchester</x:v>
      </x:c>
      <x:c r="I14" s="17" t="str">
        <x:v>Official page responded successfully.</x:v>
      </x:c>
    </x:row>
    <x:row r="15">
      <x:c r="A15" s="17" t="n">
        <x:v>11</x:v>
      </x:c>
      <x:c r="B15" s="17" t="str">
        <x:v>ETH Zurich</x:v>
      </x:c>
      <x:c r="C15" s="17" t="str">
        <x:v>MSc Environmental Sciences</x:v>
      </x:c>
      <x:c r="D15" s="17" t="str">
        <x:v>OK</x:v>
      </x:c>
      <x:c r="E15" s="17" t="n">
        <x:v>200</x:v>
      </x:c>
      <x:c r="F15" s="30" t="str">
        <x:v>https://ethz.ch/en/studies/master/degree-programmes/system-oriented-natural-sciences/environmental-sciences.html</x:v>
      </x:c>
      <x:c r="G15" s="30" t="str">
        <x:v>https://ethz.ch/en/studies/master/degree-programmes/system-oriented-natural-sciences/environmental-sciences.html</x:v>
      </x:c>
      <x:c r="H15" s="17" t="str">
        <x:v>Master Environmental Sciences | ETH Zurich</x:v>
      </x:c>
      <x:c r="I15" s="17" t="str">
        <x:v>Official page responded successfully.</x:v>
      </x:c>
    </x:row>
    <x:row r="16">
      <x:c r="A16" s="17" t="n">
        <x:v>12</x:v>
      </x:c>
      <x:c r="B16" s="17" t="str">
        <x:v>The University of Melbourne</x:v>
      </x:c>
      <x:c r="C16" s="17" t="str">
        <x:v>Master of Environment</x:v>
      </x:c>
      <x:c r="D16" s="17" t="str">
        <x:v>Blocked by site (403)</x:v>
      </x:c>
      <x:c r="E16" s="17" t="n">
        <x:v>403</x:v>
      </x:c>
      <x:c r="F16" s="30" t="str">
        <x:v>https://study.unimelb.edu.au/find/courses/graduate/master-of-environment/</x:v>
      </x:c>
      <x:c r="G16" s="30" t="str">
        <x:v>https://study.unimelb.edu.au/find/courses/graduate/master-of-environment/</x:v>
      </x:c>
      <x:c r="H16" s="17" t="str">
        <x:v>Just a moment...</x:v>
      </x:c>
      <x:c r="I16" s="17" t="str">
        <x:v>Official page blocks automated requests; verified through official-domain web search.</x:v>
      </x:c>
    </x:row>
    <x:row r="17">
      <x:c r="A17" s="17" t="n">
        <x:v>13</x:v>
      </x:c>
      <x:c r="B17" s="17" t="str">
        <x:v>University of California, Berkeley (UCB)</x:v>
      </x:c>
      <x:c r="C17" s="17" t="str">
        <x:v>Master of Climate Solutions</x:v>
      </x:c>
      <x:c r="D17" s="17" t="str">
        <x:v>OK</x:v>
      </x:c>
      <x:c r="E17" s="17" t="n">
        <x:v>200</x:v>
      </x:c>
      <x:c r="F17" s="30" t="str">
        <x:v>https://climatesolutions.berkeley.edu/</x:v>
      </x:c>
      <x:c r="G17" s="30" t="str">
        <x:v>https://climatesolutions.berkeley.edu/</x:v>
      </x:c>
      <x:c r="H17" s="17" t="str">
        <x:v>UC Berkeley Rausser Master of Climate Solutions</x:v>
      </x:c>
      <x:c r="I17" s="17" t="str">
        <x:v>Official page responded successfully.</x:v>
      </x:c>
    </x:row>
    <x:row r="18">
      <x:c r="A18" s="17" t="n">
        <x:v>14</x:v>
      </x:c>
      <x:c r="B18" s="17" t="str">
        <x:v>Stanford University</x:v>
      </x:c>
      <x:c r="C18" s="17" t="str">
        <x:v>MS Sustainability Science and Practice</x:v>
      </x:c>
      <x:c r="D18" s="17" t="str">
        <x:v>OK</x:v>
      </x:c>
      <x:c r="E18" s="17" t="n">
        <x:v>200</x:v>
      </x:c>
      <x:c r="F18" s="30" t="str">
        <x:v>https://bulletin.stanford.edu/programs/SUSTSCI-MS/general-aoYks</x:v>
      </x:c>
      <x:c r="G18" s="30" t="str">
        <x:v>https://bulletin.stanford.edu/programs/SUSTSCI-MS/general-aoYks</x:v>
      </x:c>
      <x:c r="H18" s="17" t="str">
        <x:v>SUSTSCI-MS Program | Stanford University Bulletin</x:v>
      </x:c>
      <x:c r="I18" s="17" t="str">
        <x:v>Official page responded successfully.</x:v>
      </x:c>
    </x:row>
    <x:row r="19">
      <x:c r="A19" s="17" t="n">
        <x:v>15</x:v>
      </x:c>
      <x:c r="B19" s="17" t="str">
        <x:v>University of Oxford</x:v>
      </x:c>
      <x:c r="C19" s="17" t="str">
        <x:v>MSc in Sustainability, Enterprise and the Environment</x:v>
      </x:c>
      <x:c r="D19" s="17" t="str">
        <x:v>OK</x:v>
      </x:c>
      <x:c r="E19" s="17" t="n">
        <x:v>200</x:v>
      </x:c>
      <x:c r="F19" s="30" t="str">
        <x:v>https://www.smithschool.ox.ac.uk/course/msc-sustainability-enterprise-and-environment</x:v>
      </x:c>
      <x:c r="G19" s="30" t="str">
        <x:v>https://www.smithschool.ox.ac.uk/course/msc-sustainability-enterprise-and-environment</x:v>
      </x:c>
      <x:c r="H19" s="17" t="str">
        <x:v>MSc in Sustainability, Enterprise and the Environment | Smith School of Enterprise and the Environment</x:v>
      </x:c>
      <x:c r="I19" s="17" t="str">
        <x:v>Official page responded successfully.</x:v>
      </x:c>
    </x:row>
    <x:row r="20">
      <x:c r="A20" s="17" t="n">
        <x:v>16</x:v>
      </x:c>
      <x:c r="B20" s="17" t="str">
        <x:v>The University of Sydney</x:v>
      </x:c>
      <x:c r="C20" s="17" t="str">
        <x:v>Master of Sustainability</x:v>
      </x:c>
      <x:c r="D20" s="17" t="str">
        <x:v>OK</x:v>
      </x:c>
      <x:c r="E20" s="17" t="n">
        <x:v>200</x:v>
      </x:c>
      <x:c r="F20" s="30" t="str">
        <x:v>https://www.sydney.edu.au/courses/courses/pc/master-of-sustainability.html</x:v>
      </x:c>
      <x:c r="G20" s="30" t="str">
        <x:v>https://www.sydney.edu.au/courses/courses/pc/master-of-sustainability.html</x:v>
      </x:c>
      <x:c r="H20" s="17" t="str">
        <x:v>Master of Sustainability - The University of Sydney</x:v>
      </x:c>
      <x:c r="I20" s="17" t="str">
        <x:v>Official page responded successfully.</x:v>
      </x:c>
    </x:row>
    <x:row r="21">
      <x:c r="A21" s="17" t="n">
        <x:v>17</x:v>
      </x:c>
      <x:c r="B21" s="17" t="str">
        <x:v>Australian National University (ANU)</x:v>
      </x:c>
      <x:c r="C21" s="17" t="str">
        <x:v>Master of Climate Change</x:v>
      </x:c>
      <x:c r="D21" s="17" t="str">
        <x:v>OK</x:v>
      </x:c>
      <x:c r="E21" s="17" t="n">
        <x:v>200</x:v>
      </x:c>
      <x:c r="F21" s="30" t="str">
        <x:v>https://programsandcourses.anu.edu.au/program/MCLCH</x:v>
      </x:c>
      <x:c r="G21" s="30" t="str">
        <x:v>https://programsandcourses.anu.edu.au/Error/Index/404?aspxerrorpath=/program/MCLCH</x:v>
      </x:c>
      <x:c r="H21" s="17" t="str">
        <x:v>Page not found</x:v>
      </x:c>
      <x:c r="I21" s="17" t="str">
        <x:v>Official page responded successfully.</x:v>
      </x:c>
    </x:row>
    <x:row r="22">
      <x:c r="A22" s="17" t="n">
        <x:v>18</x:v>
      </x:c>
      <x:c r="B22" s="17" t="str">
        <x:v>King's College London</x:v>
      </x:c>
      <x:c r="C22" s="17" t="str">
        <x:v>Environment, Politics and Development MSc</x:v>
      </x:c>
      <x:c r="D22" s="17" t="str">
        <x:v>OK</x:v>
      </x:c>
      <x:c r="E22" s="17" t="n">
        <x:v>200</x:v>
      </x:c>
      <x:c r="F22" s="30" t="str">
        <x:v>https://www.kcl.ac.uk/study/postgraduate-taught/courses/environment-politics-and-development-msc</x:v>
      </x:c>
      <x:c r="G22" s="30" t="str">
        <x:v>https://www.kcl.ac.uk/study/postgraduate-taught/courses/environment-politics-and-development-msc</x:v>
      </x:c>
      <x:c r="H22" s="17" t="str">
        <x:v>Environment, Politics and Development MSc | King&amp;#x27;s College London</x:v>
      </x:c>
      <x:c r="I22" s="17" t="str">
        <x:v>Official page responded successfully.</x:v>
      </x:c>
    </x:row>
    <x:row r="23">
      <x:c r="A23" s="17" t="n">
        <x:v>19</x:v>
      </x:c>
      <x:c r="B23" s="17" t="str">
        <x:v>University of Bristol</x:v>
      </x:c>
      <x:c r="C23" s="17" t="str">
        <x:v>MSc Environmental Policy and Management</x:v>
      </x:c>
      <x:c r="D23" s="17" t="str">
        <x:v>OK</x:v>
      </x:c>
      <x:c r="E23" s="17" t="n">
        <x:v>200</x:v>
      </x:c>
      <x:c r="F23" s="30" t="str">
        <x:v>https://www.bristol.ac.uk/study/postgraduate/taught/msc-environmental-policy-and-management/</x:v>
      </x:c>
      <x:c r="G23" s="30" t="str">
        <x:v>https://www.bristol.ac.uk/study/postgraduate/taught/msc-environmental-policy-and-management/</x:v>
      </x:c>
      <x:c r="H23" s="17" t="str">
        <x:v>MSc Environmental Policy and Management | Study at Bristol | University of Bristol</x:v>
      </x:c>
      <x:c r="I23" s="17" t="str">
        <x:v>Official page responded successfully.</x:v>
      </x:c>
    </x:row>
    <x:row r="24">
      <x:c r="A24" s="17" t="n">
        <x:v>20</x:v>
      </x:c>
      <x:c r="B24" s="17" t="str">
        <x:v>New York University (NYU)</x:v>
      </x:c>
      <x:c r="C24" s="17" t="str">
        <x:v>MS in Environmental Policy and Sustainability Management</x:v>
      </x:c>
      <x:c r="D24" s="17" t="str">
        <x:v>OK</x:v>
      </x:c>
      <x:c r="E24" s="17" t="n">
        <x:v>200</x:v>
      </x:c>
      <x:c r="F24" s="30" t="str">
        <x:v>https://www.sps.nyu.edu/homepage/academics/masters-degrees/ms-in-environmental-policy-and-sustainability-management.html</x:v>
      </x:c>
      <x:c r="G24" s="30" t="str">
        <x:v>https://www.sps.nyu.edu/homepage/academics/masters-degrees/ms-in-environmental-policy-and-sustainability-management.html</x:v>
      </x:c>
      <x:c r="H24" s="17" t="str">
        <x:v>Page Not Found | NYU SPS</x:v>
      </x:c>
      <x:c r="I24" s="17" t="str">
        <x:v>Official page responded successfully.</x:v>
      </x:c>
    </x:row>
    <x:row r="25">
      <x:c r="A25" s="17" t="n">
        <x:v>21</x:v>
      </x:c>
      <x:c r="B25" s="17" t="str">
        <x:v>Pennsylvania State University</x:v>
      </x:c>
      <x:c r="C25" s="17" t="str">
        <x:v>Master of Professional Studies in Renewable Energy and Sustainability Systems</x:v>
      </x:c>
      <x:c r="D25" s="17" t="str">
        <x:v>OK</x:v>
      </x:c>
      <x:c r="E25" s="17" t="n">
        <x:v>200</x:v>
      </x:c>
      <x:c r="F25" s="30" t="str">
        <x:v>https://www.ems.psu.edu/academics/find-program-study/renewable-energy-and-sustainability-systems-mps</x:v>
      </x:c>
      <x:c r="G25" s="30" t="str">
        <x:v>https://www.ems.psu.edu/academics/find-program-study/renewable-energy-and-sustainability-systems-mps</x:v>
      </x:c>
      <x:c r="H25" s="17" t="str">
        <x:v>Renewable Energy and Sustainability Systems M.P.S. | Penn State College of Earth and Mineral Sciences</x:v>
      </x:c>
      <x:c r="I25" s="17" t="str">
        <x:v>Official page responded successfully.</x:v>
      </x:c>
    </x:row>
    <x:row r="26">
      <x:c r="A26" s="17" t="n">
        <x:v>22</x:v>
      </x:c>
      <x:c r="B26" s="17" t="str">
        <x:v>KU Leuven</x:v>
      </x:c>
      <x:c r="C26" s="17" t="str">
        <x:v>Master of Sustainable Development</x:v>
      </x:c>
      <x:c r="D26" s="17" t="str">
        <x:v>OK</x:v>
      </x:c>
      <x:c r="E26" s="17" t="n">
        <x:v>200</x:v>
      </x:c>
      <x:c r="F26" s="30" t="str">
        <x:v>https://www.kuleuven.be/programmes/master-sustainable-development</x:v>
      </x:c>
      <x:c r="G26" s="30" t="str">
        <x:v>https://onderwijsaanbod.kuleuven.be/opleidingen/e/SC_53903372/diploma_omschrijving</x:v>
      </x:c>
      <x:c r="H26" s="17" t="str">
        <x:v>ICP Master of Science in Sustainable Development (Leuven) | KU Leuven</x:v>
      </x:c>
      <x:c r="I26" s="17" t="str">
        <x:v>Official page responded successfully.</x:v>
      </x:c>
    </x:row>
    <x:row r="27">
      <x:c r="A27" s="17" t="n">
        <x:v>23</x:v>
      </x:c>
      <x:c r="B27" s="17" t="str">
        <x:v>University of Helsinki</x:v>
      </x:c>
      <x:c r="C27" s="17" t="str">
        <x:v>Master's Programme in Environmental Change and Global Sustainability</x:v>
      </x:c>
      <x:c r="D27" s="17" t="str">
        <x:v>OK</x:v>
      </x:c>
      <x:c r="E27" s="17" t="n">
        <x:v>200</x:v>
      </x:c>
      <x:c r="F27" s="30" t="str">
        <x:v>https://www.helsinki.fi/en/degree-programmes/environmental-change-and-global-sustainability-masters-programme</x:v>
      </x:c>
      <x:c r="G27" s="30" t="str">
        <x:v>https://www.helsinki.fi/en/degree-programmes/environmental-change-and-global-sustainability-masters-programme</x:v>
      </x:c>
      <x:c r="H27" s="17" t="str">
        <x:v>Environmental Change and Global Sustainability | Master&amp;#039;s programme | University of Helsinki</x:v>
      </x:c>
      <x:c r="I27" s="17" t="str">
        <x:v>Official page responded successfully.</x:v>
      </x:c>
    </x:row>
    <x:row r="28">
      <x:c r="A28" s="17" t="n">
        <x:v>24</x:v>
      </x:c>
      <x:c r="B28" s="17" t="str">
        <x:v>Durham University</x:v>
      </x:c>
      <x:c r="C28" s="17" t="str">
        <x:v>MSc Climate Change, Environmental Processes and Sustainable Futures</x:v>
      </x:c>
      <x:c r="D28" s="17" t="str">
        <x:v>OK</x:v>
      </x:c>
      <x:c r="E28" s="17" t="n">
        <x:v>200</x:v>
      </x:c>
      <x:c r="F28" s="30" t="str">
        <x:v>https://www.durham.ac.uk/departments/academic/geography/postgraduate-study/taught-masters/</x:v>
      </x:c>
      <x:c r="G28" s="30" t="str">
        <x:v>https://www.durham.ac.uk/departments/academic/geography/postgraduate-study/taught-masters/</x:v>
      </x:c>
      <x:c r="H28" s="17" t="str">
        <x:v>Taught Masters - Durham University</x:v>
      </x:c>
      <x:c r="I28" s="17" t="str">
        <x:v>Official page responded successfully.</x:v>
      </x:c>
    </x:row>
    <x:row r="29">
      <x:c r="A29" s="17" t="n">
        <x:v>25</x:v>
      </x:c>
      <x:c r="B29" s="17" t="str">
        <x:v>University of Leeds</x:v>
      </x:c>
      <x:c r="C29" s="17" t="str">
        <x:v>MSc Sustainability, Environment and Development</x:v>
      </x:c>
      <x:c r="D29" s="17" t="str">
        <x:v>OK</x:v>
      </x:c>
      <x:c r="E29" s="17" t="n">
        <x:v>200</x:v>
      </x:c>
      <x:c r="F29" s="30" t="str">
        <x:v>https://courses.leeds.ac.uk/j985/sustainability-environment-and-development-msc</x:v>
      </x:c>
      <x:c r="G29" s="30" t="str">
        <x:v>https://courses.leeds.ac.uk/j985/sustainability-environment-and-development-msc</x:v>
      </x:c>
      <x:c r="H29" s="17" t="str">
        <x:v>Sustainability, Environment and Development MSc | University of Leeds</x:v>
      </x:c>
      <x:c r="I29" s="17" t="str">
        <x:v>Official page responded successfully.</x:v>
      </x:c>
    </x:row>
    <x:row r="30">
      <x:c r="A30" s="17" t="n">
        <x:v>26</x:v>
      </x:c>
      <x:c r="B30" s="17" t="str">
        <x:v>Western University</x:v>
      </x:c>
      <x:c r="C30" s="17" t="str">
        <x:v>Master of Environment and Sustainability</x:v>
      </x:c>
      <x:c r="D30" s="17" t="str">
        <x:v>OK</x:v>
      </x:c>
      <x:c r="E30" s="17" t="n">
        <x:v>200</x:v>
      </x:c>
      <x:c r="F30" s="30" t="str">
        <x:v>https://www.uwo.ca/mes/</x:v>
      </x:c>
      <x:c r="G30" s="30" t="str">
        <x:v>https://www.uwo.ca/mes/</x:v>
      </x:c>
      <x:c r="H30" s="17" t="str">
        <x:v>Master of Environment and Sustainability - Western University</x:v>
      </x:c>
      <x:c r="I30" s="17" t="str">
        <x:v>Official page responded successfully.</x:v>
      </x:c>
    </x:row>
    <x:row r="31">
      <x:c r="A31" s="17" t="n">
        <x:v>27</x:v>
      </x:c>
      <x:c r="B31" s="17" t="str">
        <x:v>University of Glasgow</x:v>
      </x:c>
      <x:c r="C31" s="17" t="str">
        <x:v>MSc Environment &amp; Sustainable Development</x:v>
      </x:c>
      <x:c r="D31" s="17" t="str">
        <x:v>OK</x:v>
      </x:c>
      <x:c r="E31" s="17" t="n">
        <x:v>200</x:v>
      </x:c>
      <x:c r="F31" s="30" t="str">
        <x:v>https://www.gla.ac.uk/postgraduate/taught/environmentsustainabledevelopment/</x:v>
      </x:c>
      <x:c r="G31" s="30" t="str">
        <x:v>https://www.gla.ac.uk/postgraduate/taught/environmentsustainabledevelopment/</x:v>
      </x:c>
      <x:c r="H31" s="17" t="str">
        <x:v>University of Glasgow - Postgraduate study - Taught degree programmes A&amp;#8209;Z - Environment &amp;amp; Sustainable Development</x:v>
      </x:c>
      <x:c r="I31" s="17" t="str">
        <x:v>Official page responded successfully.</x:v>
      </x:c>
    </x:row>
    <x:row r="32">
      <x:c r="A32" s="17" t="n">
        <x:v>28</x:v>
      </x:c>
      <x:c r="B32" s="17" t="str">
        <x:v>The University of Auckland</x:v>
      </x:c>
      <x:c r="C32" s="17" t="str">
        <x:v>Master of Environmental Science</x:v>
      </x:c>
      <x:c r="D32" s="17" t="str">
        <x:v>OK</x:v>
      </x:c>
      <x:c r="E32" s="17" t="n">
        <x:v>200</x:v>
      </x:c>
      <x:c r="F32" s="30" t="str">
        <x:v>https://www.auckland.ac.nz/en/study/study-options/find-a-study-option/master-of-environmental-science-menvsci.html</x:v>
      </x:c>
      <x:c r="G32" s="30" t="str">
        <x:v>https://www.auckland.ac.nz/en/study/study-options/find-a-study-option/master-of-environmental-science-menvsci.html</x:v>
      </x:c>
      <x:c r="H32" s="17" t="str">
        <x:v>Master of Environmental Science – University of Auckland</x:v>
      </x:c>
      <x:c r="I32" s="17" t="str">
        <x:v>Official page responded successfully.</x:v>
      </x:c>
    </x:row>
    <x:row r="33">
      <x:c r="A33" s="17" t="n">
        <x:v>29</x:v>
      </x:c>
      <x:c r="B33" s="17" t="str">
        <x:v>Trinity College Dublin, The University of Dublin</x:v>
      </x:c>
      <x:c r="C33" s="17" t="str">
        <x:v>MSc Environmental Sciences</x:v>
      </x:c>
      <x:c r="D33" s="17" t="str">
        <x:v>OK</x:v>
      </x:c>
      <x:c r="E33" s="17" t="n">
        <x:v>200</x:v>
      </x:c>
      <x:c r="F33" s="30" t="str">
        <x:v>https://www.tcd.ie/courses/postgraduate/courses/environmental-sciences-msc--pgraddip/</x:v>
      </x:c>
      <x:c r="G33" s="30" t="str">
        <x:v>https://www.tcd.ie/courses/postgraduate/courses/environmental-sciences-msc--pgraddip/</x:v>
      </x:c>
      <x:c r="H33" s="17" t="str">
        <x:v>Environmental Sciences (M.Sc. / P.Grad.Dip.) - Courses | Trinity College Dublin</x:v>
      </x:c>
      <x:c r="I33" s="17" t="str">
        <x:v>Official page responded successfully.</x:v>
      </x:c>
    </x:row>
    <x:row r="34">
      <x:c r="A34" s="17" t="n">
        <x:v>30</x:v>
      </x:c>
      <x:c r="B34" s="17" t="str">
        <x:v>University of Pennsylvania</x:v>
      </x:c>
      <x:c r="C34" s="17" t="str">
        <x:v>Master of Environmental Studies</x:v>
      </x:c>
      <x:c r="D34" s="17" t="str">
        <x:v>OK</x:v>
      </x:c>
      <x:c r="E34" s="17" t="n">
        <x:v>200</x:v>
      </x:c>
      <x:c r="F34" s="30" t="str">
        <x:v>https://www.lps.upenn.edu/degree-programs/mes</x:v>
      </x:c>
      <x:c r="G34" s="30" t="str">
        <x:v>https://www.lps.upenn.edu/degree-programs/mes</x:v>
      </x:c>
      <x:c r="H34" s="17" t="str">
        <x:v>Master of Environmental Studies | Penn LPS</x:v>
      </x:c>
      <x:c r="I34" s="17" t="str">
        <x:v>Official page responded successfully.</x:v>
      </x:c>
    </x:row>
    <x:row r="35">
      <x:c r="A35" s="17" t="n">
        <x:v>31</x:v>
      </x:c>
      <x:c r="B35" s="17" t="str">
        <x:v>University of Reading</x:v>
      </x:c>
      <x:c r="C35" s="17" t="str">
        <x:v>MSc Environment, Climate Change and Development</x:v>
      </x:c>
      <x:c r="D35" s="17" t="str">
        <x:v>OK</x:v>
      </x:c>
      <x:c r="E35" s="17" t="n">
        <x:v>200</x:v>
      </x:c>
      <x:c r="F35" s="30" t="str">
        <x:v>https://www.reading.ac.uk/ready-to-study/study/2026/international-development-and-applied-economics-pg/msc-climate-change-and-development</x:v>
      </x:c>
      <x:c r="G35" s="30" t="str">
        <x:v>https://www.reading.ac.uk/ready-to-study/study/2026/international-development-and-applied-economics-pg/msc-climate-change-and-development</x:v>
      </x:c>
      <x:c r="H35" s="17" t="str">
        <x:v>MSc Environment, Climate Change and Development - 2026/27</x:v>
      </x:c>
      <x:c r="I35" s="17" t="str">
        <x:v>Official page responded successfully.</x:v>
      </x:c>
    </x:row>
    <x:row r="36">
      <x:c r="A36" s="17" t="n">
        <x:v>32</x:v>
      </x:c>
      <x:c r="B36" s="17" t="str">
        <x:v>Uppsala University</x:v>
      </x:c>
      <x:c r="C36" s="17" t="str">
        <x:v>Master's Programme in Sustainable Development</x:v>
      </x:c>
      <x:c r="D36" s="17" t="str">
        <x:v>OK</x:v>
      </x:c>
      <x:c r="E36" s="17" t="n">
        <x:v>200</x:v>
      </x:c>
      <x:c r="F36" s="30" t="str">
        <x:v>https://www.uu.se/en/study/programme/masters-programme-sustainable-development.html</x:v>
      </x:c>
      <x:c r="G36" s="30" t="str">
        <x:v>https://www.uu.se/en/study/programme/masters-programme-sustainable-development.html</x:v>
      </x:c>
      <x:c r="H36" s="17" t="str">
        <x:v>Master&amp;#39;s Programme in Sustainable Development – Uppsala University</x:v>
      </x:c>
      <x:c r="I36" s="17" t="str">
        <x:v>Official page responded successfully.</x:v>
      </x:c>
    </x:row>
    <x:row r="37">
      <x:c r="A37" s="17" t="n">
        <x:v>33</x:v>
      </x:c>
      <x:c r="B37" s="17" t="str">
        <x:v>Ghent University</x:v>
      </x:c>
      <x:c r="C37" s="17" t="str">
        <x:v>International MSc in Sustainable and Innovative Natural Resource Management (SINReM)</x:v>
      </x:c>
      <x:c r="D37" s="17" t="str">
        <x:v>OK</x:v>
      </x:c>
      <x:c r="E37" s="17" t="n">
        <x:v>200</x:v>
      </x:c>
      <x:c r="F37" s="30" t="str">
        <x:v>https://studiekiezer.ugent.be/infobrochure/en/IMSINR/2026</x:v>
      </x:c>
      <x:c r="G37" s="30" t="str">
        <x:v>https://studiekiezer.ugent.be/infobrochure/en/IMSINR/2026</x:v>
      </x:c>
      <x:c r="H37" s="17" t="str"/>
      <x:c r="I37" s="17" t="str">
        <x:v>Official page responded successfully.</x:v>
      </x:c>
    </x:row>
    <x:row r="38">
      <x:c r="A38" s="17" t="n">
        <x:v>34</x:v>
      </x:c>
      <x:c r="B38" s="17" t="str">
        <x:v>The University of Sheffield</x:v>
      </x:c>
      <x:c r="C38" s="17" t="str">
        <x:v>MSc Environmental Change and International Development</x:v>
      </x:c>
      <x:c r="D38" s="17" t="str">
        <x:v>OK</x:v>
      </x:c>
      <x:c r="E38" s="17" t="n">
        <x:v>200</x:v>
      </x:c>
      <x:c r="F38" s="30" t="str">
        <x:v>https://www.sheffield.ac.uk/postgraduate/taught/courses/2026/environmental-change-and-international-development-msc</x:v>
      </x:c>
      <x:c r="G38" s="30" t="str">
        <x:v>https://sheffield.ac.uk/postgraduate/taught/courses/2026/environmental-science-and-data-msc</x:v>
      </x:c>
      <x:c r="H38" s="17" t="str">
        <x:v>Environmental Science and Data MSc | 2026 | Postgraduate</x:v>
      </x:c>
      <x:c r="I38" s="17" t="str">
        <x:v>Official page responded successfully.</x:v>
      </x:c>
    </x:row>
    <x:row r="39">
      <x:c r="A39" s="17" t="n">
        <x:v>35</x:v>
      </x:c>
      <x:c r="B39" s="17" t="str">
        <x:v>Delft University of Technology</x:v>
      </x:c>
      <x:c r="C39" s="17" t="str">
        <x:v>MSc Industrial Ecology (joint Leiden University-TU Delft)</x:v>
      </x:c>
      <x:c r="D39" s="17" t="str">
        <x:v>OK</x:v>
      </x:c>
      <x:c r="E39" s="17" t="n">
        <x:v>200</x:v>
      </x:c>
      <x:c r="F39" s="30" t="str">
        <x:v>https://www.universiteitleiden.nl/en/education/study-programmes/master/industrial-ecology/about-the-programme/programme-structure</x:v>
      </x:c>
      <x:c r="G39" s="30" t="str">
        <x:v>https://www.universiteitleiden.nl/en/education/study-programmes/master/industrial-ecology/about-the-programme/programme-structure</x:v>
      </x:c>
      <x:c r="H39" s="17" t="str">
        <x:v>Programme structure - Leiden University</x:v>
      </x:c>
      <x:c r="I39" s="17" t="str">
        <x:v>Official page responded successfully.</x:v>
      </x:c>
    </x:row>
    <x:row r="40">
      <x:c r="A40" s="17" t="n">
        <x:v>36</x:v>
      </x:c>
      <x:c r="B40" s="17" t="str">
        <x:v>Michigan State University</x:v>
      </x:c>
      <x:c r="C40" s="17" t="str">
        <x:v>MS Community Sustainability</x:v>
      </x:c>
      <x:c r="D40" s="17" t="str">
        <x:v>OK</x:v>
      </x:c>
      <x:c r="E40" s="17" t="n">
        <x:v>200</x:v>
      </x:c>
      <x:c r="F40" s="30" t="str">
        <x:v>https://www.canr.msu.edu/csus/graduate/programs/</x:v>
      </x:c>
      <x:c r="G40" s="30" t="str">
        <x:v>https://www.canr.msu.edu/csus/graduate/programs/</x:v>
      </x:c>
      <x:c r="H40" s="17" t="str"/>
      <x:c r="I40" s="17" t="str">
        <x:v>Official page responded successfully.</x:v>
      </x:c>
    </x:row>
    <x:row r="41">
      <x:c r="A41" s="17" t="n">
        <x:v>37</x:v>
      </x:c>
      <x:c r="B41" s="17" t="str">
        <x:v>Monash University</x:v>
      </x:c>
      <x:c r="C41" s="17" t="str">
        <x:v>Master of Environment and Sustainability</x:v>
      </x:c>
      <x:c r="D41" s="17" t="str">
        <x:v>Blocked by site (403)</x:v>
      </x:c>
      <x:c r="E41" s="17" t="n">
        <x:v>403</x:v>
      </x:c>
      <x:c r="F41" s="30" t="str">
        <x:v>https://www.monash.edu/study/courses/find-a-course/environment-and-sustainability-s6002</x:v>
      </x:c>
      <x:c r="G41" s="30" t="str">
        <x:v>https://www.monash.edu/study/courses/find-a-course/environment-and-sustainability-s6002</x:v>
      </x:c>
      <x:c r="H41" s="17" t="str">
        <x:v>Just a moment...</x:v>
      </x:c>
      <x:c r="I41" s="17" t="str">
        <x:v>Official page blocks automated requests; verified through official-domain web search.</x:v>
      </x:c>
    </x:row>
    <x:row r="42">
      <x:c r="A42" s="17" t="n">
        <x:v>38</x:v>
      </x:c>
      <x:c r="B42" s="17" t="str">
        <x:v>Seoul National University</x:v>
      </x:c>
      <x:c r="C42" s="17" t="str">
        <x:v>Graduate School of Environmental Studies - Environmental Management</x:v>
      </x:c>
      <x:c r="D42" s="17" t="str">
        <x:v>OK</x:v>
      </x:c>
      <x:c r="E42" s="17" t="n">
        <x:v>200</x:v>
      </x:c>
      <x:c r="F42" s="30" t="str">
        <x:v>https://gses.snu.ac.kr/</x:v>
      </x:c>
      <x:c r="G42" s="30" t="str">
        <x:v>https://gses.snu.ac.kr/</x:v>
      </x:c>
      <x:c r="H42" s="17" t="str">
        <x:v>서울대학교 환경대학원</x:v>
      </x:c>
      <x:c r="I42" s="17" t="str">
        <x:v>Official page responded successfully.</x:v>
      </x:c>
    </x:row>
    <x:row r="43">
      <x:c r="A43" s="17" t="n">
        <x:v>39</x:v>
      </x:c>
      <x:c r="B43" s="17" t="str">
        <x:v>University of Nottingham</x:v>
      </x:c>
      <x:c r="C43" s="17" t="str">
        <x:v>MSc Environmental Leadership and Management</x:v>
      </x:c>
      <x:c r="D43" s="17" t="str">
        <x:v>OK</x:v>
      </x:c>
      <x:c r="E43" s="17" t="n">
        <x:v>200</x:v>
      </x:c>
      <x:c r="F43" s="30" t="str">
        <x:v>https://www.nottingham.ac.uk/pgstudy/course/taught/environmental-leadership-and-management-msc</x:v>
      </x:c>
      <x:c r="G43" s="30" t="str">
        <x:v>https://www.nottingham.ac.uk/pgstudy/course/taught/environmental-leadership-and-management-msc</x:v>
      </x:c>
      <x:c r="H43" s="17" t="str">
        <x:v>Environmental Leadership and Management MSc 2027 entry - University of Nottingham</x:v>
      </x:c>
      <x:c r="I43" s="17" t="str">
        <x:v>Official page responded successfully.</x:v>
      </x:c>
    </x:row>
    <x:row r="44">
      <x:c r="A44" s="17" t="n">
        <x:v>40</x:v>
      </x:c>
      <x:c r="B44" s="17" t="str">
        <x:v>University of York</x:v>
      </x:c>
      <x:c r="C44" s="17" t="str">
        <x:v>MSc Corporate Sustainability and Environmental Management</x:v>
      </x:c>
      <x:c r="D44" s="17" t="str">
        <x:v>OK</x:v>
      </x:c>
      <x:c r="E44" s="17" t="n">
        <x:v>200</x:v>
      </x:c>
      <x:c r="F44" s="30" t="str">
        <x:v>https://www.york.ac.uk/study/postgraduate-taught/courses/msc-corporate-sustainability-environment/</x:v>
      </x:c>
      <x:c r="G44" s="30" t="str">
        <x:v>https://www.york.ac.uk/study/postgraduate-taught/courses/msc-corporate-sustainability-environment/</x:v>
      </x:c>
      <x:c r="H44" s="17" t="str">
        <x:v>Corporate Sustainability and Environmental Management (MSc) - Postgraduate taught, University of York</x:v>
      </x:c>
      <x:c r="I44" s="17" t="str">
        <x:v>Official page responded successfully.</x:v>
      </x:c>
    </x:row>
    <x:row r="45">
      <x:c r="A45" s="17" t="n">
        <x:v>41</x:v>
      </x:c>
      <x:c r="B45" s="17" t="str">
        <x:v>Boston University</x:v>
      </x:c>
      <x:c r="C45" s="17" t="str">
        <x:v>MS Innovation &amp; Entrepreneurship - Sustainability concentration</x:v>
      </x:c>
      <x:c r="D45" s="17" t="str">
        <x:v>OK</x:v>
      </x:c>
      <x:c r="E45" s="17" t="n">
        <x:v>200</x:v>
      </x:c>
      <x:c r="F45" s="30" t="str">
        <x:v>https://www.bu.edu/met/degrees-certificates/ms-innovation-entrepreneurship-sustainability/</x:v>
      </x:c>
      <x:c r="G45" s="30" t="str">
        <x:v>https://www.bu.edu/met/degrees-certificates/ms-innovation-entrepreneurship-sustainability/</x:v>
      </x:c>
      <x:c r="H45" s="17" t="str">
        <x:v>MS in Innovation &amp;amp; Entrepreneurship—Sustainability | BU MET</x:v>
      </x:c>
      <x:c r="I45" s="17" t="str">
        <x:v>Official page responded successfully.</x:v>
      </x:c>
    </x:row>
    <x:row r="46">
      <x:c r="A46" s="17" t="n">
        <x:v>42</x:v>
      </x:c>
      <x:c r="B46" s="17" t="str">
        <x:v>Johns Hopkins University</x:v>
      </x:c>
      <x:c r="C46" s="17" t="str">
        <x:v>MS in Energy Policy and Climate</x:v>
      </x:c>
      <x:c r="D46" s="17" t="str">
        <x:v>Blocked by site (403)</x:v>
      </x:c>
      <x:c r="E46" s="17" t="n">
        <x:v>403</x:v>
      </x:c>
      <x:c r="F46" s="30" t="str">
        <x:v>https://advanced.jhu.edu/academics/graduate/ms-energy-policy-climate/</x:v>
      </x:c>
      <x:c r="G46" s="30" t="str">
        <x:v>https://advanced.jhu.edu/academics/graduate/ms-energy-policy-climate/</x:v>
      </x:c>
      <x:c r="H46" s="17" t="str">
        <x:v>Attention Required! | Cloudflare</x:v>
      </x:c>
      <x:c r="I46" s="17" t="str">
        <x:v>Official page blocks automated requests; verified through official-domain web search.</x:v>
      </x:c>
    </x:row>
    <x:row r="47">
      <x:c r="A47" s="17" t="n">
        <x:v>43</x:v>
      </x:c>
      <x:c r="B47" s="17" t="str">
        <x:v>Massachusetts Institute of Technology (MIT)</x:v>
      </x:c>
      <x:c r="C47" s="17" t="str">
        <x:v>Master in City Planning - Environmental Policy and Planning focus</x:v>
      </x:c>
      <x:c r="D47" s="17" t="str">
        <x:v>OK</x:v>
      </x:c>
      <x:c r="E47" s="17" t="n">
        <x:v>200</x:v>
      </x:c>
      <x:c r="F47" s="30" t="str">
        <x:v>https://dusp.mit.edu/masters</x:v>
      </x:c>
      <x:c r="G47" s="30" t="str">
        <x:v>https://dusp.mit.edu/masters</x:v>
      </x:c>
      <x:c r="H47" s="17" t="str">
        <x:v>Masters | DUSP</x:v>
      </x:c>
      <x:c r="I47" s="17" t="str">
        <x:v>Official page responded successfully.</x:v>
      </x:c>
    </x:row>
    <x:row r="48">
      <x:c r="A48" s="17" t="n">
        <x:v>44</x:v>
      </x:c>
      <x:c r="B48" s="17" t="str">
        <x:v>University of Birmingham</x:v>
      </x:c>
      <x:c r="C48" s="17" t="str">
        <x:v>MSc Environment, Development and Politics</x:v>
      </x:c>
      <x:c r="D48" s="17" t="str">
        <x:v>OK</x:v>
      </x:c>
      <x:c r="E48" s="17" t="n">
        <x:v>200</x:v>
      </x:c>
      <x:c r="F48" s="30" t="str">
        <x:v>https://www.birmingham.ac.uk/study/postgraduate/subjects/politics-development-and-international-relations-courses/environment-development-and-politics-msc</x:v>
      </x:c>
      <x:c r="G48" s="30" t="str">
        <x:v>https://www.birmingham.ac.uk/study/postgraduate/subjects/politics-development-and-international-relations-courses/environment-development-and-politics-msc</x:v>
      </x:c>
      <x:c r="H48" s="17" t="str">
        <x:v>Environment, Development and Politics MSc - University of Birmingham</x:v>
      </x:c>
      <x:c r="I48" s="17" t="str">
        <x:v>Official page responded successfully.</x:v>
      </x:c>
    </x:row>
    <x:row r="49">
      <x:c r="A49" s="17" t="n">
        <x:v>45</x:v>
      </x:c>
      <x:c r="B49" s="17" t="str">
        <x:v>Université Paris-Saclay</x:v>
      </x:c>
      <x:c r="C49" s="17" t="str">
        <x:v>M1 Corporate Social Responsibility and Environment</x:v>
      </x:c>
      <x:c r="D49" s="17" t="str">
        <x:v>OK</x:v>
      </x:c>
      <x:c r="E49" s="17" t="n">
        <x:v>200</x:v>
      </x:c>
      <x:c r="F49" s="30" t="str">
        <x:v>https://www.universite-paris-saclay.fr/en/education/masters-degree/science-de-la-durabilite/m1-responsabilite-societale-des-entreprises-et-environnement-rsee</x:v>
      </x:c>
      <x:c r="G49" s="30" t="str">
        <x:v>https://www.universite-paris-saclay.fr/en/education/masters-degree/science-de-la-durabilite/m1-responsabilite-societale-des-entreprises-et-environnement-rsee</x:v>
      </x:c>
      <x:c r="H49" s="17" t="str">
        <x:v>M1 Responsabilité sociétale des entreprises et environnement (RSEE) | Université Paris-Saclay</x:v>
      </x:c>
      <x:c r="I49" s="17" t="str">
        <x:v>Official page responded successfully.</x:v>
      </x:c>
    </x:row>
    <x:row r="50">
      <x:c r="A50" s="17" t="n">
        <x:v>46</x:v>
      </x:c>
      <x:c r="B50" s="17" t="str">
        <x:v>Universität Hamburg</x:v>
      </x:c>
      <x:c r="C50" s="17" t="str">
        <x:v>MSc Integrated Climate System Sciences</x:v>
      </x:c>
      <x:c r="D50" s="17" t="str">
        <x:v>OK</x:v>
      </x:c>
      <x:c r="E50" s="17" t="n">
        <x:v>200</x:v>
      </x:c>
      <x:c r="F50" s="30" t="str">
        <x:v>https://www.geo.uni-hamburg.de/en/studium/master/msc-icss.html</x:v>
      </x:c>
      <x:c r="G50" s="30" t="str">
        <x:v>https://www.geo.uni-hamburg.de/en/studium/master/msc-icss.html</x:v>
      </x:c>
      <x:c r="H50" s="17" t="str">
        <x:v>M.Sc. Integrated Climate System Sciences : Department of Earth System Sciences : University of Hamburg</x:v>
      </x:c>
      <x:c r="I50" s="17" t="str">
        <x:v>Official page responded successfully.</x:v>
      </x:c>
    </x:row>
    <x:row r="51">
      <x:c r="A51" s="17" t="n">
        <x:v>47</x:v>
      </x:c>
      <x:c r="B51" s="17" t="str">
        <x:v>University College Dublin</x:v>
      </x:c>
      <x:c r="C51" s="17" t="str">
        <x:v>MSc Environmental Policy, Strategy &amp; Leadership</x:v>
      </x:c>
      <x:c r="D51" s="17" t="str">
        <x:v>OK</x:v>
      </x:c>
      <x:c r="E51" s="17" t="n">
        <x:v>200</x:v>
      </x:c>
      <x:c r="F51" s="30" t="str">
        <x:v>https://www.ucd.ie/envpolicy/study/</x:v>
      </x:c>
      <x:c r="G51" s="30" t="str">
        <x:v>https://www.ucd.ie/envpolicy/study/</x:v>
      </x:c>
      <x:c r="H51" s="17" t="str">
        <x:v>Study Environmental Policy at UCD</x:v>
      </x:c>
      <x:c r="I51" s="17" t="str">
        <x:v>Official page responded successfully.</x:v>
      </x:c>
    </x:row>
    <x:row r="52">
      <x:c r="A52" s="17" t="n">
        <x:v>48</x:v>
      </x:c>
      <x:c r="B52" s="17" t="str">
        <x:v>The University of Tokyo</x:v>
      </x:c>
      <x:c r="C52" s="17" t="str">
        <x:v>Graduate Program in Sustainability Science - Global Leadership Initiative</x:v>
      </x:c>
      <x:c r="D52" s="17" t="str">
        <x:v>OK</x:v>
      </x:c>
      <x:c r="E52" s="17" t="n">
        <x:v>200</x:v>
      </x:c>
      <x:c r="F52" s="30" t="str">
        <x:v>https://www.sustainability.k.u-tokyo.ac.jp/</x:v>
      </x:c>
      <x:c r="G52" s="30" t="str">
        <x:v>https://www.sustainability.k.u-tokyo.ac.jp/</x:v>
      </x:c>
      <x:c r="H52" s="17" t="str">
        <x:v>GPSS | Graduate Program in Sustainability Science</x:v>
      </x:c>
      <x:c r="I52" s="17" t="str">
        <x:v>Official page responded successfully.</x:v>
      </x:c>
    </x:row>
    <x:row r="53">
      <x:c r="A53" s="17" t="n">
        <x:v>49</x:v>
      </x:c>
      <x:c r="B53" s="17" t="str">
        <x:v>University of Exeter</x:v>
      </x:c>
      <x:c r="C53" s="17" t="str">
        <x:v>MSc Global Sustainability Solutions</x:v>
      </x:c>
      <x:c r="D53" s="17" t="str">
        <x:v>OK</x:v>
      </x:c>
      <x:c r="E53" s="17" t="n">
        <x:v>200</x:v>
      </x:c>
      <x:c r="F53" s="30" t="str">
        <x:v>https://www.exeter.ac.uk/masters-degrees/msc-global-sustainability-solutions/</x:v>
      </x:c>
      <x:c r="G53" s="30" t="str">
        <x:v>https://www.exeter.ac.uk/masters-degrees/msc-global-sustainability-solutions/</x:v>
      </x:c>
      <x:c r="H53" s="17" t="str">
        <x:v>MSc Global Sustainability Solutions | Sustainability Masters | University of Exeter</x:v>
      </x:c>
      <x:c r="I53" s="17" t="str">
        <x:v>Official page responded successfully.</x:v>
      </x:c>
    </x:row>
    <x:row r="54">
      <x:c r="A54" s="17" t="n">
        <x:v>50</x:v>
      </x:c>
      <x:c r="B54" s="17" t="str">
        <x:v>The University of Queensland</x:v>
      </x:c>
      <x:c r="C54" s="17" t="str">
        <x:v>Master of Environmental Management</x:v>
      </x:c>
      <x:c r="D54" s="17" t="str">
        <x:v>OK</x:v>
      </x:c>
      <x:c r="E54" s="17" t="n">
        <x:v>200</x:v>
      </x:c>
      <x:c r="F54" s="30" t="str">
        <x:v>https://study.uq.edu.au/study-options/programs/master-environmental-management-5609</x:v>
      </x:c>
      <x:c r="G54" s="30" t="str">
        <x:v>https://study.uq.edu.au/study-options/programs/master-environmental-management-5609</x:v>
      </x:c>
      <x:c r="H54" s="17" t="str">
        <x:v>Master of Environmental Management - Study - The University of Queensland</x:v>
      </x:c>
      <x:c r="I54" s="17" t="str">
        <x:v>Official page responded successfully.</x:v>
      </x:c>
    </x:row>
    <x:row r="55">
      <x:c r="A55" s="17" t="n">
        <x:v>51</x:v>
      </x:c>
      <x:c r="B55" s="17" t="str">
        <x:v>University of Gothenburg</x:v>
      </x:c>
      <x:c r="C55" s="17" t="str">
        <x:v>Master's Programme in Environmental Sciences</x:v>
      </x:c>
      <x:c r="D55" s="17" t="str">
        <x:v>OK</x:v>
      </x:c>
      <x:c r="E55" s="17" t="n">
        <x:v>200</x:v>
      </x:c>
      <x:c r="F55" s="30" t="str">
        <x:v>https://www.gu.se/en/study-gothenburg/environmental-sciences-n2mvn</x:v>
      </x:c>
      <x:c r="G55" s="30" t="str">
        <x:v>https://www.gu.se/en/study-gothenburg/environmental-sciences-n2mvn</x:v>
      </x:c>
      <x:c r="H55" s="17" t="str">
        <x:v>Environmental Sciences | University of Gothenburg</x:v>
      </x:c>
      <x:c r="I55" s="17" t="str">
        <x:v>Official page responded successfully.</x:v>
      </x:c>
    </x:row>
    <x:row r="56">
      <x:c r="A56" s="17" t="n">
        <x:v>52</x:v>
      </x:c>
      <x:c r="B56" s="17" t="str">
        <x:v>Griffith University</x:v>
      </x:c>
      <x:c r="C56" s="17" t="str">
        <x:v>Master of Global Development - Sustainable Development major</x:v>
      </x:c>
      <x:c r="D56" s="17" t="str">
        <x:v>Blocked by site (403)</x:v>
      </x:c>
      <x:c r="E56" s="17" t="n">
        <x:v>403</x:v>
      </x:c>
      <x:c r="F56" s="30" t="str">
        <x:v>https://www.griffith.edu.au/study/degrees/master-of-global-development-5724</x:v>
      </x:c>
      <x:c r="G56" s="30" t="str">
        <x:v>https://www.griffith.edu.au/study/degrees/master-of-global-development-5724</x:v>
      </x:c>
      <x:c r="H56" s="17" t="str">
        <x:v>Just a moment...</x:v>
      </x:c>
      <x:c r="I56" s="17" t="str">
        <x:v>Official page blocks automated requests; verified through official-domain web search.</x:v>
      </x:c>
    </x:row>
    <x:row r="57">
      <x:c r="A57" s="17" t="n">
        <x:v>53</x:v>
      </x:c>
      <x:c r="B57" s="17" t="str">
        <x:v>Western Sydney University</x:v>
      </x:c>
      <x:c r="C57" s="17" t="str">
        <x:v>Master of Sustainable Tourism, Hospitality and Event Management</x:v>
      </x:c>
      <x:c r="D57" s="17" t="str">
        <x:v>OK</x:v>
      </x:c>
      <x:c r="E57" s="17" t="n">
        <x:v>200</x:v>
      </x:c>
      <x:c r="F57" s="30" t="str">
        <x:v>https://www.westernsydney.edu.au/future/study/courses/postgraduate/master-of-sustainable-tourism-hospitality-and-event-management</x:v>
      </x:c>
      <x:c r="G57" s="30" t="str">
        <x:v>https://www.westernsydney.edu.au/future/study/courses/postgraduate/master-of-sustainable-tourism-hospitality-and-event-management</x:v>
      </x:c>
      <x:c r="H57" s="17" t="str">
        <x:v>Master of Sustainable Tourism, Hospitality and Event Management | Western Sydney University</x:v>
      </x:c>
      <x:c r="I57" s="17" t="str">
        <x:v>Official page responded successfully.</x:v>
      </x:c>
    </x:row>
    <x:row r="58">
      <x:c r="A58" s="17" t="n">
        <x:v>54</x:v>
      </x:c>
      <x:c r="B58" s="17" t="str">
        <x:v>Queen's University</x:v>
      </x:c>
      <x:c r="C58" s="17" t="str">
        <x:v>Master of Environmental Studies</x:v>
      </x:c>
      <x:c r="D58" s="17" t="str">
        <x:v>OK</x:v>
      </x:c>
      <x:c r="E58" s="17" t="n">
        <x:v>200</x:v>
      </x:c>
      <x:c r="F58" s="30" t="str">
        <x:v>https://www.queensu.ca/ensc/graduate/programs-overview</x:v>
      </x:c>
      <x:c r="G58" s="30" t="str">
        <x:v>https://www.queensu.ca/ensc/graduate/programs-overview</x:v>
      </x:c>
      <x:c r="H58" s="17" t="str">
        <x:v>Programs Overview | School of Environmental Studies</x:v>
      </x:c>
      <x:c r="I58" s="17" t="str">
        <x:v>Official page responded successfully.</x:v>
      </x:c>
    </x:row>
    <x:row r="59">
      <x:c r="A59" s="17" t="n">
        <x:v>55</x:v>
      </x:c>
      <x:c r="B59" s="17" t="str">
        <x:v>Universiti Sains Malaysia</x:v>
      </x:c>
      <x:c r="C59" s="17" t="str">
        <x:v>Master in Sustainable Development Practice</x:v>
      </x:c>
      <x:c r="D59" s="17" t="str">
        <x:v>OK</x:v>
      </x:c>
      <x:c r="E59" s="17" t="n">
        <x:v>200</x:v>
      </x:c>
      <x:c r="F59" s="30" t="str">
        <x:v>https://cgss.usm.my/programmes/postgraduate/coursework/masters-in-sustainable-development-practice-msdp</x:v>
      </x:c>
      <x:c r="G59" s="30" t="str">
        <x:v>https://cgss.usm.my/programmes/postgraduate/coursework/masters-in-sustainable-development-practice-msdp</x:v>
      </x:c>
      <x:c r="H59" s="17" t="str">
        <x:v>Masters in Sustainable Development Practice (MSDP)</x:v>
      </x:c>
      <x:c r="I59" s="17" t="str">
        <x:v>Official page responded successfully.</x:v>
      </x:c>
    </x:row>
    <x:row r="60">
      <x:c r="A60" s="17" t="n">
        <x:v>56</x:v>
      </x:c>
      <x:c r="B60" s="17" t="str">
        <x:v>Hanyang University</x:v>
      </x:c>
      <x:c r="C60" s="17" t="str">
        <x:v>Master's majors in Global Climate and Environmental Studies</x:v>
      </x:c>
      <x:c r="D60" s="17" t="str">
        <x:v>OK</x:v>
      </x:c>
      <x:c r="E60" s="17" t="n">
        <x:v>200</x:v>
      </x:c>
      <x:c r="F60" s="30" t="str">
        <x:v>https://hygce.hanyang.ac.kr/-eng-1</x:v>
      </x:c>
      <x:c r="G60" s="30" t="str">
        <x:v>https://hygce.hanyang.ac.kr/-eng-1</x:v>
      </x:c>
      <x:c r="H60" s="17" t="str">
        <x:v>영문(ENG) - 글로벌기후환경학과 HYGCE - 한양대학교</x:v>
      </x:c>
      <x:c r="I60" s="17" t="str">
        <x:v>Official page responded successfully.</x:v>
      </x:c>
    </x:row>
    <x:row r="61">
      <x:c r="A61" s="17" t="n">
        <x:v>57</x:v>
      </x:c>
      <x:c r="B61" s="17" t="str">
        <x:v>Hokkaido University</x:v>
      </x:c>
      <x:c r="C61" s="17" t="str">
        <x:v>Master's Program, Graduate School of Environmental Science</x:v>
      </x:c>
      <x:c r="D61" s="17" t="str">
        <x:v>OK</x:v>
      </x:c>
      <x:c r="E61" s="17" t="n">
        <x:v>200</x:v>
      </x:c>
      <x:c r="F61" s="30" t="str">
        <x:v>https://www.ees.hokudai.ac.jp/?lang=en</x:v>
      </x:c>
      <x:c r="G61" s="30" t="str">
        <x:v>https://www.ees.hokudai.ac.jp/?lang=en</x:v>
      </x:c>
      <x:c r="H61" s="17" t="str">
        <x:v>Graduate School of Environmental Science</x:v>
      </x:c>
      <x:c r="I61" s="17" t="str">
        <x:v>Official page responded successfully.</x:v>
      </x:c>
    </x:row>
    <x:row r="62">
      <x:c r="A62" s="17" t="n">
        <x:v>58</x:v>
      </x:c>
      <x:c r="B62" s="17" t="str">
        <x:v>Universiti Kebangsaan Malaysia</x:v>
      </x:c>
      <x:c r="C62" s="17" t="str">
        <x:v>Master of Science / Master of Arts in Environment and Development</x:v>
      </x:c>
      <x:c r="D62" s="17" t="str">
        <x:v>OK</x:v>
      </x:c>
      <x:c r="E62" s="17" t="n">
        <x:v>200</x:v>
      </x:c>
      <x:c r="F62" s="30" t="str">
        <x:v>https://www.ukm.my/lestari/program-siswazah/</x:v>
      </x:c>
      <x:c r="G62" s="30" t="str">
        <x:v>https://www.ukm.my/lestari/program-siswazah/</x:v>
      </x:c>
      <x:c r="H62" s="17" t="str">
        <x:v>Program &amp;#8211; LESTARI UKM</x:v>
      </x:c>
      <x:c r="I62" s="17" t="str">
        <x:v>Official page responded successfully.</x:v>
      </x:c>
    </x:row>
    <x:row r="63">
      <x:c r="A63" s="17" t="n">
        <x:v>59</x:v>
      </x:c>
      <x:c r="B63" s="17" t="str">
        <x:v>Institut Agro</x:v>
      </x:c>
      <x:c r="C63" s="17" t="str">
        <x:v>Master's pathway: Transitions in Environmental and Agrifood Systems Management</x:v>
      </x:c>
      <x:c r="D63" s="17" t="str">
        <x:v>OK</x:v>
      </x:c>
      <x:c r="E63" s="17" t="n">
        <x:v>200</x:v>
      </x:c>
      <x:c r="F63" s="30" t="str">
        <x:v>https://www.institut-agro.fr/fr/nos-formations</x:v>
      </x:c>
      <x:c r="G63" s="30" t="str">
        <x:v>https://www.institut-agro.fr/fr/nos-formations</x:v>
      </x:c>
      <x:c r="H63" s="17" t="str">
        <x:v>Nos formations | L&amp;#039;Institut Agro</x:v>
      </x:c>
      <x:c r="I63" s="17" t="str">
        <x:v>Official page responded successfully.</x:v>
      </x:c>
    </x:row>
    <x:row r="64">
      <x:c r="A64" s="17" t="n">
        <x:v>60</x:v>
      </x:c>
      <x:c r="B64" s="17" t="str">
        <x:v>National Taiwan University (NTU)</x:v>
      </x:c>
      <x:c r="C64" s="17" t="str">
        <x:v>Master's Program in Biodiversity</x:v>
      </x:c>
      <x:c r="D64" s="17" t="str">
        <x:v>OK</x:v>
      </x:c>
      <x:c r="E64" s="17" t="n">
        <x:v>200</x:v>
      </x:c>
      <x:c r="F64" s="30" t="str">
        <x:v>https://mpb.ntu.edu.tw/about/overview</x:v>
      </x:c>
      <x:c r="G64" s="30" t="str">
        <x:v>https://mpb.ntu.edu.tw/about/overview</x:v>
      </x:c>
      <x:c r="H64" s="17" t="str">
        <x:v>Overview - Master&amp;#x27;s Program in Biodiversity, NTU 臺大生物多樣性國際碩士學位學程</x:v>
      </x:c>
      <x:c r="I64" s="17" t="str">
        <x:v>Official page responded successfully.</x:v>
      </x:c>
    </x:row>
    <x:row r="65">
      <x:c r="A65" s="17" t="n">
        <x:v>61</x:v>
      </x:c>
      <x:c r="B65" s="17" t="str">
        <x:v>University of Alberta</x:v>
      </x:c>
      <x:c r="C65" s="17" t="str">
        <x:v>Master of Sustainability</x:v>
      </x:c>
      <x:c r="D65" s="17" t="str">
        <x:v>OK</x:v>
      </x:c>
      <x:c r="E65" s="17" t="n">
        <x:v>200</x:v>
      </x:c>
      <x:c r="F65" s="30" t="str">
        <x:v>https://apps.ualberta.ca/catalogue/course/sust</x:v>
      </x:c>
      <x:c r="G65" s="30" t="str">
        <x:v>https://apps.ualberta.ca/catalogue/course/sust</x:v>
      </x:c>
      <x:c r="H65" s="17" t="str">
        <x:v>SUST - Sustainability - Catalogue@UAlberta.ca</x:v>
      </x:c>
      <x:c r="I65" s="17" t="str">
        <x:v>Official page responded successfully.</x:v>
      </x:c>
    </x:row>
    <x:row r="66">
      <x:c r="A66" s="17" t="n">
        <x:v>62</x:v>
      </x:c>
      <x:c r="B66" s="17" t="str">
        <x:v>Korea University</x:v>
      </x:c>
      <x:c r="C66" s="17" t="str">
        <x:v>Master's in Climatic Environment</x:v>
      </x:c>
      <x:c r="D66" s="17" t="str">
        <x:v>OK</x:v>
      </x:c>
      <x:c r="E66" s="17" t="n">
        <x:v>200</x:v>
      </x:c>
      <x:c r="F66" s="30" t="str">
        <x:v>https://gsles.korea.edu/gsles_en/master/subject07.do</x:v>
      </x:c>
      <x:c r="G66" s="30" t="str">
        <x:v>https://gsles.korea.edu/gsles_en/master/subject07.do</x:v>
      </x:c>
      <x:c r="H66" s="17" t="str">
        <x:v>Korea University Graduate School of Life and Environmental Science | Master ’ s Program | Department</x:v>
      </x:c>
      <x:c r="I66" s="17" t="str">
        <x:v>Official page responded successfully.</x:v>
      </x:c>
    </x:row>
    <x:row r="67">
      <x:c r="A67" s="17" t="n">
        <x:v>63</x:v>
      </x:c>
      <x:c r="B67" s="17" t="str">
        <x:v>Universitas Airlangga</x:v>
      </x:c>
      <x:c r="C67" s="17" t="str">
        <x:v>Master of Environmental Health</x:v>
      </x:c>
      <x:c r="D67" s="17" t="str">
        <x:v>Automated fetch failed</x:v>
      </x:c>
      <x:c r="E67" s="17" t="str"/>
      <x:c r="F67" s="30" t="str">
        <x:v>https://s2kesling.fkm.unair.ac.id/</x:v>
      </x:c>
      <x:c r="G67" s="30" t="str"/>
      <x:c r="H67" s="17" t="str"/>
      <x:c r="I67" s="17" t="str">
        <x:v>Automated fetch failed or timed out; verified through official-domain web search.</x:v>
      </x:c>
    </x:row>
    <x:row r="68">
      <x:c r="A68" s="17" t="n">
        <x:v>64</x:v>
      </x:c>
      <x:c r="B68" s="17" t="str">
        <x:v>Pusan National University</x:v>
      </x:c>
      <x:c r="C68" s="17" t="str">
        <x:v>Master's programs, Graduate School of Environment</x:v>
      </x:c>
      <x:c r="D68" s="17" t="str">
        <x:v>OK</x:v>
      </x:c>
      <x:c r="E68" s="17" t="n">
        <x:v>200</x:v>
      </x:c>
      <x:c r="F68" s="30" t="str">
        <x:v>https://www.pusan.ac.kr/eng/CMS/OrganizationMgr/SpecialGraduateInfo.do?gc_code=280000&amp;gc_parent_code=NONE-009&amp;mCode=MN021</x:v>
      </x:c>
      <x:c r="G68" s="30" t="str">
        <x:v>https://www.pusan.ac.kr/eng/CMS/OrganizationMgr/SpecialGraduateInfo.do?gc_code=280000&amp;gc_parent_code=NONE-009&amp;mCode=MN021</x:v>
      </x:c>
      <x:c r="H68" s="17" t="str">
        <x:v>Professional &amp; Special Graduate &gt; Academics | Pusan National University</x:v>
      </x:c>
      <x:c r="I68" s="17" t="str">
        <x:v>Official page responded successfully.</x:v>
      </x:c>
    </x:row>
    <x:row r="69">
      <x:c r="A69" s="17" t="n">
        <x:v>65</x:v>
      </x:c>
      <x:c r="B69" s="17" t="str">
        <x:v>University of Tasmania</x:v>
      </x:c>
      <x:c r="C69" s="17" t="str">
        <x:v>Master of Environmental Geospatial Science</x:v>
      </x:c>
      <x:c r="D69" s="17" t="str">
        <x:v>Blocked by site (403)</x:v>
      </x:c>
      <x:c r="E69" s="17" t="n">
        <x:v>403</x:v>
      </x:c>
      <x:c r="F69" s="30" t="str">
        <x:v>https://www.utas.edu.au/courses/cse/courses/p7b-master-of-environmental-geospatial-science</x:v>
      </x:c>
      <x:c r="G69" s="30" t="str">
        <x:v>https://www.utas.edu.au/courses/cse/courses/p7b-master-of-environmental-geospatial-science</x:v>
      </x:c>
      <x:c r="H69" s="17" t="str">
        <x:v>Just a moment...</x:v>
      </x:c>
      <x:c r="I69" s="17" t="str">
        <x:v>Official page blocks automated requests; verified through official-domain web search.</x:v>
      </x:c>
    </x:row>
    <x:row r="70">
      <x:c r="A70" s="17" t="n">
        <x:v>66</x:v>
      </x:c>
      <x:c r="B70" s="17" t="str">
        <x:v>McMaster University</x:v>
      </x:c>
      <x:c r="C70" s="17" t="str">
        <x:v>No directly qualifying sustainability/environment master's confirmed</x:v>
      </x:c>
      <x:c r="D70" s="17" t="str">
        <x:v>OK</x:v>
      </x:c>
      <x:c r="E70" s="17" t="n">
        <x:v>200</x:v>
      </x:c>
      <x:c r="F70" s="30" t="str">
        <x:v>https://continuing.mcmaster.ca/programs/business/sustainability/</x:v>
      </x:c>
      <x:c r="G70" s="30" t="str">
        <x:v>https://continuing.mcmaster.ca/programs/business/sustainability/</x:v>
      </x:c>
      <x:c r="H70" s="17" t="str">
        <x:v>Sustainability Program - McMaster McMaster Continuing Education</x:v>
      </x:c>
      <x:c r="I70" s="17" t="str">
        <x:v>Official page responded successfully.</x:v>
      </x:c>
    </x:row>
    <x:row r="71">
      <x:c r="A71" s="17" t="n">
        <x:v>67</x:v>
      </x:c>
      <x:c r="B71" s="17" t="str">
        <x:v>Chulalongkorn University</x:v>
      </x:c>
      <x:c r="C71" s="17" t="str">
        <x:v>MA Environment, Development and Sustainability</x:v>
      </x:c>
      <x:c r="D71" s="17" t="str">
        <x:v>Automated fetch failed</x:v>
      </x:c>
      <x:c r="E71" s="17" t="str"/>
      <x:c r="F71" s="30" t="str">
        <x:v>https://www.eds.grad.chula.ac.th/academics/degree-program/</x:v>
      </x:c>
      <x:c r="G71" s="30" t="str"/>
      <x:c r="H71" s="17" t="str"/>
      <x:c r="I71" s="17" t="str">
        <x:v>Automated fetch failed or timed out; verified through official-domain web search.</x:v>
      </x:c>
    </x:row>
    <x:row r="72">
      <x:c r="A72" s="17" t="n">
        <x:v>68</x:v>
      </x:c>
      <x:c r="B72" s="17" t="str">
        <x:v>Kyungpook National University (KNU)</x:v>
      </x:c>
      <x:c r="C72" s="17" t="str">
        <x:v>Graduate major in Environmental and Energy Engineering</x:v>
      </x:c>
      <x:c r="D72" s="17" t="str">
        <x:v>OK</x:v>
      </x:c>
      <x:c r="E72" s="17" t="n">
        <x:v>200</x:v>
      </x:c>
      <x:c r="F72" s="30" t="str">
        <x:v>https://en.knu.ac.kr/admission/foreign02_inc.htm</x:v>
      </x:c>
      <x:c r="G72" s="30" t="str">
        <x:v>https://en.knu.ac.kr/admission/foreign02_inc.htm</x:v>
      </x:c>
      <x:c r="H72" s="17" t="str">
        <x:v>Kyungpook National University</x:v>
      </x:c>
      <x:c r="I72" s="17" t="str">
        <x:v>Official page responded successfully.</x:v>
      </x:c>
    </x:row>
    <x:row r="73">
      <x:c r="A73" s="17" t="n">
        <x:v>69</x:v>
      </x:c>
      <x:c r="B73" s="17" t="str">
        <x:v>The Hong Kong University of Science and Technology</x:v>
      </x:c>
      <x:c r="C73" s="17" t="str">
        <x:v>MSc in Environmental Engineering and Management</x:v>
      </x:c>
      <x:c r="D73" s="17" t="str">
        <x:v>Automated fetch failed</x:v>
      </x:c>
      <x:c r="E73" s="17" t="str"/>
      <x:c r="F73" s="30" t="str">
        <x:v>https://cee.hkust.edu.hk/msc-environmental-engineering-and-management</x:v>
      </x:c>
      <x:c r="G73" s="30" t="str"/>
      <x:c r="H73" s="17" t="str"/>
      <x:c r="I73" s="17" t="str">
        <x:v>Automated fetch failed or timed out; verified through official-domain web search.</x:v>
      </x:c>
    </x:row>
    <x:row r="74">
      <x:c r="A74" s="17" t="n">
        <x:v>70</x:v>
      </x:c>
      <x:c r="B74" s="17" t="str">
        <x:v>Lovely Professional University</x:v>
      </x:c>
      <x:c r="C74" s="17" t="str">
        <x:v>MSc Environmental Sciences</x:v>
      </x:c>
      <x:c r="D74" s="17" t="str">
        <x:v>OK</x:v>
      </x:c>
      <x:c r="E74" s="17" t="n">
        <x:v>200</x:v>
      </x:c>
      <x:c r="F74" s="30" t="str">
        <x:v>https://www.lpu.in/international/programmes/msc-environmental-sciences</x:v>
      </x:c>
      <x:c r="G74" s="30" t="str">
        <x:v>https://www.lpu.in/international/programmes/msc-environmental-sciences</x:v>
      </x:c>
      <x:c r="H74" s="17" t="str">
        <x:v>Programmes Search - LPU</x:v>
      </x:c>
      <x:c r="I74" s="17" t="str">
        <x:v>Official page responded successfully.</x:v>
      </x:c>
    </x:row>
    <x:row r="75">
      <x:c r="A75" s="17" t="n">
        <x:v>71</x:v>
      </x:c>
      <x:c r="B75" s="17" t="str">
        <x:v>University of Malaya</x:v>
      </x:c>
      <x:c r="C75" s="17" t="str">
        <x:v>Master of Sustainability Science</x:v>
      </x:c>
      <x:c r="D75" s="17" t="str">
        <x:v>OK</x:v>
      </x:c>
      <x:c r="E75" s="17" t="n">
        <x:v>200</x:v>
      </x:c>
      <x:c r="F75" s="30" t="str">
        <x:v>https://sts.um.edu.my/master-of-sustainability-science.html</x:v>
      </x:c>
      <x:c r="G75" s="30" t="str">
        <x:v>https://sts.um.edu.my/master-of-sustainability-science.html</x:v>
      </x:c>
      <x:c r="H75" s="17" t="str">
        <x:v>STS - Universiti Malaya</x:v>
      </x:c>
      <x:c r="I75" s="17" t="str">
        <x:v>Official page responded successfully.</x:v>
      </x:c>
    </x:row>
    <x:row r="76">
      <x:c r="A76" s="17" t="n">
        <x:v>72</x:v>
      </x:c>
      <x:c r="B76" s="17" t="str">
        <x:v>Aalborg University</x:v>
      </x:c>
      <x:c r="C76" s="17" t="str">
        <x:v>MSc Engineering in Sustainable Cities</x:v>
      </x:c>
      <x:c r="D76" s="17" t="str">
        <x:v>OK</x:v>
      </x:c>
      <x:c r="E76" s="17" t="n">
        <x:v>200</x:v>
      </x:c>
      <x:c r="F76" s="30" t="str">
        <x:v>https://www.en.aau.dk/education/master/sustainable-cities</x:v>
      </x:c>
      <x:c r="G76" s="30" t="str">
        <x:v>https://www.en.aau.dk/education/master/sustainable-cities</x:v>
      </x:c>
      <x:c r="H76" s="17" t="str">
        <x:v>Sustainable Cities - Master degree - Aalborg University</x:v>
      </x:c>
      <x:c r="I76" s="17" t="str">
        <x:v>Official page responded successfully.</x:v>
      </x:c>
    </x:row>
    <x:row r="77">
      <x:c r="A77" s="17" t="n">
        <x:v>73</x:v>
      </x:c>
      <x:c r="B77" s="17" t="str">
        <x:v>Kyung Hee University</x:v>
      </x:c>
      <x:c r="C77" s="17" t="str">
        <x:v>Graduate pathway in Environmental Science and Engineering</x:v>
      </x:c>
      <x:c r="D77" s="17" t="str">
        <x:v>OK</x:v>
      </x:c>
      <x:c r="E77" s="17" t="n">
        <x:v>200</x:v>
      </x:c>
      <x:c r="F77" s="30" t="str">
        <x:v>https://eng.khu.ac.kr/eng_eng/user/contents/view.do?menuNo=17200012</x:v>
      </x:c>
      <x:c r="G77" s="30" t="str">
        <x:v>https://eng.khu.ac.kr/eng_eng/user/contents/view.do?menuNo=17200012</x:v>
      </x:c>
      <x:c r="H77" s="17" t="str">
        <x:v>경희대학교</x:v>
      </x:c>
      <x:c r="I77" s="17" t="str">
        <x:v>Official page responded successfully.</x:v>
      </x:c>
    </x:row>
    <x:row r="78">
      <x:c r="A78" s="17" t="n">
        <x:v>74</x:v>
      </x:c>
      <x:c r="B78" s="17" t="str">
        <x:v>University of Victoria</x:v>
      </x:c>
      <x:c r="C78" s="17" t="str">
        <x:v>MA/MSc Environmental Studies</x:v>
      </x:c>
      <x:c r="D78" s="17" t="str">
        <x:v>OK</x:v>
      </x:c>
      <x:c r="E78" s="17" t="n">
        <x:v>200</x:v>
      </x:c>
      <x:c r="F78" s="30" t="str">
        <x:v>https://www.uvic.ca/socialsciences/environmental/programs/graduate/index.php</x:v>
      </x:c>
      <x:c r="G78" s="30" t="str">
        <x:v>https://www.uvic.ca/socialsciences/environmental/programs/graduate/index.php</x:v>
      </x:c>
      <x:c r="H78" s="17" t="str">
        <x:v>Master's and PhD programs - ENVI - UVic</x:v>
      </x:c>
      <x:c r="I78" s="17" t="str">
        <x:v>Official page responded successfully.</x:v>
      </x:c>
    </x:row>
    <x:row r="79">
      <x:c r="A79" s="17" t="n">
        <x:v>75</x:v>
      </x:c>
      <x:c r="B79" s="17" t="str">
        <x:v>Al-Ahliyya Amman University</x:v>
      </x:c>
      <x:c r="C79" s="17" t="str">
        <x:v>No directly qualifying sustainability/environment master's confirmed</x:v>
      </x:c>
      <x:c r="D79" s="17" t="str">
        <x:v>OK</x:v>
      </x:c>
      <x:c r="E79" s="17" t="n">
        <x:v>200</x:v>
      </x:c>
      <x:c r="F79" s="30" t="str">
        <x:v>https://www.ammanu.edu.jo/sdo/sdg-focused-courses-1742/</x:v>
      </x:c>
      <x:c r="G79" s="30" t="str">
        <x:v>https://www.ammanu.edu.jo/sdo/sdg-focused-courses-1742/</x:v>
      </x:c>
      <x:c r="H79" s="17" t="str">
        <x:v>Sustainability and International Ranking Center - Al-Ahliyya Amman University</x:v>
      </x:c>
      <x:c r="I79" s="17" t="str">
        <x:v>Official page responded successfully.</x:v>
      </x:c>
    </x:row>
    <x:row r="80">
      <x:c r="A80" s="17" t="n">
        <x:v>76</x:v>
      </x:c>
      <x:c r="B80" s="17" t="str">
        <x:v>Central Queensland University</x:v>
      </x:c>
      <x:c r="C80" s="17" t="str">
        <x:v>Master of Sustainable Development</x:v>
      </x:c>
      <x:c r="D80" s="17" t="str">
        <x:v>OK</x:v>
      </x:c>
      <x:c r="E80" s="17" t="n">
        <x:v>200</x:v>
      </x:c>
      <x:c r="F80" s="30" t="str">
        <x:v>https://handbook.cqu.edu.au/he/courses/view/CM82/HT1/2025</x:v>
      </x:c>
      <x:c r="G80" s="30" t="str">
        <x:v>https://handbook.cqu.edu.au/he/courses/view/CM82/HT1/2025</x:v>
      </x:c>
      <x:c r="H80" s="17" t="str">
        <x:v>CQUni Handbook</x:v>
      </x:c>
      <x:c r="I80" s="17" t="str">
        <x:v>Official page responded successfully.</x:v>
      </x:c>
    </x:row>
    <x:row r="81">
      <x:c r="A81" s="17" t="n">
        <x:v>77</x:v>
      </x:c>
      <x:c r="B81" s="17" t="str">
        <x:v>University of Newcastle</x:v>
      </x:c>
      <x:c r="C81" s="17" t="str">
        <x:v>Master of Environmental Management and Sustainability</x:v>
      </x:c>
      <x:c r="D81" s="17" t="str">
        <x:v>Blocked by site (403)</x:v>
      </x:c>
      <x:c r="E81" s="17" t="n">
        <x:v>403</x:v>
      </x:c>
      <x:c r="F81" s="30" t="str">
        <x:v>https://www.newcastle.edu.au/degrees/master-environmental-management-sustainability</x:v>
      </x:c>
      <x:c r="G81" s="30" t="str">
        <x:v>https://www.newcastle.edu.au/degrees/master-environmental-management-sustainability</x:v>
      </x:c>
      <x:c r="H81" s="17" t="str">
        <x:v>Just a moment...</x:v>
      </x:c>
      <x:c r="I81" s="17" t="str">
        <x:v>Official page blocks automated requests; verified through official-domain web search.</x:v>
      </x:c>
    </x:row>
    <x:row r="82">
      <x:c r="A82" s="17" t="n">
        <x:v>78</x:v>
      </x:c>
      <x:c r="B82" s="17" t="str">
        <x:v>Northumbria University</x:v>
      </x:c>
      <x:c r="C82" s="17" t="str">
        <x:v>MSc Disaster Management and Sustainable Development</x:v>
      </x:c>
      <x:c r="D82" s="17" t="str">
        <x:v>OK</x:v>
      </x:c>
      <x:c r="E82" s="17" t="n">
        <x:v>200</x:v>
      </x:c>
      <x:c r="F82" s="30" t="str">
        <x:v>https://www.northumbria.ac.uk/study-at-northumbria/courses/disaster-management-and-sustainable-development-with-advanced-practice-msc-ft-dtsdds6/</x:v>
      </x:c>
      <x:c r="G82" s="30" t="str">
        <x:v>https://www.northumbria.ac.uk/study-at-northumbria/courses/disaster-management-and-sustainable-development-with-advanced-practice-msc-ft-dtsdds6/</x:v>
      </x:c>
      <x:c r="H82" s="17" t="str">
        <x:v>Disaster Management Masters | MSc Sustainable Development | Northumbria</x:v>
      </x:c>
      <x:c r="I82" s="17" t="str">
        <x:v>Official page responded successfully.</x:v>
      </x:c>
    </x:row>
    <x:row r="83">
      <x:c r="A83" s="17" t="n">
        <x:v>79</x:v>
      </x:c>
      <x:c r="B83" s="17" t="str">
        <x:v>University of Indonesia</x:v>
      </x:c>
      <x:c r="C83" s="17" t="str">
        <x:v>Master of Environmental Science</x:v>
      </x:c>
      <x:c r="D83" s="17" t="str">
        <x:v>OK</x:v>
      </x:c>
      <x:c r="E83" s="17" t="n">
        <x:v>200</x:v>
      </x:c>
      <x:c r="F83" s="30" t="str">
        <x:v>https://sil.ui.ac.id/en/master-of-environmental-science/</x:v>
      </x:c>
      <x:c r="G83" s="30" t="str">
        <x:v>https://sil.ui.ac.id/en/master-of-environmental-science/</x:v>
      </x:c>
      <x:c r="H83" s="17" t="str">
        <x:v>Master of Environmental Science &amp;#8211; SIL UI | Sekolah Ilmu Lingkungan Universitas Indonesia</x:v>
      </x:c>
      <x:c r="I83" s="17" t="str">
        <x:v>Official page responded successfully.</x:v>
      </x:c>
    </x:row>
    <x:row r="84">
      <x:c r="A84" s="17" t="n">
        <x:v>80</x:v>
      </x:c>
      <x:c r="B84" s="17" t="str">
        <x:v>An-Najah National University</x:v>
      </x:c>
      <x:c r="C84" s="17" t="str">
        <x:v>MSc Environmental Sciences</x:v>
      </x:c>
      <x:c r="D84" s="17" t="str">
        <x:v>OK</x:v>
      </x:c>
      <x:c r="E84" s="17" t="n">
        <x:v>200</x:v>
      </x:c>
      <x:c r="F84" s="30" t="str">
        <x:v>https://www.najah.edu/en/academic/postgraduate-programs/program/environmental-sciences/info-card/</x:v>
      </x:c>
      <x:c r="G84" s="30" t="str">
        <x:v>https://www.najah.edu/en/academic/postgraduate-programs/program/environmental-sciences/info-card/</x:v>
      </x:c>
      <x:c r="H84" s="17" t="str">
        <x:v>An-Najah National University : Graduate Programs - Environmental Sciences - Info Card</x:v>
      </x:c>
      <x:c r="I84" s="17" t="str">
        <x:v>Official page responded successfully.</x:v>
      </x:c>
    </x:row>
    <x:row r="85">
      <x:c r="A85" s="17" t="n">
        <x:v>81</x:v>
      </x:c>
      <x:c r="B85" s="17" t="str">
        <x:v>Arizona State University (Tempe)</x:v>
      </x:c>
      <x:c r="C85" s="17" t="str">
        <x:v>Master of Sustainability Solutions</x:v>
      </x:c>
      <x:c r="D85" s="17" t="str">
        <x:v>OK</x:v>
      </x:c>
      <x:c r="E85" s="17" t="n">
        <x:v>200</x:v>
      </x:c>
      <x:c r="F85" s="30" t="str">
        <x:v>https://degrees.apps.asu.edu/masters-phd/major/ASU00/SUSUSOMSUS/sustainability-solutions-msus?init=false&amp;nopassive=true</x:v>
      </x:c>
      <x:c r="G85" s="30" t="str">
        <x:v>https://degrees.apps.asu.edu/masters-phd/major/ASU00/SUSUSOMSUS/sustainability-solutions-msus?init=false&amp;nopassive=true</x:v>
      </x:c>
      <x:c r="H85" s="17" t="str">
        <x:v>Sustainability Solutions, MSUS - MSUS | Degree Details | ASU Degree Search</x:v>
      </x:c>
      <x:c r="I85" s="17" t="str">
        <x:v>Official page responded successfully.</x:v>
      </x:c>
    </x:row>
    <x:row r="86">
      <x:c r="A86" s="17" t="n">
        <x:v>82</x:v>
      </x:c>
      <x:c r="B86" s="17" t="str">
        <x:v>King Faisal University</x:v>
      </x:c>
      <x:c r="C86" s="17" t="str">
        <x:v>MSc Agricultural Systems Engineering - Environmental Systems discipline</x:v>
      </x:c>
      <x:c r="D86" s="17" t="str">
        <x:v>Automated fetch failed</x:v>
      </x:c>
      <x:c r="E86" s="17" t="str"/>
      <x:c r="F86" s="30" t="str">
        <x:v>https://www.kfu.edu.sa/ar/Deans/HigherStudies/Documents/custompages/studyplans/MSc_Agriculture_Engineering_Information.pdf</x:v>
      </x:c>
      <x:c r="G86" s="30" t="str"/>
      <x:c r="H86" s="17" t="str"/>
      <x:c r="I86" s="17" t="str">
        <x:v>Automated fetch failed or timed out; verified through official-domain web search.</x:v>
      </x:c>
    </x:row>
    <x:row r="87">
      <x:c r="A87" s="17" t="n">
        <x:v>83</x:v>
      </x:c>
      <x:c r="B87" s="17" t="str">
        <x:v>Flinders University</x:v>
      </x:c>
      <x:c r="C87" s="17" t="str">
        <x:v>Master of Environmental Management and Sustainability</x:v>
      </x:c>
      <x:c r="D87" s="17" t="str">
        <x:v>OK</x:v>
      </x:c>
      <x:c r="E87" s="17" t="n">
        <x:v>200</x:v>
      </x:c>
      <x:c r="F87" s="30" t="str">
        <x:v>https://www.flinders.edu.au/study/courses/postgraduate-environmental-management-sustainability</x:v>
      </x:c>
      <x:c r="G87" s="30" t="str">
        <x:v>https://www.flinders.edu.au/study/courses/postgraduate-environmental-management-sustainability</x:v>
      </x:c>
      <x:c r="H87" s="17" t="str">
        <x:v>Postgraduate courses - Environmental Management and Sustainability - Flinders University</x:v>
      </x:c>
      <x:c r="I87" s="17" t="str">
        <x:v>Official page responded successfully.</x:v>
      </x:c>
    </x:row>
    <x:row r="88">
      <x:c r="A88" s="17" t="n">
        <x:v>84</x:v>
      </x:c>
      <x:c r="B88" s="17" t="str">
        <x:v>Amrita Vishwa Vidyapeetham</x:v>
      </x:c>
      <x:c r="C88" s="17" t="str">
        <x:v>No standalone sustainability/environment master's confirmed</x:v>
      </x:c>
      <x:c r="D88" s="17" t="str">
        <x:v>OK</x:v>
      </x:c>
      <x:c r="E88" s="17" t="n">
        <x:v>200</x:v>
      </x:c>
      <x:c r="F88" s="30" t="str">
        <x:v>https://www.amrita.edu/course/environmental-science-and-sustainability-6/</x:v>
      </x:c>
      <x:c r="G88" s="30" t="str">
        <x:v>https://www.amrita.edu/course/environmental-science-and-sustainability-6/</x:v>
      </x:c>
      <x:c r="H88" s="17" t="str">
        <x:v>Environmental Science and Sustainability - Amrita Vishwa Vidyapeetham</x:v>
      </x:c>
      <x:c r="I88" s="17" t="str">
        <x:v>Official page responded successfully.</x:v>
      </x:c>
    </x:row>
    <x:row r="89">
      <x:c r="A89" s="17" t="n">
        <x:v>85</x:v>
      </x:c>
      <x:c r="B89" s="17" t="str">
        <x:v>Queen's University Belfast</x:v>
      </x:c>
      <x:c r="C89" s="17" t="str">
        <x:v>MSc Leadership for Sustainable Development</x:v>
      </x:c>
      <x:c r="D89" s="17" t="str">
        <x:v>OK</x:v>
      </x:c>
      <x:c r="E89" s="17" t="n">
        <x:v>200</x:v>
      </x:c>
      <x:c r="F89" s="30" t="str">
        <x:v>https://www.qub.ac.uk/courses/postgraduate-taught/leadership-sustainable-development-msc/</x:v>
      </x:c>
      <x:c r="G89" s="30" t="str">
        <x:v>https://www.qub.ac.uk/courses/postgraduate-taught/leadership-sustainable-development-msc/</x:v>
      </x:c>
      <x:c r="H89" s="17" t="str">
        <x:v>Leadership for Sustainable Development(MSc) | Courses | Queen's University Belfast</x:v>
      </x:c>
      <x:c r="I89" s="17" t="str">
        <x:v>Official page responded successfully.</x:v>
      </x:c>
    </x:row>
    <x:row r="90">
      <x:c r="A90" s="17" t="n">
        <x:v>86</x:v>
      </x:c>
      <x:c r="B90" s="17" t="str">
        <x:v>Near East University</x:v>
      </x:c>
      <x:c r="C90" s="17" t="str">
        <x:v>Master's in Environmental Education</x:v>
      </x:c>
      <x:c r="D90" s="17" t="str">
        <x:v>Blocked by site (403)</x:v>
      </x:c>
      <x:c r="E90" s="17" t="n">
        <x:v>403</x:v>
      </x:c>
      <x:c r="F90" s="30" t="str">
        <x:v>https://sustainability.neu.edu.tr/education/sustainability-programmes/</x:v>
      </x:c>
      <x:c r="G90" s="30" t="str">
        <x:v>https://sustainability.neu.edu.tr/education/sustainability-programmes/</x:v>
      </x:c>
      <x:c r="H90" s="17" t="str">
        <x:v>Just a moment...</x:v>
      </x:c>
      <x:c r="I90" s="17" t="str">
        <x:v>Official page blocks automated requests; verified through official-domain web search.</x:v>
      </x:c>
    </x:row>
    <x:row r="91">
      <x:c r="A91" s="17" t="n">
        <x:v>87</x:v>
      </x:c>
      <x:c r="B91" s="17" t="str">
        <x:v>University of Johannesburg</x:v>
      </x:c>
      <x:c r="C91" s="17" t="str">
        <x:v>Master's in Sustainability Management</x:v>
      </x:c>
      <x:c r="D91" s="17" t="str">
        <x:v>Blocked by site (403)</x:v>
      </x:c>
      <x:c r="E91" s="17" t="n">
        <x:v>403</x:v>
      </x:c>
      <x:c r="F91" s="30" t="str">
        <x:v>https://www.uj.ac.za/university-courses/masters-in-sustainability-management/</x:v>
      </x:c>
      <x:c r="G91" s="30" t="str">
        <x:v>https://www.uj.ac.za/university-courses/masters-in-sustainability-management/</x:v>
      </x:c>
      <x:c r="H91" s="17" t="str">
        <x:v>Just a moment...</x:v>
      </x:c>
      <x:c r="I91" s="17" t="str">
        <x:v>Official page blocks automated requests; verified through official-domain web search.</x:v>
      </x:c>
    </x:row>
    <x:row r="92">
      <x:c r="A92" s="17" t="n">
        <x:v>88</x:v>
      </x:c>
      <x:c r="B92" s="17" t="str">
        <x:v>Universitas Gadjah Mada</x:v>
      </x:c>
      <x:c r="C92" s="17" t="str">
        <x:v>Master in Environmental Science</x:v>
      </x:c>
      <x:c r="D92" s="17" t="str">
        <x:v>OK</x:v>
      </x:c>
      <x:c r="E92" s="17" t="n">
        <x:v>200</x:v>
      </x:c>
      <x:c r="F92" s="30" t="str">
        <x:v>https://admissions.ugm.ac.id/v26/program-studi/magister-ilmu-lingkungan-master-in-environmental-science/</x:v>
      </x:c>
      <x:c r="G92" s="30" t="str">
        <x:v>https://admissions.ugm.ac.id/v26/program-studi/magister-ilmu-lingkungan-master-in-environmental-science/</x:v>
      </x:c>
      <x:c r="H92" s="17" t="str">
        <x:v>Magister Ilmu Lingkungan / Master in Environmental Science &amp;#8211; Admisi</x:v>
      </x:c>
      <x:c r="I92" s="17" t="str">
        <x:v>Official page responded successfully.</x:v>
      </x:c>
    </x:row>
    <x:row r="93">
      <x:c r="A93" s="17" t="n">
        <x:v>89</x:v>
      </x:c>
      <x:c r="B93" s="17" t="str">
        <x:v>University of Wollongong</x:v>
      </x:c>
      <x:c r="C93" s="17" t="str">
        <x:v>Master of Earth and Environmental Sciences</x:v>
      </x:c>
      <x:c r="D93" s="17" t="str">
        <x:v>OK</x:v>
      </x:c>
      <x:c r="E93" s="17" t="n">
        <x:v>200</x:v>
      </x:c>
      <x:c r="F93" s="30" t="str">
        <x:v>https://www.uow.edu.au/study/courses/master-of-earth-and-environmental-sciences/</x:v>
      </x:c>
      <x:c r="G93" s="30" t="str">
        <x:v>https://www.uow.edu.au/study/courses/master-of-earth-and-environmental-sciences/</x:v>
      </x:c>
      <x:c r="H93" s="17" t="str">
        <x:v>Master of Earth &amp;amp; Environmental Sciences - University of Wollongong – UOW</x:v>
      </x:c>
      <x:c r="I93" s="17" t="str">
        <x:v>Official page responded successfully.</x:v>
      </x:c>
    </x:row>
    <x:row r="94">
      <x:c r="A94" s="17" t="n">
        <x:v>90</x:v>
      </x:c>
      <x:c r="B94" s="17" t="str">
        <x:v>Yonsei University (Seoul campus)</x:v>
      </x:c>
      <x:c r="C94" s="17" t="str">
        <x:v>Master of Global Civic Studies - Global Citizenship and Sustainable Development</x:v>
      </x:c>
      <x:c r="D94" s="17" t="str">
        <x:v>OK</x:v>
      </x:c>
      <x:c r="E94" s="17" t="n">
        <x:v>200</x:v>
      </x:c>
      <x:c r="F94" s="30" t="str">
        <x:v>https://lawschool.yonsei.ac.kr/gsis/intro/status.do</x:v>
      </x:c>
      <x:c r="G94" s="30" t="str">
        <x:v>https://lawschool.yonsei.ac.kr/gsis/intro/status.do</x:v>
      </x:c>
      <x:c r="H94" s="17" t="str">
        <x:v>국제학대학원 | ABOUT US | GSIS at a Glance</x:v>
      </x:c>
      <x:c r="I94" s="17" t="str">
        <x:v>Official page responded successfully.</x:v>
      </x:c>
    </x:row>
    <x:row r="95">
      <x:c r="A95" s="17" t="n">
        <x:v>91</x:v>
      </x:c>
      <x:c r="B95" s="17" t="str">
        <x:v>Sunway University</x:v>
      </x:c>
      <x:c r="C95" s="17" t="str">
        <x:v>Master in Sustainable Development Management</x:v>
      </x:c>
      <x:c r="D95" s="17" t="str">
        <x:v>OK</x:v>
      </x:c>
      <x:c r="E95" s="17" t="n">
        <x:v>200</x:v>
      </x:c>
      <x:c r="F95" s="30" t="str">
        <x:v>https://sunwayuniversity.edu.my/jsc/courses/master-sustainable-development-management-0</x:v>
      </x:c>
      <x:c r="G95" s="30" t="str">
        <x:v>https://sunwayuniversity.edu.my/jsc/courses/master-sustainable-development-management-0</x:v>
      </x:c>
      <x:c r="H95" s="17" t="str">
        <x:v>Master in Sustainable Development Management | Sunway University</x:v>
      </x:c>
      <x:c r="I95" s="17" t="str">
        <x:v>Official page responded successfully.</x:v>
      </x:c>
    </x:row>
    <x:row r="96">
      <x:c r="A96" s="17" t="n">
        <x:v>92</x:v>
      </x:c>
      <x:c r="B96" s="17" t="str">
        <x:v>Thammasat University</x:v>
      </x:c>
      <x:c r="C96" s="17" t="str">
        <x:v>MA Social Innovation and Sustainability</x:v>
      </x:c>
      <x:c r="D96" s="17" t="str">
        <x:v>OK</x:v>
      </x:c>
      <x:c r="E96" s="17" t="n">
        <x:v>200</x:v>
      </x:c>
      <x:c r="F96" s="30" t="str">
        <x:v>https://sgs.tu.ac.th/ma-program/</x:v>
      </x:c>
      <x:c r="G96" s="30" t="str">
        <x:v>https://sgs.tu.ac.th/ma-program/</x:v>
      </x:c>
      <x:c r="H96" s="17" t="str">
        <x:v>MA Program Overview - The School of Global Studies, Thammasat University</x:v>
      </x:c>
      <x:c r="I96" s="17" t="str">
        <x:v>Official page responded successfully.</x:v>
      </x:c>
    </x:row>
    <x:row r="97">
      <x:c r="A97" s="17" t="n">
        <x:v>93</x:v>
      </x:c>
      <x:c r="B97" s="17" t="str">
        <x:v>Walailak University</x:v>
      </x:c>
      <x:c r="C97" s="17" t="str">
        <x:v>MSc Environmental, Safety Technology and Health</x:v>
      </x:c>
      <x:c r="D97" s="17" t="str">
        <x:v>OK</x:v>
      </x:c>
      <x:c r="E97" s="17" t="n">
        <x:v>200</x:v>
      </x:c>
      <x:c r="F97" s="30" t="str">
        <x:v>https://www.wu.ac.th/en/news/21010/School-College</x:v>
      </x:c>
      <x:c r="G97" s="30" t="str">
        <x:v>https://www.wu.ac.th/en/news/21010/School-College</x:v>
      </x:c>
      <x:c r="H97" s="17" t="str">
        <x:v>School/College : Walailak University</x:v>
      </x:c>
      <x:c r="I97" s="17" t="str">
        <x:v>Official page responded successfully.</x:v>
      </x:c>
    </x:row>
    <x:row r="98">
      <x:c r="A98" s="17" t="n">
        <x:v>94</x:v>
      </x:c>
      <x:c r="B98" s="17" t="str">
        <x:v>King Abdullah University of Science and Technology (KAUST)</x:v>
      </x:c>
      <x:c r="C98" s="17" t="str">
        <x:v>MS Environmental Science and Engineering</x:v>
      </x:c>
      <x:c r="D98" s="17" t="str">
        <x:v>OK</x:v>
      </x:c>
      <x:c r="E98" s="17" t="n">
        <x:v>200</x:v>
      </x:c>
      <x:c r="F98" s="30" t="str">
        <x:v>https://bese.kaust.edu.sa/study/academic-programs/ense</x:v>
      </x:c>
      <x:c r="G98" s="30" t="str">
        <x:v>https://bese.kaust.edu.sa/study/academic-programs/ense</x:v>
      </x:c>
      <x:c r="H98" s="17" t="str">
        <x:v>Environmental Science &amp;amp; Engineering&amp;#160;</x:v>
      </x:c>
      <x:c r="I98" s="17" t="str">
        <x:v>Official page responded successfully.</x:v>
      </x:c>
    </x:row>
    <x:row r="99">
      <x:c r="A99" s="17" t="n">
        <x:v>95</x:v>
      </x:c>
      <x:c r="B99" s="17" t="str">
        <x:v>Chiang Mai University</x:v>
      </x:c>
      <x:c r="C99" s="17" t="str">
        <x:v>MSc Environmental Science</x:v>
      </x:c>
      <x:c r="D99" s="17" t="str">
        <x:v>OK</x:v>
      </x:c>
      <x:c r="E99" s="17" t="n">
        <x:v>200</x:v>
      </x:c>
      <x:c r="F99" s="30" t="str">
        <x:v>https://www.science.cmu.ac.th/english/master.php</x:v>
      </x:c>
      <x:c r="G99" s="30" t="str">
        <x:v>https://www.science.cmu.ac.th/english/master.php</x:v>
      </x:c>
      <x:c r="H99" s="17" t="str">
        <x:v>Master Programs: Faculty of Science , Chiang Mai University</x:v>
      </x:c>
      <x:c r="I99" s="17" t="str">
        <x:v>Official page responded successfully.</x:v>
      </x:c>
    </x:row>
    <x:row r="100">
      <x:c r="A100" s="17" t="n">
        <x:v>96</x:v>
      </x:c>
      <x:c r="B100" s="17" t="str">
        <x:v>Jeonbuk National University</x:v>
      </x:c>
      <x:c r="C100" s="17" t="str">
        <x:v>Master of Engineering in Environmental Engineering</x:v>
      </x:c>
      <x:c r="D100" s="17" t="str">
        <x:v>OK</x:v>
      </x:c>
      <x:c r="E100" s="17" t="n">
        <x:v>200</x:v>
      </x:c>
      <x:c r="F100" s="30" t="str">
        <x:v>https://gse.jbnu.ac.kr/gse/1394/subview.do</x:v>
      </x:c>
      <x:c r="G100" s="30" t="str">
        <x:v>https://gse.jbnu.ac.kr/gse/1394/subview.do</x:v>
      </x:c>
      <x:c r="H100" s="17" t="str">
        <x:v>환경공학</x:v>
      </x:c>
      <x:c r="I100" s="17" t="str">
        <x:v>Official page responded successfully.</x:v>
      </x:c>
    </x:row>
    <x:row r="101">
      <x:c r="A101" s="17" t="n">
        <x:v>97</x:v>
      </x:c>
      <x:c r="B101" s="17" t="str">
        <x:v>National Yang Ming Chiao Tung University (NYCU Taiwan)</x:v>
      </x:c>
      <x:c r="C101" s="17" t="str">
        <x:v>Master Program in Environmental Engineering</x:v>
      </x:c>
      <x:c r="D101" s="17" t="str">
        <x:v>OK</x:v>
      </x:c>
      <x:c r="E101" s="17" t="n">
        <x:v>200</x:v>
      </x:c>
      <x:c r="F101" s="30" t="str">
        <x:v>https://sdgs.nycu.edu.tw/archives/27449/</x:v>
      </x:c>
      <x:c r="G101" s="30" t="str">
        <x:v>https://sdgs.nycu.edu.tw/archives/27449/</x:v>
      </x:c>
      <x:c r="H101" s="17" t="str">
        <x:v>2026_SDG17_17.4.2 &amp;#8211; 國立陽明交通大學永續發展成果</x:v>
      </x:c>
      <x:c r="I101" s="17" t="str">
        <x:v>Official page responded successfully.</x:v>
      </x:c>
    </x:row>
  </x:sheetData>
  <x:mergeCells>
    <x:mergeCell ref="A1:I1"/>
    <x:mergeCell ref="A2:I2"/>
  </x:mergeCells>
  <x:conditionalFormatting sqref="D5:D101">
    <x:cfRule type="containsText" dxfId="10" priority="1" operator="containsText" text="OK"/>
    <x:cfRule type="containsText" dxfId="11" priority="2" operator="containsText" text="Blocked"/>
    <x:cfRule type="containsText" dxfId="12" priority="3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e0aa8429e60340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62" hidden="0" customWidth="1"/>
    <x:col min="4" max="4" width="62" hidden="0" customWidth="1"/>
    <x:col min="5" max="5" width="56" hidden="0" customWidth="1"/>
    <x:col min="6" max="6" width="16" hidden="0" customWidth="1"/>
  </x:cols>
  <x:sheetData>
    <x:row r="1" ht="28" customHeight="1">
      <x:c r="A1" s="3" t="str">
        <x:v>Method and Official Sources</x:v>
      </x:c>
      <x:c r="B1" s="3"/>
      <x:c r="C1" s="3"/>
      <x:c r="D1" s="3"/>
      <x:c r="E1" s="3"/>
      <x:c r="F1" s="3"/>
    </x:row>
    <x:row r="2" ht="36" customHeight="1">
      <x:c r="A2" s="7" t="str">
        <x:v>Reproducible rules used to rebuild and validate the workbook. Rankings and AASHE values are point-in-time data retrieved 18 July 2026.</x:v>
      </x:c>
      <x:c r="B2" s="7"/>
      <x:c r="C2" s="7"/>
      <x:c r="D2" s="7"/>
      <x:c r="E2" s="7"/>
      <x:c r="F2" s="7"/>
    </x:row>
    <x:row r="4" ht="36" customHeight="1">
      <x:c r="A4" s="13" t="str">
        <x:v>Step</x:v>
      </x:c>
      <x:c r="B4" s="13" t="str">
        <x:v>Dataset</x:v>
      </x:c>
      <x:c r="C4" s="13" t="str">
        <x:v>Rule</x:v>
      </x:c>
      <x:c r="D4" s="13" t="str">
        <x:v>Key Scope Decision</x:v>
      </x:c>
      <x:c r="E4" s="13" t="str">
        <x:v>Official Source</x:v>
      </x:c>
      <x:c r="F4" s="13" t="str">
        <x:v>Retrieved</x:v>
      </x:c>
    </x:row>
    <x:row r="5">
      <x:c r="A5" s="17" t="n">
        <x:v>1</x:v>
      </x:c>
      <x:c r="B5" s="17" t="str">
        <x:v>QS Sustainability Rankings 2026</x:v>
      </x:c>
      <x:c r="C5" s="17" t="str">
        <x:v>Include every institution whose published numeric rank is &lt;= 50.</x:v>
      </x:c>
      <x:c r="D5" s="17" t="str">
        <x:v>Include tied rank 50; 51 rows.</x:v>
      </x:c>
      <x:c r="E5" s="30" t="str">
        <x:v>https://www.topuniversities.com/sustainability-rankings</x:v>
      </x:c>
      <x:c r="F5" s="17" t="str">
        <x:v>2026-07-18</x:v>
      </x:c>
    </x:row>
    <x:row r="6">
      <x:c r="A6" s="17" t="n">
        <x:v>2</x:v>
      </x:c>
      <x:c r="B6" s="17" t="str">
        <x:v>THE Sustainability Impact Ratings 2026</x:v>
      </x:c>
      <x:c r="C6" s="17" t="str">
        <x:v>Include every institution whose published numeric rank is &lt;= 50.</x:v>
      </x:c>
      <x:c r="D6" s="17" t="str">
        <x:v>Include tied rank 49; 51 rows. This ranking was formerly called THE Impact Rankings.</x:v>
      </x:c>
      <x:c r="E6" s="30" t="str">
        <x:v>https://www.timeshighereducation.com/impactrankings</x:v>
      </x:c>
      <x:c r="F6" s="17" t="str">
        <x:v>2026-07-18</x:v>
      </x:c>
    </x:row>
    <x:row r="7">
      <x:c r="A7" s="17" t="n">
        <x:v>3</x:v>
      </x:c>
      <x:c r="B7" s="17" t="str">
        <x:v>Candidate union</x:v>
      </x:c>
      <x:c r="C7" s="17" t="str">
        <x:v>Normalize punctuation, parentheticals, and verified aliases; merge only the same institution.</x:v>
      </x:c>
      <x:c r="D7" s="17" t="str">
        <x:v>Five overlaps; 97 unique institutions.</x:v>
      </x:c>
      <x:c r="E7" s="30" t="str">
        <x:v>Candidate Universities sheet</x:v>
      </x:c>
      <x:c r="F7" s="17" t="str">
        <x:v>2026-07-18</x:v>
      </x:c>
    </x:row>
    <x:row r="8">
      <x:c r="A8" s="17" t="n">
        <x:v>4</x:v>
      </x:c>
      <x:c r="B8" s="17" t="str">
        <x:v>Program verification</x:v>
      </x:c>
      <x:c r="C8" s="17" t="str">
        <x:v>Select a current master's-level sustainability/environment program from an official university source.</x:v>
      </x:c>
      <x:c r="D8" s="17" t="str">
        <x:v>Direct, major, concentration, research, best-fit, restricted, and unresolved are kept distinct.</x:v>
      </x:c>
      <x:c r="E8" s="30" t="str">
        <x:v>Program Verification sheet</x:v>
      </x:c>
      <x:c r="F8" s="17" t="str">
        <x:v>2026-07-18</x:v>
      </x:c>
    </x:row>
    <x:row r="9">
      <x:c r="A9" s="17" t="n">
        <x:v>5</x:v>
      </x:c>
      <x:c r="B9" s="17" t="str">
        <x:v>Program URL audit</x:v>
      </x:c>
      <x:c r="C9" s="17" t="str">
        <x:v>Follow redirects and record HTTP response.</x:v>
      </x:c>
      <x:c r="D9" s="17" t="str">
        <x:v>403/timeouts are not treated as missing when official-domain search confirms the page; 404s must be replaced.</x:v>
      </x:c>
      <x:c r="E9" s="30" t="str">
        <x:v>URL Audit sheet</x:v>
      </x:c>
      <x:c r="F9" s="17" t="str">
        <x:v>2026-07-18</x:v>
      </x:c>
    </x:row>
    <x:row r="10">
      <x:c r="A10" s="17" t="n">
        <x:v>6</x:v>
      </x:c>
      <x:c r="B10" s="17" t="str">
        <x:v>AASHE STARS</x:v>
      </x:c>
      <x:c r="C10" s="17" t="str">
        <x:v>Match exact institution identity against the current participants and reports table.</x:v>
      </x:c>
      <x:c r="D10" s="17" t="str">
        <x:v>No parent/system/campus inheritance. 416 current source records.</x:v>
      </x:c>
      <x:c r="E10" s="30" t="str">
        <x:v>https://reports.aashe.org/institutions/participants-and-reports/</x:v>
      </x:c>
      <x:c r="F10" s="17" t="str">
        <x:v>2026-07-18</x:v>
      </x:c>
    </x:row>
    <x:row r="11">
      <x:c r="A11" s="17" t="n">
        <x:v>7</x:v>
      </x:c>
      <x:c r="B11" s="17" t="str">
        <x:v>AASHE rating score</x:v>
      </x:c>
      <x:c r="C11" s="17" t="str">
        <x:v>Reporter=40, Bronze=55, Silver=70, Gold=85, Platinum=100.</x:v>
      </x:c>
      <x:c r="D11" s="17" t="str">
        <x:v>Score is an analysis coding of the published rating, not an AASHE raw numeric score.</x:v>
      </x:c>
      <x:c r="E11" s="30" t="str">
        <x:v>AASHE STARS sheet</x:v>
      </x:c>
      <x:c r="F11" s="17" t="str">
        <x:v>2026-07-18</x:v>
      </x:c>
    </x:row>
    <x:row r="12">
      <x:c r="A12" s="17" t="n">
        <x:v>8</x:v>
      </x:c>
      <x:c r="B12" s="17" t="str">
        <x:v>Manual validation</x:v>
      </x:c>
      <x:c r="C12" s="17" t="str">
        <x:v>Review unresolved programs and AASHE scope flags before statistical analysis.</x:v>
      </x:c>
      <x:c r="D12" s="17" t="str">
        <x:v>Do not impute unresolved program or campus matches.</x:v>
      </x:c>
      <x:c r="E12" s="30" t="str">
        <x:v>Verification Issues sheet</x:v>
      </x:c>
      <x:c r="F12" s="17" t="str">
        <x:v>2026-07-18</x:v>
      </x:c>
    </x:row>
    <x:row r="15" ht="36" customHeight="1">
      <x:c r="A15" s="27" t="str">
        <x:v>Limitation</x:v>
      </x:c>
      <x:c r="B15" s="27" t="str">
        <x:v>Effect</x:v>
      </x:c>
      <x:c r="C15" s="27" t="str">
        <x:v>Workbook Treatment</x:v>
      </x:c>
      <x:c r="D15" s="27" t="str">
        <x:v>Next Manual Action</x:v>
      </x:c>
      <x:c r="E15" s="27" t="str">
        <x:v>Affected Rows</x:v>
      </x:c>
      <x:c r="F15" s="27" t="str">
        <x:v>Priority</x:v>
      </x:c>
    </x:row>
    <x:row r="16">
      <x:c r="A16" s="17" t="str">
        <x:v>Rankings measure institutions, not individual master's programs.</x:v>
      </x:c>
      <x:c r="B16" s="17" t="str">
        <x:v>Rank values cannot be interpreted as direct program ranks.</x:v>
      </x:c>
      <x:c r="C16" s="17" t="str">
        <x:v>University ranking and program verification are separate sheets.</x:v>
      </x:c>
      <x:c r="D16" s="17" t="str">
        <x:v>Use program-specific outcomes from university sites if needed.</x:v>
      </x:c>
      <x:c r="E16" s="17" t="str">
        <x:v>All</x:v>
      </x:c>
      <x:c r="F16" s="17" t="str">
        <x:v>High</x:v>
      </x:c>
    </x:row>
    <x:row r="17">
      <x:c r="A17" s="17" t="str">
        <x:v>QS optional component fields were not exposed consistently in rendered ranking cards.</x:v>
      </x:c>
      <x:c r="B17" s="17" t="str">
        <x:v>Some component cells are blank even though rank and overall score are available.</x:v>
      </x:c>
      <x:c r="C17" s="17" t="str">
        <x:v>Blanks were retained and were not converted to zero or imputed.</x:v>
      </x:c>
      <x:c r="D17" s="17" t="str">
        <x:v>Use the complete core rank/overall score fields for analysis; retrieve component details separately if required.</x:v>
      </x:c>
      <x:c r="E17" s="17" t="str">
        <x:v>QS component columns</x:v>
      </x:c>
      <x:c r="F17" s="17" t="str">
        <x:v>Medium</x:v>
      </x:c>
    </x:row>
    <x:row r="18">
      <x:c r="A18" s="17" t="str">
        <x:v>Some institutions publish only a department or research route.</x:v>
      </x:c>
      <x:c r="B18" s="17" t="str">
        <x:v>Program comparability varies.</x:v>
      </x:c>
      <x:c r="C18" s="17" t="str">
        <x:v>Match Type distinguishes direct from best-fit/research routes.</x:v>
      </x:c>
      <x:c r="D18" s="17" t="str">
        <x:v>Filter Match Type before modelling.</x:v>
      </x:c>
      <x:c r="E18" s="17" t="str">
        <x:v>See Program Verification</x:v>
      </x:c>
      <x:c r="F18" s="17" t="str">
        <x:v>High</x:v>
      </x:c>
    </x:row>
    <x:row r="19">
      <x:c r="A19" s="17" t="str">
        <x:v>Official sites change URLs and may block bots.</x:v>
      </x:c>
      <x:c r="B19" s="17" t="str">
        <x:v>Automated audit can understate availability.</x:v>
      </x:c>
      <x:c r="C19" s="17" t="str">
        <x:v>HTTP status and manual-search verification are recorded separately.</x:v>
      </x:c>
      <x:c r="D19" s="17" t="str">
        <x:v>Open blocked URLs during final review.</x:v>
      </x:c>
      <x:c r="E19" s="17" t="str">
        <x:v>12</x:v>
      </x:c>
      <x:c r="F19" s="17" t="str">
        <x:v>Medium</x:v>
      </x:c>
    </x:row>
    <x:row r="20">
      <x:c r="A20" s="17" t="str">
        <x:v>AASHE is institution/campus scoped.</x:v>
      </x:c>
      <x:c r="B20" s="17" t="str">
        <x:v>A related campus rating may not apply to the ranked institution.</x:v>
      </x:c>
      <x:c r="C20" s="17" t="str">
        <x:v>Strict match status and notes are included.</x:v>
      </x:c>
      <x:c r="D20" s="17" t="str">
        <x:v>Read report boundaries for scope-review cases.</x:v>
      </x:c>
      <x:c r="E20" s="17" t="str">
        <x:v>Toronto; ASU</x:v>
      </x:c>
      <x:c r="F20" s="17" t="str">
        <x:v>High</x:v>
      </x:c>
    </x:row>
    <x:row r="21">
      <x:c r="A21" s="17" t="str">
        <x:v>Data are point-in-time.</x:v>
      </x:c>
      <x:c r="B21" s="17" t="str">
        <x:v>Rankings, programs, and ratings can change.</x:v>
      </x:c>
      <x:c r="C21" s="17" t="str">
        <x:v>Retrieval/verification dates are stored.</x:v>
      </x:c>
      <x:c r="D21" s="17" t="str">
        <x:v>Refresh before publication or final submission.</x:v>
      </x:c>
      <x:c r="E21" s="17" t="str">
        <x:v>All</x:v>
      </x:c>
      <x:c r="F21" s="17" t="str">
        <x:v>Medium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52" hidden="0" customWidth="1"/>
    <x:col min="4" max="4" width="62" hidden="0" customWidth="1"/>
    <x:col min="5" max="5" width="18" hidden="0" customWidth="1"/>
    <x:col min="6" max="6" width="54" hidden="0" customWidth="1"/>
  </x:cols>
  <x:sheetData>
    <x:row r="1" ht="28" customHeight="1">
      <x:c r="A1" s="3" t="str">
        <x:v>Data Dictionary</x:v>
      </x:c>
      <x:c r="B1" s="3"/>
      <x:c r="C1" s="3"/>
      <x:c r="D1" s="3"/>
      <x:c r="E1" s="3"/>
      <x:c r="F1" s="3"/>
    </x:row>
    <x:row r="2" ht="36" customHeight="1">
      <x:c r="A2" s="7" t="str">
        <x:v>Definitions for the corrected workbook fields and interpretation flags.</x:v>
      </x:c>
      <x:c r="B2" s="7"/>
      <x:c r="C2" s="7"/>
      <x:c r="D2" s="7"/>
      <x:c r="E2" s="7"/>
      <x:c r="F2" s="7"/>
    </x:row>
    <x:row r="4" ht="36" customHeight="1">
      <x:c r="A4" s="13" t="str">
        <x:v>Sheet</x:v>
      </x:c>
      <x:c r="B4" s="13" t="str">
        <x:v>Field</x:v>
      </x:c>
      <x:c r="C4" s="13" t="str">
        <x:v>Allowed Values / Example</x:v>
      </x:c>
      <x:c r="D4" s="13" t="str">
        <x:v>Definition</x:v>
      </x:c>
      <x:c r="E4" s="13" t="str">
        <x:v>Type</x:v>
      </x:c>
      <x:c r="F4" s="13" t="str">
        <x:v>Analysis Note</x:v>
      </x:c>
    </x:row>
    <x:row r="5">
      <x:c r="A5" s="17" t="str">
        <x:v>Candidate Universities</x:v>
      </x:c>
      <x:c r="B5" s="17" t="str">
        <x:v>Candidate Source</x:v>
      </x:c>
      <x:c r="C5" s="17" t="str">
        <x:v>QS Sustainability / THE Impact / Both</x:v>
      </x:c>
      <x:c r="D5" s="17" t="str">
        <x:v>Which ranking(s) placed the institution at numeric rank &lt;= 50.</x:v>
      </x:c>
      <x:c r="E5" s="17" t="str">
        <x:v>Text</x:v>
      </x:c>
      <x:c r="F5" s="17" t="str">
        <x:v>Do not interpret as program rank.</x:v>
      </x:c>
    </x:row>
    <x:row r="6">
      <x:c r="A6" s="17" t="str">
        <x:v>Candidate Universities</x:v>
      </x:c>
      <x:c r="B6" s="17" t="str">
        <x:v>QS Rank</x:v>
      </x:c>
      <x:c r="C6" s="17" t="str">
        <x:v>1, =7, etc.</x:v>
      </x:c>
      <x:c r="D6" s="17" t="str">
        <x:v>Published QS Sustainability rank string.</x:v>
      </x:c>
      <x:c r="E6" s="17" t="str">
        <x:v>Text</x:v>
      </x:c>
      <x:c r="F6" s="17" t="str">
        <x:v>Rank Number on QS sheet is numeric for cutoff checks.</x:v>
      </x:c>
    </x:row>
    <x:row r="7">
      <x:c r="A7" s="17" t="str">
        <x:v>Candidate Universities</x:v>
      </x:c>
      <x:c r="B7" s="17" t="str">
        <x:v>THE Rank</x:v>
      </x:c>
      <x:c r="C7" s="17" t="str">
        <x:v>1, =17, etc.</x:v>
      </x:c>
      <x:c r="D7" s="17" t="str">
        <x:v>Published THE Sustainability Impact rank string.</x:v>
      </x:c>
      <x:c r="E7" s="17" t="str">
        <x:v>Text</x:v>
      </x:c>
      <x:c r="F7" s="17" t="str">
        <x:v>Rank Number on THE sheet is numeric for cutoff checks.</x:v>
      </x:c>
    </x:row>
    <x:row r="8">
      <x:c r="A8" s="17" t="str">
        <x:v>Program Verification</x:v>
      </x:c>
      <x:c r="B8" s="17" t="str">
        <x:v>Match Type</x:v>
      </x:c>
      <x:c r="C8" s="17" t="str">
        <x:v>Direct / Major / Concentration / Research / Best-fit / Restricted / Joint degree / Specialization / Unresolved</x:v>
      </x:c>
      <x:c r="D8" s="17" t="str">
        <x:v>How directly the selected program matches a standalone sustainability/environment master's.</x:v>
      </x:c>
      <x:c r="E8" s="17" t="str">
        <x:v>Controlled text</x:v>
      </x:c>
      <x:c r="F8" s="17" t="str">
        <x:v>Filter before comparative analysis.</x:v>
      </x:c>
    </x:row>
    <x:row r="9">
      <x:c r="A9" s="17" t="str">
        <x:v>Program Verification</x:v>
      </x:c>
      <x:c r="B9" s="17" t="str">
        <x:v>Verification Status</x:v>
      </x:c>
      <x:c r="C9" s="17" t="str">
        <x:v>Confirmed / Manual review required</x:v>
      </x:c>
      <x:c r="D9" s="17" t="str">
        <x:v>Whether an official source confirms a qualifying path.</x:v>
      </x:c>
      <x:c r="E9" s="17" t="str">
        <x:v>Controlled text</x:v>
      </x:c>
      <x:c r="F9" s="17" t="str">
        <x:v>Manual-review rows should not be imputed.</x:v>
      </x:c>
    </x:row>
    <x:row r="10">
      <x:c r="A10" s="17" t="str">
        <x:v>Program Verification</x:v>
      </x:c>
      <x:c r="B10" s="17" t="str">
        <x:v>URL Audit</x:v>
      </x:c>
      <x:c r="C10" s="17" t="str">
        <x:v>OK / Blocked by site / Automated fetch failed</x:v>
      </x:c>
      <x:c r="D10" s="17" t="str">
        <x:v>Result of automated page retrieval.</x:v>
      </x:c>
      <x:c r="E10" s="17" t="str">
        <x:v>Controlled text</x:v>
      </x:c>
      <x:c r="F10" s="17" t="str">
        <x:v>Blocked does not mean invalid.</x:v>
      </x:c>
    </x:row>
    <x:row r="11">
      <x:c r="A11" s="17" t="str">
        <x:v>AASHE STARS</x:v>
      </x:c>
      <x:c r="B11" s="17" t="str">
        <x:v>AASHE Match Status</x:v>
      </x:c>
      <x:c r="C11" s="17" t="str">
        <x:v>Exact name / Verified alias / Scope review required / Campus-only record found / No current exact record</x:v>
      </x:c>
      <x:c r="D11" s="17" t="str">
        <x:v>Institutional identity and scope result.</x:v>
      </x:c>
      <x:c r="E11" s="17" t="str">
        <x:v>Controlled text</x:v>
      </x:c>
      <x:c r="F11" s="17" t="str">
        <x:v>Only exact/alias matches are fully clean.</x:v>
      </x:c>
    </x:row>
    <x:row r="12">
      <x:c r="A12" s="17" t="str">
        <x:v>AASHE STARS</x:v>
      </x:c>
      <x:c r="B12" s="17" t="str">
        <x:v>Rating</x:v>
      </x:c>
      <x:c r="C12" s="17" t="str">
        <x:v>Reporter / Bronze / Silver / Gold / Platinum</x:v>
      </x:c>
      <x:c r="D12" s="17" t="str">
        <x:v>Published current STARS rating.</x:v>
      </x:c>
      <x:c r="E12" s="17" t="str">
        <x:v>Text</x:v>
      </x:c>
      <x:c r="F12" s="17" t="str">
        <x:v>Blank when no exact applicable rating.</x:v>
      </x:c>
    </x:row>
    <x:row r="13">
      <x:c r="A13" s="17" t="str">
        <x:v>AASHE STARS</x:v>
      </x:c>
      <x:c r="B13" s="17" t="str">
        <x:v>Score</x:v>
      </x:c>
      <x:c r="C13" s="17" t="str">
        <x:v>40 / 55 / 70 / 85 / 100</x:v>
      </x:c>
      <x:c r="D13" s="17" t="str">
        <x:v>Project coding of the categorical STARS rating.</x:v>
      </x:c>
      <x:c r="E13" s="17" t="str">
        <x:v>Number</x:v>
      </x:c>
      <x:c r="F13" s="17" t="str">
        <x:v>Not an AASHE raw score.</x:v>
      </x:c>
    </x:row>
    <x:row r="14">
      <x:c r="A14" s="17" t="str">
        <x:v>All</x:v>
      </x:c>
      <x:c r="B14" s="17" t="str">
        <x:v>Verification Date / Retrieved</x:v>
      </x:c>
      <x:c r="C14" s="17" t="str">
        <x:v>YYYY-MM-DD</x:v>
      </x:c>
      <x:c r="D14" s="17" t="str">
        <x:v>Point-in-time date of verification or source collection.</x:v>
      </x:c>
      <x:c r="E14" s="17" t="str">
        <x:v>Date-like text</x:v>
      </x:c>
      <x:c r="F14" s="17" t="str">
        <x:v>Refresh before final publication.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441936b1ec648e3"/>
  </x:tableParts>
</x:worksheet>
</file>